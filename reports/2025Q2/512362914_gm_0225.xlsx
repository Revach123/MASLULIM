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00 - downloads\"/>
    </mc:Choice>
  </mc:AlternateContent>
  <xr:revisionPtr revIDLastSave="0" documentId="13_ncr:1_{18A69EE9-C8CD-4D81-A92F-99969163B2B8}" xr6:coauthVersionLast="47" xr6:coauthVersionMax="47" xr10:uidLastSave="{00000000-0000-0000-0000-000000000000}"/>
  <bookViews>
    <workbookView xWindow="2868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2" hidden="1">'לא סחיר נגזרים אחרים'!$A$1:$AO$36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calcMode="manual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2" l="1"/>
  <c r="D30" i="2"/>
  <c r="D13" i="38" l="1"/>
  <c r="D15" i="38" l="1"/>
</calcChain>
</file>

<file path=xl/sharedStrings.xml><?xml version="1.0" encoding="utf-8"?>
<sst xmlns="http://schemas.openxmlformats.org/spreadsheetml/2006/main" count="55660" uniqueCount="3528">
  <si>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</si>
  <si>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</si>
  <si>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</si>
  <si>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</si>
  <si>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</si>
  <si>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</si>
  <si>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</si>
  <si>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</si>
  <si>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</si>
  <si>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</si>
  <si>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</si>
  <si>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</si>
  <si>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</si>
  <si>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</si>
  <si>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</si>
  <si>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</si>
  <si>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</si>
  <si>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</si>
  <si>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</si>
  <si>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</si>
  <si>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</si>
  <si>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</si>
  <si>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</si>
  <si>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</si>
  <si>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</si>
  <si>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</si>
  <si>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</si>
  <si>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</si>
  <si>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</si>
  <si>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</si>
  <si>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</si>
  <si>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</si>
  <si>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</si>
  <si>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</si>
  <si>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</si>
  <si>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</si>
  <si>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</si>
  <si>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</si>
  <si>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</si>
  <si>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</si>
  <si>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</si>
  <si>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</si>
  <si>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</si>
  <si>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</si>
  <si>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</si>
  <si>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</si>
  <si>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</si>
  <si>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</si>
  <si>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</si>
  <si>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</si>
  <si>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</si>
  <si>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</si>
  <si>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</si>
  <si>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</si>
  <si>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</si>
  <si>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</si>
  <si>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</si>
  <si>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</si>
  <si>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</si>
  <si>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</si>
  <si>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</si>
  <si>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</si>
  <si>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</si>
  <si>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</si>
  <si>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</si>
  <si>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</si>
  <si>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</si>
  <si>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</si>
  <si>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</si>
  <si>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</si>
  <si>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</si>
  <si>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</si>
  <si>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</si>
  <si>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</si>
  <si>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</si>
  <si>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</si>
  <si>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</si>
  <si>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</si>
  <si>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</si>
  <si>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</si>
  <si>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</si>
  <si>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</si>
  <si>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</si>
  <si>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</si>
  <si>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</si>
  <si>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</si>
  <si>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</si>
  <si>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</si>
  <si>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</si>
  <si>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</si>
  <si>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</si>
  <si>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</si>
  <si>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</si>
  <si>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</si>
  <si>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</si>
  <si>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</si>
  <si>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</si>
  <si>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</si>
  <si>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</si>
  <si>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</si>
  <si>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</si>
  <si>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</si>
  <si>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</si>
  <si>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</si>
  <si>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</si>
  <si>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</si>
  <si>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</si>
  <si>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</si>
  <si>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</si>
  <si>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</si>
  <si>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</si>
  <si>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</si>
  <si>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</si>
  <si>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</si>
  <si>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</si>
  <si>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</si>
  <si>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</si>
  <si>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</si>
  <si>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</si>
  <si>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</si>
  <si>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</si>
  <si>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</si>
  <si>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</si>
  <si>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</si>
  <si>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</si>
  <si>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</si>
  <si>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</si>
  <si>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</si>
  <si>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</si>
  <si>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</si>
  <si>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</si>
  <si>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</si>
  <si>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</si>
  <si>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</si>
  <si>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</si>
  <si>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</si>
  <si>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</si>
  <si>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</si>
  <si>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</si>
  <si>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</si>
  <si>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</si>
  <si>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</si>
  <si>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</si>
  <si>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</si>
  <si>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</si>
  <si>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</si>
  <si>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</si>
  <si>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</si>
  <si>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</si>
  <si>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</si>
  <si>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</si>
  <si>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</si>
  <si>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</si>
  <si>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</si>
  <si>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</si>
  <si>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</si>
  <si>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</si>
  <si>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</si>
  <si>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</si>
  <si>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</si>
  <si>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</si>
  <si>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</si>
  <si>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</si>
  <si>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</si>
  <si>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</si>
  <si>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</si>
  <si>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</si>
  <si>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</si>
  <si>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</si>
  <si>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</si>
  <si>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</si>
  <si>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</si>
  <si>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</si>
  <si>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</si>
  <si>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</si>
  <si>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</si>
  <si>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</si>
  <si>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</si>
  <si>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</si>
  <si>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</si>
  <si>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</si>
  <si>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</si>
  <si>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</si>
  <si>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</si>
  <si>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</si>
  <si>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</si>
  <si>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</si>
  <si>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</si>
  <si>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</si>
  <si>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</si>
  <si>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</si>
  <si>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</si>
  <si>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</si>
  <si>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</si>
  <si>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</si>
  <si>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</si>
  <si>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</si>
  <si>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</si>
  <si>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</si>
  <si>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</si>
  <si>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</si>
  <si>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</si>
  <si>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</si>
  <si>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</si>
  <si>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</si>
  <si>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</si>
  <si>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</si>
  <si>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</si>
  <si>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</si>
  <si>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</si>
  <si>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</si>
  <si>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</si>
  <si>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</si>
  <si>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</si>
  <si>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</si>
  <si>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</si>
  <si>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</si>
  <si>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</si>
  <si>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</si>
  <si>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</si>
  <si>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</si>
  <si>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</si>
  <si>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</si>
  <si>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</si>
  <si>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</si>
  <si>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</si>
  <si>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</si>
  <si>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</si>
  <si>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</si>
  <si>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</si>
  <si>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</si>
  <si>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</si>
  <si>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</si>
  <si>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</si>
  <si>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</si>
  <si>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</si>
  <si>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</si>
  <si>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</si>
  <si>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</si>
  <si>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</si>
  <si>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</si>
  <si>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</si>
  <si>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</si>
  <si>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</si>
  <si>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</si>
  <si>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</si>
  <si>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</si>
  <si>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</si>
  <si>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</si>
  <si>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</si>
  <si>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</si>
  <si>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</si>
  <si>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</si>
  <si>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</si>
  <si>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</si>
  <si>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</si>
  <si>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</si>
  <si>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</si>
  <si>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</si>
  <si>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</si>
  <si>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</si>
  <si>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</si>
  <si>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</si>
  <si>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</si>
  <si>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</si>
  <si>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</si>
  <si>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</si>
  <si>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</si>
  <si>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</si>
  <si>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</si>
  <si>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</si>
  <si>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</si>
  <si>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</si>
  <si>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</si>
  <si>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</si>
  <si>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</si>
  <si>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</si>
  <si>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</si>
  <si>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</si>
  <si>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</si>
  <si>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</si>
  <si>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</si>
  <si>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</si>
  <si>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</si>
  <si>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</si>
  <si>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</si>
  <si>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</si>
  <si>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</si>
  <si>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</si>
  <si>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</si>
  <si>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</si>
  <si>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</si>
  <si>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</si>
  <si>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</si>
  <si>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</si>
  <si>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</si>
  <si>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</si>
  <si>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</si>
  <si>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</si>
  <si>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</si>
  <si>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</si>
  <si>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</si>
  <si>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</si>
  <si>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</si>
  <si>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</si>
  <si>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</si>
  <si>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</si>
  <si>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</si>
  <si>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</si>
  <si>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</si>
  <si>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</si>
  <si>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</si>
  <si>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</si>
  <si>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</si>
  <si>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</si>
  <si>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</si>
  <si>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</si>
  <si>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</si>
  <si>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</si>
  <si>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</si>
  <si>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</si>
  <si>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</si>
  <si>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</si>
  <si>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</si>
  <si>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</si>
  <si>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</si>
  <si>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</si>
  <si>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</si>
  <si>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</si>
  <si>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</si>
  <si>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</si>
  <si>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</si>
  <si>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</si>
  <si>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</si>
  <si>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</si>
  <si>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</si>
  <si>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</si>
  <si>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</si>
  <si>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</si>
  <si>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</si>
  <si>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</si>
  <si>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</si>
  <si>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</si>
  <si>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</si>
  <si>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</si>
  <si>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</si>
  <si>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</si>
  <si>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</si>
  <si>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</si>
  <si>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</si>
  <si>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</si>
  <si>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</si>
  <si>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</si>
  <si>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</si>
  <si>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</si>
  <si>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</si>
  <si>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</si>
  <si>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</si>
  <si>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</si>
  <si>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</si>
  <si>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</si>
  <si>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</si>
  <si>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</si>
  <si>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</si>
  <si>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</si>
  <si>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</si>
  <si>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</si>
  <si>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</si>
  <si>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</si>
  <si>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</si>
  <si>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</si>
  <si>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</si>
  <si>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</si>
  <si>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</si>
  <si>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</si>
  <si>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</si>
  <si>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</si>
  <si>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</si>
  <si>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</si>
  <si>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</si>
  <si>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</si>
  <si>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</si>
  <si>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</si>
  <si>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</si>
  <si>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</si>
  <si>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</si>
  <si>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</si>
  <si>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</si>
  <si>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</si>
  <si>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</si>
  <si>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</si>
  <si>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</si>
  <si>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</si>
  <si>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</si>
  <si>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</si>
  <si>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</si>
  <si>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</si>
  <si>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</si>
  <si>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</si>
  <si>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</si>
  <si>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</si>
  <si>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</si>
  <si>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</si>
  <si>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</si>
  <si>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</si>
  <si>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</si>
  <si>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</si>
  <si>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</si>
  <si>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</si>
  <si>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</si>
  <si>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</si>
  <si>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</si>
  <si>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</si>
  <si>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</si>
  <si>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</si>
  <si>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</si>
  <si>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</si>
  <si>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</si>
  <si>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</si>
  <si>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</si>
  <si>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</si>
  <si>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</si>
  <si>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</si>
  <si>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</si>
  <si>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</si>
  <si>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</si>
  <si>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</si>
  <si>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</si>
  <si>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</si>
  <si>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</si>
  <si>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</si>
  <si>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</si>
  <si>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</si>
  <si>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</si>
  <si>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</si>
  <si>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</si>
  <si>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</si>
  <si>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</si>
  <si>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</si>
  <si>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</si>
  <si>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</si>
  <si>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</si>
  <si>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</si>
  <si>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</si>
  <si>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</si>
  <si>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</si>
  <si>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</si>
  <si>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</si>
  <si>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</si>
  <si>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</si>
  <si>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</si>
  <si>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</si>
  <si>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</si>
  <si>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</si>
  <si>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</si>
  <si>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</si>
  <si>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</si>
  <si>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</si>
  <si>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</si>
  <si>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</si>
  <si>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</si>
  <si>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</si>
  <si>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</si>
  <si>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</si>
  <si>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</si>
  <si>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</si>
  <si>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</si>
  <si>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</si>
  <si>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</si>
  <si>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</si>
  <si>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</si>
  <si>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</si>
  <si>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</si>
  <si>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</si>
  <si>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</si>
  <si>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</si>
  <si>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</si>
  <si>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</si>
  <si>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</si>
  <si>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</si>
  <si>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</si>
  <si>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</si>
  <si>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</si>
  <si>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</si>
  <si>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</si>
  <si>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</si>
  <si>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</si>
  <si>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</si>
  <si>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</si>
  <si>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</si>
  <si>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</si>
  <si>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</si>
  <si>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</si>
  <si>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</si>
  <si>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</si>
  <si>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</si>
  <si>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</si>
  <si>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</si>
  <si>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</si>
  <si>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</si>
  <si>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</si>
  <si>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</si>
  <si>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</si>
  <si>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</si>
  <si>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</si>
  <si>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</si>
  <si>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</si>
  <si>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</si>
  <si>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</si>
  <si>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</si>
  <si>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</si>
  <si>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</si>
  <si>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</si>
  <si>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</si>
  <si>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</si>
  <si>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</si>
  <si>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</si>
  <si>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</si>
  <si>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</si>
  <si>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</si>
  <si>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</si>
  <si>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</si>
  <si>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</si>
  <si>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</si>
  <si>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</si>
  <si>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</si>
  <si>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</si>
  <si>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</si>
  <si>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</si>
  <si>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</si>
  <si>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</si>
  <si>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</si>
  <si>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</si>
  <si>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</si>
  <si>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</si>
  <si>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</si>
  <si>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</si>
  <si>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</si>
  <si>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</si>
  <si>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</si>
  <si>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</si>
  <si>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</si>
  <si>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</si>
  <si>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</si>
  <si>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</si>
  <si>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</si>
  <si>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</si>
  <si>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</si>
  <si>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</si>
  <si>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</si>
  <si>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</si>
  <si>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</si>
  <si>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</si>
  <si>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</si>
  <si>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</si>
  <si>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</si>
  <si>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</si>
  <si>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</si>
  <si>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</si>
  <si>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</si>
  <si>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</si>
  <si>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</si>
  <si>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</si>
  <si>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</si>
  <si>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</si>
  <si>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</si>
  <si>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</si>
  <si>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</si>
  <si>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</si>
  <si>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</si>
  <si>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</si>
  <si>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</si>
  <si>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</si>
  <si>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</si>
  <si>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</si>
  <si>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</si>
  <si>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</si>
  <si>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</si>
  <si>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</si>
  <si>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</si>
  <si>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</si>
  <si>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</si>
  <si>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</si>
  <si>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</si>
  <si>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</si>
  <si>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</si>
  <si>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</si>
  <si>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</si>
  <si>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</si>
  <si>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</si>
  <si>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</si>
  <si>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</si>
  <si>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</si>
  <si>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</si>
  <si>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</si>
  <si>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</si>
  <si>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</si>
  <si>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</si>
  <si>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</si>
  <si>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</si>
  <si>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</si>
  <si>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</si>
  <si>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</si>
  <si>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</si>
  <si>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</si>
  <si>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</si>
  <si>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</si>
  <si>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</si>
  <si>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</si>
  <si>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</si>
  <si>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</si>
  <si>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</si>
  <si>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</si>
  <si>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</si>
  <si>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</si>
  <si>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</si>
  <si>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</si>
  <si>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</si>
  <si>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</si>
  <si>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</si>
  <si>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</si>
  <si>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</si>
  <si>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</si>
  <si>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</si>
  <si>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</si>
  <si>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</si>
  <si>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</si>
  <si>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</si>
  <si>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</si>
  <si>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</si>
  <si>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</si>
  <si>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</si>
  <si>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</si>
  <si>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</si>
  <si>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</si>
  <si>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</si>
  <si>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</si>
  <si>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</si>
  <si>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</si>
  <si>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</si>
  <si>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</si>
  <si>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</si>
  <si>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</si>
  <si>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</si>
  <si>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</si>
  <si>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</si>
  <si>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</si>
  <si>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</si>
  <si>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</si>
  <si>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</si>
  <si>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</si>
  <si>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</si>
  <si>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</si>
  <si>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</si>
  <si>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</si>
  <si>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</si>
  <si>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</si>
  <si>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</si>
  <si>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</si>
  <si>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</si>
  <si>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</si>
  <si>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</si>
  <si>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</si>
  <si>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</si>
  <si>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</si>
  <si>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</si>
  <si>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</si>
  <si>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</si>
  <si>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</si>
  <si>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</si>
  <si>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</si>
  <si>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</si>
  <si>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</si>
  <si>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</si>
  <si>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</si>
  <si>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</si>
  <si>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</si>
  <si>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</si>
  <si>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</si>
  <si>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</si>
  <si>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</si>
  <si>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</si>
  <si>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</si>
  <si>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</si>
  <si>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</si>
  <si>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</si>
  <si>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</si>
  <si>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</si>
  <si>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</si>
  <si>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</si>
  <si>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</si>
  <si>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</si>
  <si>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</si>
  <si>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</si>
  <si>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</si>
  <si>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</si>
  <si>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</si>
  <si>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</si>
  <si>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</si>
  <si>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</si>
  <si>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</si>
  <si>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</si>
  <si>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</si>
  <si>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</si>
  <si>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</si>
  <si>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</si>
  <si>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</si>
  <si>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</si>
  <si>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</si>
  <si>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</si>
  <si>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</si>
  <si>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</si>
  <si>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</si>
  <si>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</si>
  <si>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</si>
  <si>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</si>
  <si>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</si>
  <si>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</si>
  <si>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</si>
  <si>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</si>
  <si>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</si>
  <si>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</si>
  <si>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</si>
  <si>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</si>
  <si>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</si>
  <si>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</si>
  <si>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</si>
  <si>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</si>
  <si>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</si>
  <si>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</si>
  <si>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</si>
  <si>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</si>
  <si>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</si>
  <si>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</si>
  <si>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</si>
  <si>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</si>
  <si>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</si>
  <si>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</si>
  <si>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</si>
  <si>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</si>
  <si>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</si>
  <si>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</si>
  <si>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</si>
  <si>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</si>
  <si>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</si>
  <si>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</si>
  <si>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</si>
  <si>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</si>
  <si>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</si>
  <si>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</si>
  <si>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</si>
  <si>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</si>
  <si>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</si>
  <si>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</si>
  <si>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</si>
  <si>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</si>
  <si>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</si>
  <si>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</si>
  <si>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</si>
  <si>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</si>
  <si>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</si>
  <si>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</si>
  <si>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</si>
  <si>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</si>
  <si>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</si>
  <si>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</si>
  <si>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</si>
  <si>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</si>
  <si>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</si>
  <si>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</si>
  <si>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</si>
  <si>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</si>
  <si>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</si>
  <si>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</si>
  <si>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</si>
  <si>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</si>
  <si>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</si>
  <si>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</si>
  <si>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</si>
  <si>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</si>
  <si>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</si>
  <si>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</si>
  <si>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</si>
  <si>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</si>
  <si>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</si>
  <si>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</si>
  <si>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</si>
  <si>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</si>
  <si>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</si>
  <si>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</si>
  <si>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</si>
  <si>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</si>
  <si>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</si>
  <si>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</si>
  <si>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</si>
  <si>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</si>
  <si>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</si>
  <si>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</si>
  <si>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</si>
  <si>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</si>
  <si>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</si>
  <si>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</si>
  <si>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</si>
  <si>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</si>
  <si>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</si>
  <si>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</si>
  <si>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</si>
  <si>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</si>
  <si>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</si>
  <si>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</si>
  <si>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</si>
  <si>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</si>
  <si>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</si>
  <si>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</si>
  <si>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</si>
  <si>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</si>
  <si>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</si>
  <si>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</si>
  <si>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</si>
  <si>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</si>
  <si>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</si>
  <si>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</si>
  <si>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</si>
  <si>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</si>
  <si>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</si>
  <si>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</si>
  <si>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</si>
  <si>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</si>
  <si>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</si>
  <si>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</si>
  <si>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</si>
  <si>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</si>
  <si>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</si>
  <si>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</si>
  <si>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</si>
  <si>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</si>
  <si>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</si>
  <si>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</si>
  <si>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</si>
  <si>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</si>
  <si>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</si>
  <si>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</si>
  <si>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</si>
  <si>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</si>
  <si>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</si>
  <si>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</si>
  <si>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</si>
  <si>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</si>
  <si>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</si>
  <si>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</si>
  <si>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</si>
  <si>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</si>
  <si>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</si>
  <si>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</si>
  <si>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</si>
  <si>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</si>
  <si>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</si>
  <si>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</si>
  <si>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</si>
  <si>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</si>
  <si>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</si>
  <si>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</si>
  <si>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</si>
  <si>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</si>
  <si>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</si>
  <si>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</si>
  <si>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</si>
  <si>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</si>
  <si>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</si>
  <si>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</si>
  <si>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</si>
  <si>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</si>
  <si>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</si>
  <si>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</si>
  <si>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</si>
  <si>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</si>
  <si>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</si>
  <si>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</si>
  <si>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</si>
  <si>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</si>
  <si>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</si>
  <si>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</si>
  <si>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</si>
  <si>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</si>
  <si>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</si>
  <si>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</si>
  <si>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</si>
  <si>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</si>
  <si>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</si>
  <si>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</si>
  <si>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</si>
  <si>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</si>
  <si>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</si>
  <si>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</si>
  <si>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</si>
  <si>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</si>
  <si>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</si>
  <si>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</si>
  <si>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</si>
  <si>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</si>
  <si>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</si>
  <si>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</si>
  <si>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</si>
  <si>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</si>
  <si>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</si>
  <si>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</si>
  <si>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</si>
  <si>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</si>
  <si>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</si>
  <si>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</si>
  <si>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</si>
  <si>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</si>
  <si>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</si>
  <si>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</si>
  <si>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</si>
  <si>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</si>
  <si>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</si>
  <si>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</si>
  <si>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</si>
  <si>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</si>
  <si>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</si>
  <si>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</si>
  <si>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</si>
  <si>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</si>
  <si>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</si>
  <si>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</si>
  <si>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</si>
  <si>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</si>
  <si>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</si>
  <si>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</si>
  <si>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</si>
  <si>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</si>
  <si>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</si>
  <si>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</si>
  <si>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</si>
  <si>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</si>
  <si>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</si>
  <si>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</si>
  <si>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</si>
  <si>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</si>
  <si>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</si>
  <si>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</si>
  <si>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</si>
  <si>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</si>
  <si>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</si>
  <si>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</si>
  <si>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</si>
  <si>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</si>
  <si>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</si>
  <si>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</si>
  <si>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</si>
  <si>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</si>
  <si>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</si>
  <si>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</si>
  <si>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</si>
  <si>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</si>
  <si>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</si>
  <si>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</si>
  <si>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</si>
  <si>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</si>
  <si>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</si>
  <si>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</si>
  <si>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</si>
  <si>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</si>
  <si>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</si>
  <si>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</si>
  <si>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</si>
  <si>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</si>
  <si>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</si>
  <si>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</si>
  <si>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</si>
  <si>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</si>
  <si>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</si>
  <si>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</si>
  <si>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</si>
  <si>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</si>
  <si>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</si>
  <si>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</si>
  <si>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</si>
  <si>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</si>
  <si>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</si>
  <si>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</si>
  <si>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</si>
  <si>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</si>
  <si>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</si>
  <si>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</si>
  <si>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</si>
  <si>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</si>
  <si>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</si>
  <si>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</si>
  <si>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</si>
  <si>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</si>
  <si>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</si>
  <si>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</si>
  <si>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</si>
  <si>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</si>
  <si>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</si>
  <si>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</si>
  <si>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</si>
  <si>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</si>
  <si>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</si>
  <si>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</si>
  <si>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</si>
  <si>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</si>
  <si>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</si>
  <si>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</si>
  <si>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</si>
  <si>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</si>
  <si>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</si>
  <si>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</si>
  <si>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</si>
  <si>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</si>
  <si>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</si>
  <si>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</si>
  <si>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</si>
  <si>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</si>
  <si>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</si>
  <si>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</si>
  <si>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</si>
  <si>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</si>
  <si>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</si>
  <si>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</si>
  <si>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</si>
  <si>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</si>
  <si>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</si>
  <si>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</si>
  <si>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</si>
  <si>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</si>
  <si>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</si>
  <si>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</si>
  <si>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</si>
  <si>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</si>
  <si>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</si>
  <si>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</si>
  <si>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</si>
  <si>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</si>
  <si>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</si>
  <si>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</si>
  <si>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</si>
  <si>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</si>
  <si>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</si>
  <si>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</si>
  <si>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</si>
  <si>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</si>
  <si>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</si>
  <si>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</si>
  <si>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</si>
  <si>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</si>
  <si>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</si>
  <si>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</si>
  <si>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</si>
  <si>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</si>
  <si>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</si>
  <si>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</si>
  <si>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</si>
  <si>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</si>
  <si>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</si>
  <si>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</si>
  <si>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</si>
  <si>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</si>
  <si>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</si>
  <si>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</si>
  <si>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</si>
  <si>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</si>
  <si>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</si>
  <si>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</si>
  <si>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</si>
  <si>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</si>
  <si>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</si>
  <si>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</si>
  <si>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</si>
  <si>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</si>
  <si>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</si>
  <si>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</si>
  <si>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</si>
  <si>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</si>
  <si>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</si>
  <si>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</si>
  <si>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</si>
  <si>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</si>
  <si>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</si>
  <si>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</si>
  <si>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</si>
  <si>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</si>
  <si>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</si>
  <si>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</si>
  <si>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</si>
  <si>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</si>
  <si>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</si>
  <si>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</si>
  <si>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</si>
  <si>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</si>
  <si>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</si>
  <si>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</si>
  <si>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</si>
  <si>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</si>
  <si>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</si>
  <si>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</si>
  <si>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</si>
  <si>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</si>
  <si>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</si>
  <si>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</si>
  <si>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</si>
  <si>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</si>
  <si>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</si>
  <si>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</si>
  <si>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</si>
  <si>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</si>
  <si>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</si>
  <si>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</si>
  <si>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</si>
  <si>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</si>
  <si>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</si>
  <si>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</si>
  <si>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</si>
  <si>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</si>
  <si>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</si>
  <si>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</si>
  <si>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</si>
  <si>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</si>
  <si>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</si>
  <si>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</si>
  <si>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</si>
  <si>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</si>
  <si>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</si>
  <si>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</si>
  <si>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</si>
  <si>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</si>
  <si>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</si>
  <si>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</si>
  <si>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</si>
  <si>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</si>
  <si>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</si>
  <si>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</si>
  <si>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</si>
  <si>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</si>
  <si>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</si>
  <si>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</si>
  <si>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</si>
  <si>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</si>
  <si>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</si>
  <si>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</si>
  <si>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</si>
  <si>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</si>
  <si>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</si>
  <si>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</si>
  <si>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</si>
  <si>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</si>
  <si>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</si>
  <si>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</si>
  <si>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</si>
  <si>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</si>
  <si>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</si>
  <si>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</si>
  <si>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</si>
  <si>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</si>
  <si>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</si>
  <si>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</si>
  <si>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</si>
  <si>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</si>
  <si>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</si>
  <si>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</si>
  <si>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</si>
  <si>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</si>
  <si>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</si>
  <si>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</si>
  <si>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</si>
  <si>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</si>
  <si>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</si>
  <si>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</si>
  <si>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</si>
  <si>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</si>
  <si>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</si>
  <si>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</si>
  <si>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</si>
  <si>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</si>
  <si>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</si>
  <si>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</si>
  <si>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</si>
  <si>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</si>
  <si>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</si>
  <si>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</si>
  <si>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</si>
  <si>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</si>
  <si>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</si>
  <si>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</si>
  <si>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</si>
  <si>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</si>
  <si>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</si>
  <si>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</si>
  <si>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</si>
  <si>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</si>
  <si>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</si>
  <si>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</si>
  <si>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</si>
  <si>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</si>
  <si>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</si>
  <si>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</si>
  <si>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</si>
  <si>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</si>
  <si>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</si>
  <si>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</si>
  <si>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</si>
  <si>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</si>
  <si>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</si>
  <si>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</si>
  <si>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</si>
  <si>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</si>
  <si>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</si>
  <si>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</si>
  <si>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</si>
  <si>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בנק מזרחי</t>
  </si>
  <si>
    <t>20-444</t>
  </si>
  <si>
    <t>AAA</t>
  </si>
  <si>
    <t>AUD</t>
  </si>
  <si>
    <t>EUR</t>
  </si>
  <si>
    <t>HKD</t>
  </si>
  <si>
    <t>USD</t>
  </si>
  <si>
    <t>GBP</t>
  </si>
  <si>
    <t>ILS</t>
  </si>
  <si>
    <t>בנק לאומי לישראל בע"מ</t>
  </si>
  <si>
    <t>10-800</t>
  </si>
  <si>
    <t>20-44</t>
  </si>
  <si>
    <t>SGD</t>
  </si>
  <si>
    <t>בנק ישראל- מק"מ</t>
  </si>
  <si>
    <t>מ.ק.מ. 1215</t>
  </si>
  <si>
    <t>IL0082512174</t>
  </si>
  <si>
    <t>TASE </t>
  </si>
  <si>
    <t>RF</t>
  </si>
  <si>
    <t>03/12/2025</t>
  </si>
  <si>
    <t>מ.ק.מ. 915</t>
  </si>
  <si>
    <t>IL0082509121</t>
  </si>
  <si>
    <t>03/09/2025</t>
  </si>
  <si>
    <t>מלווה קצר מועד 1015</t>
  </si>
  <si>
    <t>IL0082510194</t>
  </si>
  <si>
    <t>01/10/2025</t>
  </si>
  <si>
    <t>מלווה קצר מועד 1115</t>
  </si>
  <si>
    <t>IL0082511184</t>
  </si>
  <si>
    <t>05/11/2025</t>
  </si>
  <si>
    <t>מלווה קצר מועד 116</t>
  </si>
  <si>
    <t>IL0082601191</t>
  </si>
  <si>
    <t>07/01/2026</t>
  </si>
  <si>
    <t>מלווה קצר מועד 416</t>
  </si>
  <si>
    <t>IL0082604161</t>
  </si>
  <si>
    <t>01/04/2026</t>
  </si>
  <si>
    <t>מלווה קצר מועד 616</t>
  </si>
  <si>
    <t>IL0082606141</t>
  </si>
  <si>
    <t>03/06/2026</t>
  </si>
  <si>
    <t>מלווה קצר מועד 715</t>
  </si>
  <si>
    <t>IL0082507141</t>
  </si>
  <si>
    <t>02/07/2025</t>
  </si>
  <si>
    <t>גליל</t>
  </si>
  <si>
    <t>ממשל צמודה 0527</t>
  </si>
  <si>
    <t>IL0011408478</t>
  </si>
  <si>
    <t>31/05/2027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</si>
  <si>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</si>
  <si>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</si>
  <si>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</si>
  <si>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</si>
  <si>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</si>
  <si>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</si>
  <si>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ממשל צמודה0431</t>
  </si>
  <si>
    <t>IL0012207226</t>
  </si>
  <si>
    <t>30/04/2031</t>
  </si>
  <si>
    <t>ממשל קצרה</t>
  </si>
  <si>
    <t>ממשל קצרה 0226</t>
  </si>
  <si>
    <t>IL0012194689</t>
  </si>
  <si>
    <t>27/02/2026</t>
  </si>
  <si>
    <t>ממשל קצרה 08/25</t>
  </si>
  <si>
    <t>IL0012118381</t>
  </si>
  <si>
    <t>31/08/2025</t>
  </si>
  <si>
    <t>ממשל קצרה 11/25</t>
  </si>
  <si>
    <t>IL0012153263</t>
  </si>
  <si>
    <t>30/11/2025</t>
  </si>
  <si>
    <t>שחר</t>
  </si>
  <si>
    <t>ממשל שיקלית 0928</t>
  </si>
  <si>
    <t>IL0011508798</t>
  </si>
  <si>
    <t>28/09/2028</t>
  </si>
  <si>
    <t>ממשל שקלית  0927</t>
  </si>
  <si>
    <t>IL0012035791</t>
  </si>
  <si>
    <t>30/09/2027</t>
  </si>
  <si>
    <t>ממשל שקלית 0226</t>
  </si>
  <si>
    <t>IL0011746976</t>
  </si>
  <si>
    <t>ממשל שקלית 0327</t>
  </si>
  <si>
    <t>IL0011393449</t>
  </si>
  <si>
    <t>31/03/2027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</si>
  <si>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</si>
  <si>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</si>
  <si>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</si>
  <si>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</si>
  <si>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</si>
  <si>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</si>
  <si>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 שקלית 0825</t>
  </si>
  <si>
    <t>IL0011355570</t>
  </si>
  <si>
    <t>ממשל שקלית 11/52 2.8%</t>
  </si>
  <si>
    <t>IL0011840761</t>
  </si>
  <si>
    <t>29/11/2052</t>
  </si>
  <si>
    <t>ממשל שקלית 4.60% 8/29</t>
  </si>
  <si>
    <t>IL0012128935</t>
  </si>
  <si>
    <t>31/08/2029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</si>
  <si>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</si>
  <si>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</si>
  <si>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</si>
  <si>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</si>
  <si>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</si>
  <si>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</si>
  <si>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</si>
  <si>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</si>
  <si>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</si>
  <si>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</si>
  <si>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</si>
  <si>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</si>
  <si>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צמודה 1.6% 1033</t>
  </si>
  <si>
    <t>IL0012043795</t>
  </si>
  <si>
    <t>31/10/2033</t>
  </si>
  <si>
    <t>ממשלתית שקלית 0537</t>
  </si>
  <si>
    <t>IL0011661803</t>
  </si>
  <si>
    <t>31/05/2037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</si>
  <si>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</si>
  <si>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</si>
  <si>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</si>
  <si>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</si>
  <si>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</si>
  <si>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</si>
  <si>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מקמ       216</t>
  </si>
  <si>
    <t>IL0082602181</t>
  </si>
  <si>
    <t>04/02/2026</t>
  </si>
  <si>
    <t>מקמ       316</t>
  </si>
  <si>
    <t>IL0082603171</t>
  </si>
  <si>
    <t>04/03/2026</t>
  </si>
  <si>
    <t>מקמ       516</t>
  </si>
  <si>
    <t>IL0082605150</t>
  </si>
  <si>
    <t>06/05/2026</t>
  </si>
  <si>
    <t>מקמ 815</t>
  </si>
  <si>
    <t>IL0082508131</t>
  </si>
  <si>
    <t>06/08/2025</t>
  </si>
  <si>
    <t>(לא פעיל) Treasury Bill</t>
  </si>
  <si>
    <t>.U S TREASURY 4</t>
  </si>
  <si>
    <t>US912810QD37</t>
  </si>
  <si>
    <t>AA+</t>
  </si>
  <si>
    <t>15/11/2039</t>
  </si>
  <si>
    <t>US TREASURY Bills</t>
  </si>
  <si>
    <t>11/15/45 US TREASURY N/B</t>
  </si>
  <si>
    <t>US912810RP57</t>
  </si>
  <si>
    <t>15/11/2045</t>
  </si>
  <si>
    <t>US Govt</t>
  </si>
  <si>
    <t>B 0 05/08/25</t>
  </si>
  <si>
    <t>US912797QH30</t>
  </si>
  <si>
    <t>05/08/2025</t>
  </si>
  <si>
    <t>B O 18/9/25</t>
  </si>
  <si>
    <t>US912797PX98</t>
  </si>
  <si>
    <t>18/09/2025</t>
  </si>
  <si>
    <t>מדינת ישראל</t>
  </si>
  <si>
    <t>ISRAEL 5 10/26</t>
  </si>
  <si>
    <t>XS2711443932</t>
  </si>
  <si>
    <t>Baa1</t>
  </si>
  <si>
    <t>30/10/2026</t>
  </si>
  <si>
    <t>ISRAEL 5 5/8 02</t>
  </si>
  <si>
    <t>US46514Y8B63</t>
  </si>
  <si>
    <t>19/02/2035</t>
  </si>
  <si>
    <t>ISRAEL 5.375 03</t>
  </si>
  <si>
    <t>US46514BRN90</t>
  </si>
  <si>
    <t>12/03/2029</t>
  </si>
  <si>
    <t>ISRAEL 5.5 03/3</t>
  </si>
  <si>
    <t>US46514BRL35</t>
  </si>
  <si>
    <t>12/03/2034</t>
  </si>
  <si>
    <t>ISRAEL 5.75</t>
  </si>
  <si>
    <t>US46514BRM18</t>
  </si>
  <si>
    <t>12/03/2054</t>
  </si>
  <si>
    <t>ממשל דואלית</t>
  </si>
  <si>
    <t>ISRAEL GOV 1.5</t>
  </si>
  <si>
    <t>XS1551294256</t>
  </si>
  <si>
    <t>18/01/2027</t>
  </si>
  <si>
    <t>T 1.125 05/15/40</t>
  </si>
  <si>
    <t>US912810SR05</t>
  </si>
  <si>
    <t>15/05/2040</t>
  </si>
  <si>
    <t>T 1.125 08/15/4</t>
  </si>
  <si>
    <t>US912810SQ22</t>
  </si>
  <si>
    <t>15/08/2040</t>
  </si>
  <si>
    <t>T 1.625 15/5/31</t>
  </si>
  <si>
    <t>US91282CCB54</t>
  </si>
  <si>
    <t>15/05/2031</t>
  </si>
  <si>
    <t>T 2 1/2 02/15/45</t>
  </si>
  <si>
    <t>US912810RK60</t>
  </si>
  <si>
    <t>15/02/2045</t>
  </si>
  <si>
    <t>T 2 11/41</t>
  </si>
  <si>
    <t>US912810TC27</t>
  </si>
  <si>
    <t>15/11/2041</t>
  </si>
  <si>
    <t>T 2.375 15/02/42</t>
  </si>
  <si>
    <t>US912810TF57</t>
  </si>
  <si>
    <t>15/02/2042</t>
  </si>
  <si>
    <t>T 3.25 15/05/42</t>
  </si>
  <si>
    <t>US912810TH14</t>
  </si>
  <si>
    <t>15/05/2042</t>
  </si>
  <si>
    <t>T 3.375 15/05/44</t>
  </si>
  <si>
    <t>US912810RG58</t>
  </si>
  <si>
    <t>15/05/2044</t>
  </si>
  <si>
    <t>T 3.5 15/2/39</t>
  </si>
  <si>
    <t>US912810QA97</t>
  </si>
  <si>
    <t>15/02/2039</t>
  </si>
  <si>
    <t>T 3.625 02/15/4</t>
  </si>
  <si>
    <t>US912810RE01</t>
  </si>
  <si>
    <t>15/02/2044</t>
  </si>
  <si>
    <t>T 3.875 08/15/3</t>
  </si>
  <si>
    <t>US91282CHT18</t>
  </si>
  <si>
    <t>15/08/2033</t>
  </si>
  <si>
    <t>T 4.25 15/11/2025</t>
  </si>
  <si>
    <t>US91282CLW90</t>
  </si>
  <si>
    <t>15/11/2034</t>
  </si>
  <si>
    <t>T BILL 09/09/25</t>
  </si>
  <si>
    <t>US912797QT77</t>
  </si>
  <si>
    <t>09/09/2025</t>
  </si>
  <si>
    <t>T0.375 11/25</t>
  </si>
  <si>
    <t>us91282caz41</t>
  </si>
  <si>
    <t>(לא פעיל) US TREASURY N/B</t>
  </si>
  <si>
    <t>T2.875 5/32</t>
  </si>
  <si>
    <t>US91282CEP23</t>
  </si>
  <si>
    <t>15/05/2032</t>
  </si>
  <si>
    <t>T3.875 08/2034</t>
  </si>
  <si>
    <t>US91282CLF67</t>
  </si>
  <si>
    <t>15/08/2034</t>
  </si>
  <si>
    <t>TREAS 2.875 15/05/2043</t>
  </si>
  <si>
    <t>US912810RB61</t>
  </si>
  <si>
    <t>15/05/2043</t>
  </si>
  <si>
    <t>Treasury 09/02/25</t>
  </si>
  <si>
    <t>US912797QM25</t>
  </si>
  <si>
    <t>02/09/2025</t>
  </si>
  <si>
    <t>US T 23/10/25</t>
  </si>
  <si>
    <t>US912797QG56</t>
  </si>
  <si>
    <t>23/10/2025</t>
  </si>
  <si>
    <t>US T 3 10/35</t>
  </si>
  <si>
    <t>US9128285J52</t>
  </si>
  <si>
    <t>US TR 4.7 02/37</t>
  </si>
  <si>
    <t>US912810PT97</t>
  </si>
  <si>
    <t>15/02/2037</t>
  </si>
  <si>
    <t>US TREASURY 1.3</t>
  </si>
  <si>
    <t>US912810SP49</t>
  </si>
  <si>
    <t>15/08/2050</t>
  </si>
  <si>
    <t>US TREASURY 1.875 02/15/32</t>
  </si>
  <si>
    <t>US91282CDY49</t>
  </si>
  <si>
    <t>15/02/2032</t>
  </si>
  <si>
    <t>US TREASURY 2.7</t>
  </si>
  <si>
    <t>US912810QY73</t>
  </si>
  <si>
    <t>15/11/2042</t>
  </si>
  <si>
    <t>US TREASURY 3 15/11/44</t>
  </si>
  <si>
    <t>US912810RJ97</t>
  </si>
  <si>
    <t>15/11/2044</t>
  </si>
  <si>
    <t>US TREASURY 3.5</t>
  </si>
  <si>
    <t>US91282CGM73</t>
  </si>
  <si>
    <t>15/02/2033</t>
  </si>
  <si>
    <t>US TREASURY N/B 2.875 08/45</t>
  </si>
  <si>
    <t>US912810RN00</t>
  </si>
  <si>
    <t>15/08/2045</t>
  </si>
  <si>
    <t>UST 3.125 8\44</t>
  </si>
  <si>
    <t>US912810RH32</t>
  </si>
  <si>
    <t>15/08/2044</t>
  </si>
  <si>
    <t>גילון חדש</t>
  </si>
  <si>
    <t>ממשלתי משתנה 1130</t>
  </si>
  <si>
    <t>IL0011665523</t>
  </si>
  <si>
    <t>29/11/2030</t>
  </si>
  <si>
    <t>ממשלתי צמודה 0536</t>
  </si>
  <si>
    <t>IL0010977085</t>
  </si>
  <si>
    <t>30/05/2036</t>
  </si>
  <si>
    <t>ממשלתית משתנה 05/26 0.0866%</t>
  </si>
  <si>
    <t>IL0011417958</t>
  </si>
  <si>
    <t>31/05/2026</t>
  </si>
  <si>
    <t>ISRAEL 3.25 01/</t>
  </si>
  <si>
    <t>US46513YJH27</t>
  </si>
  <si>
    <t>17/01/2028</t>
  </si>
  <si>
    <t>US TR 4.3 02/38</t>
  </si>
  <si>
    <t>US912810PW27</t>
  </si>
  <si>
    <t>15/02/2038</t>
  </si>
  <si>
    <t>ממשלתי צמוד 841</t>
  </si>
  <si>
    <t>IL0011205833</t>
  </si>
  <si>
    <t>30/08/2041</t>
  </si>
  <si>
    <t>דיסקונט מנפיקים בע"מ</t>
  </si>
  <si>
    <t>520029935</t>
  </si>
  <si>
    <t>ח.פ</t>
  </si>
  <si>
    <t>דיסק מנ מסחרי 4</t>
  </si>
  <si>
    <t>IL0012110776</t>
  </si>
  <si>
    <t>דיסק מנ מסחרי 5</t>
  </si>
  <si>
    <t>IL0012159468</t>
  </si>
  <si>
    <t>12/01/2026</t>
  </si>
  <si>
    <t>520018078</t>
  </si>
  <si>
    <t>לאומי מסחרי 6</t>
  </si>
  <si>
    <t>IL0012111436</t>
  </si>
  <si>
    <t>לאומי מסחרי 7</t>
  </si>
  <si>
    <t>IL0012164153</t>
  </si>
  <si>
    <t>23/01/2026</t>
  </si>
  <si>
    <t>מגה אור החזקות בע"מ</t>
  </si>
  <si>
    <t>513257873</t>
  </si>
  <si>
    <t>מגה אור מסחרי 5</t>
  </si>
  <si>
    <t>IL0012088758</t>
  </si>
  <si>
    <t>A+</t>
  </si>
  <si>
    <t>15/07/2025</t>
  </si>
  <si>
    <t>אבגול תעשיות 1953 בע"מ</t>
  </si>
  <si>
    <t>510119068</t>
  </si>
  <si>
    <t>אבגול אג"ח ד' 5</t>
  </si>
  <si>
    <t>IL0011404170</t>
  </si>
  <si>
    <t>31/12/2025</t>
  </si>
  <si>
    <t>אבו פמילי ריט בע"מ</t>
  </si>
  <si>
    <t>516456084</t>
  </si>
  <si>
    <t>אבו פמילי אגח א</t>
  </si>
  <si>
    <t>IL0012097908</t>
  </si>
  <si>
    <t>01/09/2028</t>
  </si>
  <si>
    <t>קבוצת אורון אחזקות והשקעות בע"מ</t>
  </si>
  <si>
    <t>513432765</t>
  </si>
  <si>
    <t>אורון קב אגח ג חסום מחוג 05/11/25</t>
  </si>
  <si>
    <t>IL0011977639</t>
  </si>
  <si>
    <t>30/06/2029</t>
  </si>
  <si>
    <t>אורון קב אגח ג חסום עד 20/01/25</t>
  </si>
  <si>
    <t>אוריין ש.מ. בע"מ</t>
  </si>
  <si>
    <t>511068256</t>
  </si>
  <si>
    <t>אוריין אגח ב</t>
  </si>
  <si>
    <t>IL0011433799</t>
  </si>
  <si>
    <t>A-</t>
  </si>
  <si>
    <t>31/12/2026</t>
  </si>
  <si>
    <t>אזורים-חברה להשקעות בפתוח ובבנין בע"מ</t>
  </si>
  <si>
    <t>520025990</t>
  </si>
  <si>
    <t>אזורים אגח 16</t>
  </si>
  <si>
    <t>IL0012234865</t>
  </si>
  <si>
    <t>A1</t>
  </si>
  <si>
    <t>30/06/2032</t>
  </si>
  <si>
    <t>איי.די.איי. הנפקות (2010) בע"מ</t>
  </si>
  <si>
    <t>514486042</t>
  </si>
  <si>
    <t>איידיאיי הנפקות התחייבות ה</t>
  </si>
  <si>
    <t>IL0011558785</t>
  </si>
  <si>
    <t>A2</t>
  </si>
  <si>
    <t>16/11/2025</t>
  </si>
  <si>
    <t>איי.סי.אל גרופ בע"מ (דואלי)</t>
  </si>
  <si>
    <t>520027830</t>
  </si>
  <si>
    <t>אייסיאל   אגח ז</t>
  </si>
  <si>
    <t>IL0028103724</t>
  </si>
  <si>
    <t>AA</t>
  </si>
  <si>
    <t>30/12/2034</t>
  </si>
  <si>
    <t>איירפורט סיטי בע"מ</t>
  </si>
  <si>
    <t>511659401</t>
  </si>
  <si>
    <t>איירפורט אגח ה</t>
  </si>
  <si>
    <t>IL0011334872</t>
  </si>
  <si>
    <t>28/02/2029</t>
  </si>
  <si>
    <t>איסתא בע"מ</t>
  </si>
  <si>
    <t>520042763</t>
  </si>
  <si>
    <t>איסתא אגח א להמרה</t>
  </si>
  <si>
    <t>IL0011971285</t>
  </si>
  <si>
    <t>30/06/2028</t>
  </si>
  <si>
    <t>אלביט מערכות בע"מ</t>
  </si>
  <si>
    <t>520043027</t>
  </si>
  <si>
    <t>אלביט מערכות ב' 1.08%</t>
  </si>
  <si>
    <t>IL0011782351</t>
  </si>
  <si>
    <t>01/07/2029</t>
  </si>
  <si>
    <t>אלבר שירותי מימונית בע"מ</t>
  </si>
  <si>
    <t>512025891</t>
  </si>
  <si>
    <t>אלבר אג"ח יח</t>
  </si>
  <si>
    <t>IL0011587404</t>
  </si>
  <si>
    <t>13/01/2027</t>
  </si>
  <si>
    <t>אלדן תחבורה בע"מ</t>
  </si>
  <si>
    <t>510454333</t>
  </si>
  <si>
    <t>אלדן אגח ו</t>
  </si>
  <si>
    <t>IL0011616781</t>
  </si>
  <si>
    <t>30/12/2026</t>
  </si>
  <si>
    <t>אלומה קרן תשתיות (2020) בע"מ</t>
  </si>
  <si>
    <t>516214871</t>
  </si>
  <si>
    <t>אלומה אגח ב</t>
  </si>
  <si>
    <t>IL0012194432</t>
  </si>
  <si>
    <t>31/12/2030</t>
  </si>
  <si>
    <t>אלומיי קפיטל בע"מ</t>
  </si>
  <si>
    <t>520039868</t>
  </si>
  <si>
    <t>אלומיי אגח ה</t>
  </si>
  <si>
    <t>IL0011932758</t>
  </si>
  <si>
    <t>01/04/2029</t>
  </si>
  <si>
    <t>אלומיי אגח ז</t>
  </si>
  <si>
    <t>IL0012175381</t>
  </si>
  <si>
    <t>31/12/2032</t>
  </si>
  <si>
    <t>אלון רבוע כחול ישראל בעמ</t>
  </si>
  <si>
    <t>520042847</t>
  </si>
  <si>
    <t>אלון רבוע כחול אגח ו</t>
  </si>
  <si>
    <t>IL0011691271</t>
  </si>
  <si>
    <t>AA-</t>
  </si>
  <si>
    <t>30/09/2026</t>
  </si>
  <si>
    <t>אלוני-חץ נכסים והשקעות בע"מ</t>
  </si>
  <si>
    <t>520038506</t>
  </si>
  <si>
    <t>אלוני חץ  אגח ט</t>
  </si>
  <si>
    <t>IL0039003541</t>
  </si>
  <si>
    <t>28/02/2027</t>
  </si>
  <si>
    <t>אלוני חץ אגח י</t>
  </si>
  <si>
    <t>IL0039003624</t>
  </si>
  <si>
    <t>אלמוג (כ.ד.א.י.) בע"מ</t>
  </si>
  <si>
    <t>511229676</t>
  </si>
  <si>
    <t>אלמוג (כ.ד.א.י) אגח א</t>
  </si>
  <si>
    <t>IL0012233206</t>
  </si>
  <si>
    <t>31/12/2028</t>
  </si>
  <si>
    <t>אלמוגים החזקות בע"מ</t>
  </si>
  <si>
    <t>513988824</t>
  </si>
  <si>
    <t>אלמוגים אגח י'</t>
  </si>
  <si>
    <t>IL0012016155</t>
  </si>
  <si>
    <t>30/06/2026</t>
  </si>
  <si>
    <t>אלקטרה בע"מ</t>
  </si>
  <si>
    <t>520028911</t>
  </si>
  <si>
    <t>אלקטרה    אגח ד</t>
  </si>
  <si>
    <t>IL0073901493</t>
  </si>
  <si>
    <t>אמ.די.ג'י. ריאל אסטייט גלובל לימיטד</t>
  </si>
  <si>
    <t>1840550</t>
  </si>
  <si>
    <t>אמ.די.ג'י אגח ז</t>
  </si>
  <si>
    <t>IL0012091703</t>
  </si>
  <si>
    <t>A3</t>
  </si>
  <si>
    <t>31/12/2027</t>
  </si>
  <si>
    <t>אמ.די.ג'י אגח י</t>
  </si>
  <si>
    <t>IL0012180233</t>
  </si>
  <si>
    <t>28/02/2028</t>
  </si>
  <si>
    <t>אמות השקעות בע"מ</t>
  </si>
  <si>
    <t>520026683</t>
  </si>
  <si>
    <t>אמות אגח ה</t>
  </si>
  <si>
    <t>IL0011381147</t>
  </si>
  <si>
    <t>04/01/2026</t>
  </si>
  <si>
    <t>אמות אגח י</t>
  </si>
  <si>
    <t>IL0012050048</t>
  </si>
  <si>
    <t>05/01/2037</t>
  </si>
  <si>
    <t>אנלייט אנרגיה מתחדשת בע"מ</t>
  </si>
  <si>
    <t>520041146</t>
  </si>
  <si>
    <t>אנלייט אנר אגח ו</t>
  </si>
  <si>
    <t>IL0072001733</t>
  </si>
  <si>
    <t>01/09/2026</t>
  </si>
  <si>
    <t>אנלייט אנרגיה אגח ג</t>
  </si>
  <si>
    <t>IL0072002491</t>
  </si>
  <si>
    <t>אנקור פרופרטיס,לימיטד</t>
  </si>
  <si>
    <t>1939883</t>
  </si>
  <si>
    <t>אנקור פרופ אגח ד</t>
  </si>
  <si>
    <t>IL0012044033</t>
  </si>
  <si>
    <t>A</t>
  </si>
  <si>
    <t>15/07/2026</t>
  </si>
  <si>
    <t>אנרג'יקס אנרגיות מתחדשות בע"מ</t>
  </si>
  <si>
    <t>513901371</t>
  </si>
  <si>
    <t>אנרג'יקס ב 0.25%</t>
  </si>
  <si>
    <t>IL0011684839</t>
  </si>
  <si>
    <t>01/08/2027</t>
  </si>
  <si>
    <t>אפי נכסים בע"מ</t>
  </si>
  <si>
    <t>510560188</t>
  </si>
  <si>
    <t>אפי נכסים אגח יב</t>
  </si>
  <si>
    <t>IL0011737645</t>
  </si>
  <si>
    <t>15/09/2027</t>
  </si>
  <si>
    <t>אפי קפיטל נדל"ן בע"מ</t>
  </si>
  <si>
    <t>513948216</t>
  </si>
  <si>
    <t>אפי קפיטל אגח ג</t>
  </si>
  <si>
    <t>IL0011997447</t>
  </si>
  <si>
    <t>30/06/2027</t>
  </si>
  <si>
    <t>אפי קפיטל אגח ד</t>
  </si>
  <si>
    <t>IL0012124892</t>
  </si>
  <si>
    <t>אפי קפיטל אגח ה</t>
  </si>
  <si>
    <t>IL0012174210</t>
  </si>
  <si>
    <t>31/12/2029</t>
  </si>
  <si>
    <t>אקויטל בע"מ</t>
  </si>
  <si>
    <t>520030859</t>
  </si>
  <si>
    <t>אקויטל אגח 3</t>
  </si>
  <si>
    <t>IL0075501481</t>
  </si>
  <si>
    <t>25/07/2034</t>
  </si>
  <si>
    <t>אקונרג'י אנרגיה מתחדשת בע"מ</t>
  </si>
  <si>
    <t>516339777</t>
  </si>
  <si>
    <t>אקונרג'י אגח להמרה א</t>
  </si>
  <si>
    <t>IL0011825184</t>
  </si>
  <si>
    <t>ארי נדל"ן(ארנה) השקעות בע"מ</t>
  </si>
  <si>
    <t>520038332</t>
  </si>
  <si>
    <t>ארי נדלן אגח א</t>
  </si>
  <si>
    <t>IL0036601560</t>
  </si>
  <si>
    <t>01/04/2027</t>
  </si>
  <si>
    <t>אשטרום נכסים בע"מ</t>
  </si>
  <si>
    <t>520036617</t>
  </si>
  <si>
    <t>אשטרום נכ אגח 11</t>
  </si>
  <si>
    <t>IL0025102380</t>
  </si>
  <si>
    <t>30/10/2028</t>
  </si>
  <si>
    <t>אשטרום נכ אגח 12</t>
  </si>
  <si>
    <t>IL0025102794</t>
  </si>
  <si>
    <t>קבוצת אשטרום</t>
  </si>
  <si>
    <t>510381601</t>
  </si>
  <si>
    <t>אשטרום קב אגח א</t>
  </si>
  <si>
    <t>IL0011323230</t>
  </si>
  <si>
    <t>10/11/2025</t>
  </si>
  <si>
    <t>בתי זקוק לנפט בע"מ</t>
  </si>
  <si>
    <t>520036658</t>
  </si>
  <si>
    <t>בזן  אגח ט</t>
  </si>
  <si>
    <t>IL0025904611</t>
  </si>
  <si>
    <t>30/09/2025</t>
  </si>
  <si>
    <t>בזק החברה הישראלית לתקשורת בע"מ</t>
  </si>
  <si>
    <t>520031931</t>
  </si>
  <si>
    <t>בזק אגח 10</t>
  </si>
  <si>
    <t>IL0023001840</t>
  </si>
  <si>
    <t>01/12/2025</t>
  </si>
  <si>
    <t>בזק אגח 9</t>
  </si>
  <si>
    <t>IL0023001766</t>
  </si>
  <si>
    <t>ביג מרכזי קניות (2004) בע"מ</t>
  </si>
  <si>
    <t>513623314</t>
  </si>
  <si>
    <t>ביג  אגח יג</t>
  </si>
  <si>
    <t>IL0011595167</t>
  </si>
  <si>
    <t>25/03/2029</t>
  </si>
  <si>
    <t>ביג  ח</t>
  </si>
  <si>
    <t>IL0011389249</t>
  </si>
  <si>
    <t>12/04/2026</t>
  </si>
  <si>
    <t>ביג אג"ח כ"א</t>
  </si>
  <si>
    <t>IL0012022179</t>
  </si>
  <si>
    <t>03/07/2030</t>
  </si>
  <si>
    <t>ביג אגח יד</t>
  </si>
  <si>
    <t>IL0011615122</t>
  </si>
  <si>
    <t>הבינלאומי הראשון הנפקות בע"מ</t>
  </si>
  <si>
    <t>513141879</t>
  </si>
  <si>
    <t>בינל הנפק אגח י</t>
  </si>
  <si>
    <t>IL0011602906</t>
  </si>
  <si>
    <t>10/09/2025</t>
  </si>
  <si>
    <t>בינל הנפקות אגח יב</t>
  </si>
  <si>
    <t>IL0011823858</t>
  </si>
  <si>
    <t>07/12/2027</t>
  </si>
  <si>
    <t>ב.גאון אחזקות בע"מ</t>
  </si>
  <si>
    <t>512623950</t>
  </si>
  <si>
    <t>גאון אחז אגח ה</t>
  </si>
  <si>
    <t>IL0012065640</t>
  </si>
  <si>
    <t>30/06/2030</t>
  </si>
  <si>
    <t>חברת גב-ים לקרקעות בע"מ</t>
  </si>
  <si>
    <t>520001736</t>
  </si>
  <si>
    <t>גב ים סד' ו'</t>
  </si>
  <si>
    <t>IL0075901285</t>
  </si>
  <si>
    <t>31/03/2026</t>
  </si>
  <si>
    <t>גבאי מניבים ופיתוח בע"מ</t>
  </si>
  <si>
    <t>520032178</t>
  </si>
  <si>
    <t>גבאי מניבים אגח י</t>
  </si>
  <si>
    <t>IL0077102395</t>
  </si>
  <si>
    <t>ג'י סיטי בע"מ</t>
  </si>
  <si>
    <t>520033234</t>
  </si>
  <si>
    <t>ג'י סיטי  אגח טז חסום מחוג 28/09/25</t>
  </si>
  <si>
    <t>IL0012607854</t>
  </si>
  <si>
    <t>ג'י סיטי  אגח יג</t>
  </si>
  <si>
    <t>IL0012606526</t>
  </si>
  <si>
    <t>ג'י סיטי אג יז</t>
  </si>
  <si>
    <t>IL0011981425</t>
  </si>
  <si>
    <t>ג'י סיטי אגח טו חסום מחוג 06/11/25</t>
  </si>
  <si>
    <t>IL0012607698</t>
  </si>
  <si>
    <t>31/03/2028</t>
  </si>
  <si>
    <t>ג'י סיטי אגח כ</t>
  </si>
  <si>
    <t>IL0012088675</t>
  </si>
  <si>
    <t>30/09/2030</t>
  </si>
  <si>
    <t>גירון פיתוח ובניה בע"מ</t>
  </si>
  <si>
    <t>520044520</t>
  </si>
  <si>
    <t>גירון אגח ו</t>
  </si>
  <si>
    <t>IL0011398497</t>
  </si>
  <si>
    <t>גמא ניהול וסליקה בע"מ</t>
  </si>
  <si>
    <t>512711789</t>
  </si>
  <si>
    <t>גמא אגח ב</t>
  </si>
  <si>
    <t>IL0011859332</t>
  </si>
  <si>
    <t>19/10/2025</t>
  </si>
  <si>
    <t>גמא אגח ד</t>
  </si>
  <si>
    <t>IL0012238411</t>
  </si>
  <si>
    <t>10/01/2030</t>
  </si>
  <si>
    <t>ZARASAI GROUP LTD</t>
  </si>
  <si>
    <t>1744984</t>
  </si>
  <si>
    <t>דה זראסאי אגח ה</t>
  </si>
  <si>
    <t>IL0011695561</t>
  </si>
  <si>
    <t>R/S</t>
  </si>
  <si>
    <t>דה לסר גרופ לימיטד</t>
  </si>
  <si>
    <t>1427976</t>
  </si>
  <si>
    <t>דה לסר אגח ח</t>
  </si>
  <si>
    <t>IL0011931925</t>
  </si>
  <si>
    <t>דור אלון אנרגיה בישראל (1988) בע"מ</t>
  </si>
  <si>
    <t>520043878</t>
  </si>
  <si>
    <t>דור אלון אגח ז</t>
  </si>
  <si>
    <t>IL0011577009</t>
  </si>
  <si>
    <t>קבוצת דוראל משאבי אנרגיה מתחדשת בעמ</t>
  </si>
  <si>
    <t>515364891</t>
  </si>
  <si>
    <t>דוראל אגח א</t>
  </si>
  <si>
    <t>IL0011791345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</si>
  <si>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</si>
  <si>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</si>
  <si>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</si>
  <si>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</si>
  <si>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</si>
  <si>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</si>
  <si>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דיסק מנ אגח יז</t>
  </si>
  <si>
    <t>IL0012159534</t>
  </si>
  <si>
    <t>חברת השקעות דיסקונט בע"מ</t>
  </si>
  <si>
    <t>520023896</t>
  </si>
  <si>
    <t>דיסקונט השקעות אגח ו</t>
  </si>
  <si>
    <t>IL0063902071</t>
  </si>
  <si>
    <t>BBB</t>
  </si>
  <si>
    <t>דיסקונט השקעות אגח י</t>
  </si>
  <si>
    <t>IL0063903483</t>
  </si>
  <si>
    <t>קבוצת דלק בע"מ</t>
  </si>
  <si>
    <t>520044322</t>
  </si>
  <si>
    <t>דלק קבוצה אגח לח</t>
  </si>
  <si>
    <t>IL0011995045</t>
  </si>
  <si>
    <t>31/10/2031</t>
  </si>
  <si>
    <t>דלק קבוצה אגח מ חסום מחוג 10/12/25</t>
  </si>
  <si>
    <t>IL0012173899</t>
  </si>
  <si>
    <t>30/06/2033</t>
  </si>
  <si>
    <t>חברת הכשרת הישוב בישראל בע"מ</t>
  </si>
  <si>
    <t>520020116</t>
  </si>
  <si>
    <t>הכשרת הישוב אגח 25</t>
  </si>
  <si>
    <t>IL0011915274</t>
  </si>
  <si>
    <t>הרץ פרופרטיס גרופ, לימיטד</t>
  </si>
  <si>
    <t>1957081</t>
  </si>
  <si>
    <t>הרץ פרופר אגח ב</t>
  </si>
  <si>
    <t>IL0011847535</t>
  </si>
  <si>
    <t>01/03/2026</t>
  </si>
  <si>
    <t>ויי בוקס נדלן בע"מ</t>
  </si>
  <si>
    <t>520038688</t>
  </si>
  <si>
    <t>וויי בוקס אגח ו</t>
  </si>
  <si>
    <t>IL0012148818</t>
  </si>
  <si>
    <t>החברה לישראל בע"מ</t>
  </si>
  <si>
    <t>520028010</t>
  </si>
  <si>
    <t>חברה לישראל אגח 12</t>
  </si>
  <si>
    <t>IL0057602513</t>
  </si>
  <si>
    <t xml:space="preserve">קבוצת חג'ג' ייזום נדל"ן בע"מ </t>
  </si>
  <si>
    <t>520033309</t>
  </si>
  <si>
    <t>חג'ג' אגח יא חסום מחוג 18/07/25</t>
  </si>
  <si>
    <t>IL0082303285</t>
  </si>
  <si>
    <t>01/07/2027</t>
  </si>
  <si>
    <t>יוניברסל מוטורס  ישראל בע"מ</t>
  </si>
  <si>
    <t>511809071</t>
  </si>
  <si>
    <t>יוניברסל  אגח ג</t>
  </si>
  <si>
    <t>IL0011606709</t>
  </si>
  <si>
    <t>10/08/2027</t>
  </si>
  <si>
    <t>יוניברסל אגח ד</t>
  </si>
  <si>
    <t>IL0011722530</t>
  </si>
  <si>
    <t>11/02/2029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</si>
  <si>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</si>
  <si>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</si>
  <si>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</si>
  <si>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</si>
  <si>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</si>
  <si>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ישפרו בע"מ</t>
  </si>
  <si>
    <t>516291754</t>
  </si>
  <si>
    <t>ישפרו אגח ג</t>
  </si>
  <si>
    <t>IL0012233537</t>
  </si>
  <si>
    <t>30/09/2032</t>
  </si>
  <si>
    <t>ישראל קנדה (ט.ר) בעמ</t>
  </si>
  <si>
    <t>520039298</t>
  </si>
  <si>
    <t>ישראל קנדה אגח ז</t>
  </si>
  <si>
    <t>IL0043402127</t>
  </si>
  <si>
    <t>ישראמקו נגב 2 שותפות מוגבלת</t>
  </si>
  <si>
    <t>550010003</t>
  </si>
  <si>
    <t>ישראמקו אגח ב</t>
  </si>
  <si>
    <t>IL0023202240</t>
  </si>
  <si>
    <t>10/10/2030</t>
  </si>
  <si>
    <t>ישראמקו נגב 2 א</t>
  </si>
  <si>
    <t>IL0023201747</t>
  </si>
  <si>
    <t>10/10/2025</t>
  </si>
  <si>
    <t>ישרס חברה להשקעות בע"מ</t>
  </si>
  <si>
    <t>520017807</t>
  </si>
  <si>
    <t>ישרס אגח טו</t>
  </si>
  <si>
    <t>IL0061302076</t>
  </si>
  <si>
    <t>16/05/2027</t>
  </si>
  <si>
    <t>ישרס אגח יד</t>
  </si>
  <si>
    <t>IL0061301995</t>
  </si>
  <si>
    <t>01/03/2027</t>
  </si>
  <si>
    <t>כלל החזקות עסקי ביטוח בע"מ</t>
  </si>
  <si>
    <t>520036120</t>
  </si>
  <si>
    <t>כלל ביטוח אג ב</t>
  </si>
  <si>
    <t>IL0011934994</t>
  </si>
  <si>
    <t>לאומי אגח  185</t>
  </si>
  <si>
    <t>IL0012018219</t>
  </si>
  <si>
    <t>לאומי אגח 179</t>
  </si>
  <si>
    <t>IL0060403727</t>
  </si>
  <si>
    <t>לאומי אגח 184</t>
  </si>
  <si>
    <t>IL0060406043</t>
  </si>
  <si>
    <t>05/05/2030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</si>
  <si>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</si>
  <si>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</si>
  <si>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</si>
  <si>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</si>
  <si>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</si>
  <si>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</si>
  <si>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קבוצת עמוס לוזון יזמות ואנרגיה בע"מ</t>
  </si>
  <si>
    <t>520039660</t>
  </si>
  <si>
    <t>לוזון קבוצה אגח יא</t>
  </si>
  <si>
    <t>IL0012069865</t>
  </si>
  <si>
    <t>01/12/2033</t>
  </si>
  <si>
    <t>לפידות קפיטל בעמ</t>
  </si>
  <si>
    <t>520022971</t>
  </si>
  <si>
    <t>לפידות קפיטל אגח א</t>
  </si>
  <si>
    <t>IL0064200954</t>
  </si>
  <si>
    <t>מ.ו. השקעות בע"מ</t>
  </si>
  <si>
    <t>510920897</t>
  </si>
  <si>
    <t>מ.ו השקע אגח ב</t>
  </si>
  <si>
    <t>IL0012041229</t>
  </si>
  <si>
    <t>מ.ו. השקעות  אגח א</t>
  </si>
  <si>
    <t>IL0011982175</t>
  </si>
  <si>
    <t>מבנה נדל"ן (כ.ד)  בע"מ</t>
  </si>
  <si>
    <t>520024126</t>
  </si>
  <si>
    <t>מבני תעש אגח יט</t>
  </si>
  <si>
    <t>IL0022604875</t>
  </si>
  <si>
    <t>מבני תעש אגח כג</t>
  </si>
  <si>
    <t>IL0022605450</t>
  </si>
  <si>
    <t>מגדל ביטוח גיוס הון בע"מ</t>
  </si>
  <si>
    <t>513230029</t>
  </si>
  <si>
    <t>מגדל הון  אגח ו</t>
  </si>
  <si>
    <t>IL0011427858</t>
  </si>
  <si>
    <t>מגה אור אגח 8</t>
  </si>
  <si>
    <t>IL0011476020</t>
  </si>
  <si>
    <t>מגה אור אגח יב</t>
  </si>
  <si>
    <t>IL0012112830</t>
  </si>
  <si>
    <t>30/04/2033</t>
  </si>
  <si>
    <t>מגוריט ישראל בעמ</t>
  </si>
  <si>
    <t>515434074</t>
  </si>
  <si>
    <t>מגוריט אגח ב</t>
  </si>
  <si>
    <t>IL0011683500</t>
  </si>
  <si>
    <t>מגוריט אגח ד</t>
  </si>
  <si>
    <t>IL0011858342</t>
  </si>
  <si>
    <t>מגוריט אגח ה</t>
  </si>
  <si>
    <t>IL0011921298</t>
  </si>
  <si>
    <t>מגוריט אגח ו</t>
  </si>
  <si>
    <t>IL0012035049</t>
  </si>
  <si>
    <t>מהדרין בע"מ</t>
  </si>
  <si>
    <t>520018482</t>
  </si>
  <si>
    <t>מהדרין אגח א</t>
  </si>
  <si>
    <t>IL0012114570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</si>
  <si>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</si>
  <si>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</si>
  <si>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</si>
  <si>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</si>
  <si>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</si>
  <si>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62</t>
  </si>
  <si>
    <t>IL0023104982</t>
  </si>
  <si>
    <t>22/10/2028</t>
  </si>
  <si>
    <t>מז טפ הנ אגח 67</t>
  </si>
  <si>
    <t>IL0011968075</t>
  </si>
  <si>
    <t>12/06/2033</t>
  </si>
  <si>
    <t>מז טפ הנ אגח 68</t>
  </si>
  <si>
    <t>IL0012021429</t>
  </si>
  <si>
    <t>25/12/2033</t>
  </si>
  <si>
    <t>מז טפ הנפ אגח61</t>
  </si>
  <si>
    <t>IL0023104644</t>
  </si>
  <si>
    <t>Aaa</t>
  </si>
  <si>
    <t>04/12/2026</t>
  </si>
  <si>
    <t>מז טפ הנפק 52</t>
  </si>
  <si>
    <t>IL0023103810</t>
  </si>
  <si>
    <t>01/07/2030</t>
  </si>
  <si>
    <t>מזרחי טפחות הנ אגח 66</t>
  </si>
  <si>
    <t>IL0011916678</t>
  </si>
  <si>
    <t>08/12/2031</t>
  </si>
  <si>
    <t>מזרחי טפחות הנפק 49</t>
  </si>
  <si>
    <t>IL0023102820</t>
  </si>
  <si>
    <t>23/06/2026</t>
  </si>
  <si>
    <t>מזרחי טפחות הנפק אגח 64</t>
  </si>
  <si>
    <t>IL0023105559</t>
  </si>
  <si>
    <t>13/04/2031</t>
  </si>
  <si>
    <t xml:space="preserve">מימון ישיר מקבוצת ישיר 2006 בע"מ </t>
  </si>
  <si>
    <t>513893123</t>
  </si>
  <si>
    <t>מימון ישיר אגח ג</t>
  </si>
  <si>
    <t>IL0011712143</t>
  </si>
  <si>
    <t>מימון ישיר ד</t>
  </si>
  <si>
    <t>IL0011756603</t>
  </si>
  <si>
    <t>01/02/2026</t>
  </si>
  <si>
    <t>מליסרון בע"מ</t>
  </si>
  <si>
    <t>520037789</t>
  </si>
  <si>
    <t>מליסרון  אגח יט</t>
  </si>
  <si>
    <t>IL0032303989</t>
  </si>
  <si>
    <t>מליסרון אגח י'</t>
  </si>
  <si>
    <t>IL0032301900</t>
  </si>
  <si>
    <t>10/07/2025</t>
  </si>
  <si>
    <t>מליסרון אגח יא</t>
  </si>
  <si>
    <t>IL0032302080</t>
  </si>
  <si>
    <t>מליסרון אגח יד</t>
  </si>
  <si>
    <t>IL0032302320</t>
  </si>
  <si>
    <t>27/04/2026</t>
  </si>
  <si>
    <t>מליסרון טז'</t>
  </si>
  <si>
    <t>IL0032302650</t>
  </si>
  <si>
    <t>מניבים קרן הריט החדשה בע"מ</t>
  </si>
  <si>
    <t>515327120</t>
  </si>
  <si>
    <t>מניבים ריט אגח ב</t>
  </si>
  <si>
    <t>IL0011559288</t>
  </si>
  <si>
    <t>Aa3</t>
  </si>
  <si>
    <t xml:space="preserve">מניף - שירותים פיננסים בע"מ </t>
  </si>
  <si>
    <t>512764408</t>
  </si>
  <si>
    <t>מניף אגח א</t>
  </si>
  <si>
    <t>IL0011858839</t>
  </si>
  <si>
    <t>מקורות חברת מים בע"מ</t>
  </si>
  <si>
    <t>520010869</t>
  </si>
  <si>
    <t>מקורות 10  2023/2027 0.5%</t>
  </si>
  <si>
    <t>IL0011584682</t>
  </si>
  <si>
    <t>מקורות אגח 11</t>
  </si>
  <si>
    <t>IL0011584765</t>
  </si>
  <si>
    <t>31/12/2053</t>
  </si>
  <si>
    <t>מרכנתיל הנפקות בע"מ</t>
  </si>
  <si>
    <t>513686154</t>
  </si>
  <si>
    <t>מרכנתיל 4</t>
  </si>
  <si>
    <t>IL0011713059</t>
  </si>
  <si>
    <t>30/01/2030</t>
  </si>
  <si>
    <t>משק אנרגיה-אנרגיות מתחדשות בע"מ</t>
  </si>
  <si>
    <t>516167343</t>
  </si>
  <si>
    <t>משק אנרגיה אגח א</t>
  </si>
  <si>
    <t>IL0011695314</t>
  </si>
  <si>
    <t xml:space="preserve">קבוצת האחים נאוי בע"מ </t>
  </si>
  <si>
    <t>520036070</t>
  </si>
  <si>
    <t>נאווי אגח 6</t>
  </si>
  <si>
    <t>IL0020802737</t>
  </si>
  <si>
    <t>נאוויטס פטרוליום, שותפות מוגבלת</t>
  </si>
  <si>
    <t>550263107</t>
  </si>
  <si>
    <t>נאוויטס אגח ז חסום מחוג 23/10/25</t>
  </si>
  <si>
    <t>IL0012160433</t>
  </si>
  <si>
    <t>BBB+</t>
  </si>
  <si>
    <t>נאוויטס פטרו אגח ו</t>
  </si>
  <si>
    <t>IL0012048257</t>
  </si>
  <si>
    <t>30/09/2029</t>
  </si>
  <si>
    <t>ע.י נופר אנרגי' בע"מ</t>
  </si>
  <si>
    <t>514599943</t>
  </si>
  <si>
    <t>נופר אנרג  אג ב</t>
  </si>
  <si>
    <t>IL0011980351</t>
  </si>
  <si>
    <t>חברת נמלי ישראל - פיתוח נכסים בע"מ</t>
  </si>
  <si>
    <t>513569780</t>
  </si>
  <si>
    <t>נמלי ישראל אג ב</t>
  </si>
  <si>
    <t>IL0011455727</t>
  </si>
  <si>
    <t>31/12/2031</t>
  </si>
  <si>
    <t>נמלי ישראל אגח ד</t>
  </si>
  <si>
    <t>IL0011750333</t>
  </si>
  <si>
    <t>31/12/2045</t>
  </si>
  <si>
    <t>נתיבי הגז הטבעי לישראל בע"מ</t>
  </si>
  <si>
    <t>513436394</t>
  </si>
  <si>
    <t>נתיבי גז אגח ד</t>
  </si>
  <si>
    <t>IL0011475030</t>
  </si>
  <si>
    <t>נתנאל גרופ בע"מ</t>
  </si>
  <si>
    <t>520039074</t>
  </si>
  <si>
    <t>נתנאל גרופ אגח יד</t>
  </si>
  <si>
    <t>IL0012080086</t>
  </si>
  <si>
    <t>נתנאל גרופ טו</t>
  </si>
  <si>
    <t>IL0012173634</t>
  </si>
  <si>
    <t>סאמיט אחזקות נדל"ן בע"מ</t>
  </si>
  <si>
    <t>520043720</t>
  </si>
  <si>
    <t>סאמיט  אגח ח</t>
  </si>
  <si>
    <t>IL0011389405</t>
  </si>
  <si>
    <t>Aa1</t>
  </si>
  <si>
    <t>סולאיר אנרגיות מתחדשות בע"מ</t>
  </si>
  <si>
    <t>516046307</t>
  </si>
  <si>
    <t>סולאיר    ב</t>
  </si>
  <si>
    <t>IL0012148321</t>
  </si>
  <si>
    <t>סיאון אינווסטמנט קורפוריישן</t>
  </si>
  <si>
    <t>14242259</t>
  </si>
  <si>
    <t>סיאון אגח א</t>
  </si>
  <si>
    <t>IL0011940181</t>
  </si>
  <si>
    <t>31/08/2026</t>
  </si>
  <si>
    <t>סלע קפיטל נדל"ן בע"מ</t>
  </si>
  <si>
    <t>513992529</t>
  </si>
  <si>
    <t>סלע נדלן אגח ג</t>
  </si>
  <si>
    <t>IL0011389736</t>
  </si>
  <si>
    <t>13/04/2029</t>
  </si>
  <si>
    <t>סלע נדלן אגח ד</t>
  </si>
  <si>
    <t>IL0011671471</t>
  </si>
  <si>
    <t>27/03/2033</t>
  </si>
  <si>
    <t>סלע נדלן אגח ה</t>
  </si>
  <si>
    <t>IL0012050873</t>
  </si>
  <si>
    <t>10/04/2037</t>
  </si>
  <si>
    <t>סלקום ישראל בע"מ</t>
  </si>
  <si>
    <t>511930125</t>
  </si>
  <si>
    <t>סלקום אגח ט</t>
  </si>
  <si>
    <t>IL0011328361</t>
  </si>
  <si>
    <t>06/07/2025</t>
  </si>
  <si>
    <t>ספנסר אקוויטי גרופ לימיטד</t>
  </si>
  <si>
    <t>1838863</t>
  </si>
  <si>
    <t>ספנסר אגח ה</t>
  </si>
  <si>
    <t>IL0012128513</t>
  </si>
  <si>
    <t>30/09/2028</t>
  </si>
  <si>
    <t>ספנסר אגח ו</t>
  </si>
  <si>
    <t>IL0012128695</t>
  </si>
  <si>
    <t>קבוצת עזריאלי בע"מ (לשעבר קנית מימון)</t>
  </si>
  <si>
    <t>510960719</t>
  </si>
  <si>
    <t>עזריאלי אגח ד</t>
  </si>
  <si>
    <t>IL0011386500</t>
  </si>
  <si>
    <t>05/07/2030</t>
  </si>
  <si>
    <t>עזריאלי אגח ה</t>
  </si>
  <si>
    <t>IL0011566036</t>
  </si>
  <si>
    <t>עמידר</t>
  </si>
  <si>
    <t>520017393</t>
  </si>
  <si>
    <t>עמידר     אגח א</t>
  </si>
  <si>
    <t>IL0011435851</t>
  </si>
  <si>
    <t>עמרם אברהם חברה לבנין בע"מ</t>
  </si>
  <si>
    <t>513201582</t>
  </si>
  <si>
    <t>עמרם אברהם אגח ב</t>
  </si>
  <si>
    <t>IL0012025552</t>
  </si>
  <si>
    <t>בנק הפועלים בע"מ</t>
  </si>
  <si>
    <t>520000118</t>
  </si>
  <si>
    <t>פועלים אגח 102</t>
  </si>
  <si>
    <t>IL0012234527</t>
  </si>
  <si>
    <t>17/06/2035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</si>
  <si>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</si>
  <si>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</si>
  <si>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</si>
  <si>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</si>
  <si>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</si>
  <si>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</si>
  <si>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</si>
  <si>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</si>
  <si>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</si>
  <si>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</si>
  <si>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</si>
  <si>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</si>
  <si>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פורמולה מערכות (1985)בע"מ</t>
  </si>
  <si>
    <t>520036690</t>
  </si>
  <si>
    <t>פורמולה אג"ח ג</t>
  </si>
  <si>
    <t>IL0025602090</t>
  </si>
  <si>
    <t>01/12/2026</t>
  </si>
  <si>
    <t>מפעלים פטרוכימיים בישראל בע"מ</t>
  </si>
  <si>
    <t>520029315</t>
  </si>
  <si>
    <t>פטרוכימים אגח י</t>
  </si>
  <si>
    <t>IL0011902975</t>
  </si>
  <si>
    <t>הפניקס גיוסי הון (2009) בע"מ</t>
  </si>
  <si>
    <t>514290345</t>
  </si>
  <si>
    <t>פניקס הון אגח ח</t>
  </si>
  <si>
    <t>IL0011398158</t>
  </si>
  <si>
    <t>31/07/2025</t>
  </si>
  <si>
    <t>פריורטק בע"מ</t>
  </si>
  <si>
    <t>520037797</t>
  </si>
  <si>
    <t>פריורטק אגח א</t>
  </si>
  <si>
    <t>IL0032801388</t>
  </si>
  <si>
    <t>פריים אנרג'י פי.אי בע"מ</t>
  </si>
  <si>
    <t>514902147</t>
  </si>
  <si>
    <t>פריים אנרג'י אג א</t>
  </si>
  <si>
    <t>IL0011792665</t>
  </si>
  <si>
    <t>פרשקובסקי השקעות ובניין בע"מ</t>
  </si>
  <si>
    <t>513817817</t>
  </si>
  <si>
    <t>פרשקובסקי אגח טז</t>
  </si>
  <si>
    <t>IL0012234113</t>
  </si>
  <si>
    <t>פתאל נכסים(אירופה)בע"מ</t>
  </si>
  <si>
    <t>515328250</t>
  </si>
  <si>
    <t>פתאל אירו אגח א</t>
  </si>
  <si>
    <t>IL0011375123</t>
  </si>
  <si>
    <t>15/08/2025</t>
  </si>
  <si>
    <t>פתאל אירו אגח ד</t>
  </si>
  <si>
    <t>IL0011680381</t>
  </si>
  <si>
    <t>פתאל החזקות 1998 בע"מ</t>
  </si>
  <si>
    <t>512607888</t>
  </si>
  <si>
    <t>פתאל החז  אגח ב</t>
  </si>
  <si>
    <t>IL0011508129</t>
  </si>
  <si>
    <t>קבוצת צילו-בלו בע"מ( לשעבר חנן מור)</t>
  </si>
  <si>
    <t>513605519</t>
  </si>
  <si>
    <t>צילו-בלו אגח ט</t>
  </si>
  <si>
    <t>IL0011605065</t>
  </si>
  <si>
    <t>צבי צרפתי השקעות ובנין (1992) בע"מ</t>
  </si>
  <si>
    <t>520039090</t>
  </si>
  <si>
    <t>צרפתי אגח יא</t>
  </si>
  <si>
    <t>IL0042502547</t>
  </si>
  <si>
    <t>קיסטון אינפרא בע"מ</t>
  </si>
  <si>
    <t>515983476</t>
  </si>
  <si>
    <t>קיסטון  ב חסום מחוג 11/08/25</t>
  </si>
  <si>
    <t>IL0012150780</t>
  </si>
  <si>
    <t>קרסו מוטורס בע"מ</t>
  </si>
  <si>
    <t>514065283</t>
  </si>
  <si>
    <t>קרסו מוטורס אגח א</t>
  </si>
  <si>
    <t>IL0011364648</t>
  </si>
  <si>
    <t>קרסו מוטורס אגח ד</t>
  </si>
  <si>
    <t>IL0011735664</t>
  </si>
  <si>
    <t>01/10/2028</t>
  </si>
  <si>
    <t>רבוע כחול נדל"ן בע"מ</t>
  </si>
  <si>
    <t>513765859</t>
  </si>
  <si>
    <t>רבוע נדלן אגח ז</t>
  </si>
  <si>
    <t>IL0011406159</t>
  </si>
  <si>
    <t>30/11/2026</t>
  </si>
  <si>
    <t>רבוע נדלן אגח ח</t>
  </si>
  <si>
    <t>IL0011575698</t>
  </si>
  <si>
    <t>רוטשטיין נדל"ן  בע"מ</t>
  </si>
  <si>
    <t>520039959</t>
  </si>
  <si>
    <t>רוטשטיין אגח ח</t>
  </si>
  <si>
    <t>IL0053901828</t>
  </si>
  <si>
    <t>14/07/2025</t>
  </si>
  <si>
    <t>ריט 1 בע"מ</t>
  </si>
  <si>
    <t>513821488</t>
  </si>
  <si>
    <t>ריט 1 אגח ו</t>
  </si>
  <si>
    <t>IL0011385445</t>
  </si>
  <si>
    <t>21/09/2031</t>
  </si>
  <si>
    <t>ריט 1 סד ה</t>
  </si>
  <si>
    <t>IL0011367534</t>
  </si>
  <si>
    <t>20/09/2028</t>
  </si>
  <si>
    <t>רייסדור יזמות בע"מ</t>
  </si>
  <si>
    <t>513708248</t>
  </si>
  <si>
    <t>רייסדור אגח א</t>
  </si>
  <si>
    <t>IL0012231978</t>
  </si>
  <si>
    <t>רכבת ישראל בע"מ</t>
  </si>
  <si>
    <t>520043613</t>
  </si>
  <si>
    <t>רכבת ישראל אגח ג</t>
  </si>
  <si>
    <t>IL0011776254</t>
  </si>
  <si>
    <t>30/06/2031</t>
  </si>
  <si>
    <t>שטראוס גרופ בע"מ</t>
  </si>
  <si>
    <t>520003781</t>
  </si>
  <si>
    <t>שטראוס אגח ה</t>
  </si>
  <si>
    <t>IL0074603890</t>
  </si>
  <si>
    <t>שטראוס אגח ו</t>
  </si>
  <si>
    <t>IL0074604211</t>
  </si>
  <si>
    <t>30/06/2037</t>
  </si>
  <si>
    <t>ש.שלמה החזקות בע"מ</t>
  </si>
  <si>
    <t>520034372</t>
  </si>
  <si>
    <t>שלמה החז אגח יז</t>
  </si>
  <si>
    <t>IL0014102995</t>
  </si>
  <si>
    <t>21/06/2026</t>
  </si>
  <si>
    <t>שלמה החז אגח יח</t>
  </si>
  <si>
    <t>IL0014103076</t>
  </si>
  <si>
    <t>Chamoss International Limited</t>
  </si>
  <si>
    <t>633896</t>
  </si>
  <si>
    <t>שמוס אגח א</t>
  </si>
  <si>
    <t>IL0011559510</t>
  </si>
  <si>
    <t>10/07/2028</t>
  </si>
  <si>
    <t>שפיר הנדסה ותעשיה בע"מ</t>
  </si>
  <si>
    <t>514892801</t>
  </si>
  <si>
    <t>שפיר הנדסה  אג"ח א</t>
  </si>
  <si>
    <t>IL0011361347</t>
  </si>
  <si>
    <t>03/10/2025</t>
  </si>
  <si>
    <t>תומר תמלוגי אנרגיה (2012)  בע"מ</t>
  </si>
  <si>
    <t>514837111</t>
  </si>
  <si>
    <t>תומר אנרגיה אגח א</t>
  </si>
  <si>
    <t>IL0011474793</t>
  </si>
  <si>
    <t>30/08/2028</t>
  </si>
  <si>
    <t>תמר פטרוליום בעמ</t>
  </si>
  <si>
    <t>515334662</t>
  </si>
  <si>
    <t>תמר פטרוליום אגח א</t>
  </si>
  <si>
    <t>IL0011413320</t>
  </si>
  <si>
    <t>התעשיה האוירית לישראל בע"מ</t>
  </si>
  <si>
    <t>520027194</t>
  </si>
  <si>
    <t>תעשיה אוירית אגח ד</t>
  </si>
  <si>
    <t>IL0011331316</t>
  </si>
  <si>
    <t>ITHACA ENERGY NORTH</t>
  </si>
  <si>
    <t>21380057TNFLXPXBIP34</t>
  </si>
  <si>
    <t>/IAECN 8.125 10</t>
  </si>
  <si>
    <t>USG49774AC90</t>
  </si>
  <si>
    <t>Energy Equipment &amp; Services </t>
  </si>
  <si>
    <t>B1</t>
  </si>
  <si>
    <t>15/10/2029</t>
  </si>
  <si>
    <t>BLUE OWL CREDIT INCOME</t>
  </si>
  <si>
    <t>5493003I42XBWPE05N35</t>
  </si>
  <si>
    <t>/OCINCC 7.95 13</t>
  </si>
  <si>
    <t>US69120VBB62</t>
  </si>
  <si>
    <t>Consumer Finance </t>
  </si>
  <si>
    <t>BBB-</t>
  </si>
  <si>
    <t>13/06/2028</t>
  </si>
  <si>
    <t>/ORCINC 6.65 03</t>
  </si>
  <si>
    <t>US69120VAZ40</t>
  </si>
  <si>
    <t>15/03/2031</t>
  </si>
  <si>
    <t>Yara International ASA</t>
  </si>
  <si>
    <t>213800WKOUWXWFJ5Z514</t>
  </si>
  <si>
    <t>/YARNO 7.378 11</t>
  </si>
  <si>
    <t>US984851AH89</t>
  </si>
  <si>
    <t>14/11/2032</t>
  </si>
  <si>
    <t>Meta Platforms Inc</t>
  </si>
  <si>
    <t>BQ4BKCS1HXDV9HN80Z93</t>
  </si>
  <si>
    <t>15/05/28 META 4.6</t>
  </si>
  <si>
    <t>US30303M8L96</t>
  </si>
  <si>
    <t>15/05/2028</t>
  </si>
  <si>
    <t>amazon.com</t>
  </si>
  <si>
    <t>ZXTILKJKG63JELOEG630</t>
  </si>
  <si>
    <t>AMZM 4.55 12/01</t>
  </si>
  <si>
    <t>US023135CP90</t>
  </si>
  <si>
    <t>01/12/2027</t>
  </si>
  <si>
    <t>Apollo Debt Solutions Bd</t>
  </si>
  <si>
    <t>549300UMUGX092P8DW87</t>
  </si>
  <si>
    <t>APODS 6.9 04/29</t>
  </si>
  <si>
    <t>US03770DAB91</t>
  </si>
  <si>
    <t>Arrow Electronics Inc</t>
  </si>
  <si>
    <t>549300YNNLBXT8N8R512</t>
  </si>
  <si>
    <t>ARW 5.875 10/04/34</t>
  </si>
  <si>
    <t>US04273WAE12</t>
  </si>
  <si>
    <t>Technology Hardware Storage</t>
  </si>
  <si>
    <t>10/04/2034</t>
  </si>
  <si>
    <t>Bayer AG</t>
  </si>
  <si>
    <t>549300J4U55H3WP1XT59</t>
  </si>
  <si>
    <t>BAYNGR 4.375 12</t>
  </si>
  <si>
    <t>US07274NAL73</t>
  </si>
  <si>
    <t>15/12/2028</t>
  </si>
  <si>
    <t>Dollar general corp</t>
  </si>
  <si>
    <t>OPX52SQVOZI8IVSWYU66</t>
  </si>
  <si>
    <t>DG 5.2 7/28</t>
  </si>
  <si>
    <t>US256677AN52</t>
  </si>
  <si>
    <t>Food &amp; Staples Retailing Consumer Staples Distribution &amp; Retail</t>
  </si>
  <si>
    <t>Baa3</t>
  </si>
  <si>
    <t>05/07/2028</t>
  </si>
  <si>
    <t>DG 5.45 7/33</t>
  </si>
  <si>
    <t>US256677AP01</t>
  </si>
  <si>
    <t>05/07/2033</t>
  </si>
  <si>
    <t>DAVITA INC</t>
  </si>
  <si>
    <t>5493001KJTIIGC8Y1R12</t>
  </si>
  <si>
    <t>DVA 6.875 09/01</t>
  </si>
  <si>
    <t>US23918KAW80</t>
  </si>
  <si>
    <t>Health Care Providers&amp;Service</t>
  </si>
  <si>
    <t>BB-</t>
  </si>
  <si>
    <t>01/09/2032</t>
  </si>
  <si>
    <t>Electricite DE France SA</t>
  </si>
  <si>
    <t>549300X3UK4GG3FNMO06</t>
  </si>
  <si>
    <t>EDF 5.7 05</t>
  </si>
  <si>
    <t>US28504DAB91</t>
  </si>
  <si>
    <t>23/05/2028</t>
  </si>
  <si>
    <t>EDF 5.7 5/28</t>
  </si>
  <si>
    <t>USF29416AB40</t>
  </si>
  <si>
    <t xml:space="preserve">Golub Capital Fund </t>
  </si>
  <si>
    <t>254900B5KBW6OY1F9951</t>
  </si>
  <si>
    <t>GCRED 5.8 09/12/29</t>
  </si>
  <si>
    <t>US38179RAA32</t>
  </si>
  <si>
    <t>12/09/2029</t>
  </si>
  <si>
    <t>GCRED 5.875 01/05/2030</t>
  </si>
  <si>
    <t>US38179RAC97</t>
  </si>
  <si>
    <t>01/05/2030</t>
  </si>
  <si>
    <t>GRAND CITY PROPERTIES</t>
  </si>
  <si>
    <t>5299002QLUYKK2WBMB18</t>
  </si>
  <si>
    <t>GYCGR 0 1/28</t>
  </si>
  <si>
    <t>XS2282101539</t>
  </si>
  <si>
    <t>11/01/2028</t>
  </si>
  <si>
    <t>בנק דיסקונט לישראל בע"מ</t>
  </si>
  <si>
    <t>520007030</t>
  </si>
  <si>
    <t>IDBILI 5.375 26.01.28 (Israel discount Bank)</t>
  </si>
  <si>
    <t>IL0011920878</t>
  </si>
  <si>
    <t>26/01/2028</t>
  </si>
  <si>
    <t>INTEL CORP</t>
  </si>
  <si>
    <t>KNX4USFCNGPY45LOCE31</t>
  </si>
  <si>
    <t>INTC 4.875 10/02/26</t>
  </si>
  <si>
    <t>US458140CD04</t>
  </si>
  <si>
    <t>10/02/2026</t>
  </si>
  <si>
    <t>IQVIA INC</t>
  </si>
  <si>
    <t>549300PLWY28YB00C717</t>
  </si>
  <si>
    <t>IQV 5.7 5\15\20</t>
  </si>
  <si>
    <t>US46266TAB44</t>
  </si>
  <si>
    <t>לוויתן בונד בע"מ</t>
  </si>
  <si>
    <t>516223864</t>
  </si>
  <si>
    <t>LVIATH 6.125 06/30/25</t>
  </si>
  <si>
    <t>IL0011677742</t>
  </si>
  <si>
    <t>30/06/2025</t>
  </si>
  <si>
    <t>אורמת תעשיות בע"מ</t>
  </si>
  <si>
    <t>520036716</t>
  </si>
  <si>
    <t>ORMAT 2.5 7/27</t>
  </si>
  <si>
    <t>US686688AB85</t>
  </si>
  <si>
    <t>Utilities</t>
  </si>
  <si>
    <t>15/07/2027</t>
  </si>
  <si>
    <t>6297782 LLC</t>
  </si>
  <si>
    <t>254900Z1WAY7QFQ7O850</t>
  </si>
  <si>
    <t>SOUBOW 5.026 10</t>
  </si>
  <si>
    <t>US83007CAC64</t>
  </si>
  <si>
    <t>01/10/2029</t>
  </si>
  <si>
    <t>טבע תעשיות פרמצבטיות בע"מ</t>
  </si>
  <si>
    <t>520013954</t>
  </si>
  <si>
    <t>TEVA 7.375</t>
  </si>
  <si>
    <t>XS2592804434</t>
  </si>
  <si>
    <t>BB</t>
  </si>
  <si>
    <t>15/09/2029</t>
  </si>
  <si>
    <t>TEVA 7.875</t>
  </si>
  <si>
    <t>XS2592804194</t>
  </si>
  <si>
    <t>15/09/2031</t>
  </si>
  <si>
    <t>סאפיינס אינטרנשיונל קורפוריישן N.V</t>
  </si>
  <si>
    <t>53368</t>
  </si>
  <si>
    <t>סאפיינס אגח ב</t>
  </si>
  <si>
    <t>IL0011419368</t>
  </si>
  <si>
    <t>01/01/2026</t>
  </si>
  <si>
    <t>פרשקובסקי אגח יד</t>
  </si>
  <si>
    <t>IL0011836231</t>
  </si>
  <si>
    <t xml:space="preserve">אול-יר  הולדינגס לימיטד </t>
  </si>
  <si>
    <t>1841580</t>
  </si>
  <si>
    <t>אול-יר אגח ה מחוג בהשעיה</t>
  </si>
  <si>
    <t>IL0011433047</t>
  </si>
  <si>
    <t>31/07/2024</t>
  </si>
  <si>
    <t>אלביט מערכות אגח ד</t>
  </si>
  <si>
    <t>IL0011782682</t>
  </si>
  <si>
    <t>30/06/2035</t>
  </si>
  <si>
    <t>דלק קב אגח לז</t>
  </si>
  <si>
    <t>IL0011928897</t>
  </si>
  <si>
    <t>31/01/2029</t>
  </si>
  <si>
    <t>חג'ג' אגח יב</t>
  </si>
  <si>
    <t>IL0082303772</t>
  </si>
  <si>
    <t>לאומי אגח 182</t>
  </si>
  <si>
    <t>IL0060405391</t>
  </si>
  <si>
    <t>25/11/2027</t>
  </si>
  <si>
    <t>א.לוי השקעות ובנין בע"מ</t>
  </si>
  <si>
    <t>520041096</t>
  </si>
  <si>
    <t>לוי אגח ח</t>
  </si>
  <si>
    <t>IL0071902428</t>
  </si>
  <si>
    <t>מיטב דש השקעות בע"מ</t>
  </si>
  <si>
    <t>520043795</t>
  </si>
  <si>
    <t>מיטב השקעות אג3</t>
  </si>
  <si>
    <t>IL0011217630</t>
  </si>
  <si>
    <t>10/12/2025</t>
  </si>
  <si>
    <t>מניבים ריט אגח ג</t>
  </si>
  <si>
    <t>IL0011776585</t>
  </si>
  <si>
    <t>מניבים ריט אגח ד</t>
  </si>
  <si>
    <t>IL0011939290</t>
  </si>
  <si>
    <t>נתנאל גרופ אגח יג</t>
  </si>
  <si>
    <t>IL0011886632</t>
  </si>
  <si>
    <t>30/11/2028</t>
  </si>
  <si>
    <t>פטרוכימים אגח ט</t>
  </si>
  <si>
    <t>IL0011895542</t>
  </si>
  <si>
    <t>30/04/2027</t>
  </si>
  <si>
    <t>פלאזה סנטרס</t>
  </si>
  <si>
    <t>33248324</t>
  </si>
  <si>
    <t>פלאזה סנטרס אגח א</t>
  </si>
  <si>
    <t>IL0011094955</t>
  </si>
  <si>
    <t>01/07/2025</t>
  </si>
  <si>
    <t>פלאזה סנטרס אגח ב</t>
  </si>
  <si>
    <t>IL0011095036</t>
  </si>
  <si>
    <t>פריים אנרג'י אגח ב</t>
  </si>
  <si>
    <t>IL0011846628</t>
  </si>
  <si>
    <t>צילו-בלו אגח טו</t>
  </si>
  <si>
    <t>IL0011898512</t>
  </si>
  <si>
    <t>קרדן אן.וי.</t>
  </si>
  <si>
    <t>1239114</t>
  </si>
  <si>
    <t>קרדן אן וי אגח ב ( שימור</t>
  </si>
  <si>
    <t>IL0011130346</t>
  </si>
  <si>
    <t>רציו חיפושי נפט (מימון) בע"מ</t>
  </si>
  <si>
    <t>515060044</t>
  </si>
  <si>
    <t>רציו מימון אגח ד</t>
  </si>
  <si>
    <t>IL0011781445</t>
  </si>
  <si>
    <t>31/10/2029</t>
  </si>
  <si>
    <t>Atrium european real estaste</t>
  </si>
  <si>
    <t>254900S97VONWYW91C97</t>
  </si>
  <si>
    <t>ATRSAV 2.625</t>
  </si>
  <si>
    <t>XS2294495838</t>
  </si>
  <si>
    <t>B3</t>
  </si>
  <si>
    <t>05/09/2027</t>
  </si>
  <si>
    <t>Broadcom Inc</t>
  </si>
  <si>
    <t>549300WV6GIDOZJTV909</t>
  </si>
  <si>
    <t>AVGO 2.45 2/31</t>
  </si>
  <si>
    <t>US11135FBH38</t>
  </si>
  <si>
    <t>15/02/2031</t>
  </si>
  <si>
    <t>BANK LEUMI LE-I</t>
  </si>
  <si>
    <t>IL0060406878</t>
  </si>
  <si>
    <t>27/07/2027</t>
  </si>
  <si>
    <t>CITYCON TREASURY BV</t>
  </si>
  <si>
    <t>549300WAE0CGQ0IE1H63</t>
  </si>
  <si>
    <t>CITCON 1 5/8 03</t>
  </si>
  <si>
    <t>XS2310411090</t>
  </si>
  <si>
    <t>12/03/2028</t>
  </si>
  <si>
    <t>DANA INC</t>
  </si>
  <si>
    <t>KVWHW7YLZPFJM8QYNJ51</t>
  </si>
  <si>
    <t>DAN 4.5 2/32</t>
  </si>
  <si>
    <t>US235825AJ53</t>
  </si>
  <si>
    <t>HF Sinclair Corp</t>
  </si>
  <si>
    <t>28669</t>
  </si>
  <si>
    <t>DINO 4.5 01/10/30</t>
  </si>
  <si>
    <t>USU4322CAC74</t>
  </si>
  <si>
    <t>01/10/2030</t>
  </si>
  <si>
    <t>dick's sporting goods inc</t>
  </si>
  <si>
    <t>529900SSBV5I4LWSK313</t>
  </si>
  <si>
    <t>DSK 3.15 15/01/32</t>
  </si>
  <si>
    <t>US253393AF94</t>
  </si>
  <si>
    <t>15/01/2032</t>
  </si>
  <si>
    <t>EBAY INC</t>
  </si>
  <si>
    <t>OML71K8X303XQONU6T67</t>
  </si>
  <si>
    <t>EBAY 2.7 11/3/3</t>
  </si>
  <si>
    <t>US278642AW32</t>
  </si>
  <si>
    <t>11/03/2030</t>
  </si>
  <si>
    <t>Energean plc</t>
  </si>
  <si>
    <t>98450044QACBL3F8EB03</t>
  </si>
  <si>
    <t>ENOGLN 6.50  4/27</t>
  </si>
  <si>
    <t>USG3044DAA49</t>
  </si>
  <si>
    <t>B+</t>
  </si>
  <si>
    <t>Fedex corp</t>
  </si>
  <si>
    <t>549300E707U7WNPZN687</t>
  </si>
  <si>
    <t>FDX 4.25</t>
  </si>
  <si>
    <t>US31428XBZ87</t>
  </si>
  <si>
    <t>15/05/2030</t>
  </si>
  <si>
    <t>FS KKR CAPITAL CORP</t>
  </si>
  <si>
    <t>549300TYRSI1T21B1360</t>
  </si>
  <si>
    <t>FSK 3.125 10/12</t>
  </si>
  <si>
    <t>US302635AK33</t>
  </si>
  <si>
    <t>Diversified Financial Services Financial Services</t>
  </si>
  <si>
    <t>12/10/2028</t>
  </si>
  <si>
    <t>ISRAEL CHEMICAL</t>
  </si>
  <si>
    <t>IL0028103310</t>
  </si>
  <si>
    <t>31/05/2038</t>
  </si>
  <si>
    <t>KRAFT HEINZ CO/T</t>
  </si>
  <si>
    <t>5493003STKEZ2S0RNU91</t>
  </si>
  <si>
    <t>KRAFT 3.75</t>
  </si>
  <si>
    <t>US50077LAV80</t>
  </si>
  <si>
    <t>01/04/2030</t>
  </si>
  <si>
    <t>MCDONALD'S CORP</t>
  </si>
  <si>
    <t>UE2136O97NLB5BYP9H04</t>
  </si>
  <si>
    <t>MCD 3.6 7/30</t>
  </si>
  <si>
    <t>US58013MFQ24</t>
  </si>
  <si>
    <t>MOTOROLA INC</t>
  </si>
  <si>
    <t>6S552MUG6KGJVEBSEC55</t>
  </si>
  <si>
    <t>MSI 4.6 05/23/2</t>
  </si>
  <si>
    <t>US620076BN89</t>
  </si>
  <si>
    <t>23/05/2029</t>
  </si>
  <si>
    <t>ORACLE CORP</t>
  </si>
  <si>
    <t>1Z4GXXU7ZHVWFCD8TV52</t>
  </si>
  <si>
    <t>ORACLE 3.25</t>
  </si>
  <si>
    <t>US68389XBN49</t>
  </si>
  <si>
    <t>15/11/2027</t>
  </si>
  <si>
    <t>TEVA 3.75</t>
  </si>
  <si>
    <t>XS2406607098</t>
  </si>
  <si>
    <t>09/05/2027</t>
  </si>
  <si>
    <t>TEVA 4.375 30</t>
  </si>
  <si>
    <t>XS2406607171</t>
  </si>
  <si>
    <t>09/05/2030</t>
  </si>
  <si>
    <t>TEVA PHARMACEUT</t>
  </si>
  <si>
    <t>US88167AAE10</t>
  </si>
  <si>
    <t>01/10/2026</t>
  </si>
  <si>
    <t>Viatris Inc</t>
  </si>
  <si>
    <t>254900ZZTSW7NL773X71</t>
  </si>
  <si>
    <t>VTRS 2.3 06.22.27 corp</t>
  </si>
  <si>
    <t>US92556VAC00</t>
  </si>
  <si>
    <t>22/06/2027</t>
  </si>
  <si>
    <t>ג'י סיטי  אגח טז</t>
  </si>
  <si>
    <t>להב אל.אר רילאסטייט בעמ</t>
  </si>
  <si>
    <t>520034257</t>
  </si>
  <si>
    <t>להב אגח ב</t>
  </si>
  <si>
    <t>IL0013600726</t>
  </si>
  <si>
    <t>31/01/2026</t>
  </si>
  <si>
    <t>עילוי פיננסי בע"מ לשעבר אס.אר אק טכנ,שרם פודים טכ</t>
  </si>
  <si>
    <t>512882804</t>
  </si>
  <si>
    <t>שרם פוד טכ אג3</t>
  </si>
  <si>
    <t>1096353</t>
  </si>
  <si>
    <t>28/02/2013</t>
  </si>
  <si>
    <t>ישרס אגח יח</t>
  </si>
  <si>
    <t>IL0061302803</t>
  </si>
  <si>
    <t>10/04/2030</t>
  </si>
  <si>
    <t>י.ד. מור השקעות בע"מ</t>
  </si>
  <si>
    <t>513834606</t>
  </si>
  <si>
    <t>מור השקעות א</t>
  </si>
  <si>
    <t>IL0011673030</t>
  </si>
  <si>
    <t>או.פי.סי. אנרגיה בע"מ</t>
  </si>
  <si>
    <t>514401702</t>
  </si>
  <si>
    <t>או פי סי אנרגיה</t>
  </si>
  <si>
    <t>IL0011415713</t>
  </si>
  <si>
    <t>אוברסיז קומרס בע"מ</t>
  </si>
  <si>
    <t>510490071</t>
  </si>
  <si>
    <t>אוברסיז</t>
  </si>
  <si>
    <t>IL0011396178</t>
  </si>
  <si>
    <t>אורביט-אלחוט טכנולוגיות בע"מ</t>
  </si>
  <si>
    <t>520036153</t>
  </si>
  <si>
    <t>אורביט</t>
  </si>
  <si>
    <t>IL0002650179</t>
  </si>
  <si>
    <t>אוריין</t>
  </si>
  <si>
    <t>IL0011035065</t>
  </si>
  <si>
    <t>אוריין חסום מחוג 19/08/25</t>
  </si>
  <si>
    <t xml:space="preserve">אורמת טכנולגיות אינק </t>
  </si>
  <si>
    <t>5493000TSHHWY24VHM09</t>
  </si>
  <si>
    <t>אורמת טכנולוגיות</t>
  </si>
  <si>
    <t>US6866881021</t>
  </si>
  <si>
    <t>אזורים</t>
  </si>
  <si>
    <t>IL0007150118</t>
  </si>
  <si>
    <t>איי.די.איי. חברה לביטוח בע"מ</t>
  </si>
  <si>
    <t>513910703</t>
  </si>
  <si>
    <t>איידיאיי ביטוח</t>
  </si>
  <si>
    <t>IL0011295016</t>
  </si>
  <si>
    <t>אילקס מדיקל בע"מ</t>
  </si>
  <si>
    <t>520042219</t>
  </si>
  <si>
    <t>אילקס מדיקל</t>
  </si>
  <si>
    <t>IL0010807530</t>
  </si>
  <si>
    <t>אירפורט סיטי</t>
  </si>
  <si>
    <t>IL0010958358</t>
  </si>
  <si>
    <t>אלביט מערכות</t>
  </si>
  <si>
    <t>IL0010811243</t>
  </si>
  <si>
    <t>אלדן תחבורה</t>
  </si>
  <si>
    <t>IL0011348815</t>
  </si>
  <si>
    <t>אלומיי קפיטל</t>
  </si>
  <si>
    <t>IL0010826357</t>
  </si>
  <si>
    <t>אלוני חץ</t>
  </si>
  <si>
    <t>IL0003900136</t>
  </si>
  <si>
    <t>אלטשולר שחם פיננסים בע"מ</t>
  </si>
  <si>
    <t>516508603</t>
  </si>
  <si>
    <t>אלטשולר פיננסים</t>
  </si>
  <si>
    <t>IL0011849366</t>
  </si>
  <si>
    <t>אלקו בע"מ</t>
  </si>
  <si>
    <t>520025370</t>
  </si>
  <si>
    <t>אלקו החזקות</t>
  </si>
  <si>
    <t>IL0006940345</t>
  </si>
  <si>
    <t>אמות</t>
  </si>
  <si>
    <t>IL0010972789</t>
  </si>
  <si>
    <t>אנלייט אנרגיה</t>
  </si>
  <si>
    <t>IL0007200111</t>
  </si>
  <si>
    <t>אנרג'יאן</t>
  </si>
  <si>
    <t>GB00BG12Y042</t>
  </si>
  <si>
    <t>אפי נכסים</t>
  </si>
  <si>
    <t>IL0010913544</t>
  </si>
  <si>
    <t>אקונרג'י</t>
  </si>
  <si>
    <t>IL0011783342</t>
  </si>
  <si>
    <t>קבוצת אקרו בע"מ</t>
  </si>
  <si>
    <t>511996803</t>
  </si>
  <si>
    <t>אקרו קבוצה</t>
  </si>
  <si>
    <t>IL0011849028</t>
  </si>
  <si>
    <t>ארד בע"מ</t>
  </si>
  <si>
    <t>510007800</t>
  </si>
  <si>
    <t>ארד</t>
  </si>
  <si>
    <t>IL0010916513</t>
  </si>
  <si>
    <t>ארי נדלן</t>
  </si>
  <si>
    <t>IL0003660136</t>
  </si>
  <si>
    <t>בזן</t>
  </si>
  <si>
    <t>IL0025902482</t>
  </si>
  <si>
    <t>בזק</t>
  </si>
  <si>
    <t>IL0002300114</t>
  </si>
  <si>
    <t>ביג</t>
  </si>
  <si>
    <t>IL0010972607</t>
  </si>
  <si>
    <t>גילת רשתות לווין בע"מ</t>
  </si>
  <si>
    <t>520038936</t>
  </si>
  <si>
    <t>גילת</t>
  </si>
  <si>
    <t>IL0010825102</t>
  </si>
  <si>
    <t>גלוברנדס גרופ בע"מ</t>
  </si>
  <si>
    <t>515809499</t>
  </si>
  <si>
    <t>גלוברנדס</t>
  </si>
  <si>
    <t>IL0011474876</t>
  </si>
  <si>
    <t>גניגר מפעלי פלסטיק בע"מ</t>
  </si>
  <si>
    <t>512416991</t>
  </si>
  <si>
    <t>גניגר</t>
  </si>
  <si>
    <t>IL0010958929</t>
  </si>
  <si>
    <t>ג'נסל בע"מ</t>
  </si>
  <si>
    <t>514579887</t>
  </si>
  <si>
    <t>ג'נסל</t>
  </si>
  <si>
    <t>IL0011696890</t>
  </si>
  <si>
    <t>אחים דוניץ בע"מ</t>
  </si>
  <si>
    <t>520038605</t>
  </si>
  <si>
    <t>דוניץ</t>
  </si>
  <si>
    <t>IL0004000100</t>
  </si>
  <si>
    <t>דוראל אנרגיה</t>
  </si>
  <si>
    <t>IL0011667685</t>
  </si>
  <si>
    <t>דיסקונט</t>
  </si>
  <si>
    <t>IL0006912120</t>
  </si>
  <si>
    <t>דיפלומט אחזקות בע"מ</t>
  </si>
  <si>
    <t>510400740</t>
  </si>
  <si>
    <t>דיפלומט</t>
  </si>
  <si>
    <t>IL0011734915</t>
  </si>
  <si>
    <t>דלק מערכות רכב בע"מ</t>
  </si>
  <si>
    <t>520033291</t>
  </si>
  <si>
    <t>דלק רכב</t>
  </si>
  <si>
    <t>IL0008290103</t>
  </si>
  <si>
    <t>י.ח.דמרי בניה ופיתוח בע"מ</t>
  </si>
  <si>
    <t>511399388</t>
  </si>
  <si>
    <t>דמרי</t>
  </si>
  <si>
    <t>IL0010903156</t>
  </si>
  <si>
    <t>דנאל (אדיר יהושע) בע"מ</t>
  </si>
  <si>
    <t>520037565</t>
  </si>
  <si>
    <t>דנאל כא</t>
  </si>
  <si>
    <t>IL0003140139</t>
  </si>
  <si>
    <t>הפניקס אחזקות בע"מ</t>
  </si>
  <si>
    <t>520017450</t>
  </si>
  <si>
    <t>הפניקס</t>
  </si>
  <si>
    <t>IL0007670123</t>
  </si>
  <si>
    <t>הראל השקעות בביטוח ושרותים פיננסים בע"מ</t>
  </si>
  <si>
    <t>520033986</t>
  </si>
  <si>
    <t>הראל השקעות</t>
  </si>
  <si>
    <t>IL0005850180</t>
  </si>
  <si>
    <t>וואן טכנולוגיות תוכנה(או.אס.טי)בע"מ</t>
  </si>
  <si>
    <t>520034695</t>
  </si>
  <si>
    <t>וואן טכנולוגיות תוכנה</t>
  </si>
  <si>
    <t>IL0001610182</t>
  </si>
  <si>
    <t>וילאר אינטרנשיונל בע"מ</t>
  </si>
  <si>
    <t>520038910</t>
  </si>
  <si>
    <t>וילאר</t>
  </si>
  <si>
    <t>IL0004160169</t>
  </si>
  <si>
    <t>חברה לישראל</t>
  </si>
  <si>
    <t>IL0005760173</t>
  </si>
  <si>
    <t>טאואר סמיקונדקטור בע"מ</t>
  </si>
  <si>
    <t>520041997</t>
  </si>
  <si>
    <t>טאואר</t>
  </si>
  <si>
    <t>IL0010823792</t>
  </si>
  <si>
    <t>טבע</t>
  </si>
  <si>
    <t>IL0006290147</t>
  </si>
  <si>
    <t>טראלייט בע"מ</t>
  </si>
  <si>
    <t>516414679</t>
  </si>
  <si>
    <t>טראלייט מחוג חסום 30/09/25</t>
  </si>
  <si>
    <t>IL0011801730</t>
  </si>
  <si>
    <t>ישראכרט בע"מ</t>
  </si>
  <si>
    <t>510706153</t>
  </si>
  <si>
    <t>ישראכרט</t>
  </si>
  <si>
    <t>IL0011574030</t>
  </si>
  <si>
    <t>ישראמקו יהש</t>
  </si>
  <si>
    <t>IL0002320179</t>
  </si>
  <si>
    <t>ישרס אחזקות בע"מ</t>
  </si>
  <si>
    <t>516632387</t>
  </si>
  <si>
    <t>ישרס אחזקות</t>
  </si>
  <si>
    <t>IL0012029778</t>
  </si>
  <si>
    <t>כלל ביטוח</t>
  </si>
  <si>
    <t>IL0002240146</t>
  </si>
  <si>
    <t>לאומי</t>
  </si>
  <si>
    <t>IL0006046119</t>
  </si>
  <si>
    <t>להב</t>
  </si>
  <si>
    <t>IL0001360101</t>
  </si>
  <si>
    <t>לפידות קפיטל</t>
  </si>
  <si>
    <t>IL0006420173</t>
  </si>
  <si>
    <t>יוחננוף</t>
  </si>
  <si>
    <t>511344186</t>
  </si>
  <si>
    <t>מ. יוחננוף</t>
  </si>
  <si>
    <t>IL0011612640</t>
  </si>
  <si>
    <t>מבטח שמיר אחזקות בע"מ</t>
  </si>
  <si>
    <t>520034125</t>
  </si>
  <si>
    <t>מבטח שמיר</t>
  </si>
  <si>
    <t>IL0001270193</t>
  </si>
  <si>
    <t>מבנה</t>
  </si>
  <si>
    <t>IL0002260193</t>
  </si>
  <si>
    <t>מגדל אחזקות ביטוח ופיננסים בע"מ</t>
  </si>
  <si>
    <t>520029984</t>
  </si>
  <si>
    <t>מגדל ביטוח</t>
  </si>
  <si>
    <t>IL0010811656</t>
  </si>
  <si>
    <t>מגה אור</t>
  </si>
  <si>
    <t>IL0011044885</t>
  </si>
  <si>
    <t>מג'יק תעשיות תכנה בע"מ</t>
  </si>
  <si>
    <t>520036740</t>
  </si>
  <si>
    <t>מג'יק</t>
  </si>
  <si>
    <t>IL0010823123</t>
  </si>
  <si>
    <t>מור השקעות</t>
  </si>
  <si>
    <t>IL0011414641</t>
  </si>
  <si>
    <t>בנק מזרחי טפחות בע"מ</t>
  </si>
  <si>
    <t>520000522</t>
  </si>
  <si>
    <t>מזרחי טפחות</t>
  </si>
  <si>
    <t>IL0006954379</t>
  </si>
  <si>
    <t>קבוצת מיחשוב ישיר בע"מ</t>
  </si>
  <si>
    <t>520040007</t>
  </si>
  <si>
    <t>מחשוב ישיר קבוצה</t>
  </si>
  <si>
    <t>IL0005070128</t>
  </si>
  <si>
    <t>מטריקס אי.טי בע"מ</t>
  </si>
  <si>
    <t>520039413</t>
  </si>
  <si>
    <t>מטריקס</t>
  </si>
  <si>
    <t>IL0004450156</t>
  </si>
  <si>
    <t>מליסרון</t>
  </si>
  <si>
    <t>IL0003230146</t>
  </si>
  <si>
    <t>מלם-תים בע"מ</t>
  </si>
  <si>
    <t>520034620</t>
  </si>
  <si>
    <t>מלם תים</t>
  </si>
  <si>
    <t>IL0001560189</t>
  </si>
  <si>
    <t>מלם-תים אחזקות בע"מ</t>
  </si>
  <si>
    <t>520025198</t>
  </si>
  <si>
    <t>מלם-תים אחזקות</t>
  </si>
  <si>
    <t>IL0007310183</t>
  </si>
  <si>
    <t>מניבים ריט</t>
  </si>
  <si>
    <t>IL0011405730</t>
  </si>
  <si>
    <t>מקס סטוק בע"מ</t>
  </si>
  <si>
    <t>513618967</t>
  </si>
  <si>
    <t>מקס סטוק</t>
  </si>
  <si>
    <t>IL0011685588</t>
  </si>
  <si>
    <t>נאוויטס פט יהש</t>
  </si>
  <si>
    <t>IL0011419699</t>
  </si>
  <si>
    <t>נובה  בע"מ</t>
  </si>
  <si>
    <t>511812463</t>
  </si>
  <si>
    <t>נובה</t>
  </si>
  <si>
    <t>IL0010845571</t>
  </si>
  <si>
    <t>נובולוג פארם אפ 1966 בע"מ</t>
  </si>
  <si>
    <t>510475312</t>
  </si>
  <si>
    <t>נובולוג</t>
  </si>
  <si>
    <t>IL0011401515</t>
  </si>
  <si>
    <t>נופר אנרגי</t>
  </si>
  <si>
    <t>IL0011708778</t>
  </si>
  <si>
    <t>נטו מלינדה סחר בע"מ</t>
  </si>
  <si>
    <t>511725459</t>
  </si>
  <si>
    <t>נטו מלינדה</t>
  </si>
  <si>
    <t>IL0011050973</t>
  </si>
  <si>
    <t>נייס מערכות בע"מ</t>
  </si>
  <si>
    <t>520036872</t>
  </si>
  <si>
    <t>נייס</t>
  </si>
  <si>
    <t>IL0002730112</t>
  </si>
  <si>
    <t>סאמיט</t>
  </si>
  <si>
    <t>IL0010816861</t>
  </si>
  <si>
    <t>סאפיינס</t>
  </si>
  <si>
    <t>KYG7T16G1039</t>
  </si>
  <si>
    <t>סופווייב מדיקל בעמ</t>
  </si>
  <si>
    <t>515198158</t>
  </si>
  <si>
    <t>IL0011754392</t>
  </si>
  <si>
    <t>נ.ר. ספאנטק תעשיות בע"מ</t>
  </si>
  <si>
    <t>512288713</t>
  </si>
  <si>
    <t>ספאנטק</t>
  </si>
  <si>
    <t>IL0010901176</t>
  </si>
  <si>
    <t>עזריאלי קבוצה</t>
  </si>
  <si>
    <t>IL0011194789</t>
  </si>
  <si>
    <t>עמרם</t>
  </si>
  <si>
    <t>IL0011882003</t>
  </si>
  <si>
    <t>פולירם תעשיות פלסטיק בע"מ</t>
  </si>
  <si>
    <t>515251593</t>
  </si>
  <si>
    <t>פולירם</t>
  </si>
  <si>
    <t>IL0011702169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</si>
  <si>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</si>
  <si>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</si>
  <si>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</si>
  <si>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</si>
  <si>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</si>
  <si>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</si>
  <si>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</t>
  </si>
  <si>
    <t>IL0002560162</t>
  </si>
  <si>
    <t>פז בית זיקוק לנפט-אשדוד בע"מ</t>
  </si>
  <si>
    <t>513775163</t>
  </si>
  <si>
    <t>פז בית זיקוק אשדוד</t>
  </si>
  <si>
    <t>IL0011989105</t>
  </si>
  <si>
    <t>פז חברת הנפט בע"מ</t>
  </si>
  <si>
    <t>510216054</t>
  </si>
  <si>
    <t>פז נפט</t>
  </si>
  <si>
    <t>IL0011000077</t>
  </si>
  <si>
    <t>פ.י.ב.י. אחזקות בע"מ</t>
  </si>
  <si>
    <t>520029026</t>
  </si>
  <si>
    <t>פיבי</t>
  </si>
  <si>
    <t>IL0007630119</t>
  </si>
  <si>
    <t>פינרג'י בע"מ</t>
  </si>
  <si>
    <t>514354786</t>
  </si>
  <si>
    <t>פינרג'י</t>
  </si>
  <si>
    <t>IL0011723603</t>
  </si>
  <si>
    <t>פי.סי.בי. טכנולוגיות בע"מ</t>
  </si>
  <si>
    <t>511888356</t>
  </si>
  <si>
    <t>פיסיבי טכנולוגיות</t>
  </si>
  <si>
    <t>IL0010916851</t>
  </si>
  <si>
    <t>חברת פרטנר תקשורת בע"מ</t>
  </si>
  <si>
    <t>520044314</t>
  </si>
  <si>
    <t>פרטנר</t>
  </si>
  <si>
    <t>IL0010834849</t>
  </si>
  <si>
    <t>פריורטק</t>
  </si>
  <si>
    <t>IL0003280133</t>
  </si>
  <si>
    <t>פרשקובסקי</t>
  </si>
  <si>
    <t>IL0011021289</t>
  </si>
  <si>
    <t>פתאל החזקות</t>
  </si>
  <si>
    <t>IL0011434292</t>
  </si>
  <si>
    <t>קווליטאו בע"מ</t>
  </si>
  <si>
    <t>511896540</t>
  </si>
  <si>
    <t>קווליטאו</t>
  </si>
  <si>
    <t>IL0010839558</t>
  </si>
  <si>
    <t>קמטק בע"מ</t>
  </si>
  <si>
    <t>511235434</t>
  </si>
  <si>
    <t>קמטק</t>
  </si>
  <si>
    <t>IL0010952641</t>
  </si>
  <si>
    <t>kenon-holdings inc</t>
  </si>
  <si>
    <t>254900N5LVBX92GMVN72</t>
  </si>
  <si>
    <t>קנון</t>
  </si>
  <si>
    <t>SG9999012629</t>
  </si>
  <si>
    <t>קרור אחזקות בע"מ</t>
  </si>
  <si>
    <t>520001546</t>
  </si>
  <si>
    <t>קרור  1</t>
  </si>
  <si>
    <t>IL0006210111</t>
  </si>
  <si>
    <t>רבל אי.סי.אס. בע"מ</t>
  </si>
  <si>
    <t>513506329</t>
  </si>
  <si>
    <t>רבל</t>
  </si>
  <si>
    <t>IL0011038788</t>
  </si>
  <si>
    <t>ריט 1</t>
  </si>
  <si>
    <t>IL0010989205</t>
  </si>
  <si>
    <t>ריטיילורס בע"מ</t>
  </si>
  <si>
    <t>514211457</t>
  </si>
  <si>
    <t>ריטיילורס</t>
  </si>
  <si>
    <t>IL0011754889</t>
  </si>
  <si>
    <t>רם-און השקעות והחזקות (1999) בע"מ</t>
  </si>
  <si>
    <t>512776964</t>
  </si>
  <si>
    <t>רם-און</t>
  </si>
  <si>
    <t>IL0010909435</t>
  </si>
  <si>
    <t>רשת חנויות רמי לוי שיווק השיקמה 2006 בע"מ</t>
  </si>
  <si>
    <t>513770669</t>
  </si>
  <si>
    <t>רמי לוי</t>
  </si>
  <si>
    <t>IL0011042491</t>
  </si>
  <si>
    <t>שופר-סל בע"מ</t>
  </si>
  <si>
    <t>520022732</t>
  </si>
  <si>
    <t>שופרסל</t>
  </si>
  <si>
    <t>IL0007770378</t>
  </si>
  <si>
    <t>שטראוס</t>
  </si>
  <si>
    <t>IL0007460160</t>
  </si>
  <si>
    <t>תאת טכנולוגיות בע"מ</t>
  </si>
  <si>
    <t>520035791</t>
  </si>
  <si>
    <t>תאת טכנולוגיות</t>
  </si>
  <si>
    <t>IL0010827264</t>
  </si>
  <si>
    <t>תורפז תעשיות בעמ</t>
  </si>
  <si>
    <t>514574524</t>
  </si>
  <si>
    <t>תורפז תעשיות</t>
  </si>
  <si>
    <t>IL0011756116</t>
  </si>
  <si>
    <t>ITHACA ENERGY P</t>
  </si>
  <si>
    <t>GB00BPJHV584</t>
  </si>
  <si>
    <t>JOHNSON &amp; JOHNSON</t>
  </si>
  <si>
    <t>549300G0CFPGEF6X2043</t>
  </si>
  <si>
    <t>JOHNSON AND JOHNSON</t>
  </si>
  <si>
    <t>US4781601046</t>
  </si>
  <si>
    <t>קורנית דיגיטל בע"מ</t>
  </si>
  <si>
    <t>513195420</t>
  </si>
  <si>
    <t>KORNIT DIGITAL</t>
  </si>
  <si>
    <t>IL0011216723</t>
  </si>
  <si>
    <t>PFIZER INC</t>
  </si>
  <si>
    <t>765LHXWGK1KXCLTFYQ30</t>
  </si>
  <si>
    <t>US7170811035</t>
  </si>
  <si>
    <t>רדקום בע"מ</t>
  </si>
  <si>
    <t>520043456</t>
  </si>
  <si>
    <t>RADCOM LTD</t>
  </si>
  <si>
    <t>IL0010826688</t>
  </si>
  <si>
    <t>סולראדג' טכנולוגיות בע"מ</t>
  </si>
  <si>
    <t>513865329</t>
  </si>
  <si>
    <t>SOLAREDGE</t>
  </si>
  <si>
    <t>US83417M1045</t>
  </si>
  <si>
    <t>צים שירותי ספנות משולבים בע"מ</t>
  </si>
  <si>
    <t>21380089EIJRELKAIL21</t>
  </si>
  <si>
    <t>ZIM INTEGRATED</t>
  </si>
  <si>
    <t>IL0065100930</t>
  </si>
  <si>
    <t>אלביט סיסטמס</t>
  </si>
  <si>
    <t>40048</t>
  </si>
  <si>
    <t>אלקטרה פאוור (2019) בע"מ</t>
  </si>
  <si>
    <t>516077989</t>
  </si>
  <si>
    <t>אלקטרה פאוור</t>
  </si>
  <si>
    <t>IL0011669178</t>
  </si>
  <si>
    <t>ארן מחקר ופיתוח (1982) בע"מ</t>
  </si>
  <si>
    <t>510959596</t>
  </si>
  <si>
    <t>ארן</t>
  </si>
  <si>
    <t>IL0010852650</t>
  </si>
  <si>
    <t>כפרית תעשיות (1993) בע"מ</t>
  </si>
  <si>
    <t>520038787</t>
  </si>
  <si>
    <t>כפרית</t>
  </si>
  <si>
    <t>IL0005220111</t>
  </si>
  <si>
    <t>ניסן תעשיות רפואיות בע"מ</t>
  </si>
  <si>
    <t>520040940</t>
  </si>
  <si>
    <t>ניסן</t>
  </si>
  <si>
    <t>IL0006600196</t>
  </si>
  <si>
    <t>קפיטל פוינט בע"מ</t>
  </si>
  <si>
    <t>512950320</t>
  </si>
  <si>
    <t>קפיטל פוינט</t>
  </si>
  <si>
    <t>IL0010971468</t>
  </si>
  <si>
    <t>ראלקו סוכנויות בע"מ</t>
  </si>
  <si>
    <t>520038183</t>
  </si>
  <si>
    <t>ראלקו</t>
  </si>
  <si>
    <t>IL0003930174</t>
  </si>
  <si>
    <t>תדאה, פיתוח טכנולוגי ואוטומציה בע"מ</t>
  </si>
  <si>
    <t>520034364</t>
  </si>
  <si>
    <t>תדאה</t>
  </si>
  <si>
    <t>IL0001420186</t>
  </si>
  <si>
    <t>תמיס ג'י.אר.אי.אנ.בע"מ</t>
  </si>
  <si>
    <t>511327017</t>
  </si>
  <si>
    <t>תמיס (ב. יאיר)</t>
  </si>
  <si>
    <t>IL0010972292</t>
  </si>
  <si>
    <t>Aroundtown property</t>
  </si>
  <si>
    <t>529900H4DWG3KWMBMQ39</t>
  </si>
  <si>
    <t>AROUNDTOWN PROP</t>
  </si>
  <si>
    <t>LU1673108939</t>
  </si>
  <si>
    <t>AstraZeneca PLC</t>
  </si>
  <si>
    <t>PY6ZZQWO2IZFZC3IOL08</t>
  </si>
  <si>
    <t>ASTRAZENECA PLC</t>
  </si>
  <si>
    <t>US0463531089</t>
  </si>
  <si>
    <t>אבן קיסר בע''מ</t>
  </si>
  <si>
    <t>254900MJ7IXAH75VFC61</t>
  </si>
  <si>
    <t>CESAR STONE SDO</t>
  </si>
  <si>
    <t>IL0011259137</t>
  </si>
  <si>
    <t>צ'ק פוינט</t>
  </si>
  <si>
    <t>2549003ZVBH73EPNS513</t>
  </si>
  <si>
    <t>CHECK POINT</t>
  </si>
  <si>
    <t>IL0010824113</t>
  </si>
  <si>
    <t>CITIGROUP INC</t>
  </si>
  <si>
    <t>6SHGI4ZSSLCXXQSBB395</t>
  </si>
  <si>
    <t>CITIGROUP</t>
  </si>
  <si>
    <t>US1729674242</t>
  </si>
  <si>
    <t>DIAGEO CAPITAL PLC</t>
  </si>
  <si>
    <t>213800ZVIELEA55JMJ32</t>
  </si>
  <si>
    <t>DIAGEO PLC NEW</t>
  </si>
  <si>
    <t>US25243Q2057</t>
  </si>
  <si>
    <t>GLAXOSMITHKLINE PLC</t>
  </si>
  <si>
    <t>5493000HZTVUYLO1D793</t>
  </si>
  <si>
    <t>GLAXOSMITHKLINE</t>
  </si>
  <si>
    <t>US37733W2044</t>
  </si>
  <si>
    <t>GRAND CITY PROP</t>
  </si>
  <si>
    <t>LU0775917882</t>
  </si>
  <si>
    <t>אינמוד בע"מ</t>
  </si>
  <si>
    <t>514073618</t>
  </si>
  <si>
    <t>IMODE LTD</t>
  </si>
  <si>
    <t>IL0011595993</t>
  </si>
  <si>
    <t>International flavors&amp;fragrances inc</t>
  </si>
  <si>
    <t>BZLRL03D3GPGMOGFO832</t>
  </si>
  <si>
    <t>INTL FLAVORS &amp;</t>
  </si>
  <si>
    <t>US4595061015</t>
  </si>
  <si>
    <t>רדוור בע"מ</t>
  </si>
  <si>
    <t>520044371</t>
  </si>
  <si>
    <t>RADWARE LTD</t>
  </si>
  <si>
    <t>IL0010834765</t>
  </si>
  <si>
    <t>Unity Wireless</t>
  </si>
  <si>
    <t>10447</t>
  </si>
  <si>
    <t>RES UNITY WIREL</t>
  </si>
  <si>
    <t>US9133471006</t>
  </si>
  <si>
    <t>ROYAL DUTCH SHELL PLC-A SHS</t>
  </si>
  <si>
    <t>21380068P1DRHMJ8KU70</t>
  </si>
  <si>
    <t>SHELL PLC-ADR</t>
  </si>
  <si>
    <t>US7802593050</t>
  </si>
  <si>
    <t>סיליקום בע"מ</t>
  </si>
  <si>
    <t>520041120</t>
  </si>
  <si>
    <t>SILICOM</t>
  </si>
  <si>
    <t>IL0010826928</t>
  </si>
  <si>
    <t>Roche Holdings Inc</t>
  </si>
  <si>
    <t>549300U41AUUVOAAOB37</t>
  </si>
  <si>
    <t>ROCHE HOLDINGS</t>
  </si>
  <si>
    <t>US7711951043</t>
  </si>
  <si>
    <t>SANOFI-AVENTIS</t>
  </si>
  <si>
    <t>549300E9PC51EN656011</t>
  </si>
  <si>
    <t>SANOFI AVENTIS</t>
  </si>
  <si>
    <t>US80105N1054</t>
  </si>
  <si>
    <t>הראל קרנות נאמנות בע"מ</t>
  </si>
  <si>
    <t>511776783</t>
  </si>
  <si>
    <t>הראל סל DowJones IA</t>
  </si>
  <si>
    <t>IL0011492282</t>
  </si>
  <si>
    <t>מניות בחו"ל חשופות מט"ח</t>
  </si>
  <si>
    <t>State Street Corp</t>
  </si>
  <si>
    <t>07F5H7W3ET8ZLWNMFP29</t>
  </si>
  <si>
    <t>CONSUMER STAPLE</t>
  </si>
  <si>
    <t>US81369Y3080</t>
  </si>
  <si>
    <t>FINANCIAL SELEC</t>
  </si>
  <si>
    <t>US81369Y6059</t>
  </si>
  <si>
    <t>HEALTH CARE SEL</t>
  </si>
  <si>
    <t>US81369Y2090</t>
  </si>
  <si>
    <t>Invesco investment management limited</t>
  </si>
  <si>
    <t>ECPGFXU8A2SHKVVGJI15</t>
  </si>
  <si>
    <t>INVESCO NASDAQ</t>
  </si>
  <si>
    <t>US46138G6492</t>
  </si>
  <si>
    <t xml:space="preserve">BlackRock  Asset Managment </t>
  </si>
  <si>
    <t>254900UWHMJRRODS3Z64</t>
  </si>
  <si>
    <t>ISHARES CORE EM</t>
  </si>
  <si>
    <t>IE00BKM4GZ66</t>
  </si>
  <si>
    <t>Powershares  QQQ NAS1</t>
  </si>
  <si>
    <t>US73935A1043</t>
  </si>
  <si>
    <t>S&amp;P 500 SOURCE</t>
  </si>
  <si>
    <t>IE00B3YCGJ38</t>
  </si>
  <si>
    <t>SPDR S&amp;P BIOTEC</t>
  </si>
  <si>
    <t>US78464A8707</t>
  </si>
  <si>
    <t>מגדל קרנות נאמנות בע"מ</t>
  </si>
  <si>
    <t>511303661</t>
  </si>
  <si>
    <t>MTF סל Nasdaq 100 (4A) מנוטרלת</t>
  </si>
  <si>
    <t>IL0011814451</t>
  </si>
  <si>
    <t xml:space="preserve">מניות בחו"ל משולבת </t>
  </si>
  <si>
    <t>MTF500SP ממ</t>
  </si>
  <si>
    <t>IL0011505729</t>
  </si>
  <si>
    <t>Russ2000.MTF</t>
  </si>
  <si>
    <t>IL0011502429</t>
  </si>
  <si>
    <t>הראל סל 4A S&amp;P 500 מנוטרלת</t>
  </si>
  <si>
    <t>IL0011491375</t>
  </si>
  <si>
    <t>הראל סל PR 100 NASDAQ</t>
  </si>
  <si>
    <t>IL0011491037</t>
  </si>
  <si>
    <t>מיטב קרנות נאמנות בע"מ</t>
  </si>
  <si>
    <t>513534974</t>
  </si>
  <si>
    <t>תכלית סל (4D) ‏‏‏NASDAQ 100</t>
  </si>
  <si>
    <t>IL0011444010</t>
  </si>
  <si>
    <t>תכלית סל (4D) ‏‏‏Russell 2000</t>
  </si>
  <si>
    <t>IL0011444846</t>
  </si>
  <si>
    <t>תכלית סל (A‏4)י 500 S&amp;P מנוטרלת מטח</t>
  </si>
  <si>
    <t>IL0011438178</t>
  </si>
  <si>
    <t>ISHARES MSCI AU</t>
  </si>
  <si>
    <t>AU000000IOZ4</t>
  </si>
  <si>
    <t>LYXOR ETF</t>
  </si>
  <si>
    <t>213800VZW861M5FHMD50</t>
  </si>
  <si>
    <t>LYXOR CORE EURS</t>
  </si>
  <si>
    <t>LU0908500753</t>
  </si>
  <si>
    <t>LYXOR ETF S&amp;P 5</t>
  </si>
  <si>
    <t>LU1135865084</t>
  </si>
  <si>
    <t>אלומה אופ 1</t>
  </si>
  <si>
    <t>IL0011909251</t>
  </si>
  <si>
    <t>IL0011816431</t>
  </si>
  <si>
    <t>01/11/2026</t>
  </si>
  <si>
    <t>אלומיי אופ 2</t>
  </si>
  <si>
    <t>IL0012030826</t>
  </si>
  <si>
    <t>05/01/2028</t>
  </si>
  <si>
    <t>אפי נכסים אופציה 3</t>
  </si>
  <si>
    <t>IL0012137191</t>
  </si>
  <si>
    <t>20/11/2025</t>
  </si>
  <si>
    <t>מניבים ריט אפ 4</t>
  </si>
  <si>
    <t>IL0011993222</t>
  </si>
  <si>
    <t>07/12/2025</t>
  </si>
  <si>
    <t>סולאיר אפ 1</t>
  </si>
  <si>
    <t>IL0012179185</t>
  </si>
  <si>
    <t>IL0011722878</t>
  </si>
  <si>
    <t>שובל הנדסה ובניין בע"מ</t>
  </si>
  <si>
    <t>512951518</t>
  </si>
  <si>
    <t>שובל הנדסה אופ 1</t>
  </si>
  <si>
    <t>IL0012159617</t>
  </si>
  <si>
    <t>IL0012079682</t>
  </si>
  <si>
    <t>09/01/2027</t>
  </si>
  <si>
    <t>פטרוכימים  אפ 1</t>
  </si>
  <si>
    <t>IL0011903056</t>
  </si>
  <si>
    <t>IL0007560159</t>
  </si>
  <si>
    <t>25/10/2026</t>
  </si>
  <si>
    <t>חוזים עתידיים בחול</t>
  </si>
  <si>
    <t>10527</t>
  </si>
  <si>
    <t>F 09/25 EURO 600 SXOU5 INDEX</t>
  </si>
  <si>
    <t>SXOU5</t>
  </si>
  <si>
    <t>FWB </t>
  </si>
  <si>
    <t>F 09/25 MINI DA DFWU5 INDEX</t>
  </si>
  <si>
    <t>DFWU5</t>
  </si>
  <si>
    <t>F-07/25 MINI HANG SENG HUN5</t>
  </si>
  <si>
    <t>HUN5</t>
  </si>
  <si>
    <t>HKSE </t>
  </si>
  <si>
    <t>F-09/25 EUROSTO VGU5 INDEX</t>
  </si>
  <si>
    <t>VGU5</t>
  </si>
  <si>
    <t>F-09/25 U.S ULT WNU5</t>
  </si>
  <si>
    <t>WNU5</t>
  </si>
  <si>
    <t>CME </t>
  </si>
  <si>
    <t>F9/25 MINI S&amp;P5 ESU5 INDEX</t>
  </si>
  <si>
    <t>ESU5</t>
  </si>
  <si>
    <t>F9/25 RUSSELL RTYU5 INDEX</t>
  </si>
  <si>
    <t>RTYU5</t>
  </si>
  <si>
    <t>FUTURE ASX 200 XPU5 INDEX</t>
  </si>
  <si>
    <t>XPU5</t>
  </si>
  <si>
    <t>ASX </t>
  </si>
  <si>
    <t>MICRO EMINI S&amp;P HWAU5 INDEX</t>
  </si>
  <si>
    <t>HWAU5</t>
  </si>
  <si>
    <t>US 10YR ULTRA F UXYU5</t>
  </si>
  <si>
    <t>UXYU5</t>
  </si>
  <si>
    <t>F-09/25 E MINI DMU5 INDEX</t>
  </si>
  <si>
    <t>DMU5</t>
  </si>
  <si>
    <t>CBOE </t>
  </si>
  <si>
    <t>NASDAQ 100 E MI NQU5 INDEX</t>
  </si>
  <si>
    <t>NQU5</t>
  </si>
  <si>
    <t>אלה פקדונות בע"מ</t>
  </si>
  <si>
    <t>515666881</t>
  </si>
  <si>
    <t>אלה פקדון אגח ד</t>
  </si>
  <si>
    <t>IL0011623043</t>
  </si>
  <si>
    <t>אלה פקדון אגח ה</t>
  </si>
  <si>
    <t>IL0011625774</t>
  </si>
  <si>
    <t>אלביט מערכות נעמ1-ל</t>
  </si>
  <si>
    <t>IL0011991572</t>
  </si>
  <si>
    <t>31/08/2023</t>
  </si>
  <si>
    <t>04/08/2028</t>
  </si>
  <si>
    <t>אי תלות</t>
  </si>
  <si>
    <t>מרווח הוגן</t>
  </si>
  <si>
    <t>רפאל-רשות לפיתוח אמצעי לחימה בע"מ</t>
  </si>
  <si>
    <t>520042185</t>
  </si>
  <si>
    <t>נייר ערך מסחרי רפאל סדרה 3</t>
  </si>
  <si>
    <t>IL0012202193</t>
  </si>
  <si>
    <t>09/04/2025</t>
  </si>
  <si>
    <t>P-1</t>
  </si>
  <si>
    <t>13/03/2030</t>
  </si>
  <si>
    <t>אגד חברה לתחבורה בע"מ</t>
  </si>
  <si>
    <t>570012377</t>
  </si>
  <si>
    <t>אגד אגח 1-רמ</t>
  </si>
  <si>
    <t>IL0011987877</t>
  </si>
  <si>
    <t>16/08/2023</t>
  </si>
  <si>
    <t>גב-ים נגב בע"מ</t>
  </si>
  <si>
    <t>514189596</t>
  </si>
  <si>
    <t>גב-ים נגב אגח ב-רמ</t>
  </si>
  <si>
    <t>IL0012084534</t>
  </si>
  <si>
    <t>11/07/2024</t>
  </si>
  <si>
    <t>מקורות אגח 8 רמ</t>
  </si>
  <si>
    <t>IL0011243461</t>
  </si>
  <si>
    <t>18/01/2023</t>
  </si>
  <si>
    <t>14/07/2048</t>
  </si>
  <si>
    <t>עלמדב אינק</t>
  </si>
  <si>
    <t>002624970</t>
  </si>
  <si>
    <t>עלמדב אגח ג-רמ</t>
  </si>
  <si>
    <t>IL0012118878</t>
  </si>
  <si>
    <t>30/09/2024</t>
  </si>
  <si>
    <t>30/04/2029</t>
  </si>
  <si>
    <t>אנרג'יאן ישראל פיננס בע"מ</t>
  </si>
  <si>
    <t>516301843</t>
  </si>
  <si>
    <t>ENOIGA 8.5  30/09/2033</t>
  </si>
  <si>
    <t>IL0011971442</t>
  </si>
  <si>
    <t>28/06/2023</t>
  </si>
  <si>
    <t>30/09/2033</t>
  </si>
  <si>
    <t>URBANCORP INC</t>
  </si>
  <si>
    <t>1656</t>
  </si>
  <si>
    <t>אורבנקורפ אגח א</t>
  </si>
  <si>
    <t>IL0011370413</t>
  </si>
  <si>
    <t>30/06/2022</t>
  </si>
  <si>
    <t>31/12/2024</t>
  </si>
  <si>
    <t>03/04/2024</t>
  </si>
  <si>
    <t>אורכית תקשורת (2014) בע"מ</t>
  </si>
  <si>
    <t>515169928</t>
  </si>
  <si>
    <t>אורכית אגח א ( מחוקה )</t>
  </si>
  <si>
    <t>IL0011032096</t>
  </si>
  <si>
    <t>26/03/2007</t>
  </si>
  <si>
    <t>30/12/2020</t>
  </si>
  <si>
    <t>05/01/2022</t>
  </si>
  <si>
    <t>אורמת אגח 4 רמ</t>
  </si>
  <si>
    <t>IL0011672123</t>
  </si>
  <si>
    <t>12/09/2016</t>
  </si>
  <si>
    <t>20/06/2041</t>
  </si>
  <si>
    <t>אורתם סהר הנדסה בע"מ</t>
  </si>
  <si>
    <t>512855404</t>
  </si>
  <si>
    <t>אורתם סהר אגח ה</t>
  </si>
  <si>
    <t>IL0011283962</t>
  </si>
  <si>
    <t>31/05/2020</t>
  </si>
  <si>
    <t>אינטרנט גולד - קווי זהב בע"מ</t>
  </si>
  <si>
    <t>520044264</t>
  </si>
  <si>
    <t>אינטרנט זהב אגח ד חשמל</t>
  </si>
  <si>
    <t>IL0011316143</t>
  </si>
  <si>
    <t>31/05/2022</t>
  </si>
  <si>
    <t>15/09/2022</t>
  </si>
  <si>
    <t>אלון חברת הדלק לישראל בע"מ</t>
  </si>
  <si>
    <t>520041690</t>
  </si>
  <si>
    <t>אלון חברת הדלק רמ אגח א מחוג</t>
  </si>
  <si>
    <t>IL0011015679</t>
  </si>
  <si>
    <t>31/12/2023</t>
  </si>
  <si>
    <t>אפריקה-ישראל להשקעות בע"מ</t>
  </si>
  <si>
    <t>520005067</t>
  </si>
  <si>
    <t>אפריקה אגח כז סכומים לקבל)</t>
  </si>
  <si>
    <t>IL0061104316</t>
  </si>
  <si>
    <t>31/08/2022</t>
  </si>
  <si>
    <t>30/09/2021</t>
  </si>
  <si>
    <t>01/07/2021</t>
  </si>
  <si>
    <t>אפריקה אגח כח (סכומים לקבל)</t>
  </si>
  <si>
    <t>IL0061104803</t>
  </si>
  <si>
    <t>ב.ס.ר אירופה בע"מ</t>
  </si>
  <si>
    <t>520033838</t>
  </si>
  <si>
    <t>בסר אירופה אגח ט</t>
  </si>
  <si>
    <t>IL0011701666</t>
  </si>
  <si>
    <t>14/11/2024</t>
  </si>
  <si>
    <t>בסר ט חש 12/12</t>
  </si>
  <si>
    <t>117019014</t>
  </si>
  <si>
    <t>31/03/2022</t>
  </si>
  <si>
    <t>ברוקלנד</t>
  </si>
  <si>
    <t>1814237</t>
  </si>
  <si>
    <t>ברוקלנד אפריל אגח ב (מחוקה- מחוג</t>
  </si>
  <si>
    <t>IL0011369936</t>
  </si>
  <si>
    <t>28/09/2023</t>
  </si>
  <si>
    <t>01/12/2021</t>
  </si>
  <si>
    <t>09/08/2024</t>
  </si>
  <si>
    <t xml:space="preserve">גדות מסופים כימיקלים (1985) בע"מ </t>
  </si>
  <si>
    <t>520040775</t>
  </si>
  <si>
    <t>גדות מספ אגח א רמ</t>
  </si>
  <si>
    <t>IL0011623209</t>
  </si>
  <si>
    <t>15/08/2018</t>
  </si>
  <si>
    <t>גמול חברה להשקעות בע"מ</t>
  </si>
  <si>
    <t>520018136</t>
  </si>
  <si>
    <t>גמול השקעות אגח ב</t>
  </si>
  <si>
    <t>IL0011167553</t>
  </si>
  <si>
    <t>חבס השקעות (1960) בע"מ</t>
  </si>
  <si>
    <t>520039017</t>
  </si>
  <si>
    <t>חבס אגח 4</t>
  </si>
  <si>
    <t>IL0041501243</t>
  </si>
  <si>
    <t>28/06/2019</t>
  </si>
  <si>
    <t>31/07/2022</t>
  </si>
  <si>
    <t xml:space="preserve">י.ח.ק להשקעות שותפות מוגבלת </t>
  </si>
  <si>
    <t>550016091</t>
  </si>
  <si>
    <t>י.ח.ק.  אגח ב רמ</t>
  </si>
  <si>
    <t>IL0011817835</t>
  </si>
  <si>
    <t>29/12/2022</t>
  </si>
  <si>
    <t>כלל תעשיות בע"מ</t>
  </si>
  <si>
    <t>520021874</t>
  </si>
  <si>
    <t>כלל תעש אגח טז-רמ</t>
  </si>
  <si>
    <t>IL0060802381</t>
  </si>
  <si>
    <t>25/12/2019</t>
  </si>
  <si>
    <t>קאר אנד גו (סדרה א) בע"מ</t>
  </si>
  <si>
    <t>513406835</t>
  </si>
  <si>
    <t>מחוקה _קאר אנד גו %7.4 (חודשי+קרן) 07</t>
  </si>
  <si>
    <t>IL0010882020</t>
  </si>
  <si>
    <t>10/08/2003</t>
  </si>
  <si>
    <t>10/08/2007</t>
  </si>
  <si>
    <t>28/12/2014</t>
  </si>
  <si>
    <t>מעין ונצ'ורס בע"מ</t>
  </si>
  <si>
    <t>512420647</t>
  </si>
  <si>
    <t>מעין ונצורס אגח ב' להמרה(מחוקה)</t>
  </si>
  <si>
    <t>IL0011351850</t>
  </si>
  <si>
    <t>06/04/2015</t>
  </si>
  <si>
    <t>02/04/2022</t>
  </si>
  <si>
    <t>31/10/2022</t>
  </si>
  <si>
    <t>14/07/2011</t>
  </si>
  <si>
    <t>נתיבי גז אג"ח א - רמ</t>
  </si>
  <si>
    <t>IL0011030843</t>
  </si>
  <si>
    <t>28/12/2006</t>
  </si>
  <si>
    <t>29/12/2026</t>
  </si>
  <si>
    <t>31/03/2024</t>
  </si>
  <si>
    <t>סיאלו טכנולוגיה ישראל בע"מ</t>
  </si>
  <si>
    <t>513310235</t>
  </si>
  <si>
    <t>סיאלו אגח א ( מחוקה )</t>
  </si>
  <si>
    <t>IL0011020604</t>
  </si>
  <si>
    <t>13/03/2007</t>
  </si>
  <si>
    <t>28/09/2019</t>
  </si>
  <si>
    <t>29/11/2018</t>
  </si>
  <si>
    <t>קאר אנד גו</t>
  </si>
  <si>
    <t>D</t>
  </si>
  <si>
    <t>קמור בע"מ</t>
  </si>
  <si>
    <t>520034117</t>
  </si>
  <si>
    <t>קמור אגח ו</t>
  </si>
  <si>
    <t>IL0013201186</t>
  </si>
  <si>
    <t>רפאל אגח סדרה ה 2020/2026</t>
  </si>
  <si>
    <t>IL0011402927</t>
  </si>
  <si>
    <t>01/03/2017</t>
  </si>
  <si>
    <t>15/03/2026</t>
  </si>
  <si>
    <t>רפאל סד' ד 2020/2034</t>
  </si>
  <si>
    <t>IL0011402844</t>
  </si>
  <si>
    <t>15/09/2034</t>
  </si>
  <si>
    <t>רשות שדות התעופה בישראל</t>
  </si>
  <si>
    <t>500102868</t>
  </si>
  <si>
    <t>רש"ת אגח א - רמ</t>
  </si>
  <si>
    <t>IL0011873358</t>
  </si>
  <si>
    <t>רש"ת אגח ב -רמ</t>
  </si>
  <si>
    <t>IL0011873432</t>
  </si>
  <si>
    <t>31/12/2036</t>
  </si>
  <si>
    <t>תשתיות אנרגיה בעמ</t>
  </si>
  <si>
    <t>520027293</t>
  </si>
  <si>
    <t>תשת אנרג אגח א 2023/2040</t>
  </si>
  <si>
    <t>IL0011680878</t>
  </si>
  <si>
    <t>17/08/2020</t>
  </si>
  <si>
    <t>31/12/2040</t>
  </si>
  <si>
    <t>קמור אגח ח מחוקה</t>
  </si>
  <si>
    <t>IL0013201343</t>
  </si>
  <si>
    <t>קמור ח חש11/12 מחוג</t>
  </si>
  <si>
    <t>132016714</t>
  </si>
  <si>
    <t>30/11/2014</t>
  </si>
  <si>
    <t>NAV
(במטבע הדיווח של קרן ההשקעה)</t>
  </si>
  <si>
    <t>Ap Partners</t>
  </si>
  <si>
    <t>515472009</t>
  </si>
  <si>
    <t>AP Partners קרן השקעה</t>
  </si>
  <si>
    <t>17/04/2018</t>
  </si>
  <si>
    <t xml:space="preserve">Electra Capital PM </t>
  </si>
  <si>
    <t>87-4404526</t>
  </si>
  <si>
    <t>ELECTRA CAPITAL PM קרן השקעה</t>
  </si>
  <si>
    <t>18/03/2020</t>
  </si>
  <si>
    <t>03/06/2025</t>
  </si>
  <si>
    <t>יסודות א נדלן ופיתוח שותפות מוגבלת</t>
  </si>
  <si>
    <t>550263420</t>
  </si>
  <si>
    <t>יסודות אנקס קרן נדלן</t>
  </si>
  <si>
    <t>09/10/2016</t>
  </si>
  <si>
    <t>29/05/2025</t>
  </si>
  <si>
    <t>יסודות קרן נדלן</t>
  </si>
  <si>
    <t>07/09/2015</t>
  </si>
  <si>
    <t>Madison Realty Capital</t>
  </si>
  <si>
    <t>84-2386457</t>
  </si>
  <si>
    <t>מדיסון 4 - קרן השקעה</t>
  </si>
  <si>
    <t>20/05/2025</t>
  </si>
  <si>
    <t>מדיסון 5 - קרן השקעה</t>
  </si>
  <si>
    <t>קרן נוי 2 להשקעה בתשתיות אנרגיה</t>
  </si>
  <si>
    <t>550241467</t>
  </si>
  <si>
    <t>נוי 2  - קרן השקעה חשמל</t>
  </si>
  <si>
    <t>23/12/2014</t>
  </si>
  <si>
    <t>15/05/2025</t>
  </si>
  <si>
    <t>קוגיטו קפיטל אל.אמ.אי שותף כללי, שותפות מוגבלת</t>
  </si>
  <si>
    <t>550270912</t>
  </si>
  <si>
    <t>קוגיטו קפיטל קרן השקעה</t>
  </si>
  <si>
    <t>14/12/2015</t>
  </si>
  <si>
    <t>קוגיטו קרן משלימה</t>
  </si>
  <si>
    <t>12/12/2016</t>
  </si>
  <si>
    <t>קרדיטו בע"מ</t>
  </si>
  <si>
    <t>515251494</t>
  </si>
  <si>
    <t>קרדיטו - קרן השקעה</t>
  </si>
  <si>
    <t>22/03/2020</t>
  </si>
  <si>
    <t>Accelmed Growth Partners L.P</t>
  </si>
  <si>
    <t>MC-83827</t>
  </si>
  <si>
    <t>קרן אקסלמד</t>
  </si>
  <si>
    <t>30/12/2015</t>
  </si>
  <si>
    <t>19/06/2025</t>
  </si>
  <si>
    <t>לידר החזקות והשקעות בע"מ</t>
  </si>
  <si>
    <t>516455920</t>
  </si>
  <si>
    <t>קרן לידר טופ קפיטל</t>
  </si>
  <si>
    <t>קרן שביט 4</t>
  </si>
  <si>
    <t>550271712</t>
  </si>
  <si>
    <t>שביט קרן השקעה</t>
  </si>
  <si>
    <t>05/09/2018</t>
  </si>
  <si>
    <t>10/04/2025</t>
  </si>
  <si>
    <t>Frux Capital Investments</t>
  </si>
  <si>
    <t>B252604</t>
  </si>
  <si>
    <t>Frux Debt Fund II</t>
  </si>
  <si>
    <t>16/12/2021</t>
  </si>
  <si>
    <t>22/05/2025</t>
  </si>
  <si>
    <t>Hamilton Lane Advisors, LLC</t>
  </si>
  <si>
    <t xml:space="preserve">98-1588386 </t>
  </si>
  <si>
    <t>Hamilton Lane VII LP</t>
  </si>
  <si>
    <t>ISF</t>
  </si>
  <si>
    <t>113507-CO</t>
  </si>
  <si>
    <t>ISF III OVERFLOW FUND</t>
  </si>
  <si>
    <t>26/01/2023</t>
  </si>
  <si>
    <t>24/06/2025</t>
  </si>
  <si>
    <t xml:space="preserve"> Electra Capital PM</t>
  </si>
  <si>
    <t>אלקטרה נדלן חוב 2 קרן  השקעה מחוג</t>
  </si>
  <si>
    <t>05/06/2025</t>
  </si>
  <si>
    <t>GOLDEN TREE</t>
  </si>
  <si>
    <t>549300WMN0QTKIC7M266</t>
  </si>
  <si>
    <t>גולדן טרי</t>
  </si>
  <si>
    <t>30/04/2025</t>
  </si>
  <si>
    <t>מדיסון 6 מחוג</t>
  </si>
  <si>
    <t>24/08/2022</t>
  </si>
  <si>
    <t>Viola Private Equity I L.P</t>
  </si>
  <si>
    <t>12169</t>
  </si>
  <si>
    <t>קרן VIOLA</t>
  </si>
  <si>
    <t>15/07/2021</t>
  </si>
  <si>
    <t>19/05/2025</t>
  </si>
  <si>
    <t>Penfund Capital Fund Inc</t>
  </si>
  <si>
    <t xml:space="preserve">793297201 RC0001 </t>
  </si>
  <si>
    <t>קרן השקעות פן פאנד</t>
  </si>
  <si>
    <t>20/09/2022</t>
  </si>
  <si>
    <t>Pantheon Private Debt</t>
  </si>
  <si>
    <t>213800U3XYENZ6K2K182</t>
  </si>
  <si>
    <t>קרן פנתיאון</t>
  </si>
  <si>
    <t xml:space="preserve">Direct Lending Fund V General Partner </t>
  </si>
  <si>
    <t>B266150</t>
  </si>
  <si>
    <t>Arcmont Direct Lending Fund V</t>
  </si>
  <si>
    <t>04/03/2025</t>
  </si>
  <si>
    <t>21/05/2025</t>
  </si>
  <si>
    <t>Naftali Capital Partners L.p</t>
  </si>
  <si>
    <t>92-1884890</t>
  </si>
  <si>
    <t>Naftali Shaked Partners II Feeder LP</t>
  </si>
  <si>
    <t>03/04/2023</t>
  </si>
  <si>
    <t>27/05/2025</t>
  </si>
  <si>
    <t>Pantheon Senior Debt 3</t>
  </si>
  <si>
    <t>20/12/2024</t>
  </si>
  <si>
    <t>קרן VIOLA 3</t>
  </si>
  <si>
    <t>26/02/2025</t>
  </si>
  <si>
    <t>אוורגרין ניהול בע"מ</t>
  </si>
  <si>
    <t>512835760</t>
  </si>
  <si>
    <t>אוורגרין- חשמל</t>
  </si>
  <si>
    <t>30/11/1999</t>
  </si>
  <si>
    <t>24/05/2023</t>
  </si>
  <si>
    <t>BRIDGES ISRAEL GP GROWTH FUND 1 LIMITED PARTNERSHI</t>
  </si>
  <si>
    <t>540279767</t>
  </si>
  <si>
    <t>פימי 2 חשמל</t>
  </si>
  <si>
    <t>30/06/2009</t>
  </si>
  <si>
    <t>דוניץ כתב אופציה ל.ס. 311225</t>
  </si>
  <si>
    <t>29994696</t>
  </si>
  <si>
    <t>27/01/2025</t>
  </si>
  <si>
    <t>דמרי אופציה לא סחירה_14122025</t>
  </si>
  <si>
    <t>1201748</t>
  </si>
  <si>
    <t>14/12/2025</t>
  </si>
  <si>
    <t>13/10/2024</t>
  </si>
  <si>
    <t>טראלייט כתבי אופציה ל.ס. 032027</t>
  </si>
  <si>
    <t>1219492</t>
  </si>
  <si>
    <t>27/03/2027</t>
  </si>
  <si>
    <t>07/04/2025</t>
  </si>
  <si>
    <t>559</t>
  </si>
  <si>
    <t>556</t>
  </si>
  <si>
    <t>90025796</t>
  </si>
  <si>
    <t>DAX</t>
  </si>
  <si>
    <t>02/03/2026</t>
  </si>
  <si>
    <t>No-Delivery</t>
  </si>
  <si>
    <t>0</t>
  </si>
  <si>
    <t>NA</t>
  </si>
  <si>
    <t>LUMILIT</t>
  </si>
  <si>
    <t>90025798</t>
  </si>
  <si>
    <t>XNDX</t>
  </si>
  <si>
    <t>28/05/2025</t>
  </si>
  <si>
    <t>29/05/2026</t>
  </si>
  <si>
    <t>90025808</t>
  </si>
  <si>
    <t>AS51T</t>
  </si>
  <si>
    <t>BBSW</t>
  </si>
  <si>
    <t>90022899</t>
  </si>
  <si>
    <t>HSI 1</t>
  </si>
  <si>
    <t>17/07/2024</t>
  </si>
  <si>
    <t>18/07/2025</t>
  </si>
  <si>
    <t>90024544</t>
  </si>
  <si>
    <t>04/11/2024</t>
  </si>
  <si>
    <t>04/11/2025</t>
  </si>
  <si>
    <t>90024546</t>
  </si>
  <si>
    <t>NDUEEGF</t>
  </si>
  <si>
    <t>11/11/2024</t>
  </si>
  <si>
    <t>12/11/2025</t>
  </si>
  <si>
    <t>90024547</t>
  </si>
  <si>
    <t>SPTR</t>
  </si>
  <si>
    <t>07/01/2025</t>
  </si>
  <si>
    <t>08/07/2025</t>
  </si>
  <si>
    <t>90025807</t>
  </si>
  <si>
    <t>RU20INTR</t>
  </si>
  <si>
    <t>04/02/2025</t>
  </si>
  <si>
    <t>05/02/2026</t>
  </si>
  <si>
    <t>90024545</t>
  </si>
  <si>
    <t>12/11/2024</t>
  </si>
  <si>
    <t>13/11/2025</t>
  </si>
  <si>
    <t>90024542</t>
  </si>
  <si>
    <t>26/11/2024</t>
  </si>
  <si>
    <t>26/11/2025</t>
  </si>
  <si>
    <t>90024549</t>
  </si>
  <si>
    <t>12/09/2024</t>
  </si>
  <si>
    <t>12/09/2025</t>
  </si>
  <si>
    <t>90024536</t>
  </si>
  <si>
    <t>28/08/2024</t>
  </si>
  <si>
    <t>29/08/2025</t>
  </si>
  <si>
    <t>90024537</t>
  </si>
  <si>
    <t>03/09/2024</t>
  </si>
  <si>
    <t>05/09/2025</t>
  </si>
  <si>
    <t>13710</t>
  </si>
  <si>
    <t>13711</t>
  </si>
  <si>
    <t>7205</t>
  </si>
  <si>
    <t>7206</t>
  </si>
  <si>
    <t>7207</t>
  </si>
  <si>
    <t>510960586</t>
  </si>
  <si>
    <t>הלוואות עמיתים</t>
  </si>
  <si>
    <t>300081080</t>
  </si>
  <si>
    <t>other</t>
  </si>
  <si>
    <t>לאומי אגח 3 צמודות אשראי - CLN רמ</t>
  </si>
  <si>
    <t>IL0012150293</t>
  </si>
  <si>
    <t>22/12/2024</t>
  </si>
  <si>
    <t>לאומי אגח 4 צמודות אשראי - CLN רמ</t>
  </si>
  <si>
    <t>IL0012219288</t>
  </si>
  <si>
    <t>20/05/2026</t>
  </si>
  <si>
    <t>28/10/2025</t>
  </si>
  <si>
    <t>04/12/2025</t>
  </si>
  <si>
    <t>11/07/2025</t>
  </si>
  <si>
    <t>30/11/2024</t>
  </si>
  <si>
    <t>נדלן בית מעיא</t>
  </si>
  <si>
    <t xml:space="preserve">דרך מנחם בגין 74 תל אביב </t>
  </si>
  <si>
    <t>מעריך שווי חיצוני בלתי תלוי</t>
  </si>
  <si>
    <t>08/12/2024</t>
  </si>
  <si>
    <t>זכאים</t>
  </si>
  <si>
    <t>28080000</t>
  </si>
  <si>
    <t>חייבים</t>
  </si>
  <si>
    <t>27960000</t>
  </si>
  <si>
    <t>זכאים מס עמיתים</t>
  </si>
  <si>
    <t>28200000</t>
  </si>
  <si>
    <t>30/07/2022</t>
  </si>
  <si>
    <t>30/12/2022</t>
  </si>
  <si>
    <t>550274542</t>
  </si>
  <si>
    <t>נוי 2</t>
  </si>
  <si>
    <t>666103072</t>
  </si>
  <si>
    <t>קרן יסודות א להשקעה בנדלן</t>
  </si>
  <si>
    <t>11270</t>
  </si>
  <si>
    <t xml:space="preserve">יסודות </t>
  </si>
  <si>
    <t>666103007</t>
  </si>
  <si>
    <t>יסודות (אנקס)</t>
  </si>
  <si>
    <t>666103635</t>
  </si>
  <si>
    <t>קוגיטו - בערבות המדינה</t>
  </si>
  <si>
    <t>666103494</t>
  </si>
  <si>
    <t>קוגיטו - משלימה</t>
  </si>
  <si>
    <t>666103965</t>
  </si>
  <si>
    <t>27178</t>
  </si>
  <si>
    <t>אקסלמד</t>
  </si>
  <si>
    <t>666103163</t>
  </si>
  <si>
    <t>13075</t>
  </si>
  <si>
    <t>AP Partners</t>
  </si>
  <si>
    <t>666105929</t>
  </si>
  <si>
    <t>2106</t>
  </si>
  <si>
    <t>מדיסון 4</t>
  </si>
  <si>
    <t>666106026</t>
  </si>
  <si>
    <t>מדיסון 5</t>
  </si>
  <si>
    <t>666107438</t>
  </si>
  <si>
    <t>מדיסון 6</t>
  </si>
  <si>
    <t>666110671</t>
  </si>
  <si>
    <t>11314</t>
  </si>
  <si>
    <t>אלקטרה נדל"ן</t>
  </si>
  <si>
    <t>666107420</t>
  </si>
  <si>
    <t>אלקטרה נדל"ן חוב 2</t>
  </si>
  <si>
    <t>66611034</t>
  </si>
  <si>
    <t>11280</t>
  </si>
  <si>
    <t>שביט</t>
  </si>
  <si>
    <t>666106133</t>
  </si>
  <si>
    <t>13166</t>
  </si>
  <si>
    <t>קרדיטו</t>
  </si>
  <si>
    <t>666107446</t>
  </si>
  <si>
    <t>Viola Credit ALF III GP, LP</t>
  </si>
  <si>
    <t>MC-122634</t>
  </si>
  <si>
    <t>ויולה</t>
  </si>
  <si>
    <t>666109236</t>
  </si>
  <si>
    <t>28614</t>
  </si>
  <si>
    <t>פרוקס</t>
  </si>
  <si>
    <t>666109723</t>
  </si>
  <si>
    <t>11542</t>
  </si>
  <si>
    <t>פנתיאון 2</t>
  </si>
  <si>
    <t>666109954</t>
  </si>
  <si>
    <t>520037664</t>
  </si>
  <si>
    <t>לידר טופ קפיטל</t>
  </si>
  <si>
    <t>666109921</t>
  </si>
  <si>
    <t>23-2962336</t>
  </si>
  <si>
    <t>קרן המילטון</t>
  </si>
  <si>
    <t>666110408</t>
  </si>
  <si>
    <t>549300TS068SCJRDSP12</t>
  </si>
  <si>
    <t>666109798</t>
  </si>
  <si>
    <t>9486</t>
  </si>
  <si>
    <t>פן פאנד</t>
  </si>
  <si>
    <t>666110754</t>
  </si>
  <si>
    <t>27425</t>
  </si>
  <si>
    <t>666110800</t>
  </si>
  <si>
    <t>2105</t>
  </si>
  <si>
    <t>666110801</t>
  </si>
  <si>
    <t>פנתיאון 3</t>
  </si>
  <si>
    <t>666109998</t>
  </si>
  <si>
    <t>19/12/2024</t>
  </si>
  <si>
    <t>ויולה 3</t>
  </si>
  <si>
    <t>666109237</t>
  </si>
  <si>
    <t>Direct Lending Fund V General Partner S.à r.l</t>
  </si>
  <si>
    <t>ארקמונט 5</t>
  </si>
  <si>
    <t>666110883</t>
  </si>
  <si>
    <t>06/03/2025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</si>
</sst>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</numFmts>
  <fonts count="2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7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</cellStyleXfs>
  <cellXfs count="20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0" fontId="1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4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11" fillId="5" borderId="11" xfId="1" applyFont="1" applyFill="1" applyBorder="1" applyAlignment="1" applyProtection="1">
      <alignment horizontal="left" vertical="center" wrapText="1" indent="1"/>
      <protection locked="0"/>
    </xf>
    <xf numFmtId="0" fontId="11" fillId="5" borderId="11" xfId="1" applyFont="1" applyFill="1" applyBorder="1" applyAlignment="1" applyProtection="1">
      <alignment vertical="center" wrapText="1"/>
      <protection locked="0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17" fontId="0" fillId="0" borderId="0" xfId="0" applyNumberFormat="1"/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165" fontId="6" fillId="3" borderId="2" xfId="0" applyNumberFormat="1" applyFont="1" applyFill="1" applyBorder="1" applyAlignment="1">
      <alignment horizontal="center" vertical="center" wrapText="1"/>
    </xf>
    <xf numFmtId="166" fontId="6" fillId="3" borderId="2" xfId="5" applyNumberFormat="1" applyFont="1" applyFill="1" applyBorder="1" applyAlignment="1">
      <alignment horizontal="center" vertical="center" wrapText="1"/>
    </xf>
    <xf numFmtId="166" fontId="6" fillId="3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" fontId="0" fillId="0" borderId="0" xfId="0" applyNumberFormat="1" applyAlignment="1">
      <alignment horizontal="center"/>
    </xf>
    <xf numFmtId="165" fontId="1" fillId="0" borderId="0" xfId="0" applyNumberFormat="1" applyFont="1"/>
    <xf numFmtId="166" fontId="26" fillId="0" borderId="0" xfId="5" applyNumberFormat="1" applyFont="1" applyFill="1" applyBorder="1" applyAlignment="1">
      <alignment horizontal="center"/>
    </xf>
    <xf numFmtId="4" fontId="1" fillId="0" borderId="0" xfId="0" applyNumberFormat="1" applyFont="1"/>
    <xf numFmtId="166" fontId="1" fillId="0" borderId="0" xfId="0" applyNumberFormat="1" applyFont="1"/>
    <xf numFmtId="166" fontId="0" fillId="0" borderId="0" xfId="5" applyNumberFormat="1" applyFont="1" applyFill="1" applyBorder="1"/>
    <xf numFmtId="166" fontId="1" fillId="0" borderId="0" xfId="5" applyNumberFormat="1" applyFont="1" applyFill="1" applyBorder="1"/>
    <xf numFmtId="10" fontId="1" fillId="0" borderId="0" xfId="5" applyNumberFormat="1" applyFont="1" applyFill="1" applyBorder="1"/>
    <xf numFmtId="164" fontId="6" fillId="3" borderId="2" xfId="0" applyNumberFormat="1" applyFont="1" applyFill="1" applyBorder="1" applyAlignment="1">
      <alignment horizontal="center" vertical="center" wrapText="1"/>
    </xf>
    <xf numFmtId="4" fontId="2" fillId="0" borderId="0" xfId="0" applyNumberFormat="1" applyFont="1"/>
    <xf numFmtId="166" fontId="2" fillId="0" borderId="0" xfId="0" applyNumberFormat="1" applyFont="1"/>
    <xf numFmtId="165" fontId="2" fillId="0" borderId="0" xfId="0" applyNumberFormat="1" applyFont="1"/>
    <xf numFmtId="164" fontId="2" fillId="0" borderId="0" xfId="0" applyNumberFormat="1" applyFont="1"/>
    <xf numFmtId="166" fontId="0" fillId="0" borderId="0" xfId="0" applyNumberFormat="1"/>
    <xf numFmtId="166" fontId="2" fillId="0" borderId="0" xfId="5" applyNumberFormat="1" applyFont="1" applyFill="1" applyBorder="1"/>
    <xf numFmtId="10" fontId="2" fillId="0" borderId="0" xfId="5" applyNumberFormat="1" applyFont="1" applyFill="1" applyBorder="1"/>
    <xf numFmtId="10" fontId="2" fillId="0" borderId="0" xfId="0" applyNumberFormat="1" applyFont="1"/>
    <xf numFmtId="4" fontId="2" fillId="0" borderId="0" xfId="0" applyNumberFormat="1" applyFont="1" applyProtection="1">
      <protection locked="0"/>
    </xf>
    <xf numFmtId="166" fontId="2" fillId="0" borderId="0" xfId="5" applyNumberFormat="1" applyFont="1" applyFill="1" applyBorder="1" applyProtection="1">
      <protection locked="0"/>
    </xf>
    <xf numFmtId="165" fontId="2" fillId="0" borderId="0" xfId="0" applyNumberFormat="1" applyFont="1" applyProtection="1">
      <protection locked="0"/>
    </xf>
    <xf numFmtId="164" fontId="2" fillId="0" borderId="0" xfId="0" applyNumberFormat="1" applyFont="1" applyProtection="1">
      <protection locked="0"/>
    </xf>
    <xf numFmtId="166" fontId="2" fillId="0" borderId="0" xfId="0" applyNumberFormat="1" applyFont="1" applyProtection="1">
      <protection locked="0"/>
    </xf>
    <xf numFmtId="164" fontId="1" fillId="0" borderId="0" xfId="0" applyNumberFormat="1" applyFont="1" applyProtection="1">
      <protection locked="0"/>
    </xf>
    <xf numFmtId="4" fontId="1" fillId="0" borderId="0" xfId="0" applyNumberFormat="1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22" xfId="0" applyFont="1" applyBorder="1" applyProtection="1">
      <protection locked="0"/>
    </xf>
    <xf numFmtId="166" fontId="1" fillId="0" borderId="0" xfId="5" applyNumberFormat="1" applyFont="1" applyFill="1" applyBorder="1" applyProtection="1">
      <protection locked="0"/>
    </xf>
    <xf numFmtId="166" fontId="1" fillId="0" borderId="0" xfId="0" applyNumberFormat="1" applyFont="1" applyProtection="1">
      <protection locked="0"/>
    </xf>
    <xf numFmtId="165" fontId="1" fillId="0" borderId="0" xfId="0" applyNumberFormat="1" applyFont="1" applyProtection="1">
      <protection locked="0"/>
    </xf>
    <xf numFmtId="164" fontId="1" fillId="0" borderId="0" xfId="0" applyNumberFormat="1" applyFont="1"/>
    <xf numFmtId="0" fontId="26" fillId="0" borderId="0" xfId="0" applyFont="1" applyProtection="1">
      <protection locked="0"/>
    </xf>
    <xf numFmtId="4" fontId="26" fillId="0" borderId="0" xfId="0" applyNumberFormat="1" applyFont="1" applyProtection="1">
      <protection locked="0"/>
    </xf>
    <xf numFmtId="0" fontId="26" fillId="0" borderId="0" xfId="0" applyFont="1"/>
    <xf numFmtId="4" fontId="26" fillId="0" borderId="0" xfId="0" applyNumberFormat="1" applyFont="1"/>
    <xf numFmtId="167" fontId="6" fillId="3" borderId="2" xfId="0" applyNumberFormat="1" applyFont="1" applyFill="1" applyBorder="1" applyAlignment="1">
      <alignment horizontal="center" vertical="center" wrapText="1"/>
    </xf>
    <xf numFmtId="167" fontId="1" fillId="0" borderId="0" xfId="0" applyNumberFormat="1" applyFont="1" applyProtection="1">
      <protection locked="0"/>
    </xf>
    <xf numFmtId="167" fontId="1" fillId="0" borderId="0" xfId="0" applyNumberFormat="1" applyFont="1"/>
    <xf numFmtId="10" fontId="1" fillId="0" borderId="0" xfId="5" applyNumberFormat="1" applyFont="1" applyFill="1" applyBorder="1" applyProtection="1">
      <protection locked="0"/>
    </xf>
    <xf numFmtId="167" fontId="0" fillId="0" borderId="0" xfId="0" applyNumberFormat="1"/>
    <xf numFmtId="4" fontId="0" fillId="0" borderId="0" xfId="0" applyNumberFormat="1"/>
    <xf numFmtId="167" fontId="6" fillId="3" borderId="8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right" vertical="center" wrapText="1"/>
    </xf>
    <xf numFmtId="164" fontId="6" fillId="3" borderId="2" xfId="0" applyNumberFormat="1" applyFont="1" applyFill="1" applyBorder="1" applyAlignment="1">
      <alignment horizontal="right" vertical="center" wrapText="1"/>
    </xf>
    <xf numFmtId="166" fontId="6" fillId="3" borderId="2" xfId="5" applyNumberFormat="1" applyFont="1" applyFill="1" applyBorder="1" applyAlignment="1">
      <alignment horizontal="right" vertical="center" wrapText="1"/>
    </xf>
    <xf numFmtId="10" fontId="6" fillId="3" borderId="2" xfId="5" applyNumberFormat="1" applyFont="1" applyFill="1" applyBorder="1" applyAlignment="1">
      <alignment horizontal="right" vertical="center" wrapText="1"/>
    </xf>
    <xf numFmtId="166" fontId="6" fillId="3" borderId="2" xfId="0" applyNumberFormat="1" applyFont="1" applyFill="1" applyBorder="1" applyAlignment="1">
      <alignment horizontal="right" vertical="center" wrapText="1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166" fontId="0" fillId="0" borderId="0" xfId="5" applyNumberFormat="1" applyFont="1" applyFill="1" applyBorder="1" applyAlignment="1">
      <alignment horizontal="right"/>
    </xf>
    <xf numFmtId="0" fontId="2" fillId="0" borderId="0" xfId="0" applyFont="1" applyAlignment="1" applyProtection="1">
      <alignment horizontal="right"/>
      <protection locked="0"/>
    </xf>
    <xf numFmtId="14" fontId="1" fillId="0" borderId="0" xfId="0" applyNumberFormat="1" applyFont="1" applyAlignment="1">
      <alignment horizontal="right"/>
    </xf>
    <xf numFmtId="10" fontId="0" fillId="0" borderId="0" xfId="5" applyNumberFormat="1" applyFont="1" applyAlignment="1">
      <alignment horizontal="right"/>
    </xf>
    <xf numFmtId="166" fontId="1" fillId="0" borderId="0" xfId="0" applyNumberFormat="1" applyFont="1" applyAlignment="1" applyProtection="1">
      <alignment horizontal="right"/>
      <protection locked="0"/>
    </xf>
    <xf numFmtId="2" fontId="8" fillId="0" borderId="0" xfId="6" applyNumberFormat="1"/>
    <xf numFmtId="166" fontId="1" fillId="0" borderId="0" xfId="5" applyNumberFormat="1" applyFont="1" applyFill="1" applyBorder="1" applyAlignment="1">
      <alignment horizontal="right"/>
    </xf>
    <xf numFmtId="166" fontId="1" fillId="0" borderId="0" xfId="0" applyNumberFormat="1" applyFont="1" applyAlignment="1">
      <alignment horizontal="right"/>
    </xf>
    <xf numFmtId="9" fontId="1" fillId="0" borderId="0" xfId="5" applyFont="1" applyFill="1" applyBorder="1" applyAlignment="1">
      <alignment horizontal="right"/>
    </xf>
    <xf numFmtId="10" fontId="0" fillId="0" borderId="0" xfId="5" applyNumberFormat="1" applyFont="1" applyFill="1" applyBorder="1" applyAlignment="1">
      <alignment horizontal="right"/>
    </xf>
    <xf numFmtId="10" fontId="6" fillId="3" borderId="2" xfId="0" applyNumberFormat="1" applyFont="1" applyFill="1" applyBorder="1" applyAlignment="1">
      <alignment horizontal="center" vertical="center" wrapText="1"/>
    </xf>
    <xf numFmtId="2" fontId="6" fillId="3" borderId="2" xfId="0" applyNumberFormat="1" applyFont="1" applyFill="1" applyBorder="1" applyAlignment="1">
      <alignment horizontal="center" vertical="center" wrapText="1"/>
    </xf>
    <xf numFmtId="10" fontId="1" fillId="0" borderId="0" xfId="0" applyNumberFormat="1" applyFont="1" applyProtection="1">
      <protection locked="0"/>
    </xf>
    <xf numFmtId="10" fontId="1" fillId="0" borderId="0" xfId="0" applyNumberFormat="1" applyFont="1"/>
    <xf numFmtId="10" fontId="0" fillId="0" borderId="0" xfId="5" applyNumberFormat="1" applyFont="1" applyFill="1" applyBorder="1"/>
    <xf numFmtId="167" fontId="26" fillId="0" borderId="0" xfId="0" applyNumberFormat="1" applyFont="1"/>
    <xf numFmtId="167" fontId="1" fillId="0" borderId="0" xfId="0" applyNumberFormat="1" applyFont="1" applyAlignment="1" applyProtection="1">
      <alignment horizontal="right"/>
      <protection locked="0"/>
    </xf>
    <xf numFmtId="43" fontId="7" fillId="0" borderId="10" xfId="4" applyFont="1" applyFill="1" applyBorder="1" applyAlignment="1">
      <alignment horizontal="center" vertical="center" wrapText="1"/>
    </xf>
    <xf numFmtId="43" fontId="7" fillId="0" borderId="10" xfId="4" applyFont="1" applyBorder="1" applyAlignment="1">
      <alignment horizontal="center" vertical="center" wrapText="1"/>
    </xf>
    <xf numFmtId="43" fontId="7" fillId="0" borderId="21" xfId="4" applyFont="1" applyBorder="1" applyAlignment="1">
      <alignment horizontal="center" vertical="center" wrapText="1"/>
    </xf>
    <xf numFmtId="43" fontId="25" fillId="0" borderId="20" xfId="4" applyFont="1" applyBorder="1" applyAlignment="1">
      <alignment horizontal="center" vertical="center" wrapText="1"/>
    </xf>
    <xf numFmtId="9" fontId="7" fillId="0" borderId="10" xfId="5" applyFont="1" applyBorder="1" applyAlignment="1">
      <alignment horizontal="center" vertical="center" wrapText="1"/>
    </xf>
    <xf numFmtId="9" fontId="7" fillId="0" borderId="10" xfId="5" applyFont="1" applyFill="1" applyBorder="1" applyAlignment="1">
      <alignment horizontal="center" vertical="center" wrapText="1"/>
    </xf>
    <xf numFmtId="9" fontId="7" fillId="0" borderId="21" xfId="5" applyFont="1" applyBorder="1" applyAlignment="1">
      <alignment horizontal="center" vertical="center" wrapText="1"/>
    </xf>
    <xf numFmtId="9" fontId="25" fillId="0" borderId="20" xfId="5" applyFont="1" applyBorder="1" applyAlignment="1">
      <alignment horizontal="center" vertical="center" wrapText="1"/>
    </xf>
  </cellXfs>
  <cellStyles count="7">
    <cellStyle name="Comma" xfId="4" builtinId="3"/>
    <cellStyle name="Normal" xfId="0" builtinId="0"/>
    <cellStyle name="Normal 2" xfId="6" xr:uid="{173CE545-E850-4EAD-96C7-16F0FE3C18D1}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1" t="s">
        <v>856</v>
      </c>
      <c r="B1" s="22"/>
      <c r="C1" s="22"/>
      <c r="D1" s="22"/>
    </row>
    <row r="2" spans="1:4" x14ac:dyDescent="0.2"/>
    <row r="3" spans="1:4" ht="15" x14ac:dyDescent="0.2">
      <c r="A3" t="s">
        <v>507</v>
      </c>
      <c r="D3" s="88" t="s">
        <v>807</v>
      </c>
    </row>
    <row r="4" spans="1:4" x14ac:dyDescent="0.2"/>
    <row r="5" spans="1:4" ht="15" x14ac:dyDescent="0.2">
      <c r="A5" t="s">
        <v>597</v>
      </c>
      <c r="D5" s="88" t="s">
        <v>599</v>
      </c>
    </row>
    <row r="6" spans="1:4" x14ac:dyDescent="0.2"/>
    <row r="7" spans="1:4" ht="15" x14ac:dyDescent="0.2">
      <c r="A7" t="s">
        <v>587</v>
      </c>
      <c r="D7" s="88" t="s">
        <v>515</v>
      </c>
    </row>
    <row r="8" spans="1:4" ht="15" x14ac:dyDescent="0.2">
      <c r="D8" s="20"/>
    </row>
    <row r="9" spans="1:4" ht="15" x14ac:dyDescent="0.2">
      <c r="A9" t="s">
        <v>588</v>
      </c>
      <c r="D9" s="88">
        <v>2025</v>
      </c>
    </row>
    <row r="10" spans="1:4" x14ac:dyDescent="0.2"/>
    <row r="11" spans="1:4" ht="15" x14ac:dyDescent="0.2">
      <c r="A11" t="s">
        <v>572</v>
      </c>
      <c r="D11" s="88" t="s">
        <v>536</v>
      </c>
    </row>
    <row r="12" spans="1:4" x14ac:dyDescent="0.2"/>
    <row r="13" spans="1:4" ht="15" x14ac:dyDescent="0.2">
      <c r="A13" t="s">
        <v>509</v>
      </c>
      <c r="D13" s="89">
        <f>IFERROR(VLOOKUP(D11,'File Name Info'!A35:B130,2,0),"תא מחושב")</f>
        <v>512362914</v>
      </c>
    </row>
    <row r="14" spans="1:4" x14ac:dyDescent="0.2"/>
    <row r="15" spans="1:4" ht="15" x14ac:dyDescent="0.25">
      <c r="A15" s="11" t="s">
        <v>371</v>
      </c>
      <c r="D15" s="8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512362914_gm_p_0225.xlsx</v>
      </c>
    </row>
    <row r="16" spans="1:4" ht="15" x14ac:dyDescent="0.25">
      <c r="A16" s="11"/>
      <c r="D16" s="20"/>
    </row>
    <row r="17" spans="1:4" ht="15" x14ac:dyDescent="0.25">
      <c r="A17" s="11" t="s">
        <v>437</v>
      </c>
      <c r="B17" s="9" t="s">
        <v>345</v>
      </c>
      <c r="C17" s="9"/>
      <c r="D17" s="90"/>
    </row>
    <row r="18" spans="1:4" x14ac:dyDescent="0.2">
      <c r="A18" s="7"/>
      <c r="D18" s="10"/>
    </row>
    <row r="19" spans="1:4" ht="15" x14ac:dyDescent="0.2">
      <c r="A19" s="7"/>
      <c r="B19" s="9" t="s">
        <v>346</v>
      </c>
      <c r="C19" s="9"/>
      <c r="D19" s="90"/>
    </row>
    <row r="20" spans="1:4" x14ac:dyDescent="0.2">
      <c r="A20" s="7"/>
      <c r="D20" s="10"/>
    </row>
    <row r="21" spans="1:4" ht="15" x14ac:dyDescent="0.2">
      <c r="A21" s="7"/>
      <c r="B21" s="9" t="s">
        <v>347</v>
      </c>
      <c r="C21" s="9"/>
      <c r="D21" s="91"/>
    </row>
    <row r="22" spans="1:4" x14ac:dyDescent="0.2">
      <c r="A22" s="7"/>
      <c r="B22" s="8"/>
      <c r="C22" s="8"/>
    </row>
    <row r="23" spans="1:4" ht="28.5" x14ac:dyDescent="0.2">
      <c r="A23" s="123" t="s">
        <v>415</v>
      </c>
      <c r="D23" s="122" t="s">
        <v>508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E3" sqref="E3:E32"/>
    </sheetView>
  </sheetViews>
  <sheetFormatPr defaultColWidth="0" defaultRowHeight="12.75" zeroHeight="1" x14ac:dyDescent="0.2"/>
  <cols>
    <col min="1" max="1" width="42.75" style="4" customWidth="1"/>
    <col min="2" max="4" width="13" style="5" customWidth="1"/>
    <col min="5" max="5" width="14" style="5" customWidth="1"/>
    <col min="6" max="16384" width="2.375" style="4" hidden="1"/>
  </cols>
  <sheetData>
    <row r="1" spans="1:5" ht="18.75" customHeight="1" x14ac:dyDescent="0.2">
      <c r="A1" s="32"/>
      <c r="B1" s="33"/>
      <c r="C1" s="93" t="s">
        <v>921</v>
      </c>
      <c r="D1" s="92"/>
      <c r="E1" s="33"/>
    </row>
    <row r="2" spans="1:5" ht="25.5" x14ac:dyDescent="0.2">
      <c r="A2" s="32"/>
      <c r="B2" s="33" t="s">
        <v>17</v>
      </c>
      <c r="C2" s="33" t="s">
        <v>27</v>
      </c>
      <c r="D2" s="33" t="s">
        <v>26</v>
      </c>
      <c r="E2" s="33" t="s">
        <v>918</v>
      </c>
    </row>
    <row r="3" spans="1:5" x14ac:dyDescent="0.2">
      <c r="A3" s="35" t="s">
        <v>31</v>
      </c>
      <c r="B3" s="195">
        <v>158288.24700000003</v>
      </c>
      <c r="C3" s="36"/>
      <c r="D3" s="36"/>
      <c r="E3" s="198">
        <v>6.1348419973942275E-2</v>
      </c>
    </row>
    <row r="4" spans="1:5" x14ac:dyDescent="0.2">
      <c r="A4" s="35" t="s">
        <v>40</v>
      </c>
      <c r="B4" s="195">
        <v>1020182.0819999988</v>
      </c>
      <c r="C4" s="36"/>
      <c r="D4" s="36"/>
      <c r="E4" s="198">
        <v>0.39539612070141084</v>
      </c>
    </row>
    <row r="5" spans="1:5" x14ac:dyDescent="0.2">
      <c r="A5" s="35" t="s">
        <v>32</v>
      </c>
      <c r="B5" s="195">
        <v>7521.780999999999</v>
      </c>
      <c r="C5" s="36"/>
      <c r="D5" s="36"/>
      <c r="E5" s="198">
        <v>2.9152472687376425E-3</v>
      </c>
    </row>
    <row r="6" spans="1:5" x14ac:dyDescent="0.2">
      <c r="A6" s="35" t="s">
        <v>33</v>
      </c>
      <c r="B6" s="195">
        <v>419794.01200000069</v>
      </c>
      <c r="C6" s="36"/>
      <c r="D6" s="36"/>
      <c r="E6" s="198">
        <v>0.16270127339727378</v>
      </c>
    </row>
    <row r="7" spans="1:5" x14ac:dyDescent="0.2">
      <c r="A7" s="35" t="s">
        <v>459</v>
      </c>
      <c r="B7" s="195">
        <v>465573.7449999997</v>
      </c>
      <c r="C7" s="36"/>
      <c r="D7" s="36"/>
      <c r="E7" s="198">
        <v>0.18044431079649953</v>
      </c>
    </row>
    <row r="8" spans="1:5" x14ac:dyDescent="0.2">
      <c r="A8" s="35" t="s">
        <v>34</v>
      </c>
      <c r="B8" s="195">
        <v>132165.07599999997</v>
      </c>
      <c r="C8" s="36"/>
      <c r="D8" s="36"/>
      <c r="E8" s="198">
        <v>5.1223756292758715E-2</v>
      </c>
    </row>
    <row r="9" spans="1:5" x14ac:dyDescent="0.2">
      <c r="A9" s="35" t="s">
        <v>35</v>
      </c>
      <c r="B9" s="195">
        <v>0</v>
      </c>
      <c r="C9" s="36"/>
      <c r="D9" s="36"/>
      <c r="E9" s="198">
        <v>0</v>
      </c>
    </row>
    <row r="10" spans="1:5" x14ac:dyDescent="0.2">
      <c r="A10" s="35" t="s">
        <v>36</v>
      </c>
      <c r="B10" s="195">
        <v>820.98899999999992</v>
      </c>
      <c r="C10" s="36"/>
      <c r="D10" s="36"/>
      <c r="E10" s="198">
        <v>3.1819404738234848E-4</v>
      </c>
    </row>
    <row r="11" spans="1:5" x14ac:dyDescent="0.2">
      <c r="A11" s="35" t="s">
        <v>37</v>
      </c>
      <c r="B11" s="195">
        <v>0</v>
      </c>
      <c r="C11" s="36"/>
      <c r="D11" s="36"/>
      <c r="E11" s="198">
        <v>0</v>
      </c>
    </row>
    <row r="12" spans="1:5" x14ac:dyDescent="0.2">
      <c r="A12" s="35" t="s">
        <v>38</v>
      </c>
      <c r="B12" s="195">
        <v>5183.541000000002</v>
      </c>
      <c r="C12" s="36"/>
      <c r="D12" s="36"/>
      <c r="E12" s="198">
        <v>2.0090060775020697E-3</v>
      </c>
    </row>
    <row r="13" spans="1:5" x14ac:dyDescent="0.2">
      <c r="A13" s="35" t="s">
        <v>39</v>
      </c>
      <c r="B13" s="195">
        <v>16837.304</v>
      </c>
      <c r="C13" s="36"/>
      <c r="D13" s="36"/>
      <c r="E13" s="198">
        <v>6.5257024232565925E-3</v>
      </c>
    </row>
    <row r="14" spans="1:5" x14ac:dyDescent="0.2">
      <c r="A14" s="35" t="s">
        <v>41</v>
      </c>
      <c r="B14" s="195">
        <v>0</v>
      </c>
      <c r="C14" s="36"/>
      <c r="D14" s="36"/>
      <c r="E14" s="198">
        <v>0</v>
      </c>
    </row>
    <row r="15" spans="1:5" x14ac:dyDescent="0.2">
      <c r="A15" s="35" t="s">
        <v>42</v>
      </c>
      <c r="B15" s="195">
        <v>0</v>
      </c>
      <c r="C15" s="36"/>
      <c r="D15" s="36"/>
      <c r="E15" s="198">
        <v>0</v>
      </c>
    </row>
    <row r="16" spans="1:5" x14ac:dyDescent="0.2">
      <c r="A16" s="35" t="s">
        <v>667</v>
      </c>
      <c r="B16" s="194">
        <v>0</v>
      </c>
      <c r="C16" s="36"/>
      <c r="D16" s="36"/>
      <c r="E16" s="199">
        <v>0</v>
      </c>
    </row>
    <row r="17" spans="1:5" x14ac:dyDescent="0.2">
      <c r="A17" s="35" t="s">
        <v>43</v>
      </c>
      <c r="B17" s="194">
        <v>10199.625999999998</v>
      </c>
      <c r="C17" s="36"/>
      <c r="D17" s="36"/>
      <c r="E17" s="199">
        <v>3.953110551695861E-3</v>
      </c>
    </row>
    <row r="18" spans="1:5" x14ac:dyDescent="0.2">
      <c r="A18" s="35" t="s">
        <v>44</v>
      </c>
      <c r="B18" s="195">
        <v>38054.595000000008</v>
      </c>
      <c r="C18" s="36"/>
      <c r="D18" s="36"/>
      <c r="E18" s="198">
        <v>1.4748974230526945E-2</v>
      </c>
    </row>
    <row r="19" spans="1:5" x14ac:dyDescent="0.2">
      <c r="A19" s="35" t="s">
        <v>462</v>
      </c>
      <c r="B19" s="195">
        <v>0</v>
      </c>
      <c r="C19" s="36"/>
      <c r="D19" s="36"/>
      <c r="E19" s="198">
        <v>0</v>
      </c>
    </row>
    <row r="20" spans="1:5" x14ac:dyDescent="0.2">
      <c r="A20" s="35" t="s">
        <v>45</v>
      </c>
      <c r="B20" s="195">
        <v>144803.783</v>
      </c>
      <c r="C20" s="36"/>
      <c r="D20" s="36"/>
      <c r="E20" s="198">
        <v>5.6122191392388096E-2</v>
      </c>
    </row>
    <row r="21" spans="1:5" x14ac:dyDescent="0.2">
      <c r="A21" s="35" t="s">
        <v>46</v>
      </c>
      <c r="B21" s="195">
        <v>145.03100000000001</v>
      </c>
      <c r="C21" s="36"/>
      <c r="D21" s="36"/>
      <c r="E21" s="198">
        <v>5.6210254809637392E-5</v>
      </c>
    </row>
    <row r="22" spans="1:5" x14ac:dyDescent="0.2">
      <c r="A22" s="35" t="s">
        <v>47</v>
      </c>
      <c r="B22" s="195">
        <v>0</v>
      </c>
      <c r="C22" s="36"/>
      <c r="D22" s="36"/>
      <c r="E22" s="198">
        <v>0</v>
      </c>
    </row>
    <row r="23" spans="1:5" x14ac:dyDescent="0.2">
      <c r="A23" s="35" t="s">
        <v>461</v>
      </c>
      <c r="B23" s="195">
        <v>44312.753669999998</v>
      </c>
      <c r="C23" s="36"/>
      <c r="D23" s="36"/>
      <c r="E23" s="198">
        <v>1.7174474251073178E-2</v>
      </c>
    </row>
    <row r="24" spans="1:5" x14ac:dyDescent="0.2">
      <c r="A24" s="35" t="s">
        <v>48</v>
      </c>
      <c r="B24" s="195">
        <v>4685.4560000000001</v>
      </c>
      <c r="C24" s="36"/>
      <c r="D24" s="36"/>
      <c r="E24" s="198">
        <v>1.8159612473150179E-3</v>
      </c>
    </row>
    <row r="25" spans="1:5" x14ac:dyDescent="0.2">
      <c r="A25" s="35" t="s">
        <v>49</v>
      </c>
      <c r="B25" s="195">
        <v>2466.6849999999999</v>
      </c>
      <c r="C25" s="36"/>
      <c r="D25" s="36"/>
      <c r="E25" s="198">
        <v>9.5602314253580539E-4</v>
      </c>
    </row>
    <row r="26" spans="1:5" x14ac:dyDescent="0.2">
      <c r="A26" s="35" t="s">
        <v>50</v>
      </c>
      <c r="B26" s="195">
        <v>107853.67200000002</v>
      </c>
      <c r="C26" s="36"/>
      <c r="D26" s="36"/>
      <c r="E26" s="198">
        <v>4.1801286519951283E-2</v>
      </c>
    </row>
    <row r="27" spans="1:5" x14ac:dyDescent="0.2">
      <c r="A27" s="35" t="s">
        <v>51</v>
      </c>
      <c r="B27" s="195">
        <v>1480</v>
      </c>
      <c r="C27" s="36"/>
      <c r="D27" s="36"/>
      <c r="E27" s="198">
        <v>5.7360962220672363E-4</v>
      </c>
    </row>
    <row r="28" spans="1:5" x14ac:dyDescent="0.2">
      <c r="A28" s="35" t="s">
        <v>506</v>
      </c>
      <c r="B28" s="195">
        <v>0</v>
      </c>
      <c r="C28" s="36"/>
      <c r="D28" s="36"/>
      <c r="E28" s="198">
        <v>0</v>
      </c>
    </row>
    <row r="29" spans="1:5" x14ac:dyDescent="0.2">
      <c r="A29" s="35" t="s">
        <v>52</v>
      </c>
      <c r="B29" s="196">
        <v>-216.40300000000002</v>
      </c>
      <c r="C29" s="120"/>
      <c r="D29" s="120"/>
      <c r="E29" s="200">
        <v>-8.3872191266487578E-5</v>
      </c>
    </row>
    <row r="30" spans="1:5" ht="15.75" thickBot="1" x14ac:dyDescent="0.25">
      <c r="A30" s="34" t="s">
        <v>603</v>
      </c>
      <c r="B30" s="197">
        <v>2580151.9756699996</v>
      </c>
      <c r="C30" s="121">
        <f t="shared" ref="C30:D30" si="0">SUM(C3:C29)</f>
        <v>0</v>
      </c>
      <c r="D30" s="121">
        <f t="shared" si="0"/>
        <v>0</v>
      </c>
      <c r="E30" s="201">
        <v>0.99999999999999967</v>
      </c>
    </row>
    <row r="31" spans="1:5" ht="13.5" thickTop="1" x14ac:dyDescent="0.2">
      <c r="A31" s="35" t="s">
        <v>755</v>
      </c>
      <c r="B31" s="194"/>
      <c r="C31" s="36"/>
      <c r="D31" s="36"/>
      <c r="E31" s="199"/>
    </row>
    <row r="32" spans="1:5" x14ac:dyDescent="0.2">
      <c r="A32" s="35" t="s">
        <v>756</v>
      </c>
      <c r="B32" s="194">
        <v>86436.719999999987</v>
      </c>
      <c r="C32" s="36"/>
      <c r="D32" s="36"/>
      <c r="E32" s="199">
        <v>3.3500631286478608E-2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S87"/>
  <sheetViews>
    <sheetView rightToLeft="1" topLeftCell="H1" workbookViewId="0">
      <selection activeCell="K20" sqref="K20"/>
    </sheetView>
  </sheetViews>
  <sheetFormatPr defaultColWidth="9" defaultRowHeight="14.25" x14ac:dyDescent="0.2"/>
  <cols>
    <col min="1" max="4" width="11.625" style="6" customWidth="1"/>
    <col min="5" max="5" width="11.625" style="3" customWidth="1"/>
    <col min="6" max="13" width="11.625" style="6" customWidth="1"/>
    <col min="14" max="14" width="11.625" style="135" customWidth="1"/>
    <col min="15" max="18" width="11.625" style="6" customWidth="1"/>
    <col min="19" max="16384" width="9" style="6"/>
  </cols>
  <sheetData>
    <row r="1" spans="1:19" s="127" customFormat="1" ht="66.75" customHeight="1" x14ac:dyDescent="0.2">
      <c r="A1" s="13" t="s">
        <v>651</v>
      </c>
      <c r="B1" s="13" t="s">
        <v>0</v>
      </c>
      <c r="C1" s="13" t="s">
        <v>723</v>
      </c>
      <c r="D1" s="13" t="s">
        <v>741</v>
      </c>
      <c r="E1" s="13" t="s">
        <v>742</v>
      </c>
      <c r="F1" s="13" t="s">
        <v>1</v>
      </c>
      <c r="G1" s="13" t="s">
        <v>604</v>
      </c>
      <c r="H1" s="13" t="s">
        <v>606</v>
      </c>
      <c r="I1" s="13" t="s">
        <v>772</v>
      </c>
      <c r="J1" s="13" t="s">
        <v>8</v>
      </c>
      <c r="K1" s="13" t="s">
        <v>396</v>
      </c>
      <c r="L1" s="13" t="s">
        <v>922</v>
      </c>
      <c r="M1" s="124" t="s">
        <v>11</v>
      </c>
      <c r="N1" s="125" t="s">
        <v>14</v>
      </c>
      <c r="O1" s="13" t="s">
        <v>1153</v>
      </c>
      <c r="P1" s="126" t="s">
        <v>19</v>
      </c>
      <c r="Q1" s="126" t="s">
        <v>30</v>
      </c>
    </row>
    <row r="2" spans="1:19" x14ac:dyDescent="0.2">
      <c r="A2" s="6">
        <v>13710</v>
      </c>
      <c r="B2" s="6">
        <v>13711</v>
      </c>
      <c r="C2" s="6" t="s">
        <v>1211</v>
      </c>
      <c r="D2" s="6" t="s">
        <v>1212</v>
      </c>
      <c r="E2" s="3" t="s">
        <v>776</v>
      </c>
      <c r="F2" s="6" t="s">
        <v>218</v>
      </c>
      <c r="G2" s="6" t="s">
        <v>53</v>
      </c>
      <c r="H2" s="6" t="s">
        <v>62</v>
      </c>
      <c r="I2" s="6" t="s">
        <v>1213</v>
      </c>
      <c r="J2" s="6" t="s">
        <v>65</v>
      </c>
      <c r="K2" s="6" t="s">
        <v>1214</v>
      </c>
      <c r="L2" s="128">
        <v>8.6460000000000008</v>
      </c>
      <c r="M2" s="129">
        <v>2.2031999999999998</v>
      </c>
      <c r="N2" s="130">
        <v>0</v>
      </c>
      <c r="O2" s="131">
        <v>19.047999999999998</v>
      </c>
      <c r="P2" s="132">
        <v>3.1705712875541702E-3</v>
      </c>
      <c r="Q2" s="132">
        <v>2.7925572156665398E-4</v>
      </c>
      <c r="S2" s="131"/>
    </row>
    <row r="3" spans="1:19" x14ac:dyDescent="0.2">
      <c r="A3" s="6">
        <v>13710</v>
      </c>
      <c r="B3" s="6">
        <v>13711</v>
      </c>
      <c r="C3" s="6" t="s">
        <v>1211</v>
      </c>
      <c r="D3" s="6" t="s">
        <v>1212</v>
      </c>
      <c r="E3" s="12" t="s">
        <v>776</v>
      </c>
      <c r="F3" s="6" t="s">
        <v>217</v>
      </c>
      <c r="G3" s="6" t="s">
        <v>53</v>
      </c>
      <c r="H3" s="6" t="s">
        <v>62</v>
      </c>
      <c r="I3" s="6" t="s">
        <v>1213</v>
      </c>
      <c r="J3" s="6" t="s">
        <v>65</v>
      </c>
      <c r="K3" s="6" t="s">
        <v>1214</v>
      </c>
      <c r="L3" s="131">
        <v>36.518999999999998</v>
      </c>
      <c r="M3" s="129">
        <v>2.2031999999999998</v>
      </c>
      <c r="N3" s="133">
        <v>0</v>
      </c>
      <c r="O3" s="131">
        <v>80.457999999999998</v>
      </c>
      <c r="P3" s="132">
        <v>1.33921878320915E-2</v>
      </c>
      <c r="Q3" s="132">
        <v>1.1795492790486501E-3</v>
      </c>
      <c r="S3" s="131"/>
    </row>
    <row r="4" spans="1:19" x14ac:dyDescent="0.2">
      <c r="A4" s="6">
        <v>13710</v>
      </c>
      <c r="B4" s="6">
        <v>13711</v>
      </c>
      <c r="C4" s="6" t="s">
        <v>1211</v>
      </c>
      <c r="D4" s="6" t="s">
        <v>1212</v>
      </c>
      <c r="E4" s="12" t="s">
        <v>776</v>
      </c>
      <c r="F4" s="6" t="s">
        <v>217</v>
      </c>
      <c r="G4" s="6" t="s">
        <v>53</v>
      </c>
      <c r="H4" s="6" t="s">
        <v>62</v>
      </c>
      <c r="I4" s="6" t="s">
        <v>1213</v>
      </c>
      <c r="J4" s="6" t="s">
        <v>65</v>
      </c>
      <c r="K4" s="6" t="s">
        <v>1215</v>
      </c>
      <c r="L4" s="131">
        <v>41.378999999999998</v>
      </c>
      <c r="M4" s="129">
        <v>3.9552</v>
      </c>
      <c r="N4" s="133">
        <v>0</v>
      </c>
      <c r="O4" s="131">
        <v>163.66200000000001</v>
      </c>
      <c r="P4" s="132">
        <v>2.7241247816307001E-2</v>
      </c>
      <c r="Q4" s="132">
        <v>2.3993386760236598E-3</v>
      </c>
      <c r="S4" s="131"/>
    </row>
    <row r="5" spans="1:19" x14ac:dyDescent="0.2">
      <c r="A5" s="6">
        <v>13710</v>
      </c>
      <c r="B5" s="6">
        <v>13711</v>
      </c>
      <c r="C5" s="6" t="s">
        <v>1211</v>
      </c>
      <c r="D5" s="6" t="s">
        <v>1212</v>
      </c>
      <c r="E5" s="12" t="s">
        <v>776</v>
      </c>
      <c r="F5" s="6" t="s">
        <v>217</v>
      </c>
      <c r="G5" s="6" t="s">
        <v>53</v>
      </c>
      <c r="H5" s="6" t="s">
        <v>62</v>
      </c>
      <c r="I5" s="6" t="s">
        <v>1213</v>
      </c>
      <c r="J5" s="6" t="s">
        <v>65</v>
      </c>
      <c r="K5" s="6" t="s">
        <v>1216</v>
      </c>
      <c r="L5" s="131">
        <v>111.313</v>
      </c>
      <c r="M5" s="129">
        <v>0.42899999999999999</v>
      </c>
      <c r="N5" s="133">
        <v>0</v>
      </c>
      <c r="O5" s="131">
        <v>47.753</v>
      </c>
      <c r="P5" s="132">
        <v>7.9484619807025196E-3</v>
      </c>
      <c r="Q5" s="132">
        <v>7.0007998068968597E-4</v>
      </c>
      <c r="S5" s="131"/>
    </row>
    <row r="6" spans="1:19" x14ac:dyDescent="0.2">
      <c r="A6" s="6">
        <v>13710</v>
      </c>
      <c r="B6" s="6">
        <v>13711</v>
      </c>
      <c r="C6" s="6" t="s">
        <v>1211</v>
      </c>
      <c r="D6" s="6" t="s">
        <v>1212</v>
      </c>
      <c r="E6" s="12" t="s">
        <v>776</v>
      </c>
      <c r="F6" s="6" t="s">
        <v>217</v>
      </c>
      <c r="G6" s="6" t="s">
        <v>53</v>
      </c>
      <c r="H6" s="6" t="s">
        <v>62</v>
      </c>
      <c r="I6" s="6" t="s">
        <v>1213</v>
      </c>
      <c r="J6" s="6" t="s">
        <v>65</v>
      </c>
      <c r="K6" s="6" t="s">
        <v>1217</v>
      </c>
      <c r="L6" s="131">
        <v>505.29399999999998</v>
      </c>
      <c r="M6" s="129">
        <v>3.3719999999999999</v>
      </c>
      <c r="N6" s="133">
        <v>0</v>
      </c>
      <c r="O6" s="131">
        <v>1703.85</v>
      </c>
      <c r="P6" s="132">
        <v>0.28360325274077502</v>
      </c>
      <c r="Q6" s="132">
        <v>2.4979041251543498E-2</v>
      </c>
      <c r="S6" s="131"/>
    </row>
    <row r="7" spans="1:19" x14ac:dyDescent="0.2">
      <c r="A7" s="6">
        <v>13710</v>
      </c>
      <c r="B7" s="6">
        <v>13711</v>
      </c>
      <c r="C7" s="6" t="s">
        <v>1211</v>
      </c>
      <c r="D7" s="6" t="s">
        <v>1212</v>
      </c>
      <c r="E7" s="12" t="s">
        <v>776</v>
      </c>
      <c r="F7" s="6" t="s">
        <v>218</v>
      </c>
      <c r="G7" s="6" t="s">
        <v>53</v>
      </c>
      <c r="H7" s="6" t="s">
        <v>62</v>
      </c>
      <c r="I7" s="6" t="s">
        <v>1213</v>
      </c>
      <c r="J7" s="6" t="s">
        <v>65</v>
      </c>
      <c r="K7" s="6" t="s">
        <v>1217</v>
      </c>
      <c r="L7" s="131">
        <v>230.94</v>
      </c>
      <c r="M7" s="129">
        <v>3.3719999999999999</v>
      </c>
      <c r="N7" s="133">
        <v>0</v>
      </c>
      <c r="O7" s="131">
        <v>778.72900000000004</v>
      </c>
      <c r="P7" s="132">
        <v>0.12961831361631099</v>
      </c>
      <c r="Q7" s="132">
        <v>1.14164459380752E-2</v>
      </c>
      <c r="S7" s="131"/>
    </row>
    <row r="8" spans="1:19" x14ac:dyDescent="0.2">
      <c r="A8" s="6">
        <v>13710</v>
      </c>
      <c r="B8" s="6">
        <v>13711</v>
      </c>
      <c r="C8" s="6" t="s">
        <v>1211</v>
      </c>
      <c r="D8" s="6" t="s">
        <v>1212</v>
      </c>
      <c r="E8" s="12" t="s">
        <v>776</v>
      </c>
      <c r="F8" s="6" t="s">
        <v>218</v>
      </c>
      <c r="G8" s="6" t="s">
        <v>53</v>
      </c>
      <c r="H8" s="6" t="s">
        <v>62</v>
      </c>
      <c r="I8" s="6" t="s">
        <v>1213</v>
      </c>
      <c r="J8" s="6" t="s">
        <v>65</v>
      </c>
      <c r="K8" s="6" t="s">
        <v>1216</v>
      </c>
      <c r="L8" s="131">
        <v>38.023000000000003</v>
      </c>
      <c r="M8" s="129">
        <v>0.42899999999999999</v>
      </c>
      <c r="N8" s="133">
        <v>0</v>
      </c>
      <c r="O8" s="131">
        <v>16.312000000000001</v>
      </c>
      <c r="P8" s="132">
        <v>2.71507959115893E-3</v>
      </c>
      <c r="Q8" s="132">
        <v>2.3913719061174999E-4</v>
      </c>
      <c r="S8" s="131"/>
    </row>
    <row r="9" spans="1:19" x14ac:dyDescent="0.2">
      <c r="A9" s="6">
        <v>13710</v>
      </c>
      <c r="B9" s="6">
        <v>13711</v>
      </c>
      <c r="C9" s="6" t="s">
        <v>1211</v>
      </c>
      <c r="D9" s="6" t="s">
        <v>1212</v>
      </c>
      <c r="E9" s="12" t="s">
        <v>776</v>
      </c>
      <c r="F9" s="6" t="s">
        <v>218</v>
      </c>
      <c r="G9" s="6" t="s">
        <v>53</v>
      </c>
      <c r="H9" s="6" t="s">
        <v>62</v>
      </c>
      <c r="I9" s="6" t="s">
        <v>1213</v>
      </c>
      <c r="J9" s="6" t="s">
        <v>65</v>
      </c>
      <c r="K9" s="6" t="s">
        <v>1215</v>
      </c>
      <c r="L9" s="131">
        <v>14.186</v>
      </c>
      <c r="M9" s="129">
        <v>3.9552</v>
      </c>
      <c r="N9" s="133">
        <v>0</v>
      </c>
      <c r="O9" s="131">
        <v>56.106999999999999</v>
      </c>
      <c r="P9" s="132">
        <v>9.3389998034673002E-3</v>
      </c>
      <c r="Q9" s="132">
        <v>8.2255495691438299E-4</v>
      </c>
      <c r="S9" s="131"/>
    </row>
    <row r="10" spans="1:19" x14ac:dyDescent="0.2">
      <c r="A10" s="6">
        <v>13710</v>
      </c>
      <c r="B10" s="6">
        <v>13711</v>
      </c>
      <c r="C10" s="6" t="s">
        <v>1211</v>
      </c>
      <c r="D10" s="6" t="s">
        <v>1212</v>
      </c>
      <c r="E10" s="12" t="s">
        <v>776</v>
      </c>
      <c r="F10" s="6" t="s">
        <v>218</v>
      </c>
      <c r="G10" s="6" t="s">
        <v>53</v>
      </c>
      <c r="H10" s="6" t="s">
        <v>62</v>
      </c>
      <c r="I10" s="6" t="s">
        <v>1213</v>
      </c>
      <c r="J10" s="6" t="s">
        <v>65</v>
      </c>
      <c r="K10" s="6" t="s">
        <v>1218</v>
      </c>
      <c r="L10" s="131">
        <v>1.153</v>
      </c>
      <c r="M10" s="129">
        <v>4.6235999999999997</v>
      </c>
      <c r="N10" s="133">
        <v>0</v>
      </c>
      <c r="O10" s="131">
        <v>5.33</v>
      </c>
      <c r="P10" s="132">
        <v>8.8723877727530005E-4</v>
      </c>
      <c r="Q10" s="132">
        <v>7.8145697566403205E-5</v>
      </c>
      <c r="S10" s="131"/>
    </row>
    <row r="11" spans="1:19" x14ac:dyDescent="0.2">
      <c r="A11" s="6">
        <v>13710</v>
      </c>
      <c r="B11" s="6">
        <v>13711</v>
      </c>
      <c r="C11" s="6" t="s">
        <v>1211</v>
      </c>
      <c r="D11" s="6" t="s">
        <v>1212</v>
      </c>
      <c r="E11" s="12" t="s">
        <v>776</v>
      </c>
      <c r="F11" s="6" t="s">
        <v>213</v>
      </c>
      <c r="G11" s="6" t="s">
        <v>53</v>
      </c>
      <c r="H11" s="6" t="s">
        <v>62</v>
      </c>
      <c r="I11" s="6" t="s">
        <v>1213</v>
      </c>
      <c r="J11" s="6" t="s">
        <v>65</v>
      </c>
      <c r="K11" s="6" t="s">
        <v>1219</v>
      </c>
      <c r="L11" s="131">
        <v>-2.0219999999999998</v>
      </c>
      <c r="M11" s="129">
        <v>1</v>
      </c>
      <c r="N11" s="133">
        <v>0</v>
      </c>
      <c r="O11" s="131">
        <v>-2.0219999999999998</v>
      </c>
      <c r="P11" s="132">
        <v>-3.3659884233402102E-4</v>
      </c>
      <c r="Q11" s="132">
        <v>-2.9646755764005699E-5</v>
      </c>
      <c r="S11" s="131"/>
    </row>
    <row r="12" spans="1:19" x14ac:dyDescent="0.2">
      <c r="A12" s="6">
        <v>13710</v>
      </c>
      <c r="B12" s="6">
        <v>13711</v>
      </c>
      <c r="C12" s="6" t="s">
        <v>1211</v>
      </c>
      <c r="D12" s="6" t="s">
        <v>1212</v>
      </c>
      <c r="E12" s="12" t="s">
        <v>776</v>
      </c>
      <c r="F12" s="6" t="s">
        <v>219</v>
      </c>
      <c r="G12" s="6" t="s">
        <v>53</v>
      </c>
      <c r="H12" s="6" t="s">
        <v>62</v>
      </c>
      <c r="I12" s="6" t="s">
        <v>1213</v>
      </c>
      <c r="J12" s="6" t="s">
        <v>65</v>
      </c>
      <c r="K12" s="6" t="s">
        <v>1219</v>
      </c>
      <c r="L12" s="131">
        <v>1697.3989999999999</v>
      </c>
      <c r="M12" s="129">
        <v>1</v>
      </c>
      <c r="N12" s="133">
        <v>0</v>
      </c>
      <c r="O12" s="131">
        <v>1697.3989999999999</v>
      </c>
      <c r="P12" s="132">
        <v>0.28252952571654699</v>
      </c>
      <c r="Q12" s="132">
        <v>2.4884470151346798E-2</v>
      </c>
      <c r="S12" s="131"/>
    </row>
    <row r="13" spans="1:19" x14ac:dyDescent="0.2">
      <c r="A13" s="6">
        <v>13710</v>
      </c>
      <c r="B13" s="6">
        <v>13711</v>
      </c>
      <c r="C13" s="6" t="s">
        <v>1220</v>
      </c>
      <c r="D13" s="6" t="s">
        <v>1221</v>
      </c>
      <c r="E13" s="12" t="s">
        <v>776</v>
      </c>
      <c r="F13" s="6" t="s">
        <v>218</v>
      </c>
      <c r="G13" s="6" t="s">
        <v>53</v>
      </c>
      <c r="H13" s="6" t="s">
        <v>62</v>
      </c>
      <c r="I13" s="6" t="s">
        <v>1213</v>
      </c>
      <c r="J13" s="6" t="s">
        <v>65</v>
      </c>
      <c r="K13" s="6" t="s">
        <v>1217</v>
      </c>
      <c r="L13" s="131">
        <v>-19.190000000000001</v>
      </c>
      <c r="M13" s="129">
        <v>3.3719999999999999</v>
      </c>
      <c r="N13" s="133">
        <v>0</v>
      </c>
      <c r="O13" s="131">
        <v>-64.709000000000003</v>
      </c>
      <c r="P13" s="132">
        <v>-1.0770635545928201E-2</v>
      </c>
      <c r="Q13" s="132">
        <v>-9.4864973164816195E-4</v>
      </c>
      <c r="S13" s="131"/>
    </row>
    <row r="14" spans="1:19" x14ac:dyDescent="0.2">
      <c r="A14" s="6">
        <v>13710</v>
      </c>
      <c r="B14" s="6">
        <v>13711</v>
      </c>
      <c r="C14" s="6" t="s">
        <v>1220</v>
      </c>
      <c r="D14" s="6" t="s">
        <v>1221</v>
      </c>
      <c r="E14" s="12" t="s">
        <v>776</v>
      </c>
      <c r="F14" s="6" t="s">
        <v>213</v>
      </c>
      <c r="G14" s="6" t="s">
        <v>53</v>
      </c>
      <c r="H14" s="6" t="s">
        <v>62</v>
      </c>
      <c r="I14" s="6" t="s">
        <v>1213</v>
      </c>
      <c r="J14" s="6" t="s">
        <v>65</v>
      </c>
      <c r="K14" s="6" t="s">
        <v>1219</v>
      </c>
      <c r="L14" s="131">
        <v>1505.9449999999999</v>
      </c>
      <c r="M14" s="129">
        <v>1</v>
      </c>
      <c r="N14" s="133">
        <v>0</v>
      </c>
      <c r="O14" s="131">
        <v>1505.9449999999999</v>
      </c>
      <c r="P14" s="132">
        <v>0.25066236354849802</v>
      </c>
      <c r="Q14" s="132">
        <v>2.2077692899419701E-2</v>
      </c>
      <c r="S14" s="131"/>
    </row>
    <row r="15" spans="1:19" x14ac:dyDescent="0.2">
      <c r="A15" s="6">
        <v>13710</v>
      </c>
      <c r="B15" s="6">
        <v>13711</v>
      </c>
      <c r="C15" s="6" t="s">
        <v>1220</v>
      </c>
      <c r="D15" s="6" t="s">
        <v>1221</v>
      </c>
      <c r="E15" s="12" t="s">
        <v>776</v>
      </c>
      <c r="F15" s="6" t="s">
        <v>213</v>
      </c>
      <c r="G15" s="6" t="s">
        <v>53</v>
      </c>
      <c r="H15" s="6" t="s">
        <v>62</v>
      </c>
      <c r="I15" s="6" t="s">
        <v>1213</v>
      </c>
      <c r="J15" s="6" t="s">
        <v>65</v>
      </c>
      <c r="K15" s="6" t="s">
        <v>1219</v>
      </c>
      <c r="L15" s="131">
        <v>0</v>
      </c>
      <c r="M15" s="129">
        <v>1</v>
      </c>
      <c r="N15" s="133">
        <v>0</v>
      </c>
      <c r="O15" s="131">
        <v>0</v>
      </c>
      <c r="P15" s="132">
        <v>-8.3224256847362811E-9</v>
      </c>
      <c r="Q15" s="132">
        <v>-7.3301773686619097E-10</v>
      </c>
      <c r="S15" s="131"/>
    </row>
    <row r="16" spans="1:19" x14ac:dyDescent="0.2">
      <c r="A16" s="6">
        <v>13710</v>
      </c>
      <c r="B16" s="6">
        <v>15444</v>
      </c>
      <c r="C16" s="6" t="s">
        <v>1220</v>
      </c>
      <c r="D16" s="6" t="s">
        <v>1221</v>
      </c>
      <c r="E16" s="12" t="s">
        <v>776</v>
      </c>
      <c r="F16" s="6" t="s">
        <v>213</v>
      </c>
      <c r="G16" s="6" t="s">
        <v>53</v>
      </c>
      <c r="H16" s="6" t="s">
        <v>62</v>
      </c>
      <c r="I16" s="6" t="s">
        <v>1213</v>
      </c>
      <c r="J16" s="6" t="s">
        <v>65</v>
      </c>
      <c r="K16" s="6" t="s">
        <v>1219</v>
      </c>
      <c r="L16" s="131">
        <v>0</v>
      </c>
      <c r="M16" s="129">
        <v>1</v>
      </c>
      <c r="N16" s="133">
        <v>0</v>
      </c>
      <c r="O16" s="131">
        <v>0</v>
      </c>
      <c r="P16" s="132">
        <v>-2.3973338279547202E-7</v>
      </c>
      <c r="Q16" s="132">
        <v>-1.0780483225155599E-8</v>
      </c>
      <c r="S16" s="131"/>
    </row>
    <row r="17" spans="1:19" x14ac:dyDescent="0.2">
      <c r="A17" s="6">
        <v>13710</v>
      </c>
      <c r="B17" s="6">
        <v>15444</v>
      </c>
      <c r="C17" s="6" t="s">
        <v>1220</v>
      </c>
      <c r="D17" s="6" t="s">
        <v>1221</v>
      </c>
      <c r="E17" s="12" t="s">
        <v>776</v>
      </c>
      <c r="F17" s="6" t="s">
        <v>213</v>
      </c>
      <c r="G17" s="6" t="s">
        <v>53</v>
      </c>
      <c r="H17" s="6" t="s">
        <v>62</v>
      </c>
      <c r="I17" s="6" t="s">
        <v>1213</v>
      </c>
      <c r="J17" s="6" t="s">
        <v>65</v>
      </c>
      <c r="K17" s="6" t="s">
        <v>1219</v>
      </c>
      <c r="L17" s="131">
        <v>89.405000000000001</v>
      </c>
      <c r="M17" s="129">
        <v>1</v>
      </c>
      <c r="N17" s="133">
        <v>0</v>
      </c>
      <c r="O17" s="131">
        <v>89.405000000000001</v>
      </c>
      <c r="P17" s="132">
        <v>0.238148851683364</v>
      </c>
      <c r="Q17" s="132">
        <v>1.07092290223632E-2</v>
      </c>
      <c r="S17" s="131"/>
    </row>
    <row r="18" spans="1:19" x14ac:dyDescent="0.2">
      <c r="A18" s="6">
        <v>13710</v>
      </c>
      <c r="B18" s="6">
        <v>15444</v>
      </c>
      <c r="C18" s="6" t="s">
        <v>1211</v>
      </c>
      <c r="D18" s="6" t="s">
        <v>1222</v>
      </c>
      <c r="E18" s="12" t="s">
        <v>776</v>
      </c>
      <c r="F18" s="6" t="s">
        <v>218</v>
      </c>
      <c r="G18" s="6" t="s">
        <v>53</v>
      </c>
      <c r="H18" s="6" t="s">
        <v>62</v>
      </c>
      <c r="I18" s="6" t="s">
        <v>1213</v>
      </c>
      <c r="J18" s="6" t="s">
        <v>65</v>
      </c>
      <c r="K18" s="6" t="s">
        <v>1214</v>
      </c>
      <c r="L18" s="131">
        <v>2.5070000000000001</v>
      </c>
      <c r="M18" s="129">
        <v>2.2031999999999998</v>
      </c>
      <c r="N18" s="133">
        <v>0</v>
      </c>
      <c r="O18" s="131">
        <v>5.524</v>
      </c>
      <c r="P18" s="132">
        <v>1.4715111208843E-2</v>
      </c>
      <c r="Q18" s="132">
        <v>6.6171847947672595E-4</v>
      </c>
      <c r="S18" s="131"/>
    </row>
    <row r="19" spans="1:19" x14ac:dyDescent="0.2">
      <c r="A19" s="6">
        <v>13710</v>
      </c>
      <c r="B19" s="6">
        <v>15444</v>
      </c>
      <c r="C19" s="6" t="s">
        <v>1211</v>
      </c>
      <c r="D19" s="6" t="s">
        <v>1222</v>
      </c>
      <c r="E19" s="12" t="s">
        <v>776</v>
      </c>
      <c r="F19" s="6" t="s">
        <v>217</v>
      </c>
      <c r="G19" s="6" t="s">
        <v>53</v>
      </c>
      <c r="H19" s="6" t="s">
        <v>62</v>
      </c>
      <c r="I19" s="6" t="s">
        <v>1213</v>
      </c>
      <c r="J19" s="6" t="s">
        <v>65</v>
      </c>
      <c r="K19" s="6" t="s">
        <v>1215</v>
      </c>
      <c r="L19" s="131">
        <v>3.9580000000000002</v>
      </c>
      <c r="M19" s="129">
        <v>3.9552</v>
      </c>
      <c r="N19" s="133">
        <v>0</v>
      </c>
      <c r="O19" s="131">
        <v>15.654999999999999</v>
      </c>
      <c r="P19" s="132">
        <v>4.16996526713726E-2</v>
      </c>
      <c r="Q19" s="132">
        <v>1.87517650181441E-3</v>
      </c>
      <c r="S19" s="131"/>
    </row>
    <row r="20" spans="1:19" x14ac:dyDescent="0.2">
      <c r="A20" s="6">
        <v>13710</v>
      </c>
      <c r="B20" s="6">
        <v>15444</v>
      </c>
      <c r="C20" s="6" t="s">
        <v>1211</v>
      </c>
      <c r="D20" s="6" t="s">
        <v>1222</v>
      </c>
      <c r="E20" s="12" t="s">
        <v>776</v>
      </c>
      <c r="F20" s="6" t="s">
        <v>217</v>
      </c>
      <c r="G20" s="6" t="s">
        <v>53</v>
      </c>
      <c r="H20" s="6" t="s">
        <v>62</v>
      </c>
      <c r="I20" s="6" t="s">
        <v>1213</v>
      </c>
      <c r="J20" s="6" t="s">
        <v>65</v>
      </c>
      <c r="K20" s="6" t="s">
        <v>1217</v>
      </c>
      <c r="L20" s="131">
        <v>33.744999999999997</v>
      </c>
      <c r="M20" s="129">
        <v>3.3719999999999999</v>
      </c>
      <c r="N20" s="133">
        <v>0</v>
      </c>
      <c r="O20" s="131">
        <v>113.788</v>
      </c>
      <c r="P20" s="132">
        <v>0.303098491411808</v>
      </c>
      <c r="Q20" s="132">
        <v>1.3629925728878001E-2</v>
      </c>
      <c r="S20" s="131"/>
    </row>
    <row r="21" spans="1:19" x14ac:dyDescent="0.2">
      <c r="A21" s="6">
        <v>13710</v>
      </c>
      <c r="B21" s="6">
        <v>15444</v>
      </c>
      <c r="C21" s="6" t="s">
        <v>1211</v>
      </c>
      <c r="D21" s="6" t="s">
        <v>1222</v>
      </c>
      <c r="E21" s="3" t="s">
        <v>776</v>
      </c>
      <c r="F21" s="6" t="s">
        <v>218</v>
      </c>
      <c r="G21" s="6" t="s">
        <v>53</v>
      </c>
      <c r="H21" s="6" t="s">
        <v>62</v>
      </c>
      <c r="I21" s="6" t="s">
        <v>1213</v>
      </c>
      <c r="J21" s="6" t="s">
        <v>65</v>
      </c>
      <c r="K21" s="6" t="s">
        <v>1217</v>
      </c>
      <c r="L21" s="131">
        <v>16.341000000000001</v>
      </c>
      <c r="M21" s="129">
        <v>3.3719999999999999</v>
      </c>
      <c r="N21" s="134">
        <v>0</v>
      </c>
      <c r="O21" s="131">
        <v>55.100999999999999</v>
      </c>
      <c r="P21" s="132">
        <v>0.14677378005466701</v>
      </c>
      <c r="Q21" s="132">
        <v>6.6002166878942796E-3</v>
      </c>
      <c r="S21" s="131"/>
    </row>
    <row r="22" spans="1:19" x14ac:dyDescent="0.2">
      <c r="A22" s="6">
        <v>13710</v>
      </c>
      <c r="B22" s="6">
        <v>15444</v>
      </c>
      <c r="C22" s="6" t="s">
        <v>1211</v>
      </c>
      <c r="D22" s="6" t="s">
        <v>1222</v>
      </c>
      <c r="E22" s="3" t="s">
        <v>776</v>
      </c>
      <c r="F22" s="6" t="s">
        <v>218</v>
      </c>
      <c r="G22" s="6" t="s">
        <v>53</v>
      </c>
      <c r="H22" s="6" t="s">
        <v>62</v>
      </c>
      <c r="I22" s="6" t="s">
        <v>1213</v>
      </c>
      <c r="J22" s="6" t="s">
        <v>65</v>
      </c>
      <c r="K22" s="6" t="s">
        <v>1215</v>
      </c>
      <c r="L22" s="131">
        <v>2.677</v>
      </c>
      <c r="M22" s="129">
        <v>3.9552</v>
      </c>
      <c r="N22" s="134">
        <v>0</v>
      </c>
      <c r="O22" s="131">
        <v>10.589</v>
      </c>
      <c r="P22" s="132">
        <v>2.8206859513119999E-2</v>
      </c>
      <c r="Q22" s="132">
        <v>1.26842399781652E-3</v>
      </c>
      <c r="S22" s="131"/>
    </row>
    <row r="23" spans="1:19" x14ac:dyDescent="0.2">
      <c r="A23" s="6">
        <v>13710</v>
      </c>
      <c r="B23" s="6">
        <v>15444</v>
      </c>
      <c r="C23" s="6" t="s">
        <v>1211</v>
      </c>
      <c r="D23" s="6" t="s">
        <v>1222</v>
      </c>
      <c r="E23" s="3" t="s">
        <v>776</v>
      </c>
      <c r="F23" s="6" t="s">
        <v>213</v>
      </c>
      <c r="G23" s="6" t="s">
        <v>53</v>
      </c>
      <c r="H23" s="6" t="s">
        <v>62</v>
      </c>
      <c r="I23" s="6" t="s">
        <v>1213</v>
      </c>
      <c r="J23" s="6" t="s">
        <v>65</v>
      </c>
      <c r="K23" s="6" t="s">
        <v>1219</v>
      </c>
      <c r="L23" s="131">
        <v>-106.196</v>
      </c>
      <c r="M23" s="129">
        <v>1</v>
      </c>
      <c r="N23" s="134">
        <v>0</v>
      </c>
      <c r="O23" s="131">
        <v>-106.196</v>
      </c>
      <c r="P23" s="132">
        <v>-0.28287505652615402</v>
      </c>
      <c r="Q23" s="132">
        <v>-1.27205054470735E-2</v>
      </c>
      <c r="S23" s="131"/>
    </row>
    <row r="24" spans="1:19" x14ac:dyDescent="0.2">
      <c r="A24" s="6">
        <v>13710</v>
      </c>
      <c r="B24" s="6">
        <v>15444</v>
      </c>
      <c r="C24" s="6" t="s">
        <v>1211</v>
      </c>
      <c r="D24" s="6" t="s">
        <v>1222</v>
      </c>
      <c r="E24" s="3" t="s">
        <v>776</v>
      </c>
      <c r="F24" s="6" t="s">
        <v>219</v>
      </c>
      <c r="G24" s="6" t="s">
        <v>53</v>
      </c>
      <c r="H24" s="6" t="s">
        <v>62</v>
      </c>
      <c r="I24" s="6" t="s">
        <v>1213</v>
      </c>
      <c r="J24" s="6" t="s">
        <v>65</v>
      </c>
      <c r="K24" s="6" t="s">
        <v>1219</v>
      </c>
      <c r="L24" s="131">
        <v>191.55</v>
      </c>
      <c r="M24" s="129">
        <v>1</v>
      </c>
      <c r="N24" s="134">
        <v>0</v>
      </c>
      <c r="O24" s="131">
        <v>191.55</v>
      </c>
      <c r="P24" s="132">
        <v>0.510232549716362</v>
      </c>
      <c r="Q24" s="132">
        <v>2.2944461797539499E-2</v>
      </c>
      <c r="S24" s="131"/>
    </row>
    <row r="25" spans="1:19" x14ac:dyDescent="0.2">
      <c r="A25" s="6">
        <v>559</v>
      </c>
      <c r="B25" s="6">
        <v>556</v>
      </c>
      <c r="C25" s="6" t="s">
        <v>1211</v>
      </c>
      <c r="D25" s="6" t="s">
        <v>1212</v>
      </c>
      <c r="E25" s="3" t="s">
        <v>776</v>
      </c>
      <c r="F25" s="6" t="s">
        <v>218</v>
      </c>
      <c r="G25" s="6" t="s">
        <v>53</v>
      </c>
      <c r="H25" s="6" t="s">
        <v>62</v>
      </c>
      <c r="I25" s="6" t="s">
        <v>1213</v>
      </c>
      <c r="J25" s="6" t="s">
        <v>65</v>
      </c>
      <c r="K25" s="6" t="s">
        <v>1214</v>
      </c>
      <c r="L25" s="131">
        <v>48.564</v>
      </c>
      <c r="M25" s="129">
        <v>2.2031999999999998</v>
      </c>
      <c r="N25" s="134">
        <v>0</v>
      </c>
      <c r="O25" s="131">
        <v>106.997</v>
      </c>
      <c r="P25" s="132">
        <v>5.5908115933260699E-3</v>
      </c>
      <c r="Q25" s="132">
        <v>3.2084394906936402E-4</v>
      </c>
      <c r="S25" s="131"/>
    </row>
    <row r="26" spans="1:19" x14ac:dyDescent="0.2">
      <c r="A26" s="6">
        <v>559</v>
      </c>
      <c r="B26" s="6">
        <v>556</v>
      </c>
      <c r="C26" s="6" t="s">
        <v>1211</v>
      </c>
      <c r="D26" s="6" t="s">
        <v>1212</v>
      </c>
      <c r="E26" s="3" t="s">
        <v>776</v>
      </c>
      <c r="F26" s="6" t="s">
        <v>217</v>
      </c>
      <c r="G26" s="6" t="s">
        <v>53</v>
      </c>
      <c r="H26" s="6" t="s">
        <v>62</v>
      </c>
      <c r="I26" s="6" t="s">
        <v>1213</v>
      </c>
      <c r="J26" s="6" t="s">
        <v>65</v>
      </c>
      <c r="K26" s="6" t="s">
        <v>1215</v>
      </c>
      <c r="L26" s="131">
        <v>77.036000000000001</v>
      </c>
      <c r="M26" s="129">
        <v>3.9552</v>
      </c>
      <c r="N26" s="134">
        <v>0</v>
      </c>
      <c r="O26" s="131">
        <v>304.69499999999999</v>
      </c>
      <c r="P26" s="132">
        <v>1.5920893180809598E-2</v>
      </c>
      <c r="Q26" s="132">
        <v>9.1366381348643099E-4</v>
      </c>
      <c r="S26" s="131"/>
    </row>
    <row r="27" spans="1:19" x14ac:dyDescent="0.2">
      <c r="A27" s="6">
        <v>559</v>
      </c>
      <c r="B27" s="6">
        <v>556</v>
      </c>
      <c r="C27" s="6" t="s">
        <v>1211</v>
      </c>
      <c r="D27" s="6" t="s">
        <v>1212</v>
      </c>
      <c r="E27" s="3" t="s">
        <v>776</v>
      </c>
      <c r="F27" s="6" t="s">
        <v>217</v>
      </c>
      <c r="G27" s="6" t="s">
        <v>53</v>
      </c>
      <c r="H27" s="6" t="s">
        <v>62</v>
      </c>
      <c r="I27" s="6" t="s">
        <v>1213</v>
      </c>
      <c r="J27" s="6" t="s">
        <v>65</v>
      </c>
      <c r="K27" s="6" t="s">
        <v>1217</v>
      </c>
      <c r="L27" s="131">
        <v>816.22699999999998</v>
      </c>
      <c r="M27" s="129">
        <v>3.3719999999999999</v>
      </c>
      <c r="N27" s="134">
        <v>0</v>
      </c>
      <c r="O27" s="131">
        <v>2752.3180000000002</v>
      </c>
      <c r="P27" s="132">
        <v>0.14381401285953299</v>
      </c>
      <c r="Q27" s="132">
        <v>8.2531587851119304E-3</v>
      </c>
      <c r="S27" s="131"/>
    </row>
    <row r="28" spans="1:19" x14ac:dyDescent="0.2">
      <c r="A28" s="6">
        <v>559</v>
      </c>
      <c r="B28" s="6">
        <v>556</v>
      </c>
      <c r="C28" s="6" t="s">
        <v>1211</v>
      </c>
      <c r="D28" s="6" t="s">
        <v>1212</v>
      </c>
      <c r="E28" s="3" t="s">
        <v>776</v>
      </c>
      <c r="F28" s="6" t="s">
        <v>218</v>
      </c>
      <c r="G28" s="6" t="s">
        <v>53</v>
      </c>
      <c r="H28" s="6" t="s">
        <v>62</v>
      </c>
      <c r="I28" s="6" t="s">
        <v>1213</v>
      </c>
      <c r="J28" s="6" t="s">
        <v>65</v>
      </c>
      <c r="K28" s="6" t="s">
        <v>1217</v>
      </c>
      <c r="L28" s="131">
        <v>359.87</v>
      </c>
      <c r="M28" s="129">
        <v>3.3719999999999999</v>
      </c>
      <c r="N28" s="134">
        <v>0</v>
      </c>
      <c r="O28" s="131">
        <v>1213.482</v>
      </c>
      <c r="P28" s="132">
        <v>6.3406786981958604E-2</v>
      </c>
      <c r="Q28" s="132">
        <v>3.6387711503954802E-3</v>
      </c>
      <c r="S28" s="131"/>
    </row>
    <row r="29" spans="1:19" x14ac:dyDescent="0.2">
      <c r="A29" s="6">
        <v>559</v>
      </c>
      <c r="B29" s="6">
        <v>556</v>
      </c>
      <c r="C29" s="6" t="s">
        <v>1211</v>
      </c>
      <c r="D29" s="6" t="s">
        <v>1212</v>
      </c>
      <c r="E29" s="3" t="s">
        <v>776</v>
      </c>
      <c r="F29" s="6" t="s">
        <v>218</v>
      </c>
      <c r="G29" s="6" t="s">
        <v>53</v>
      </c>
      <c r="H29" s="6" t="s">
        <v>62</v>
      </c>
      <c r="I29" s="6" t="s">
        <v>1213</v>
      </c>
      <c r="J29" s="6" t="s">
        <v>65</v>
      </c>
      <c r="K29" s="6" t="s">
        <v>1216</v>
      </c>
      <c r="L29" s="131">
        <v>18.559999999999999</v>
      </c>
      <c r="M29" s="129">
        <v>0.42899999999999999</v>
      </c>
      <c r="N29" s="134">
        <v>0</v>
      </c>
      <c r="O29" s="131">
        <v>7.9619999999999997</v>
      </c>
      <c r="P29" s="132">
        <v>4.1603767921487902E-4</v>
      </c>
      <c r="Q29" s="132">
        <v>2.38754552416501E-5</v>
      </c>
      <c r="S29" s="131"/>
    </row>
    <row r="30" spans="1:19" x14ac:dyDescent="0.2">
      <c r="A30" s="6">
        <v>559</v>
      </c>
      <c r="B30" s="6">
        <v>556</v>
      </c>
      <c r="C30" s="6" t="s">
        <v>1211</v>
      </c>
      <c r="D30" s="6" t="s">
        <v>1212</v>
      </c>
      <c r="E30" s="3" t="s">
        <v>776</v>
      </c>
      <c r="F30" s="6" t="s">
        <v>218</v>
      </c>
      <c r="G30" s="6" t="s">
        <v>53</v>
      </c>
      <c r="H30" s="6" t="s">
        <v>62</v>
      </c>
      <c r="I30" s="6" t="s">
        <v>1213</v>
      </c>
      <c r="J30" s="6" t="s">
        <v>65</v>
      </c>
      <c r="K30" s="6" t="s">
        <v>1215</v>
      </c>
      <c r="L30" s="131">
        <v>93.748000000000005</v>
      </c>
      <c r="M30" s="129">
        <v>3.9552</v>
      </c>
      <c r="N30" s="134">
        <v>0</v>
      </c>
      <c r="O30" s="131">
        <v>370.79399999999998</v>
      </c>
      <c r="P30" s="132">
        <v>1.9374690326634102E-2</v>
      </c>
      <c r="Q30" s="132">
        <v>1.11186936862867E-3</v>
      </c>
      <c r="S30" s="131"/>
    </row>
    <row r="31" spans="1:19" x14ac:dyDescent="0.2">
      <c r="A31" s="6">
        <v>559</v>
      </c>
      <c r="B31" s="6">
        <v>556</v>
      </c>
      <c r="C31" s="6" t="s">
        <v>1211</v>
      </c>
      <c r="D31" s="6" t="s">
        <v>1212</v>
      </c>
      <c r="E31" s="3" t="s">
        <v>776</v>
      </c>
      <c r="F31" s="6" t="s">
        <v>218</v>
      </c>
      <c r="G31" s="6" t="s">
        <v>53</v>
      </c>
      <c r="H31" s="6" t="s">
        <v>62</v>
      </c>
      <c r="I31" s="6" t="s">
        <v>1213</v>
      </c>
      <c r="J31" s="6" t="s">
        <v>65</v>
      </c>
      <c r="K31" s="6" t="s">
        <v>1218</v>
      </c>
      <c r="L31" s="131">
        <v>7.641</v>
      </c>
      <c r="M31" s="129">
        <v>4.6235999999999997</v>
      </c>
      <c r="N31" s="134">
        <v>0</v>
      </c>
      <c r="O31" s="131">
        <v>35.329000000000001</v>
      </c>
      <c r="P31" s="132">
        <v>1.8460128032183501E-3</v>
      </c>
      <c r="Q31" s="132">
        <v>1.0593847206802801E-4</v>
      </c>
      <c r="S31" s="131"/>
    </row>
    <row r="32" spans="1:19" x14ac:dyDescent="0.2">
      <c r="A32" s="6">
        <v>559</v>
      </c>
      <c r="B32" s="6">
        <v>556</v>
      </c>
      <c r="C32" s="6" t="s">
        <v>1211</v>
      </c>
      <c r="D32" s="6" t="s">
        <v>1212</v>
      </c>
      <c r="E32" s="3" t="s">
        <v>776</v>
      </c>
      <c r="F32" s="6" t="s">
        <v>213</v>
      </c>
      <c r="G32" s="6" t="s">
        <v>53</v>
      </c>
      <c r="H32" s="6" t="s">
        <v>62</v>
      </c>
      <c r="I32" s="6" t="s">
        <v>1213</v>
      </c>
      <c r="J32" s="6" t="s">
        <v>65</v>
      </c>
      <c r="K32" s="6" t="s">
        <v>1219</v>
      </c>
      <c r="L32" s="131">
        <v>-21.463999999999999</v>
      </c>
      <c r="M32" s="129">
        <v>1</v>
      </c>
      <c r="N32" s="134">
        <v>0</v>
      </c>
      <c r="O32" s="131">
        <v>-21.463999999999999</v>
      </c>
      <c r="P32" s="132">
        <v>-1.1215140286322601E-3</v>
      </c>
      <c r="Q32" s="132">
        <v>-6.4361136818240605E-5</v>
      </c>
      <c r="S32" s="131"/>
    </row>
    <row r="33" spans="1:19" x14ac:dyDescent="0.2">
      <c r="A33" s="6">
        <v>559</v>
      </c>
      <c r="B33" s="6">
        <v>556</v>
      </c>
      <c r="C33" s="6" t="s">
        <v>1211</v>
      </c>
      <c r="D33" s="6" t="s">
        <v>1212</v>
      </c>
      <c r="E33" s="3" t="s">
        <v>776</v>
      </c>
      <c r="F33" s="6" t="s">
        <v>219</v>
      </c>
      <c r="G33" s="6" t="s">
        <v>53</v>
      </c>
      <c r="H33" s="6" t="s">
        <v>62</v>
      </c>
      <c r="I33" s="6" t="s">
        <v>1213</v>
      </c>
      <c r="J33" s="6" t="s">
        <v>65</v>
      </c>
      <c r="K33" s="6" t="s">
        <v>1219</v>
      </c>
      <c r="L33" s="131">
        <v>6428.0039999999999</v>
      </c>
      <c r="M33" s="129">
        <v>1</v>
      </c>
      <c r="N33" s="134">
        <v>0</v>
      </c>
      <c r="O33" s="131">
        <v>6428.0039999999999</v>
      </c>
      <c r="P33" s="132">
        <v>0.33587577735138802</v>
      </c>
      <c r="Q33" s="132">
        <v>1.9275146193587101E-2</v>
      </c>
      <c r="S33" s="131"/>
    </row>
    <row r="34" spans="1:19" x14ac:dyDescent="0.2">
      <c r="A34" s="6">
        <v>559</v>
      </c>
      <c r="B34" s="6">
        <v>556</v>
      </c>
      <c r="C34" s="6" t="s">
        <v>1220</v>
      </c>
      <c r="D34" s="6" t="s">
        <v>1221</v>
      </c>
      <c r="E34" s="3" t="s">
        <v>776</v>
      </c>
      <c r="F34" s="6" t="s">
        <v>218</v>
      </c>
      <c r="G34" s="6" t="s">
        <v>53</v>
      </c>
      <c r="H34" s="6" t="s">
        <v>62</v>
      </c>
      <c r="I34" s="6" t="s">
        <v>1213</v>
      </c>
      <c r="J34" s="6" t="s">
        <v>65</v>
      </c>
      <c r="K34" s="6" t="s">
        <v>1214</v>
      </c>
      <c r="L34" s="131">
        <v>55.768999999999998</v>
      </c>
      <c r="M34" s="129">
        <v>2.2031999999999998</v>
      </c>
      <c r="N34" s="134">
        <v>0</v>
      </c>
      <c r="O34" s="131">
        <v>122.87</v>
      </c>
      <c r="P34" s="132">
        <v>6.4201987453973803E-3</v>
      </c>
      <c r="Q34" s="132">
        <v>3.68440589509834E-4</v>
      </c>
      <c r="S34" s="131"/>
    </row>
    <row r="35" spans="1:19" x14ac:dyDescent="0.2">
      <c r="A35" s="6">
        <v>559</v>
      </c>
      <c r="B35" s="6">
        <v>556</v>
      </c>
      <c r="C35" s="6" t="s">
        <v>1220</v>
      </c>
      <c r="D35" s="6" t="s">
        <v>1221</v>
      </c>
      <c r="E35" s="3" t="s">
        <v>776</v>
      </c>
      <c r="F35" s="6" t="s">
        <v>218</v>
      </c>
      <c r="G35" s="6" t="s">
        <v>53</v>
      </c>
      <c r="H35" s="6" t="s">
        <v>62</v>
      </c>
      <c r="I35" s="6" t="s">
        <v>1213</v>
      </c>
      <c r="J35" s="6" t="s">
        <v>65</v>
      </c>
      <c r="K35" s="6" t="s">
        <v>1217</v>
      </c>
      <c r="L35" s="131">
        <v>378.48700000000002</v>
      </c>
      <c r="M35" s="129">
        <v>3.3719999999999999</v>
      </c>
      <c r="N35" s="134">
        <v>0</v>
      </c>
      <c r="O35" s="131">
        <v>1276.259</v>
      </c>
      <c r="P35" s="132">
        <v>6.6687046554829404E-2</v>
      </c>
      <c r="Q35" s="132">
        <v>3.8270177793086799E-3</v>
      </c>
      <c r="S35" s="131"/>
    </row>
    <row r="36" spans="1:19" x14ac:dyDescent="0.2">
      <c r="A36" s="6">
        <v>559</v>
      </c>
      <c r="B36" s="6">
        <v>556</v>
      </c>
      <c r="C36" s="6" t="s">
        <v>1220</v>
      </c>
      <c r="D36" s="6" t="s">
        <v>1221</v>
      </c>
      <c r="E36" s="3" t="s">
        <v>776</v>
      </c>
      <c r="F36" s="6" t="s">
        <v>218</v>
      </c>
      <c r="G36" s="6" t="s">
        <v>53</v>
      </c>
      <c r="H36" s="6" t="s">
        <v>62</v>
      </c>
      <c r="I36" s="6" t="s">
        <v>1213</v>
      </c>
      <c r="J36" s="6" t="s">
        <v>65</v>
      </c>
      <c r="K36" s="6" t="s">
        <v>1216</v>
      </c>
      <c r="L36" s="131">
        <v>17.454999999999998</v>
      </c>
      <c r="M36" s="129">
        <v>0.42899999999999999</v>
      </c>
      <c r="N36" s="134">
        <v>0</v>
      </c>
      <c r="O36" s="131">
        <v>7.4880000000000004</v>
      </c>
      <c r="P36" s="132">
        <v>3.91270366704293E-4</v>
      </c>
      <c r="Q36" s="132">
        <v>2.2454115562949799E-5</v>
      </c>
      <c r="S36" s="131"/>
    </row>
    <row r="37" spans="1:19" x14ac:dyDescent="0.2">
      <c r="A37" s="6">
        <v>559</v>
      </c>
      <c r="B37" s="6">
        <v>556</v>
      </c>
      <c r="C37" s="6" t="s">
        <v>1220</v>
      </c>
      <c r="D37" s="6" t="s">
        <v>1221</v>
      </c>
      <c r="E37" s="3" t="s">
        <v>776</v>
      </c>
      <c r="F37" s="6" t="s">
        <v>218</v>
      </c>
      <c r="G37" s="6" t="s">
        <v>53</v>
      </c>
      <c r="H37" s="6" t="s">
        <v>62</v>
      </c>
      <c r="I37" s="6" t="s">
        <v>1213</v>
      </c>
      <c r="J37" s="6" t="s">
        <v>65</v>
      </c>
      <c r="K37" s="6" t="s">
        <v>1215</v>
      </c>
      <c r="L37" s="131">
        <v>35.737000000000002</v>
      </c>
      <c r="M37" s="129">
        <v>3.9552</v>
      </c>
      <c r="N37" s="134">
        <v>0</v>
      </c>
      <c r="O37" s="131">
        <v>141.346</v>
      </c>
      <c r="P37" s="132">
        <v>7.3856293782696E-3</v>
      </c>
      <c r="Q37" s="132">
        <v>4.2384445559128398E-4</v>
      </c>
      <c r="S37" s="131"/>
    </row>
    <row r="38" spans="1:19" x14ac:dyDescent="0.2">
      <c r="A38" s="6">
        <v>559</v>
      </c>
      <c r="B38" s="6">
        <v>556</v>
      </c>
      <c r="C38" s="6" t="s">
        <v>1220</v>
      </c>
      <c r="D38" s="6" t="s">
        <v>1221</v>
      </c>
      <c r="E38" s="3" t="s">
        <v>776</v>
      </c>
      <c r="F38" s="6" t="s">
        <v>213</v>
      </c>
      <c r="G38" s="6" t="s">
        <v>53</v>
      </c>
      <c r="H38" s="6" t="s">
        <v>62</v>
      </c>
      <c r="I38" s="6" t="s">
        <v>1213</v>
      </c>
      <c r="J38" s="6" t="s">
        <v>65</v>
      </c>
      <c r="K38" s="6" t="s">
        <v>1219</v>
      </c>
      <c r="L38" s="131">
        <v>6391.9589999999998</v>
      </c>
      <c r="M38" s="129">
        <v>1</v>
      </c>
      <c r="N38" s="134">
        <v>0</v>
      </c>
      <c r="O38" s="131">
        <v>6391.9589999999998</v>
      </c>
      <c r="P38" s="132">
        <v>0.33399234934246602</v>
      </c>
      <c r="Q38" s="132">
        <v>1.91670605480448E-2</v>
      </c>
      <c r="S38" s="131"/>
    </row>
    <row r="39" spans="1:19" x14ac:dyDescent="0.2">
      <c r="A39" s="6">
        <v>559</v>
      </c>
      <c r="B39" s="6">
        <v>556</v>
      </c>
      <c r="C39" s="6" t="s">
        <v>1220</v>
      </c>
      <c r="D39" s="6" t="s">
        <v>1221</v>
      </c>
      <c r="E39" s="3" t="s">
        <v>776</v>
      </c>
      <c r="F39" s="6" t="s">
        <v>213</v>
      </c>
      <c r="G39" s="6" t="s">
        <v>53</v>
      </c>
      <c r="H39" s="6" t="s">
        <v>62</v>
      </c>
      <c r="I39" s="6" t="s">
        <v>1213</v>
      </c>
      <c r="J39" s="6" t="s">
        <v>65</v>
      </c>
      <c r="K39" s="6" t="s">
        <v>1219</v>
      </c>
      <c r="L39" s="131">
        <v>0</v>
      </c>
      <c r="M39" s="129">
        <v>1</v>
      </c>
      <c r="N39" s="134">
        <v>0</v>
      </c>
      <c r="O39" s="131">
        <v>0</v>
      </c>
      <c r="P39" s="132">
        <v>-3.1351173344770805E-9</v>
      </c>
      <c r="Q39" s="132">
        <v>-1.7991724628857101E-10</v>
      </c>
      <c r="S39" s="131"/>
    </row>
    <row r="40" spans="1:19" x14ac:dyDescent="0.2">
      <c r="A40" s="6">
        <v>559</v>
      </c>
      <c r="B40" s="6">
        <v>7205</v>
      </c>
      <c r="C40" s="6" t="s">
        <v>1211</v>
      </c>
      <c r="D40" s="6" t="s">
        <v>1212</v>
      </c>
      <c r="E40" s="3" t="s">
        <v>776</v>
      </c>
      <c r="F40" s="6" t="s">
        <v>218</v>
      </c>
      <c r="G40" s="6" t="s">
        <v>53</v>
      </c>
      <c r="H40" s="6" t="s">
        <v>62</v>
      </c>
      <c r="I40" s="6" t="s">
        <v>1213</v>
      </c>
      <c r="J40" s="6" t="s">
        <v>65</v>
      </c>
      <c r="K40" s="6" t="s">
        <v>1214</v>
      </c>
      <c r="L40" s="131">
        <v>180.24</v>
      </c>
      <c r="M40" s="129">
        <v>2.2031999999999998</v>
      </c>
      <c r="N40" s="134">
        <v>0</v>
      </c>
      <c r="O40" s="131">
        <v>397.10599999999999</v>
      </c>
      <c r="P40" s="132">
        <v>3.4431192332652402E-3</v>
      </c>
      <c r="Q40" s="132">
        <v>2.0715380845803599E-4</v>
      </c>
      <c r="S40" s="131"/>
    </row>
    <row r="41" spans="1:19" x14ac:dyDescent="0.2">
      <c r="A41" s="6">
        <v>559</v>
      </c>
      <c r="B41" s="6">
        <v>7205</v>
      </c>
      <c r="C41" s="6" t="s">
        <v>1211</v>
      </c>
      <c r="D41" s="6" t="s">
        <v>1212</v>
      </c>
      <c r="E41" s="3" t="s">
        <v>776</v>
      </c>
      <c r="F41" s="6" t="s">
        <v>217</v>
      </c>
      <c r="G41" s="6" t="s">
        <v>53</v>
      </c>
      <c r="H41" s="6" t="s">
        <v>62</v>
      </c>
      <c r="I41" s="6" t="s">
        <v>1213</v>
      </c>
      <c r="J41" s="6" t="s">
        <v>65</v>
      </c>
      <c r="K41" s="6" t="s">
        <v>1214</v>
      </c>
      <c r="L41" s="131">
        <v>0.48199999999999998</v>
      </c>
      <c r="M41" s="129">
        <v>2.2031999999999998</v>
      </c>
      <c r="N41" s="134">
        <v>0</v>
      </c>
      <c r="O41" s="131">
        <v>1.0609999999999999</v>
      </c>
      <c r="P41" s="132">
        <v>9.1999681910464897E-6</v>
      </c>
      <c r="Q41" s="132">
        <v>5.5351218454921798E-7</v>
      </c>
      <c r="S41" s="131"/>
    </row>
    <row r="42" spans="1:19" x14ac:dyDescent="0.2">
      <c r="A42" s="6">
        <v>559</v>
      </c>
      <c r="B42" s="6">
        <v>7205</v>
      </c>
      <c r="C42" s="6" t="s">
        <v>1211</v>
      </c>
      <c r="D42" s="6" t="s">
        <v>1212</v>
      </c>
      <c r="E42" s="3" t="s">
        <v>776</v>
      </c>
      <c r="F42" s="6" t="s">
        <v>217</v>
      </c>
      <c r="G42" s="6" t="s">
        <v>53</v>
      </c>
      <c r="H42" s="6" t="s">
        <v>62</v>
      </c>
      <c r="I42" s="6" t="s">
        <v>1213</v>
      </c>
      <c r="J42" s="6" t="s">
        <v>65</v>
      </c>
      <c r="K42" s="6" t="s">
        <v>1215</v>
      </c>
      <c r="L42" s="131">
        <v>439.37200000000001</v>
      </c>
      <c r="M42" s="129">
        <v>3.9552</v>
      </c>
      <c r="N42" s="134">
        <v>0</v>
      </c>
      <c r="O42" s="131">
        <v>1737.8040000000001</v>
      </c>
      <c r="P42" s="132">
        <v>1.5067692917281E-2</v>
      </c>
      <c r="Q42" s="132">
        <v>9.0654135422747403E-4</v>
      </c>
      <c r="S42" s="131"/>
    </row>
    <row r="43" spans="1:19" x14ac:dyDescent="0.2">
      <c r="A43" s="6">
        <v>559</v>
      </c>
      <c r="B43" s="6">
        <v>7205</v>
      </c>
      <c r="C43" s="6" t="s">
        <v>1211</v>
      </c>
      <c r="D43" s="6" t="s">
        <v>1212</v>
      </c>
      <c r="E43" s="3" t="s">
        <v>776</v>
      </c>
      <c r="F43" s="6" t="s">
        <v>217</v>
      </c>
      <c r="G43" s="6" t="s">
        <v>53</v>
      </c>
      <c r="H43" s="6" t="s">
        <v>62</v>
      </c>
      <c r="I43" s="6" t="s">
        <v>1213</v>
      </c>
      <c r="J43" s="6" t="s">
        <v>65</v>
      </c>
      <c r="K43" s="6" t="s">
        <v>1217</v>
      </c>
      <c r="L43" s="131">
        <v>5309.36</v>
      </c>
      <c r="M43" s="129">
        <v>3.3719999999999999</v>
      </c>
      <c r="N43" s="134">
        <v>0</v>
      </c>
      <c r="O43" s="131">
        <v>17903.162</v>
      </c>
      <c r="P43" s="132">
        <v>0.15523000062599299</v>
      </c>
      <c r="Q43" s="132">
        <v>9.3393471553184192E-3</v>
      </c>
      <c r="S43" s="131"/>
    </row>
    <row r="44" spans="1:19" x14ac:dyDescent="0.2">
      <c r="A44" s="6">
        <v>559</v>
      </c>
      <c r="B44" s="6">
        <v>7205</v>
      </c>
      <c r="C44" s="6" t="s">
        <v>1211</v>
      </c>
      <c r="D44" s="6" t="s">
        <v>1212</v>
      </c>
      <c r="E44" s="3" t="s">
        <v>776</v>
      </c>
      <c r="F44" s="6" t="s">
        <v>218</v>
      </c>
      <c r="G44" s="6" t="s">
        <v>53</v>
      </c>
      <c r="H44" s="6" t="s">
        <v>62</v>
      </c>
      <c r="I44" s="6" t="s">
        <v>1213</v>
      </c>
      <c r="J44" s="6" t="s">
        <v>65</v>
      </c>
      <c r="K44" s="6" t="s">
        <v>1217</v>
      </c>
      <c r="L44" s="131">
        <v>2454.3330000000001</v>
      </c>
      <c r="M44" s="129">
        <v>3.3719999999999999</v>
      </c>
      <c r="N44" s="134">
        <v>0</v>
      </c>
      <c r="O44" s="131">
        <v>8276.0120000000006</v>
      </c>
      <c r="P44" s="132">
        <v>7.1757452588983098E-2</v>
      </c>
      <c r="Q44" s="132">
        <v>4.3172567030035601E-3</v>
      </c>
      <c r="S44" s="131"/>
    </row>
    <row r="45" spans="1:19" x14ac:dyDescent="0.2">
      <c r="A45" s="6">
        <v>559</v>
      </c>
      <c r="B45" s="6">
        <v>7205</v>
      </c>
      <c r="C45" s="6" t="s">
        <v>1211</v>
      </c>
      <c r="D45" s="6" t="s">
        <v>1212</v>
      </c>
      <c r="E45" s="3" t="s">
        <v>776</v>
      </c>
      <c r="F45" s="6" t="s">
        <v>218</v>
      </c>
      <c r="G45" s="6" t="s">
        <v>53</v>
      </c>
      <c r="H45" s="6" t="s">
        <v>62</v>
      </c>
      <c r="I45" s="6" t="s">
        <v>1213</v>
      </c>
      <c r="J45" s="6" t="s">
        <v>65</v>
      </c>
      <c r="K45" s="6" t="s">
        <v>1216</v>
      </c>
      <c r="L45" s="131">
        <v>14.787000000000001</v>
      </c>
      <c r="M45" s="129">
        <v>0.42899999999999999</v>
      </c>
      <c r="N45" s="134">
        <v>0</v>
      </c>
      <c r="O45" s="131">
        <v>6.343</v>
      </c>
      <c r="P45" s="132">
        <v>5.5001195442140401E-5</v>
      </c>
      <c r="Q45" s="132">
        <v>3.3091235980169898E-6</v>
      </c>
      <c r="S45" s="131"/>
    </row>
    <row r="46" spans="1:19" x14ac:dyDescent="0.2">
      <c r="A46" s="6">
        <v>559</v>
      </c>
      <c r="B46" s="6">
        <v>7205</v>
      </c>
      <c r="C46" s="6" t="s">
        <v>1211</v>
      </c>
      <c r="D46" s="6" t="s">
        <v>1212</v>
      </c>
      <c r="E46" s="3" t="s">
        <v>776</v>
      </c>
      <c r="F46" s="6" t="s">
        <v>218</v>
      </c>
      <c r="G46" s="6" t="s">
        <v>53</v>
      </c>
      <c r="H46" s="6" t="s">
        <v>62</v>
      </c>
      <c r="I46" s="6" t="s">
        <v>1213</v>
      </c>
      <c r="J46" s="6" t="s">
        <v>65</v>
      </c>
      <c r="K46" s="6" t="s">
        <v>1223</v>
      </c>
      <c r="L46" s="131">
        <v>0</v>
      </c>
      <c r="M46" s="129">
        <v>2.6417000000000002</v>
      </c>
      <c r="N46" s="134">
        <v>0</v>
      </c>
      <c r="O46" s="131">
        <v>0</v>
      </c>
      <c r="P46" s="132">
        <v>4.58099076710822E-10</v>
      </c>
      <c r="Q46" s="132">
        <v>2.7561336672550398E-11</v>
      </c>
      <c r="S46" s="131"/>
    </row>
    <row r="47" spans="1:19" x14ac:dyDescent="0.2">
      <c r="A47" s="6">
        <v>559</v>
      </c>
      <c r="B47" s="6">
        <v>7205</v>
      </c>
      <c r="C47" s="6" t="s">
        <v>1211</v>
      </c>
      <c r="D47" s="6" t="s">
        <v>1212</v>
      </c>
      <c r="E47" s="3" t="s">
        <v>776</v>
      </c>
      <c r="F47" s="6" t="s">
        <v>218</v>
      </c>
      <c r="G47" s="6" t="s">
        <v>53</v>
      </c>
      <c r="H47" s="6" t="s">
        <v>62</v>
      </c>
      <c r="I47" s="6" t="s">
        <v>1213</v>
      </c>
      <c r="J47" s="6" t="s">
        <v>65</v>
      </c>
      <c r="K47" s="6" t="s">
        <v>1215</v>
      </c>
      <c r="L47" s="131">
        <v>731.51599999999996</v>
      </c>
      <c r="M47" s="129">
        <v>3.9552</v>
      </c>
      <c r="N47" s="134">
        <v>0</v>
      </c>
      <c r="O47" s="131">
        <v>2893.2919999999999</v>
      </c>
      <c r="P47" s="132">
        <v>2.5086388857554601E-2</v>
      </c>
      <c r="Q47" s="132">
        <v>1.5093119465901901E-3</v>
      </c>
      <c r="S47" s="131"/>
    </row>
    <row r="48" spans="1:19" x14ac:dyDescent="0.2">
      <c r="A48" s="6">
        <v>559</v>
      </c>
      <c r="B48" s="6">
        <v>7205</v>
      </c>
      <c r="C48" s="6" t="s">
        <v>1211</v>
      </c>
      <c r="D48" s="6" t="s">
        <v>1212</v>
      </c>
      <c r="E48" s="3" t="s">
        <v>776</v>
      </c>
      <c r="F48" s="6" t="s">
        <v>218</v>
      </c>
      <c r="G48" s="6" t="s">
        <v>53</v>
      </c>
      <c r="H48" s="6" t="s">
        <v>62</v>
      </c>
      <c r="I48" s="6" t="s">
        <v>1213</v>
      </c>
      <c r="J48" s="6" t="s">
        <v>65</v>
      </c>
      <c r="K48" s="6" t="s">
        <v>1218</v>
      </c>
      <c r="L48" s="131">
        <v>44.006</v>
      </c>
      <c r="M48" s="129">
        <v>4.6235999999999997</v>
      </c>
      <c r="N48" s="134">
        <v>0</v>
      </c>
      <c r="O48" s="131">
        <v>203.46799999999999</v>
      </c>
      <c r="P48" s="132">
        <v>1.7641796623572099E-3</v>
      </c>
      <c r="Q48" s="132">
        <v>1.06141121205069E-4</v>
      </c>
      <c r="S48" s="131"/>
    </row>
    <row r="49" spans="1:19" x14ac:dyDescent="0.2">
      <c r="A49" s="6">
        <v>559</v>
      </c>
      <c r="B49" s="6">
        <v>7205</v>
      </c>
      <c r="C49" s="6" t="s">
        <v>1211</v>
      </c>
      <c r="D49" s="6" t="s">
        <v>1212</v>
      </c>
      <c r="E49" s="3" t="s">
        <v>776</v>
      </c>
      <c r="F49" s="6" t="s">
        <v>213</v>
      </c>
      <c r="G49" s="6" t="s">
        <v>53</v>
      </c>
      <c r="H49" s="6" t="s">
        <v>62</v>
      </c>
      <c r="I49" s="6" t="s">
        <v>1213</v>
      </c>
      <c r="J49" s="6" t="s">
        <v>65</v>
      </c>
      <c r="K49" s="6" t="s">
        <v>1219</v>
      </c>
      <c r="L49" s="131">
        <v>-206.87100000000001</v>
      </c>
      <c r="M49" s="129">
        <v>1</v>
      </c>
      <c r="N49" s="134">
        <v>0</v>
      </c>
      <c r="O49" s="131">
        <v>-206.87100000000001</v>
      </c>
      <c r="P49" s="132">
        <v>-1.7936813250247E-3</v>
      </c>
      <c r="Q49" s="132">
        <v>-1.0791607622793601E-4</v>
      </c>
      <c r="S49" s="131"/>
    </row>
    <row r="50" spans="1:19" x14ac:dyDescent="0.2">
      <c r="A50" s="6">
        <v>559</v>
      </c>
      <c r="B50" s="6">
        <v>7205</v>
      </c>
      <c r="C50" s="6" t="s">
        <v>1211</v>
      </c>
      <c r="D50" s="6" t="s">
        <v>1212</v>
      </c>
      <c r="E50" s="3" t="s">
        <v>776</v>
      </c>
      <c r="F50" s="6" t="s">
        <v>219</v>
      </c>
      <c r="G50" s="6" t="s">
        <v>53</v>
      </c>
      <c r="H50" s="6" t="s">
        <v>62</v>
      </c>
      <c r="I50" s="6" t="s">
        <v>1213</v>
      </c>
      <c r="J50" s="6" t="s">
        <v>65</v>
      </c>
      <c r="K50" s="6" t="s">
        <v>1219</v>
      </c>
      <c r="L50" s="131">
        <v>37167.216999999997</v>
      </c>
      <c r="M50" s="129">
        <v>1</v>
      </c>
      <c r="N50" s="134">
        <v>0</v>
      </c>
      <c r="O50" s="131">
        <v>37167.216999999997</v>
      </c>
      <c r="P50" s="132">
        <v>0.32225967697480401</v>
      </c>
      <c r="Q50" s="132">
        <v>1.9388616796310799E-2</v>
      </c>
      <c r="S50" s="131"/>
    </row>
    <row r="51" spans="1:19" x14ac:dyDescent="0.2">
      <c r="A51" s="6">
        <v>559</v>
      </c>
      <c r="B51" s="6">
        <v>7205</v>
      </c>
      <c r="C51" s="6" t="s">
        <v>1220</v>
      </c>
      <c r="D51" s="6" t="s">
        <v>1221</v>
      </c>
      <c r="E51" s="3" t="s">
        <v>776</v>
      </c>
      <c r="F51" s="6" t="s">
        <v>218</v>
      </c>
      <c r="G51" s="6" t="s">
        <v>53</v>
      </c>
      <c r="H51" s="6" t="s">
        <v>62</v>
      </c>
      <c r="I51" s="6" t="s">
        <v>1213</v>
      </c>
      <c r="J51" s="6" t="s">
        <v>65</v>
      </c>
      <c r="K51" s="6" t="s">
        <v>1214</v>
      </c>
      <c r="L51" s="131">
        <v>235.24299999999999</v>
      </c>
      <c r="M51" s="129">
        <v>2.2031999999999998</v>
      </c>
      <c r="N51" s="134">
        <v>0</v>
      </c>
      <c r="O51" s="131">
        <v>518.28800000000001</v>
      </c>
      <c r="P51" s="132">
        <v>4.4938383163436102E-3</v>
      </c>
      <c r="Q51" s="132">
        <v>2.7036987648621299E-4</v>
      </c>
      <c r="S51" s="131"/>
    </row>
    <row r="52" spans="1:19" x14ac:dyDescent="0.2">
      <c r="A52" s="6">
        <v>559</v>
      </c>
      <c r="B52" s="6">
        <v>7205</v>
      </c>
      <c r="C52" s="6" t="s">
        <v>1220</v>
      </c>
      <c r="D52" s="6" t="s">
        <v>1221</v>
      </c>
      <c r="E52" s="3" t="s">
        <v>776</v>
      </c>
      <c r="F52" s="6" t="s">
        <v>218</v>
      </c>
      <c r="G52" s="6" t="s">
        <v>53</v>
      </c>
      <c r="H52" s="6" t="s">
        <v>62</v>
      </c>
      <c r="I52" s="6" t="s">
        <v>1213</v>
      </c>
      <c r="J52" s="6" t="s">
        <v>65</v>
      </c>
      <c r="K52" s="6" t="s">
        <v>1217</v>
      </c>
      <c r="L52" s="131">
        <v>1777.01</v>
      </c>
      <c r="M52" s="129">
        <v>3.3719999999999999</v>
      </c>
      <c r="N52" s="134">
        <v>0</v>
      </c>
      <c r="O52" s="131">
        <v>5992.0780000000004</v>
      </c>
      <c r="P52" s="132">
        <v>5.1954526563892503E-2</v>
      </c>
      <c r="Q52" s="132">
        <v>3.1258220570357601E-3</v>
      </c>
      <c r="S52" s="131"/>
    </row>
    <row r="53" spans="1:19" x14ac:dyDescent="0.2">
      <c r="A53" s="6">
        <v>559</v>
      </c>
      <c r="B53" s="6">
        <v>7205</v>
      </c>
      <c r="C53" s="6" t="s">
        <v>1220</v>
      </c>
      <c r="D53" s="6" t="s">
        <v>1221</v>
      </c>
      <c r="E53" s="3" t="s">
        <v>776</v>
      </c>
      <c r="F53" s="6" t="s">
        <v>218</v>
      </c>
      <c r="G53" s="6" t="s">
        <v>53</v>
      </c>
      <c r="H53" s="6" t="s">
        <v>62</v>
      </c>
      <c r="I53" s="6" t="s">
        <v>1213</v>
      </c>
      <c r="J53" s="6" t="s">
        <v>65</v>
      </c>
      <c r="K53" s="6" t="s">
        <v>1216</v>
      </c>
      <c r="L53" s="131">
        <v>33.573999999999998</v>
      </c>
      <c r="M53" s="129">
        <v>0.42899999999999999</v>
      </c>
      <c r="N53" s="134">
        <v>0</v>
      </c>
      <c r="O53" s="131">
        <v>14.403</v>
      </c>
      <c r="P53" s="132">
        <v>1.2488534474089399E-4</v>
      </c>
      <c r="Q53" s="132">
        <v>7.5136738030233803E-6</v>
      </c>
      <c r="S53" s="131"/>
    </row>
    <row r="54" spans="1:19" x14ac:dyDescent="0.2">
      <c r="A54" s="6">
        <v>559</v>
      </c>
      <c r="B54" s="6">
        <v>7205</v>
      </c>
      <c r="C54" s="6" t="s">
        <v>1220</v>
      </c>
      <c r="D54" s="6" t="s">
        <v>1221</v>
      </c>
      <c r="E54" s="3" t="s">
        <v>776</v>
      </c>
      <c r="F54" s="6" t="s">
        <v>218</v>
      </c>
      <c r="G54" s="6" t="s">
        <v>53</v>
      </c>
      <c r="H54" s="6" t="s">
        <v>62</v>
      </c>
      <c r="I54" s="6" t="s">
        <v>1213</v>
      </c>
      <c r="J54" s="6" t="s">
        <v>65</v>
      </c>
      <c r="K54" s="6" t="s">
        <v>1215</v>
      </c>
      <c r="L54" s="131">
        <v>260.18200000000002</v>
      </c>
      <c r="M54" s="129">
        <v>3.9552</v>
      </c>
      <c r="N54" s="134">
        <v>0</v>
      </c>
      <c r="O54" s="131">
        <v>1029.0730000000001</v>
      </c>
      <c r="P54" s="132">
        <v>8.9226153731155108E-3</v>
      </c>
      <c r="Q54" s="132">
        <v>5.3682536988248195E-4</v>
      </c>
      <c r="S54" s="131"/>
    </row>
    <row r="55" spans="1:19" x14ac:dyDescent="0.2">
      <c r="A55" s="6">
        <v>559</v>
      </c>
      <c r="B55" s="6">
        <v>7205</v>
      </c>
      <c r="C55" s="6" t="s">
        <v>1220</v>
      </c>
      <c r="D55" s="6" t="s">
        <v>1221</v>
      </c>
      <c r="E55" s="3" t="s">
        <v>776</v>
      </c>
      <c r="F55" s="6" t="s">
        <v>213</v>
      </c>
      <c r="G55" s="6" t="s">
        <v>53</v>
      </c>
      <c r="H55" s="6" t="s">
        <v>62</v>
      </c>
      <c r="I55" s="6" t="s">
        <v>1213</v>
      </c>
      <c r="J55" s="6" t="s">
        <v>65</v>
      </c>
      <c r="K55" s="6" t="s">
        <v>1219</v>
      </c>
      <c r="L55" s="131">
        <v>39400.692000000003</v>
      </c>
      <c r="M55" s="129">
        <v>1</v>
      </c>
      <c r="N55" s="134">
        <v>0</v>
      </c>
      <c r="O55" s="131">
        <v>39400.692000000003</v>
      </c>
      <c r="P55" s="132">
        <v>0.34162510463224699</v>
      </c>
      <c r="Q55" s="132">
        <v>2.0553729538530199E-2</v>
      </c>
      <c r="S55" s="131"/>
    </row>
    <row r="56" spans="1:19" x14ac:dyDescent="0.2">
      <c r="A56" s="6">
        <v>559</v>
      </c>
      <c r="B56" s="6">
        <v>7205</v>
      </c>
      <c r="C56" s="6" t="s">
        <v>1220</v>
      </c>
      <c r="D56" s="6" t="s">
        <v>1221</v>
      </c>
      <c r="E56" s="3" t="s">
        <v>776</v>
      </c>
      <c r="F56" s="6" t="s">
        <v>213</v>
      </c>
      <c r="G56" s="6" t="s">
        <v>53</v>
      </c>
      <c r="H56" s="6" t="s">
        <v>62</v>
      </c>
      <c r="I56" s="6" t="s">
        <v>1213</v>
      </c>
      <c r="J56" s="6" t="s">
        <v>65</v>
      </c>
      <c r="K56" s="6" t="s">
        <v>1219</v>
      </c>
      <c r="L56" s="131">
        <v>0</v>
      </c>
      <c r="M56" s="129">
        <v>1</v>
      </c>
      <c r="N56" s="134">
        <v>0</v>
      </c>
      <c r="O56" s="131">
        <v>0</v>
      </c>
      <c r="P56" s="132">
        <v>-1.2138749808743402E-9</v>
      </c>
      <c r="Q56" s="132">
        <v>-7.3032273425389888E-11</v>
      </c>
      <c r="S56" s="131"/>
    </row>
    <row r="57" spans="1:19" x14ac:dyDescent="0.2">
      <c r="A57" s="6">
        <v>559</v>
      </c>
      <c r="B57" s="6">
        <v>7205</v>
      </c>
      <c r="C57" s="6" t="s">
        <v>1220</v>
      </c>
      <c r="D57" s="6" t="s">
        <v>1221</v>
      </c>
      <c r="E57" s="3" t="s">
        <v>776</v>
      </c>
      <c r="F57" s="6" t="s">
        <v>213</v>
      </c>
      <c r="G57" s="6" t="s">
        <v>53</v>
      </c>
      <c r="H57" s="6" t="s">
        <v>62</v>
      </c>
      <c r="I57" s="6" t="s">
        <v>1213</v>
      </c>
      <c r="J57" s="6" t="s">
        <v>65</v>
      </c>
      <c r="K57" s="6" t="s">
        <v>1219</v>
      </c>
      <c r="L57" s="131">
        <v>0</v>
      </c>
      <c r="M57" s="129">
        <v>1</v>
      </c>
      <c r="N57" s="134">
        <v>0</v>
      </c>
      <c r="O57" s="131">
        <v>0</v>
      </c>
      <c r="P57" s="132">
        <v>-1.73410711553478E-10</v>
      </c>
      <c r="Q57" s="132">
        <v>-1.0433181917912799E-11</v>
      </c>
      <c r="S57" s="131"/>
    </row>
    <row r="58" spans="1:19" x14ac:dyDescent="0.2">
      <c r="A58" s="6">
        <v>559</v>
      </c>
      <c r="B58" s="6">
        <v>7206</v>
      </c>
      <c r="C58" s="6" t="s">
        <v>1211</v>
      </c>
      <c r="D58" s="6" t="s">
        <v>1212</v>
      </c>
      <c r="E58" s="3" t="s">
        <v>776</v>
      </c>
      <c r="F58" s="6" t="s">
        <v>218</v>
      </c>
      <c r="G58" s="6" t="s">
        <v>53</v>
      </c>
      <c r="H58" s="6" t="s">
        <v>62</v>
      </c>
      <c r="I58" s="6" t="s">
        <v>1213</v>
      </c>
      <c r="J58" s="6" t="s">
        <v>65</v>
      </c>
      <c r="K58" s="6" t="s">
        <v>1214</v>
      </c>
      <c r="L58" s="131">
        <v>40.597999999999999</v>
      </c>
      <c r="M58" s="129">
        <v>2.2031999999999998</v>
      </c>
      <c r="N58" s="134">
        <v>0</v>
      </c>
      <c r="O58" s="131">
        <v>89.444999999999993</v>
      </c>
      <c r="P58" s="132">
        <v>1.25287627918591E-2</v>
      </c>
      <c r="Q58" s="132">
        <v>1.02464103779404E-3</v>
      </c>
      <c r="S58" s="131"/>
    </row>
    <row r="59" spans="1:19" x14ac:dyDescent="0.2">
      <c r="A59" s="6">
        <v>559</v>
      </c>
      <c r="B59" s="6">
        <v>7206</v>
      </c>
      <c r="C59" s="6" t="s">
        <v>1211</v>
      </c>
      <c r="D59" s="6" t="s">
        <v>1212</v>
      </c>
      <c r="E59" s="3" t="s">
        <v>776</v>
      </c>
      <c r="F59" s="6" t="s">
        <v>217</v>
      </c>
      <c r="G59" s="6" t="s">
        <v>53</v>
      </c>
      <c r="H59" s="6" t="s">
        <v>62</v>
      </c>
      <c r="I59" s="6" t="s">
        <v>1213</v>
      </c>
      <c r="J59" s="6" t="s">
        <v>65</v>
      </c>
      <c r="K59" s="6" t="s">
        <v>1214</v>
      </c>
      <c r="L59" s="131">
        <v>36.518999999999998</v>
      </c>
      <c r="M59" s="129">
        <v>2.2031999999999998</v>
      </c>
      <c r="N59" s="134">
        <v>0</v>
      </c>
      <c r="O59" s="131">
        <v>80.457999999999998</v>
      </c>
      <c r="P59" s="132">
        <v>1.12699748439726E-2</v>
      </c>
      <c r="Q59" s="132">
        <v>9.2169345943273698E-4</v>
      </c>
      <c r="S59" s="131"/>
    </row>
    <row r="60" spans="1:19" x14ac:dyDescent="0.2">
      <c r="A60" s="6">
        <v>559</v>
      </c>
      <c r="B60" s="6">
        <v>7206</v>
      </c>
      <c r="C60" s="6" t="s">
        <v>1211</v>
      </c>
      <c r="D60" s="6" t="s">
        <v>1212</v>
      </c>
      <c r="E60" s="3" t="s">
        <v>776</v>
      </c>
      <c r="F60" s="6" t="s">
        <v>217</v>
      </c>
      <c r="G60" s="6" t="s">
        <v>53</v>
      </c>
      <c r="H60" s="6" t="s">
        <v>62</v>
      </c>
      <c r="I60" s="6" t="s">
        <v>1213</v>
      </c>
      <c r="J60" s="6" t="s">
        <v>65</v>
      </c>
      <c r="K60" s="6" t="s">
        <v>1215</v>
      </c>
      <c r="L60" s="131">
        <v>55.704000000000001</v>
      </c>
      <c r="M60" s="129">
        <v>3.9552</v>
      </c>
      <c r="N60" s="134">
        <v>0</v>
      </c>
      <c r="O60" s="131">
        <v>220.321</v>
      </c>
      <c r="P60" s="132">
        <v>3.08607557487507E-2</v>
      </c>
      <c r="Q60" s="132">
        <v>2.5238882180812698E-3</v>
      </c>
      <c r="S60" s="131"/>
    </row>
    <row r="61" spans="1:19" x14ac:dyDescent="0.2">
      <c r="A61" s="6">
        <v>559</v>
      </c>
      <c r="B61" s="6">
        <v>7206</v>
      </c>
      <c r="C61" s="6" t="s">
        <v>1211</v>
      </c>
      <c r="D61" s="6" t="s">
        <v>1212</v>
      </c>
      <c r="E61" s="3" t="s">
        <v>776</v>
      </c>
      <c r="F61" s="6" t="s">
        <v>217</v>
      </c>
      <c r="G61" s="6" t="s">
        <v>53</v>
      </c>
      <c r="H61" s="6" t="s">
        <v>62</v>
      </c>
      <c r="I61" s="6" t="s">
        <v>1213</v>
      </c>
      <c r="J61" s="6" t="s">
        <v>65</v>
      </c>
      <c r="K61" s="6" t="s">
        <v>1216</v>
      </c>
      <c r="L61" s="131">
        <v>138.78800000000001</v>
      </c>
      <c r="M61" s="129">
        <v>0.42899999999999999</v>
      </c>
      <c r="N61" s="134">
        <v>0</v>
      </c>
      <c r="O61" s="131">
        <v>59.54</v>
      </c>
      <c r="P61" s="132">
        <v>8.3399135179331001E-3</v>
      </c>
      <c r="Q61" s="132">
        <v>6.8206396625851201E-4</v>
      </c>
      <c r="S61" s="131"/>
    </row>
    <row r="62" spans="1:19" x14ac:dyDescent="0.2">
      <c r="A62" s="6">
        <v>559</v>
      </c>
      <c r="B62" s="6">
        <v>7206</v>
      </c>
      <c r="C62" s="6" t="s">
        <v>1211</v>
      </c>
      <c r="D62" s="6" t="s">
        <v>1212</v>
      </c>
      <c r="E62" s="3" t="s">
        <v>776</v>
      </c>
      <c r="F62" s="6" t="s">
        <v>217</v>
      </c>
      <c r="G62" s="6" t="s">
        <v>53</v>
      </c>
      <c r="H62" s="6" t="s">
        <v>62</v>
      </c>
      <c r="I62" s="6" t="s">
        <v>1213</v>
      </c>
      <c r="J62" s="6" t="s">
        <v>65</v>
      </c>
      <c r="K62" s="6" t="s">
        <v>1217</v>
      </c>
      <c r="L62" s="131">
        <v>707.01199999999994</v>
      </c>
      <c r="M62" s="129">
        <v>3.3719999999999999</v>
      </c>
      <c r="N62" s="134">
        <v>0</v>
      </c>
      <c r="O62" s="131">
        <v>2384.0430000000001</v>
      </c>
      <c r="P62" s="132">
        <v>0.33393771585774901</v>
      </c>
      <c r="Q62" s="132">
        <v>2.7310461010354999E-2</v>
      </c>
      <c r="S62" s="131"/>
    </row>
    <row r="63" spans="1:19" x14ac:dyDescent="0.2">
      <c r="A63" s="6">
        <v>559</v>
      </c>
      <c r="B63" s="6">
        <v>7206</v>
      </c>
      <c r="C63" s="6" t="s">
        <v>1211</v>
      </c>
      <c r="D63" s="6" t="s">
        <v>1212</v>
      </c>
      <c r="E63" s="3" t="s">
        <v>776</v>
      </c>
      <c r="F63" s="6" t="s">
        <v>218</v>
      </c>
      <c r="G63" s="6" t="s">
        <v>53</v>
      </c>
      <c r="H63" s="6" t="s">
        <v>62</v>
      </c>
      <c r="I63" s="6" t="s">
        <v>1213</v>
      </c>
      <c r="J63" s="6" t="s">
        <v>65</v>
      </c>
      <c r="K63" s="6" t="s">
        <v>1217</v>
      </c>
      <c r="L63" s="131">
        <v>290.41199999999998</v>
      </c>
      <c r="M63" s="129">
        <v>3.3719999999999999</v>
      </c>
      <c r="N63" s="134">
        <v>0</v>
      </c>
      <c r="O63" s="131">
        <v>979.26800000000003</v>
      </c>
      <c r="P63" s="132">
        <v>0.137167998582606</v>
      </c>
      <c r="Q63" s="132">
        <v>1.12180238986675E-2</v>
      </c>
      <c r="S63" s="131"/>
    </row>
    <row r="64" spans="1:19" x14ac:dyDescent="0.2">
      <c r="A64" s="6">
        <v>559</v>
      </c>
      <c r="B64" s="6">
        <v>7206</v>
      </c>
      <c r="C64" s="6" t="s">
        <v>1211</v>
      </c>
      <c r="D64" s="6" t="s">
        <v>1212</v>
      </c>
      <c r="E64" s="3" t="s">
        <v>776</v>
      </c>
      <c r="F64" s="6" t="s">
        <v>218</v>
      </c>
      <c r="G64" s="6" t="s">
        <v>53</v>
      </c>
      <c r="H64" s="6" t="s">
        <v>62</v>
      </c>
      <c r="I64" s="6" t="s">
        <v>1213</v>
      </c>
      <c r="J64" s="6" t="s">
        <v>65</v>
      </c>
      <c r="K64" s="6" t="s">
        <v>1216</v>
      </c>
      <c r="L64" s="131">
        <v>113.99299999999999</v>
      </c>
      <c r="M64" s="129">
        <v>0.42899999999999999</v>
      </c>
      <c r="N64" s="134">
        <v>0</v>
      </c>
      <c r="O64" s="131">
        <v>48.902999999999999</v>
      </c>
      <c r="P64" s="132">
        <v>6.8499364921760101E-3</v>
      </c>
      <c r="Q64" s="132">
        <v>5.6020902883779304E-4</v>
      </c>
      <c r="S64" s="131"/>
    </row>
    <row r="65" spans="1:19" x14ac:dyDescent="0.2">
      <c r="A65" s="6">
        <v>559</v>
      </c>
      <c r="B65" s="6">
        <v>7206</v>
      </c>
      <c r="C65" s="6" t="s">
        <v>1211</v>
      </c>
      <c r="D65" s="6" t="s">
        <v>1212</v>
      </c>
      <c r="E65" s="3" t="s">
        <v>776</v>
      </c>
      <c r="F65" s="6" t="s">
        <v>218</v>
      </c>
      <c r="G65" s="6" t="s">
        <v>53</v>
      </c>
      <c r="H65" s="6" t="s">
        <v>62</v>
      </c>
      <c r="I65" s="6" t="s">
        <v>1213</v>
      </c>
      <c r="J65" s="6" t="s">
        <v>65</v>
      </c>
      <c r="K65" s="6" t="s">
        <v>1215</v>
      </c>
      <c r="L65" s="131">
        <v>25.791</v>
      </c>
      <c r="M65" s="129">
        <v>3.9552</v>
      </c>
      <c r="N65" s="134">
        <v>0</v>
      </c>
      <c r="O65" s="131">
        <v>102.00700000000001</v>
      </c>
      <c r="P65" s="132">
        <v>1.4288288833009199E-2</v>
      </c>
      <c r="Q65" s="132">
        <v>1.1685405288117099E-3</v>
      </c>
      <c r="S65" s="131"/>
    </row>
    <row r="66" spans="1:19" x14ac:dyDescent="0.2">
      <c r="A66" s="6">
        <v>559</v>
      </c>
      <c r="B66" s="6">
        <v>7206</v>
      </c>
      <c r="C66" s="6" t="s">
        <v>1211</v>
      </c>
      <c r="D66" s="6" t="s">
        <v>1212</v>
      </c>
      <c r="E66" s="3" t="s">
        <v>776</v>
      </c>
      <c r="F66" s="6" t="s">
        <v>218</v>
      </c>
      <c r="G66" s="6" t="s">
        <v>53</v>
      </c>
      <c r="H66" s="6" t="s">
        <v>62</v>
      </c>
      <c r="I66" s="6" t="s">
        <v>1213</v>
      </c>
      <c r="J66" s="6" t="s">
        <v>65</v>
      </c>
      <c r="K66" s="6" t="s">
        <v>1218</v>
      </c>
      <c r="L66" s="131">
        <v>2.1429999999999998</v>
      </c>
      <c r="M66" s="129">
        <v>4.6235999999999997</v>
      </c>
      <c r="N66" s="134">
        <v>0</v>
      </c>
      <c r="O66" s="131">
        <v>9.9060000000000006</v>
      </c>
      <c r="P66" s="132">
        <v>1.3875750300886499E-3</v>
      </c>
      <c r="Q66" s="132">
        <v>1.13480184952576E-4</v>
      </c>
      <c r="S66" s="131"/>
    </row>
    <row r="67" spans="1:19" x14ac:dyDescent="0.2">
      <c r="A67" s="6">
        <v>559</v>
      </c>
      <c r="B67" s="6">
        <v>7206</v>
      </c>
      <c r="C67" s="6" t="s">
        <v>1211</v>
      </c>
      <c r="D67" s="6" t="s">
        <v>1212</v>
      </c>
      <c r="E67" s="3" t="s">
        <v>776</v>
      </c>
      <c r="F67" s="6" t="s">
        <v>213</v>
      </c>
      <c r="G67" s="6" t="s">
        <v>53</v>
      </c>
      <c r="H67" s="6" t="s">
        <v>62</v>
      </c>
      <c r="I67" s="6" t="s">
        <v>1213</v>
      </c>
      <c r="J67" s="6" t="s">
        <v>65</v>
      </c>
      <c r="K67" s="6" t="s">
        <v>1219</v>
      </c>
      <c r="L67" s="131">
        <v>-3.069</v>
      </c>
      <c r="M67" s="129">
        <v>1</v>
      </c>
      <c r="N67" s="134">
        <v>0</v>
      </c>
      <c r="O67" s="131">
        <v>-3.069</v>
      </c>
      <c r="P67" s="132">
        <v>-4.2984875788805302E-4</v>
      </c>
      <c r="Q67" s="132">
        <v>-3.5154363179665299E-5</v>
      </c>
      <c r="S67" s="131"/>
    </row>
    <row r="68" spans="1:19" x14ac:dyDescent="0.2">
      <c r="A68" s="6">
        <v>559</v>
      </c>
      <c r="B68" s="6">
        <v>7206</v>
      </c>
      <c r="C68" s="6" t="s">
        <v>1211</v>
      </c>
      <c r="D68" s="6" t="s">
        <v>1212</v>
      </c>
      <c r="E68" s="3" t="s">
        <v>776</v>
      </c>
      <c r="F68" s="6" t="s">
        <v>219</v>
      </c>
      <c r="G68" s="6" t="s">
        <v>53</v>
      </c>
      <c r="H68" s="6" t="s">
        <v>62</v>
      </c>
      <c r="I68" s="6" t="s">
        <v>1213</v>
      </c>
      <c r="J68" s="6" t="s">
        <v>65</v>
      </c>
      <c r="K68" s="6" t="s">
        <v>1219</v>
      </c>
      <c r="L68" s="131">
        <v>1864.338</v>
      </c>
      <c r="M68" s="129">
        <v>1</v>
      </c>
      <c r="N68" s="134">
        <v>0</v>
      </c>
      <c r="O68" s="131">
        <v>1864.338</v>
      </c>
      <c r="P68" s="132">
        <v>0.261141543646838</v>
      </c>
      <c r="Q68" s="132">
        <v>2.1356964509480401E-2</v>
      </c>
      <c r="S68" s="131"/>
    </row>
    <row r="69" spans="1:19" x14ac:dyDescent="0.2">
      <c r="A69" s="6">
        <v>559</v>
      </c>
      <c r="B69" s="6">
        <v>7206</v>
      </c>
      <c r="C69" s="6" t="s">
        <v>1220</v>
      </c>
      <c r="D69" s="6" t="s">
        <v>1221</v>
      </c>
      <c r="E69" s="3" t="s">
        <v>776</v>
      </c>
      <c r="F69" s="6" t="s">
        <v>218</v>
      </c>
      <c r="G69" s="6" t="s">
        <v>53</v>
      </c>
      <c r="H69" s="6" t="s">
        <v>62</v>
      </c>
      <c r="I69" s="6" t="s">
        <v>1213</v>
      </c>
      <c r="J69" s="6" t="s">
        <v>65</v>
      </c>
      <c r="K69" s="6" t="s">
        <v>1217</v>
      </c>
      <c r="L69" s="131">
        <v>34.255000000000003</v>
      </c>
      <c r="M69" s="129">
        <v>3.3719999999999999</v>
      </c>
      <c r="N69" s="134">
        <v>0</v>
      </c>
      <c r="O69" s="131">
        <v>115.509</v>
      </c>
      <c r="P69" s="132">
        <v>1.6179601414511899E-2</v>
      </c>
      <c r="Q69" s="132">
        <v>1.32321793140114E-3</v>
      </c>
      <c r="S69" s="131"/>
    </row>
    <row r="70" spans="1:19" x14ac:dyDescent="0.2">
      <c r="A70" s="6">
        <v>559</v>
      </c>
      <c r="B70" s="6">
        <v>7206</v>
      </c>
      <c r="C70" s="6" t="s">
        <v>1220</v>
      </c>
      <c r="D70" s="6" t="s">
        <v>1221</v>
      </c>
      <c r="E70" s="3" t="s">
        <v>776</v>
      </c>
      <c r="F70" s="6" t="s">
        <v>218</v>
      </c>
      <c r="G70" s="6" t="s">
        <v>53</v>
      </c>
      <c r="H70" s="6" t="s">
        <v>62</v>
      </c>
      <c r="I70" s="6" t="s">
        <v>1213</v>
      </c>
      <c r="J70" s="6" t="s">
        <v>65</v>
      </c>
      <c r="K70" s="6" t="s">
        <v>1215</v>
      </c>
      <c r="L70" s="131">
        <v>2.048</v>
      </c>
      <c r="M70" s="129">
        <v>3.9552</v>
      </c>
      <c r="N70" s="134">
        <v>0</v>
      </c>
      <c r="O70" s="131">
        <v>8.0980000000000008</v>
      </c>
      <c r="P70" s="132">
        <v>1.1343688732390999E-3</v>
      </c>
      <c r="Q70" s="132">
        <v>9.2772200960833395E-5</v>
      </c>
      <c r="S70" s="131"/>
    </row>
    <row r="71" spans="1:19" x14ac:dyDescent="0.2">
      <c r="A71" s="6">
        <v>559</v>
      </c>
      <c r="B71" s="6">
        <v>7206</v>
      </c>
      <c r="C71" s="6" t="s">
        <v>1220</v>
      </c>
      <c r="D71" s="6" t="s">
        <v>1221</v>
      </c>
      <c r="E71" s="3" t="s">
        <v>776</v>
      </c>
      <c r="F71" s="6" t="s">
        <v>213</v>
      </c>
      <c r="G71" s="6" t="s">
        <v>53</v>
      </c>
      <c r="H71" s="6" t="s">
        <v>62</v>
      </c>
      <c r="I71" s="6" t="s">
        <v>1213</v>
      </c>
      <c r="J71" s="6" t="s">
        <v>65</v>
      </c>
      <c r="K71" s="6" t="s">
        <v>1219</v>
      </c>
      <c r="L71" s="131">
        <v>1180.4169999999999</v>
      </c>
      <c r="M71" s="129">
        <v>1</v>
      </c>
      <c r="N71" s="134">
        <v>0</v>
      </c>
      <c r="O71" s="131">
        <v>1180.4169999999999</v>
      </c>
      <c r="P71" s="132">
        <v>0.165343362699234</v>
      </c>
      <c r="Q71" s="132">
        <v>1.352229246918E-2</v>
      </c>
      <c r="S71" s="131"/>
    </row>
    <row r="72" spans="1:19" x14ac:dyDescent="0.2">
      <c r="A72" s="6">
        <v>559</v>
      </c>
      <c r="B72" s="6">
        <v>7206</v>
      </c>
      <c r="C72" s="6" t="s">
        <v>1220</v>
      </c>
      <c r="D72" s="6" t="s">
        <v>1221</v>
      </c>
      <c r="E72" s="3" t="s">
        <v>776</v>
      </c>
      <c r="F72" s="6" t="s">
        <v>213</v>
      </c>
      <c r="G72" s="6" t="s">
        <v>53</v>
      </c>
      <c r="H72" s="6" t="s">
        <v>62</v>
      </c>
      <c r="I72" s="6" t="s">
        <v>1213</v>
      </c>
      <c r="J72" s="6" t="s">
        <v>65</v>
      </c>
      <c r="K72" s="6" t="s">
        <v>1219</v>
      </c>
      <c r="L72" s="131">
        <v>0</v>
      </c>
      <c r="M72" s="129">
        <v>1</v>
      </c>
      <c r="N72" s="134">
        <v>0</v>
      </c>
      <c r="O72" s="131">
        <v>0</v>
      </c>
      <c r="P72" s="132">
        <v>5.04259207564265E-8</v>
      </c>
      <c r="Q72" s="132">
        <v>4.1239880293014799E-9</v>
      </c>
      <c r="S72" s="131"/>
    </row>
    <row r="73" spans="1:19" x14ac:dyDescent="0.2">
      <c r="A73" s="6">
        <v>559</v>
      </c>
      <c r="B73" s="6">
        <v>7207</v>
      </c>
      <c r="C73" s="6" t="s">
        <v>1211</v>
      </c>
      <c r="D73" s="6" t="s">
        <v>1212</v>
      </c>
      <c r="E73" s="3" t="s">
        <v>776</v>
      </c>
      <c r="F73" s="6" t="s">
        <v>218</v>
      </c>
      <c r="G73" s="6" t="s">
        <v>53</v>
      </c>
      <c r="H73" s="6" t="s">
        <v>62</v>
      </c>
      <c r="I73" s="6" t="s">
        <v>1213</v>
      </c>
      <c r="J73" s="6" t="s">
        <v>65</v>
      </c>
      <c r="K73" s="6" t="s">
        <v>1214</v>
      </c>
      <c r="L73" s="131">
        <v>27.901</v>
      </c>
      <c r="M73" s="129">
        <v>2.2031999999999998</v>
      </c>
      <c r="N73" s="134">
        <v>0</v>
      </c>
      <c r="O73" s="131">
        <v>61.470999999999997</v>
      </c>
      <c r="P73" s="132">
        <v>5.9711334348258802E-3</v>
      </c>
      <c r="Q73" s="132">
        <v>5.0577167919323195E-4</v>
      </c>
      <c r="S73" s="131"/>
    </row>
    <row r="74" spans="1:19" x14ac:dyDescent="0.2">
      <c r="A74" s="6">
        <v>559</v>
      </c>
      <c r="B74" s="6">
        <v>7207</v>
      </c>
      <c r="C74" s="6" t="s">
        <v>1211</v>
      </c>
      <c r="D74" s="6" t="s">
        <v>1212</v>
      </c>
      <c r="E74" s="3" t="s">
        <v>776</v>
      </c>
      <c r="F74" s="6" t="s">
        <v>217</v>
      </c>
      <c r="G74" s="6" t="s">
        <v>53</v>
      </c>
      <c r="H74" s="6" t="s">
        <v>62</v>
      </c>
      <c r="I74" s="6" t="s">
        <v>1213</v>
      </c>
      <c r="J74" s="6" t="s">
        <v>65</v>
      </c>
      <c r="K74" s="6" t="s">
        <v>1214</v>
      </c>
      <c r="L74" s="131">
        <v>36.518999999999998</v>
      </c>
      <c r="M74" s="129">
        <v>2.2031999999999998</v>
      </c>
      <c r="N74" s="134">
        <v>0</v>
      </c>
      <c r="O74" s="131">
        <v>80.457999999999998</v>
      </c>
      <c r="P74" s="132">
        <v>7.8155831509199598E-3</v>
      </c>
      <c r="Q74" s="132">
        <v>6.6200172165979904E-4</v>
      </c>
      <c r="S74" s="131"/>
    </row>
    <row r="75" spans="1:19" x14ac:dyDescent="0.2">
      <c r="A75" s="6">
        <v>559</v>
      </c>
      <c r="B75" s="6">
        <v>7207</v>
      </c>
      <c r="C75" s="6" t="s">
        <v>1211</v>
      </c>
      <c r="D75" s="6" t="s">
        <v>1212</v>
      </c>
      <c r="E75" s="3" t="s">
        <v>776</v>
      </c>
      <c r="F75" s="6" t="s">
        <v>217</v>
      </c>
      <c r="G75" s="6" t="s">
        <v>53</v>
      </c>
      <c r="H75" s="6" t="s">
        <v>62</v>
      </c>
      <c r="I75" s="6" t="s">
        <v>1213</v>
      </c>
      <c r="J75" s="6" t="s">
        <v>65</v>
      </c>
      <c r="K75" s="6" t="s">
        <v>1215</v>
      </c>
      <c r="L75" s="131">
        <v>41.286999999999999</v>
      </c>
      <c r="M75" s="129">
        <v>3.9552</v>
      </c>
      <c r="N75" s="134">
        <v>0</v>
      </c>
      <c r="O75" s="131">
        <v>163.29900000000001</v>
      </c>
      <c r="P75" s="132">
        <v>1.5862535453583598E-2</v>
      </c>
      <c r="Q75" s="132">
        <v>1.3436010566819799E-3</v>
      </c>
      <c r="S75" s="131"/>
    </row>
    <row r="76" spans="1:19" x14ac:dyDescent="0.2">
      <c r="A76" s="6">
        <v>559</v>
      </c>
      <c r="B76" s="6">
        <v>7207</v>
      </c>
      <c r="C76" s="6" t="s">
        <v>1211</v>
      </c>
      <c r="D76" s="6" t="s">
        <v>1212</v>
      </c>
      <c r="E76" s="3" t="s">
        <v>776</v>
      </c>
      <c r="F76" s="6" t="s">
        <v>217</v>
      </c>
      <c r="G76" s="6" t="s">
        <v>53</v>
      </c>
      <c r="H76" s="6" t="s">
        <v>62</v>
      </c>
      <c r="I76" s="6" t="s">
        <v>1213</v>
      </c>
      <c r="J76" s="6" t="s">
        <v>65</v>
      </c>
      <c r="K76" s="6" t="s">
        <v>1216</v>
      </c>
      <c r="L76" s="131">
        <v>105.717</v>
      </c>
      <c r="M76" s="129">
        <v>0.42899999999999999</v>
      </c>
      <c r="N76" s="134">
        <v>0</v>
      </c>
      <c r="O76" s="131">
        <v>45.353000000000002</v>
      </c>
      <c r="P76" s="132">
        <v>4.4054856384721898E-3</v>
      </c>
      <c r="Q76" s="132">
        <v>3.7315693801720002E-4</v>
      </c>
      <c r="S76" s="131"/>
    </row>
    <row r="77" spans="1:19" x14ac:dyDescent="0.2">
      <c r="A77" s="6">
        <v>559</v>
      </c>
      <c r="B77" s="6">
        <v>7207</v>
      </c>
      <c r="C77" s="6" t="s">
        <v>1211</v>
      </c>
      <c r="D77" s="6" t="s">
        <v>1212</v>
      </c>
      <c r="E77" s="3" t="s">
        <v>776</v>
      </c>
      <c r="F77" s="6" t="s">
        <v>217</v>
      </c>
      <c r="G77" s="6" t="s">
        <v>53</v>
      </c>
      <c r="H77" s="6" t="s">
        <v>62</v>
      </c>
      <c r="I77" s="6" t="s">
        <v>1213</v>
      </c>
      <c r="J77" s="6" t="s">
        <v>65</v>
      </c>
      <c r="K77" s="6" t="s">
        <v>1217</v>
      </c>
      <c r="L77" s="131">
        <v>573.995</v>
      </c>
      <c r="M77" s="129">
        <v>3.3719999999999999</v>
      </c>
      <c r="N77" s="134">
        <v>0</v>
      </c>
      <c r="O77" s="131">
        <v>1935.51</v>
      </c>
      <c r="P77" s="132">
        <v>0.188011848031988</v>
      </c>
      <c r="Q77" s="132">
        <v>1.5925128641868E-2</v>
      </c>
      <c r="S77" s="131"/>
    </row>
    <row r="78" spans="1:19" x14ac:dyDescent="0.2">
      <c r="A78" s="6">
        <v>559</v>
      </c>
      <c r="B78" s="6">
        <v>7207</v>
      </c>
      <c r="C78" s="6" t="s">
        <v>1211</v>
      </c>
      <c r="D78" s="6" t="s">
        <v>1212</v>
      </c>
      <c r="E78" s="3" t="s">
        <v>776</v>
      </c>
      <c r="F78" s="6" t="s">
        <v>218</v>
      </c>
      <c r="G78" s="6" t="s">
        <v>53</v>
      </c>
      <c r="H78" s="6" t="s">
        <v>62</v>
      </c>
      <c r="I78" s="6" t="s">
        <v>1213</v>
      </c>
      <c r="J78" s="6" t="s">
        <v>65</v>
      </c>
      <c r="K78" s="6" t="s">
        <v>1217</v>
      </c>
      <c r="L78" s="131">
        <v>188.36500000000001</v>
      </c>
      <c r="M78" s="129">
        <v>3.3719999999999999</v>
      </c>
      <c r="N78" s="134">
        <v>0</v>
      </c>
      <c r="O78" s="131">
        <v>635.16800000000001</v>
      </c>
      <c r="P78" s="132">
        <v>6.1699013762620901E-2</v>
      </c>
      <c r="Q78" s="132">
        <v>5.2260787898800497E-3</v>
      </c>
      <c r="S78" s="131"/>
    </row>
    <row r="79" spans="1:19" x14ac:dyDescent="0.2">
      <c r="A79" s="6">
        <v>559</v>
      </c>
      <c r="B79" s="6">
        <v>7207</v>
      </c>
      <c r="C79" s="6" t="s">
        <v>1211</v>
      </c>
      <c r="D79" s="6" t="s">
        <v>1212</v>
      </c>
      <c r="E79" s="3" t="s">
        <v>776</v>
      </c>
      <c r="F79" s="6" t="s">
        <v>218</v>
      </c>
      <c r="G79" s="6" t="s">
        <v>53</v>
      </c>
      <c r="H79" s="6" t="s">
        <v>62</v>
      </c>
      <c r="I79" s="6" t="s">
        <v>1213</v>
      </c>
      <c r="J79" s="6" t="s">
        <v>65</v>
      </c>
      <c r="K79" s="6" t="s">
        <v>1216</v>
      </c>
      <c r="L79" s="131">
        <v>112.792</v>
      </c>
      <c r="M79" s="129">
        <v>0.42899999999999999</v>
      </c>
      <c r="N79" s="134">
        <v>0</v>
      </c>
      <c r="O79" s="131">
        <v>48.387999999999998</v>
      </c>
      <c r="P79" s="132">
        <v>4.7003143882648202E-3</v>
      </c>
      <c r="Q79" s="132">
        <v>3.98129756575793E-4</v>
      </c>
      <c r="S79" s="131"/>
    </row>
    <row r="80" spans="1:19" x14ac:dyDescent="0.2">
      <c r="A80" s="6">
        <v>559</v>
      </c>
      <c r="B80" s="6">
        <v>7207</v>
      </c>
      <c r="C80" s="6" t="s">
        <v>1211</v>
      </c>
      <c r="D80" s="6" t="s">
        <v>1212</v>
      </c>
      <c r="E80" s="3" t="s">
        <v>776</v>
      </c>
      <c r="F80" s="6" t="s">
        <v>218</v>
      </c>
      <c r="G80" s="6" t="s">
        <v>53</v>
      </c>
      <c r="H80" s="6" t="s">
        <v>62</v>
      </c>
      <c r="I80" s="6" t="s">
        <v>1213</v>
      </c>
      <c r="J80" s="6" t="s">
        <v>65</v>
      </c>
      <c r="K80" s="6" t="s">
        <v>1215</v>
      </c>
      <c r="L80" s="131">
        <v>30.084</v>
      </c>
      <c r="M80" s="129">
        <v>3.9552</v>
      </c>
      <c r="N80" s="134">
        <v>0</v>
      </c>
      <c r="O80" s="131">
        <v>118.989</v>
      </c>
      <c r="P80" s="132">
        <v>1.1558411110158999E-2</v>
      </c>
      <c r="Q80" s="132">
        <v>9.790297034555041E-4</v>
      </c>
      <c r="S80" s="131"/>
    </row>
    <row r="81" spans="1:19" x14ac:dyDescent="0.2">
      <c r="A81" s="6">
        <v>559</v>
      </c>
      <c r="B81" s="6">
        <v>7207</v>
      </c>
      <c r="C81" s="6" t="s">
        <v>1211</v>
      </c>
      <c r="D81" s="6" t="s">
        <v>1212</v>
      </c>
      <c r="E81" s="3" t="s">
        <v>776</v>
      </c>
      <c r="F81" s="6" t="s">
        <v>218</v>
      </c>
      <c r="G81" s="6" t="s">
        <v>53</v>
      </c>
      <c r="H81" s="6" t="s">
        <v>62</v>
      </c>
      <c r="I81" s="6" t="s">
        <v>1213</v>
      </c>
      <c r="J81" s="6" t="s">
        <v>65</v>
      </c>
      <c r="K81" s="6" t="s">
        <v>1218</v>
      </c>
      <c r="L81" s="131">
        <v>1.3979999999999999</v>
      </c>
      <c r="M81" s="129">
        <v>4.6235999999999997</v>
      </c>
      <c r="N81" s="134">
        <v>0</v>
      </c>
      <c r="O81" s="131">
        <v>6.4619999999999997</v>
      </c>
      <c r="P81" s="132">
        <v>6.2774606316407205E-4</v>
      </c>
      <c r="Q81" s="132">
        <v>5.3171844832955299E-5</v>
      </c>
      <c r="S81" s="131"/>
    </row>
    <row r="82" spans="1:19" x14ac:dyDescent="0.2">
      <c r="A82" s="6">
        <v>559</v>
      </c>
      <c r="B82" s="6">
        <v>7207</v>
      </c>
      <c r="C82" s="6" t="s">
        <v>1211</v>
      </c>
      <c r="D82" s="6" t="s">
        <v>1212</v>
      </c>
      <c r="E82" s="3" t="s">
        <v>776</v>
      </c>
      <c r="F82" s="6" t="s">
        <v>213</v>
      </c>
      <c r="G82" s="6" t="s">
        <v>53</v>
      </c>
      <c r="H82" s="6" t="s">
        <v>62</v>
      </c>
      <c r="I82" s="6" t="s">
        <v>1213</v>
      </c>
      <c r="J82" s="6" t="s">
        <v>65</v>
      </c>
      <c r="K82" s="6" t="s">
        <v>1219</v>
      </c>
      <c r="L82" s="131">
        <v>7.5919999999999996</v>
      </c>
      <c r="M82" s="129">
        <v>1</v>
      </c>
      <c r="N82" s="134">
        <v>0</v>
      </c>
      <c r="O82" s="131">
        <v>7.5919999999999996</v>
      </c>
      <c r="P82" s="132">
        <v>7.3743195099101595E-4</v>
      </c>
      <c r="Q82" s="132">
        <v>6.2462545882521097E-5</v>
      </c>
      <c r="S82" s="131"/>
    </row>
    <row r="83" spans="1:19" x14ac:dyDescent="0.2">
      <c r="A83" s="6">
        <v>559</v>
      </c>
      <c r="B83" s="6">
        <v>7207</v>
      </c>
      <c r="C83" s="6" t="s">
        <v>1211</v>
      </c>
      <c r="D83" s="6" t="s">
        <v>1212</v>
      </c>
      <c r="E83" s="3" t="s">
        <v>776</v>
      </c>
      <c r="F83" s="6" t="s">
        <v>219</v>
      </c>
      <c r="G83" s="6" t="s">
        <v>53</v>
      </c>
      <c r="H83" s="6" t="s">
        <v>62</v>
      </c>
      <c r="I83" s="6" t="s">
        <v>1213</v>
      </c>
      <c r="J83" s="6" t="s">
        <v>65</v>
      </c>
      <c r="K83" s="6" t="s">
        <v>1219</v>
      </c>
      <c r="L83" s="131">
        <v>2724.5309999999999</v>
      </c>
      <c r="M83" s="129">
        <v>1</v>
      </c>
      <c r="N83" s="134">
        <v>0</v>
      </c>
      <c r="O83" s="131">
        <v>2724.5309999999999</v>
      </c>
      <c r="P83" s="132">
        <v>0.26465584879965398</v>
      </c>
      <c r="Q83" s="132">
        <v>2.2417089572143199E-2</v>
      </c>
      <c r="S83" s="131"/>
    </row>
    <row r="84" spans="1:19" x14ac:dyDescent="0.2">
      <c r="A84" s="6">
        <v>559</v>
      </c>
      <c r="B84" s="6">
        <v>7207</v>
      </c>
      <c r="C84" s="6" t="s">
        <v>1220</v>
      </c>
      <c r="D84" s="6" t="s">
        <v>1221</v>
      </c>
      <c r="E84" s="3" t="s">
        <v>776</v>
      </c>
      <c r="F84" s="6" t="s">
        <v>218</v>
      </c>
      <c r="G84" s="6" t="s">
        <v>53</v>
      </c>
      <c r="H84" s="6" t="s">
        <v>62</v>
      </c>
      <c r="I84" s="6" t="s">
        <v>1213</v>
      </c>
      <c r="J84" s="6" t="s">
        <v>65</v>
      </c>
      <c r="K84" s="6" t="s">
        <v>1217</v>
      </c>
      <c r="L84" s="131">
        <v>96.188000000000002</v>
      </c>
      <c r="M84" s="129">
        <v>3.3719999999999999</v>
      </c>
      <c r="N84" s="134">
        <v>0</v>
      </c>
      <c r="O84" s="131">
        <v>324.34500000000003</v>
      </c>
      <c r="P84" s="132">
        <v>3.1506304834434402E-2</v>
      </c>
      <c r="Q84" s="132">
        <v>2.66867201599396E-3</v>
      </c>
      <c r="S84" s="131"/>
    </row>
    <row r="85" spans="1:19" x14ac:dyDescent="0.2">
      <c r="A85" s="6">
        <v>559</v>
      </c>
      <c r="B85" s="6">
        <v>7207</v>
      </c>
      <c r="C85" s="6" t="s">
        <v>1220</v>
      </c>
      <c r="D85" s="6" t="s">
        <v>1221</v>
      </c>
      <c r="E85" s="3" t="s">
        <v>776</v>
      </c>
      <c r="F85" s="6" t="s">
        <v>218</v>
      </c>
      <c r="G85" s="6" t="s">
        <v>53</v>
      </c>
      <c r="H85" s="6" t="s">
        <v>62</v>
      </c>
      <c r="I85" s="6" t="s">
        <v>1213</v>
      </c>
      <c r="J85" s="6" t="s">
        <v>65</v>
      </c>
      <c r="K85" s="6" t="s">
        <v>1215</v>
      </c>
      <c r="L85" s="131">
        <v>1.054</v>
      </c>
      <c r="M85" s="129">
        <v>3.9552</v>
      </c>
      <c r="N85" s="134">
        <v>0</v>
      </c>
      <c r="O85" s="131">
        <v>4.1689999999999996</v>
      </c>
      <c r="P85" s="132">
        <v>4.04947607559677E-4</v>
      </c>
      <c r="Q85" s="132">
        <v>3.43001933713632E-5</v>
      </c>
      <c r="S85" s="131"/>
    </row>
    <row r="86" spans="1:19" x14ac:dyDescent="0.2">
      <c r="A86" s="6">
        <v>559</v>
      </c>
      <c r="B86" s="6">
        <v>7207</v>
      </c>
      <c r="C86" s="6" t="s">
        <v>1220</v>
      </c>
      <c r="D86" s="6" t="s">
        <v>1221</v>
      </c>
      <c r="E86" s="3" t="s">
        <v>776</v>
      </c>
      <c r="F86" s="6" t="s">
        <v>213</v>
      </c>
      <c r="G86" s="6" t="s">
        <v>53</v>
      </c>
      <c r="H86" s="6" t="s">
        <v>62</v>
      </c>
      <c r="I86" s="6" t="s">
        <v>1213</v>
      </c>
      <c r="J86" s="6" t="s">
        <v>65</v>
      </c>
      <c r="K86" s="6" t="s">
        <v>1219</v>
      </c>
      <c r="L86" s="131">
        <v>4138.884</v>
      </c>
      <c r="M86" s="129">
        <v>1</v>
      </c>
      <c r="N86" s="134">
        <v>0</v>
      </c>
      <c r="O86" s="131">
        <v>4138.884</v>
      </c>
      <c r="P86" s="132">
        <v>0.402043479312162</v>
      </c>
      <c r="Q86" s="132">
        <v>3.4054205597623101E-2</v>
      </c>
      <c r="S86" s="131"/>
    </row>
    <row r="87" spans="1:19" x14ac:dyDescent="0.2">
      <c r="A87" s="6">
        <v>559</v>
      </c>
      <c r="B87" s="6">
        <v>7207</v>
      </c>
      <c r="C87" s="6" t="s">
        <v>1220</v>
      </c>
      <c r="D87" s="6" t="s">
        <v>1221</v>
      </c>
      <c r="E87" s="3" t="s">
        <v>776</v>
      </c>
      <c r="F87" s="6" t="s">
        <v>213</v>
      </c>
      <c r="G87" s="6" t="s">
        <v>53</v>
      </c>
      <c r="H87" s="6" t="s">
        <v>62</v>
      </c>
      <c r="I87" s="6" t="s">
        <v>1213</v>
      </c>
      <c r="J87" s="6" t="s">
        <v>65</v>
      </c>
      <c r="K87" s="6" t="s">
        <v>1219</v>
      </c>
      <c r="L87" s="131">
        <v>-1E-3</v>
      </c>
      <c r="M87" s="129">
        <v>1</v>
      </c>
      <c r="N87" s="134">
        <v>0</v>
      </c>
      <c r="O87" s="131">
        <v>-1E-3</v>
      </c>
      <c r="P87" s="132">
        <v>-8.3538799281872001E-8</v>
      </c>
      <c r="Q87" s="132">
        <v>-7.0759696214711803E-9</v>
      </c>
      <c r="S87" s="131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F8A9F882-C65B-4531-AE37-8684B72373CD}">
      <formula1>israel_abroad</formula1>
    </dataValidation>
    <dataValidation type="list" allowBlank="1" showInputMessage="1" showErrorMessage="1" sqref="H2:H20" xr:uid="{9FDBC99A-46E3-4BD8-9824-8162F0544505}">
      <formula1>Holding_interest</formula1>
    </dataValidation>
    <dataValidation type="list" allowBlank="1" showInputMessage="1" showErrorMessage="1" sqref="J2:J21" xr:uid="{9E3CB620-74B3-4D28-BB6E-6092F456E521}">
      <formula1>Rating_Agency</formula1>
    </dataValidation>
    <dataValidation type="list" allowBlank="1" showInputMessage="1" showErrorMessage="1" sqref="E2:E20" xr:uid="{ACD0DD36-B3A2-4001-9C1B-C4DAAEF69D0C}">
      <formula1>Issuer_Number_Banks</formula1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44"/>
  <sheetViews>
    <sheetView rightToLeft="1" workbookViewId="0">
      <selection activeCell="G13" sqref="G13"/>
    </sheetView>
  </sheetViews>
  <sheetFormatPr defaultColWidth="9" defaultRowHeight="14.25" x14ac:dyDescent="0.2"/>
  <cols>
    <col min="1" max="14" width="11.625" style="3" customWidth="1"/>
    <col min="15" max="15" width="11.625" style="143" customWidth="1"/>
    <col min="16" max="30" width="11.625" style="3" customWidth="1"/>
    <col min="31" max="16384" width="9" style="3"/>
  </cols>
  <sheetData>
    <row r="1" spans="1:26" ht="66.75" customHeight="1" x14ac:dyDescent="0.2">
      <c r="A1" s="13" t="s">
        <v>651</v>
      </c>
      <c r="B1" s="13" t="s">
        <v>0</v>
      </c>
      <c r="C1" s="13" t="s">
        <v>724</v>
      </c>
      <c r="D1" s="13" t="s">
        <v>1145</v>
      </c>
      <c r="E1" s="13" t="s">
        <v>29</v>
      </c>
      <c r="F1" s="13" t="s">
        <v>1</v>
      </c>
      <c r="G1" s="13" t="s">
        <v>604</v>
      </c>
      <c r="H1" s="13" t="s">
        <v>605</v>
      </c>
      <c r="I1" s="13" t="s">
        <v>5</v>
      </c>
      <c r="J1" s="13" t="s">
        <v>6</v>
      </c>
      <c r="K1" s="13" t="s">
        <v>8</v>
      </c>
      <c r="L1" s="13" t="s">
        <v>396</v>
      </c>
      <c r="M1" s="13" t="s">
        <v>13</v>
      </c>
      <c r="N1" s="13" t="s">
        <v>421</v>
      </c>
      <c r="O1" s="125" t="s">
        <v>14</v>
      </c>
      <c r="P1" s="126" t="s">
        <v>621</v>
      </c>
      <c r="Q1" s="13" t="s">
        <v>938</v>
      </c>
      <c r="R1" s="13" t="s">
        <v>773</v>
      </c>
      <c r="S1" s="124" t="s">
        <v>11</v>
      </c>
      <c r="T1" s="136" t="s">
        <v>15</v>
      </c>
      <c r="U1" s="13" t="s">
        <v>1153</v>
      </c>
      <c r="V1" s="13" t="s">
        <v>1154</v>
      </c>
      <c r="W1" s="13" t="s">
        <v>26</v>
      </c>
      <c r="X1" s="126" t="s">
        <v>18</v>
      </c>
      <c r="Y1" s="126" t="s">
        <v>19</v>
      </c>
      <c r="Z1" s="126" t="s">
        <v>30</v>
      </c>
    </row>
    <row r="2" spans="1:26" x14ac:dyDescent="0.2">
      <c r="A2" s="12">
        <v>13710</v>
      </c>
      <c r="B2" s="12">
        <v>13711</v>
      </c>
      <c r="C2" s="12" t="s">
        <v>1224</v>
      </c>
      <c r="D2" s="12" t="s">
        <v>1225</v>
      </c>
      <c r="E2" s="12" t="s">
        <v>1226</v>
      </c>
      <c r="F2" s="12" t="s">
        <v>227</v>
      </c>
      <c r="G2" s="12" t="s">
        <v>53</v>
      </c>
      <c r="H2" s="12" t="s">
        <v>53</v>
      </c>
      <c r="I2" s="12" t="s">
        <v>1227</v>
      </c>
      <c r="J2" s="12" t="s">
        <v>1228</v>
      </c>
      <c r="K2" s="12" t="s">
        <v>78</v>
      </c>
      <c r="L2" s="3" t="s">
        <v>1219</v>
      </c>
      <c r="M2" s="137">
        <v>0.42199999999999999</v>
      </c>
      <c r="N2" s="3" t="s">
        <v>1229</v>
      </c>
      <c r="O2" s="133">
        <v>0</v>
      </c>
      <c r="P2" s="138">
        <v>4.3240000000000001E-2</v>
      </c>
      <c r="R2" s="137">
        <v>242000</v>
      </c>
      <c r="S2" s="139">
        <v>1</v>
      </c>
      <c r="T2" s="140">
        <v>98.23</v>
      </c>
      <c r="U2" s="137">
        <v>237.71700000000001</v>
      </c>
      <c r="W2" s="12" t="s">
        <v>17</v>
      </c>
      <c r="X2" s="141">
        <v>1.7E-5</v>
      </c>
      <c r="Y2" s="138">
        <v>8.7682874076947994E-3</v>
      </c>
      <c r="Z2" s="138">
        <v>3.4850096829505098E-3</v>
      </c>
    </row>
    <row r="3" spans="1:26" x14ac:dyDescent="0.2">
      <c r="A3" s="12">
        <v>13710</v>
      </c>
      <c r="B3" s="12">
        <v>13711</v>
      </c>
      <c r="C3" s="12" t="s">
        <v>1224</v>
      </c>
      <c r="D3" s="12" t="s">
        <v>1230</v>
      </c>
      <c r="E3" s="12" t="s">
        <v>1231</v>
      </c>
      <c r="F3" s="12" t="s">
        <v>227</v>
      </c>
      <c r="G3" s="12" t="s">
        <v>53</v>
      </c>
      <c r="H3" s="12" t="s">
        <v>53</v>
      </c>
      <c r="I3" s="12" t="s">
        <v>1227</v>
      </c>
      <c r="J3" s="12" t="s">
        <v>1228</v>
      </c>
      <c r="K3" s="12" t="s">
        <v>78</v>
      </c>
      <c r="L3" s="3" t="s">
        <v>1219</v>
      </c>
      <c r="M3" s="137">
        <v>0.17299999999999999</v>
      </c>
      <c r="N3" s="3" t="s">
        <v>1232</v>
      </c>
      <c r="O3" s="133">
        <v>0</v>
      </c>
      <c r="P3" s="138">
        <v>4.3970000000000002E-2</v>
      </c>
      <c r="R3" s="137">
        <v>814000</v>
      </c>
      <c r="S3" s="139">
        <v>1</v>
      </c>
      <c r="T3" s="140">
        <v>99.26</v>
      </c>
      <c r="U3" s="137">
        <v>807.976</v>
      </c>
      <c r="W3" s="12" t="s">
        <v>17</v>
      </c>
      <c r="X3" s="141">
        <v>2.9E-5</v>
      </c>
      <c r="Y3" s="138">
        <v>2.98025854897579E-2</v>
      </c>
      <c r="Z3" s="138">
        <v>1.18452206433858E-2</v>
      </c>
    </row>
    <row r="4" spans="1:26" x14ac:dyDescent="0.2">
      <c r="A4" s="12">
        <v>13710</v>
      </c>
      <c r="B4" s="12">
        <v>13711</v>
      </c>
      <c r="C4" s="12" t="s">
        <v>1224</v>
      </c>
      <c r="D4" s="12" t="s">
        <v>1233</v>
      </c>
      <c r="E4" s="12" t="s">
        <v>1234</v>
      </c>
      <c r="F4" s="12" t="s">
        <v>227</v>
      </c>
      <c r="G4" s="12" t="s">
        <v>53</v>
      </c>
      <c r="H4" s="12" t="s">
        <v>53</v>
      </c>
      <c r="I4" s="12" t="s">
        <v>1227</v>
      </c>
      <c r="J4" s="12" t="s">
        <v>1228</v>
      </c>
      <c r="K4" s="12" t="s">
        <v>78</v>
      </c>
      <c r="L4" s="3" t="s">
        <v>1219</v>
      </c>
      <c r="M4" s="137">
        <v>0.255</v>
      </c>
      <c r="N4" s="3" t="s">
        <v>1235</v>
      </c>
      <c r="O4" s="133">
        <v>0</v>
      </c>
      <c r="P4" s="138">
        <v>4.3540000000000002E-2</v>
      </c>
      <c r="R4" s="137">
        <v>142000</v>
      </c>
      <c r="S4" s="139">
        <v>1</v>
      </c>
      <c r="T4" s="140">
        <v>98.92</v>
      </c>
      <c r="U4" s="137">
        <v>140.46600000000001</v>
      </c>
      <c r="W4" s="12" t="s">
        <v>17</v>
      </c>
      <c r="X4" s="141">
        <v>1.0000000000000001E-5</v>
      </c>
      <c r="Y4" s="138">
        <v>5.1811685272472397E-3</v>
      </c>
      <c r="Z4" s="138">
        <v>2.0592872526748198E-3</v>
      </c>
    </row>
    <row r="5" spans="1:26" x14ac:dyDescent="0.2">
      <c r="A5" s="12">
        <v>13710</v>
      </c>
      <c r="B5" s="12">
        <v>13711</v>
      </c>
      <c r="C5" s="12" t="s">
        <v>1224</v>
      </c>
      <c r="D5" s="12" t="s">
        <v>1236</v>
      </c>
      <c r="E5" s="12" t="s">
        <v>1237</v>
      </c>
      <c r="F5" s="12" t="s">
        <v>227</v>
      </c>
      <c r="G5" s="12" t="s">
        <v>53</v>
      </c>
      <c r="H5" s="12" t="s">
        <v>53</v>
      </c>
      <c r="I5" s="12" t="s">
        <v>1227</v>
      </c>
      <c r="J5" s="12" t="s">
        <v>1228</v>
      </c>
      <c r="K5" s="12" t="s">
        <v>78</v>
      </c>
      <c r="L5" s="3" t="s">
        <v>1219</v>
      </c>
      <c r="M5" s="137">
        <v>0.34499999999999997</v>
      </c>
      <c r="N5" s="3" t="s">
        <v>1238</v>
      </c>
      <c r="O5" s="133">
        <v>0</v>
      </c>
      <c r="P5" s="138">
        <v>4.3220000000000001E-2</v>
      </c>
      <c r="R5" s="137">
        <v>390000</v>
      </c>
      <c r="S5" s="139">
        <v>1</v>
      </c>
      <c r="T5" s="140">
        <v>98.55</v>
      </c>
      <c r="U5" s="137">
        <v>384.34500000000003</v>
      </c>
      <c r="W5" s="12" t="s">
        <v>17</v>
      </c>
      <c r="X5" s="141">
        <v>2.8E-5</v>
      </c>
      <c r="Y5" s="138">
        <v>1.4176744172306299E-2</v>
      </c>
      <c r="Z5" s="138">
        <v>5.6346340415167201E-3</v>
      </c>
    </row>
    <row r="6" spans="1:26" x14ac:dyDescent="0.2">
      <c r="A6" s="12">
        <v>13710</v>
      </c>
      <c r="B6" s="12">
        <v>13711</v>
      </c>
      <c r="C6" s="12" t="s">
        <v>1224</v>
      </c>
      <c r="D6" s="12" t="s">
        <v>1239</v>
      </c>
      <c r="E6" s="12" t="s">
        <v>1240</v>
      </c>
      <c r="F6" s="12" t="s">
        <v>227</v>
      </c>
      <c r="G6" s="12" t="s">
        <v>53</v>
      </c>
      <c r="H6" s="12" t="s">
        <v>53</v>
      </c>
      <c r="I6" s="12" t="s">
        <v>1227</v>
      </c>
      <c r="J6" s="12" t="s">
        <v>1228</v>
      </c>
      <c r="K6" s="12" t="s">
        <v>78</v>
      </c>
      <c r="L6" s="3" t="s">
        <v>1219</v>
      </c>
      <c r="M6" s="137">
        <v>0.51800000000000002</v>
      </c>
      <c r="N6" s="3" t="s">
        <v>1241</v>
      </c>
      <c r="O6" s="133">
        <v>0</v>
      </c>
      <c r="P6" s="138">
        <v>4.3279999999999999E-2</v>
      </c>
      <c r="R6" s="137">
        <v>294000</v>
      </c>
      <c r="S6" s="139">
        <v>1</v>
      </c>
      <c r="T6" s="140">
        <v>97.83</v>
      </c>
      <c r="U6" s="137">
        <v>287.62</v>
      </c>
      <c r="W6" s="12" t="s">
        <v>17</v>
      </c>
      <c r="X6" s="141">
        <v>1.8E-5</v>
      </c>
      <c r="Y6" s="138">
        <v>1.06090049153431E-2</v>
      </c>
      <c r="Z6" s="138">
        <v>4.2166141616200199E-3</v>
      </c>
    </row>
    <row r="7" spans="1:26" x14ac:dyDescent="0.2">
      <c r="A7" s="12">
        <v>13710</v>
      </c>
      <c r="B7" s="12">
        <v>13711</v>
      </c>
      <c r="C7" s="12" t="s">
        <v>1224</v>
      </c>
      <c r="D7" s="12" t="s">
        <v>1242</v>
      </c>
      <c r="E7" s="12" t="s">
        <v>1243</v>
      </c>
      <c r="F7" s="12" t="s">
        <v>227</v>
      </c>
      <c r="G7" s="12" t="s">
        <v>53</v>
      </c>
      <c r="H7" s="12" t="s">
        <v>53</v>
      </c>
      <c r="I7" s="12" t="s">
        <v>1227</v>
      </c>
      <c r="J7" s="12" t="s">
        <v>1228</v>
      </c>
      <c r="K7" s="12" t="s">
        <v>78</v>
      </c>
      <c r="L7" s="3" t="s">
        <v>1219</v>
      </c>
      <c r="M7" s="137">
        <v>0.748</v>
      </c>
      <c r="N7" s="3" t="s">
        <v>1244</v>
      </c>
      <c r="O7" s="133">
        <v>0</v>
      </c>
      <c r="P7" s="138">
        <v>4.1849999999999998E-2</v>
      </c>
      <c r="R7" s="137">
        <v>267400</v>
      </c>
      <c r="S7" s="139">
        <v>1</v>
      </c>
      <c r="T7" s="140">
        <v>96.98</v>
      </c>
      <c r="U7" s="137">
        <v>259.32499999999999</v>
      </c>
      <c r="W7" s="12" t="s">
        <v>17</v>
      </c>
      <c r="X7" s="141">
        <v>1.5E-5</v>
      </c>
      <c r="Y7" s="138">
        <v>9.5653055917108796E-3</v>
      </c>
      <c r="Z7" s="138">
        <v>3.80178945528622E-3</v>
      </c>
    </row>
    <row r="8" spans="1:26" x14ac:dyDescent="0.2">
      <c r="A8" s="12">
        <v>13710</v>
      </c>
      <c r="B8" s="12">
        <v>13711</v>
      </c>
      <c r="C8" s="12" t="s">
        <v>1224</v>
      </c>
      <c r="D8" s="12" t="s">
        <v>1245</v>
      </c>
      <c r="E8" s="12" t="s">
        <v>1246</v>
      </c>
      <c r="F8" s="12" t="s">
        <v>227</v>
      </c>
      <c r="G8" s="12" t="s">
        <v>53</v>
      </c>
      <c r="H8" s="12" t="s">
        <v>53</v>
      </c>
      <c r="I8" s="12" t="s">
        <v>1227</v>
      </c>
      <c r="J8" s="12" t="s">
        <v>1228</v>
      </c>
      <c r="K8" s="12" t="s">
        <v>78</v>
      </c>
      <c r="L8" s="3" t="s">
        <v>1219</v>
      </c>
      <c r="M8" s="137">
        <v>0.92100000000000004</v>
      </c>
      <c r="N8" s="3" t="s">
        <v>1247</v>
      </c>
      <c r="O8" s="133">
        <v>0</v>
      </c>
      <c r="P8" s="138">
        <v>4.1099999999999998E-2</v>
      </c>
      <c r="R8" s="137">
        <v>25000</v>
      </c>
      <c r="S8" s="139">
        <v>1</v>
      </c>
      <c r="T8" s="140">
        <v>96.36</v>
      </c>
      <c r="U8" s="137">
        <v>24.09</v>
      </c>
      <c r="W8" s="12" t="s">
        <v>17</v>
      </c>
      <c r="X8" s="141">
        <v>9.9999999999999995E-7</v>
      </c>
      <c r="Y8" s="138">
        <v>8.8857085980267099E-4</v>
      </c>
      <c r="Z8" s="138">
        <v>3.5316794562213099E-4</v>
      </c>
    </row>
    <row r="9" spans="1:26" x14ac:dyDescent="0.2">
      <c r="A9" s="12">
        <v>13710</v>
      </c>
      <c r="B9" s="12">
        <v>13711</v>
      </c>
      <c r="C9" s="12" t="s">
        <v>1224</v>
      </c>
      <c r="D9" s="12" t="s">
        <v>1248</v>
      </c>
      <c r="E9" s="12" t="s">
        <v>1249</v>
      </c>
      <c r="F9" s="12" t="s">
        <v>227</v>
      </c>
      <c r="G9" s="12" t="s">
        <v>53</v>
      </c>
      <c r="H9" s="12" t="s">
        <v>53</v>
      </c>
      <c r="I9" s="12" t="s">
        <v>1227</v>
      </c>
      <c r="J9" s="12" t="s">
        <v>1228</v>
      </c>
      <c r="K9" s="12" t="s">
        <v>78</v>
      </c>
      <c r="L9" s="3" t="s">
        <v>1219</v>
      </c>
      <c r="M9" s="137">
        <v>3.0000000000000001E-3</v>
      </c>
      <c r="N9" s="3" t="s">
        <v>1250</v>
      </c>
      <c r="O9" s="133">
        <v>0</v>
      </c>
      <c r="P9" s="138">
        <v>0.11574</v>
      </c>
      <c r="R9" s="137">
        <v>465000</v>
      </c>
      <c r="S9" s="139">
        <v>1</v>
      </c>
      <c r="T9" s="140">
        <v>99.97</v>
      </c>
      <c r="U9" s="137">
        <v>464.86099999999999</v>
      </c>
      <c r="W9" s="12" t="s">
        <v>17</v>
      </c>
      <c r="X9" s="141">
        <v>1.5999999999999999E-5</v>
      </c>
      <c r="Y9" s="138">
        <v>1.7146595856093801E-2</v>
      </c>
      <c r="Z9" s="138">
        <v>6.8150198333697199E-3</v>
      </c>
    </row>
    <row r="10" spans="1:26" x14ac:dyDescent="0.2">
      <c r="A10" s="12">
        <v>13710</v>
      </c>
      <c r="B10" s="12">
        <v>13711</v>
      </c>
      <c r="C10" s="12" t="s">
        <v>1251</v>
      </c>
      <c r="D10" s="12" t="s">
        <v>1252</v>
      </c>
      <c r="E10" s="12" t="s">
        <v>1253</v>
      </c>
      <c r="F10" s="12" t="s">
        <v>221</v>
      </c>
      <c r="G10" s="12" t="s">
        <v>53</v>
      </c>
      <c r="H10" s="12" t="s">
        <v>53</v>
      </c>
      <c r="I10" s="12" t="s">
        <v>311</v>
      </c>
      <c r="J10" s="12" t="s">
        <v>1228</v>
      </c>
      <c r="K10" s="12" t="s">
        <v>78</v>
      </c>
      <c r="L10" s="3" t="s">
        <v>1219</v>
      </c>
      <c r="M10" s="137">
        <v>1.905</v>
      </c>
      <c r="N10" s="3" t="s">
        <v>1254</v>
      </c>
      <c r="O10" s="133">
        <v>7.4999999999999997E-3</v>
      </c>
      <c r="P10" s="138">
        <v>2.0959999999999999E-2</v>
      </c>
      <c r="R10" s="137">
        <v>652000</v>
      </c>
      <c r="S10" s="139">
        <v>1</v>
      </c>
      <c r="T10" s="140">
        <v>115.45</v>
      </c>
      <c r="U10" s="137">
        <v>752.73400000000004</v>
      </c>
      <c r="W10" s="12" t="s">
        <v>17</v>
      </c>
      <c r="X10" s="141">
        <v>2.6999999999999999E-5</v>
      </c>
      <c r="Y10" s="138">
        <v>2.7764943859805099E-2</v>
      </c>
      <c r="Z10" s="138">
        <v>1.1035347462844699E-2</v>
      </c>
    </row>
    <row r="11" spans="1:26" x14ac:dyDescent="0.2">
      <c r="A11" s="12">
        <v>13710</v>
      </c>
      <c r="B11" s="12">
        <v>13711</v>
      </c>
      <c r="C11" s="12" t="s">
        <v>1251</v>
      </c>
      <c r="D11" s="12" t="s">
        <v>1255</v>
      </c>
      <c r="E11" s="12" t="s">
        <v>1256</v>
      </c>
      <c r="F11" s="12" t="s">
        <v>221</v>
      </c>
      <c r="G11" s="12" t="s">
        <v>53</v>
      </c>
      <c r="H11" s="12" t="s">
        <v>53</v>
      </c>
      <c r="I11" s="12" t="s">
        <v>311</v>
      </c>
      <c r="J11" s="12" t="s">
        <v>1228</v>
      </c>
      <c r="K11" s="12" t="s">
        <v>78</v>
      </c>
      <c r="L11" s="3" t="s">
        <v>1219</v>
      </c>
      <c r="M11" s="137">
        <v>0.33200000000000002</v>
      </c>
      <c r="N11" s="3" t="s">
        <v>1257</v>
      </c>
      <c r="O11" s="133">
        <v>7.4999999999999997E-3</v>
      </c>
      <c r="P11" s="138">
        <v>5.9899999999999997E-3</v>
      </c>
      <c r="R11" s="137">
        <v>2301689.5</v>
      </c>
      <c r="S11" s="139">
        <v>1</v>
      </c>
      <c r="T11" s="140">
        <v>118.26</v>
      </c>
      <c r="U11" s="137">
        <v>2721.9780000000001</v>
      </c>
      <c r="W11" s="12" t="s">
        <v>17</v>
      </c>
      <c r="X11" s="141">
        <v>1.8100000000000001E-4</v>
      </c>
      <c r="Y11" s="138">
        <v>0.100401425247949</v>
      </c>
      <c r="Z11" s="138">
        <v>3.9905163106774201E-2</v>
      </c>
    </row>
    <row r="12" spans="1:26" x14ac:dyDescent="0.2">
      <c r="A12" s="12">
        <v>13710</v>
      </c>
      <c r="B12" s="12">
        <v>13711</v>
      </c>
      <c r="C12" s="12" t="s">
        <v>1251</v>
      </c>
      <c r="D12" s="12" t="s">
        <v>1258</v>
      </c>
      <c r="E12" s="12" t="s">
        <v>1259</v>
      </c>
      <c r="F12" s="12" t="s">
        <v>221</v>
      </c>
      <c r="G12" s="12" t="s">
        <v>53</v>
      </c>
      <c r="H12" s="12" t="s">
        <v>53</v>
      </c>
      <c r="I12" s="12" t="s">
        <v>311</v>
      </c>
      <c r="J12" s="12" t="s">
        <v>1228</v>
      </c>
      <c r="K12" s="12" t="s">
        <v>78</v>
      </c>
      <c r="L12" s="3" t="s">
        <v>1219</v>
      </c>
      <c r="M12" s="137">
        <v>6.3940000000000001</v>
      </c>
      <c r="N12" s="3" t="s">
        <v>1260</v>
      </c>
      <c r="O12" s="133">
        <v>1E-3</v>
      </c>
      <c r="P12" s="138">
        <v>1.9699999999999999E-2</v>
      </c>
      <c r="R12" s="137">
        <v>573000</v>
      </c>
      <c r="S12" s="139">
        <v>1</v>
      </c>
      <c r="T12" s="140">
        <v>104.14</v>
      </c>
      <c r="U12" s="137">
        <v>596.72199999999998</v>
      </c>
      <c r="W12" s="12" t="s">
        <v>17</v>
      </c>
      <c r="X12" s="141">
        <v>1.7E-5</v>
      </c>
      <c r="Y12" s="138">
        <v>2.2010376019814901E-2</v>
      </c>
      <c r="Z12" s="138">
        <v>8.7481591316362906E-3</v>
      </c>
    </row>
    <row r="13" spans="1:26" x14ac:dyDescent="0.2">
      <c r="A13" s="12">
        <v>13710</v>
      </c>
      <c r="B13" s="12">
        <v>13711</v>
      </c>
      <c r="C13" s="12" t="s">
        <v>1251</v>
      </c>
      <c r="D13" s="12" t="s">
        <v>1261</v>
      </c>
      <c r="E13" s="12" t="s">
        <v>1262</v>
      </c>
      <c r="F13" s="12" t="s">
        <v>221</v>
      </c>
      <c r="G13" s="12" t="s">
        <v>53</v>
      </c>
      <c r="H13" s="12" t="s">
        <v>53</v>
      </c>
      <c r="I13" s="12" t="s">
        <v>1227</v>
      </c>
      <c r="J13" s="12" t="s">
        <v>1228</v>
      </c>
      <c r="K13" s="12" t="s">
        <v>78</v>
      </c>
      <c r="L13" s="3" t="s">
        <v>1219</v>
      </c>
      <c r="M13" s="137">
        <v>5.5449999999999999</v>
      </c>
      <c r="N13" s="3" t="s">
        <v>1263</v>
      </c>
      <c r="O13" s="133">
        <v>0.02</v>
      </c>
      <c r="P13" s="138">
        <v>2.0459999999999999E-2</v>
      </c>
      <c r="R13" s="137">
        <v>210000</v>
      </c>
      <c r="S13" s="139">
        <v>1</v>
      </c>
      <c r="T13" s="140">
        <v>100.84</v>
      </c>
      <c r="U13" s="137">
        <v>211.76400000000001</v>
      </c>
      <c r="W13" s="12" t="s">
        <v>17</v>
      </c>
      <c r="X13" s="141">
        <v>5.3999999999999998E-5</v>
      </c>
      <c r="Y13" s="138">
        <v>7.8110136801682398E-3</v>
      </c>
      <c r="Z13" s="138">
        <v>3.1045353605946399E-3</v>
      </c>
    </row>
    <row r="14" spans="1:26" x14ac:dyDescent="0.2">
      <c r="A14" s="12">
        <v>13710</v>
      </c>
      <c r="B14" s="12">
        <v>13711</v>
      </c>
      <c r="C14" s="12" t="s">
        <v>1264</v>
      </c>
      <c r="D14" s="12" t="s">
        <v>1265</v>
      </c>
      <c r="E14" s="12" t="s">
        <v>1266</v>
      </c>
      <c r="F14" s="12" t="s">
        <v>227</v>
      </c>
      <c r="G14" s="12" t="s">
        <v>53</v>
      </c>
      <c r="H14" s="12" t="s">
        <v>53</v>
      </c>
      <c r="I14" s="12" t="s">
        <v>1227</v>
      </c>
      <c r="J14" s="12" t="s">
        <v>1228</v>
      </c>
      <c r="K14" s="12" t="s">
        <v>78</v>
      </c>
      <c r="L14" s="3" t="s">
        <v>1219</v>
      </c>
      <c r="M14" s="137">
        <v>0.65800000000000003</v>
      </c>
      <c r="N14" s="3" t="s">
        <v>1267</v>
      </c>
      <c r="O14" s="133">
        <v>0</v>
      </c>
      <c r="P14" s="138">
        <v>4.283E-2</v>
      </c>
      <c r="R14" s="137">
        <v>225000</v>
      </c>
      <c r="S14" s="139">
        <v>1</v>
      </c>
      <c r="T14" s="140">
        <v>97.28</v>
      </c>
      <c r="U14" s="137">
        <v>218.88</v>
      </c>
      <c r="W14" s="12" t="s">
        <v>17</v>
      </c>
      <c r="X14" s="141">
        <v>4.3000000000000002E-5</v>
      </c>
      <c r="Y14" s="138">
        <v>8.0734906514573993E-3</v>
      </c>
      <c r="Z14" s="138">
        <v>3.2088584449054399E-3</v>
      </c>
    </row>
    <row r="15" spans="1:26" x14ac:dyDescent="0.2">
      <c r="A15" s="12">
        <v>13710</v>
      </c>
      <c r="B15" s="12">
        <v>13711</v>
      </c>
      <c r="C15" s="12" t="s">
        <v>1264</v>
      </c>
      <c r="D15" s="12" t="s">
        <v>1268</v>
      </c>
      <c r="E15" s="12" t="s">
        <v>1269</v>
      </c>
      <c r="F15" s="12" t="s">
        <v>227</v>
      </c>
      <c r="G15" s="12" t="s">
        <v>53</v>
      </c>
      <c r="H15" s="12" t="s">
        <v>53</v>
      </c>
      <c r="I15" s="12" t="s">
        <v>1227</v>
      </c>
      <c r="J15" s="12" t="s">
        <v>1228</v>
      </c>
      <c r="K15" s="12" t="s">
        <v>78</v>
      </c>
      <c r="L15" s="3" t="s">
        <v>1219</v>
      </c>
      <c r="M15" s="137">
        <v>0.16400000000000001</v>
      </c>
      <c r="N15" s="3" t="s">
        <v>1270</v>
      </c>
      <c r="O15" s="133">
        <v>0</v>
      </c>
      <c r="P15" s="138">
        <v>4.4940000000000001E-2</v>
      </c>
      <c r="R15" s="137">
        <v>236000</v>
      </c>
      <c r="S15" s="139">
        <v>1</v>
      </c>
      <c r="T15" s="140">
        <v>99.28</v>
      </c>
      <c r="U15" s="137">
        <v>234.30099999999999</v>
      </c>
      <c r="W15" s="12" t="s">
        <v>17</v>
      </c>
      <c r="X15" s="141">
        <v>2.5000000000000001E-5</v>
      </c>
      <c r="Y15" s="138">
        <v>8.6422940352201601E-3</v>
      </c>
      <c r="Z15" s="138">
        <v>3.43493284323876E-3</v>
      </c>
    </row>
    <row r="16" spans="1:26" x14ac:dyDescent="0.2">
      <c r="A16" s="12">
        <v>13710</v>
      </c>
      <c r="B16" s="12">
        <v>13711</v>
      </c>
      <c r="C16" s="12" t="s">
        <v>1264</v>
      </c>
      <c r="D16" s="12" t="s">
        <v>1271</v>
      </c>
      <c r="E16" s="12" t="s">
        <v>1272</v>
      </c>
      <c r="F16" s="12" t="s">
        <v>227</v>
      </c>
      <c r="G16" s="12" t="s">
        <v>53</v>
      </c>
      <c r="H16" s="12" t="s">
        <v>53</v>
      </c>
      <c r="I16" s="12" t="s">
        <v>1227</v>
      </c>
      <c r="J16" s="12" t="s">
        <v>1228</v>
      </c>
      <c r="K16" s="12" t="s">
        <v>78</v>
      </c>
      <c r="L16" s="3" t="s">
        <v>1219</v>
      </c>
      <c r="M16" s="137">
        <v>0.41399999999999998</v>
      </c>
      <c r="N16" s="3" t="s">
        <v>1273</v>
      </c>
      <c r="O16" s="133">
        <v>0</v>
      </c>
      <c r="P16" s="138">
        <v>4.3860000000000003E-2</v>
      </c>
      <c r="R16" s="137">
        <v>591000</v>
      </c>
      <c r="S16" s="139">
        <v>1</v>
      </c>
      <c r="T16" s="140">
        <v>98.24</v>
      </c>
      <c r="U16" s="137">
        <v>580.59799999999996</v>
      </c>
      <c r="W16" s="12" t="s">
        <v>17</v>
      </c>
      <c r="X16" s="141">
        <v>9.2999999999999997E-5</v>
      </c>
      <c r="Y16" s="138">
        <v>2.14156421539251E-2</v>
      </c>
      <c r="Z16" s="138">
        <v>8.5117785039226304E-3</v>
      </c>
    </row>
    <row r="17" spans="1:26" x14ac:dyDescent="0.2">
      <c r="A17" s="12">
        <v>13710</v>
      </c>
      <c r="B17" s="12">
        <v>13711</v>
      </c>
      <c r="C17" s="12" t="s">
        <v>1274</v>
      </c>
      <c r="D17" s="12" t="s">
        <v>1275</v>
      </c>
      <c r="E17" s="12" t="s">
        <v>1276</v>
      </c>
      <c r="F17" s="12" t="s">
        <v>223</v>
      </c>
      <c r="G17" s="12" t="s">
        <v>53</v>
      </c>
      <c r="H17" s="12" t="s">
        <v>53</v>
      </c>
      <c r="I17" s="12" t="s">
        <v>311</v>
      </c>
      <c r="J17" s="12" t="s">
        <v>1228</v>
      </c>
      <c r="K17" s="12" t="s">
        <v>78</v>
      </c>
      <c r="L17" s="3" t="s">
        <v>1219</v>
      </c>
      <c r="M17" s="137">
        <v>3.109</v>
      </c>
      <c r="N17" s="3" t="s">
        <v>1277</v>
      </c>
      <c r="O17" s="133">
        <v>2.2499999999999999E-2</v>
      </c>
      <c r="P17" s="138">
        <v>3.952E-2</v>
      </c>
      <c r="R17" s="137">
        <v>151000</v>
      </c>
      <c r="S17" s="139">
        <v>1</v>
      </c>
      <c r="T17" s="140">
        <v>96.6</v>
      </c>
      <c r="U17" s="137">
        <v>145.86600000000001</v>
      </c>
      <c r="W17" s="12" t="s">
        <v>17</v>
      </c>
      <c r="X17" s="141">
        <v>3.9999999999999998E-6</v>
      </c>
      <c r="Y17" s="138">
        <v>5.3803352858437696E-3</v>
      </c>
      <c r="Z17" s="138">
        <v>2.13844730411448E-3</v>
      </c>
    </row>
    <row r="18" spans="1:26" x14ac:dyDescent="0.2">
      <c r="A18" s="12">
        <v>13710</v>
      </c>
      <c r="B18" s="12">
        <v>13711</v>
      </c>
      <c r="C18" s="12" t="s">
        <v>1274</v>
      </c>
      <c r="D18" s="12" t="s">
        <v>1278</v>
      </c>
      <c r="E18" s="12" t="s">
        <v>1279</v>
      </c>
      <c r="F18" s="12" t="s">
        <v>223</v>
      </c>
      <c r="G18" s="12" t="s">
        <v>53</v>
      </c>
      <c r="H18" s="12" t="s">
        <v>53</v>
      </c>
      <c r="I18" s="12" t="s">
        <v>311</v>
      </c>
      <c r="J18" s="12" t="s">
        <v>1228</v>
      </c>
      <c r="K18" s="12" t="s">
        <v>78</v>
      </c>
      <c r="L18" s="3" t="s">
        <v>1219</v>
      </c>
      <c r="M18" s="137">
        <v>2.1389999999999998</v>
      </c>
      <c r="N18" s="3" t="s">
        <v>1280</v>
      </c>
      <c r="O18" s="133">
        <v>3.7499999999999999E-2</v>
      </c>
      <c r="P18" s="138">
        <v>3.9739999999999998E-2</v>
      </c>
      <c r="R18" s="137">
        <v>1196000</v>
      </c>
      <c r="S18" s="139">
        <v>1</v>
      </c>
      <c r="T18" s="140">
        <v>102.34</v>
      </c>
      <c r="U18" s="137">
        <v>1223.9860000000001</v>
      </c>
      <c r="W18" s="12" t="s">
        <v>17</v>
      </c>
      <c r="X18" s="141">
        <v>3.3000000000000003E-5</v>
      </c>
      <c r="Y18" s="138">
        <v>4.5147307921742499E-2</v>
      </c>
      <c r="Z18" s="138">
        <v>1.7944074817659899E-2</v>
      </c>
    </row>
    <row r="19" spans="1:26" x14ac:dyDescent="0.2">
      <c r="A19" s="12">
        <v>13710</v>
      </c>
      <c r="B19" s="12">
        <v>13711</v>
      </c>
      <c r="C19" s="12" t="s">
        <v>1274</v>
      </c>
      <c r="D19" s="12" t="s">
        <v>1281</v>
      </c>
      <c r="E19" s="12" t="s">
        <v>1282</v>
      </c>
      <c r="F19" s="12" t="s">
        <v>223</v>
      </c>
      <c r="G19" s="12" t="s">
        <v>53</v>
      </c>
      <c r="H19" s="12" t="s">
        <v>53</v>
      </c>
      <c r="I19" s="12" t="s">
        <v>311</v>
      </c>
      <c r="J19" s="12" t="s">
        <v>1228</v>
      </c>
      <c r="K19" s="12" t="s">
        <v>78</v>
      </c>
      <c r="L19" s="3" t="s">
        <v>1219</v>
      </c>
      <c r="M19" s="137">
        <v>0.65800000000000003</v>
      </c>
      <c r="N19" s="3" t="s">
        <v>1267</v>
      </c>
      <c r="O19" s="133">
        <v>5.0000000000000001E-3</v>
      </c>
      <c r="P19" s="138">
        <v>4.0480000000000002E-2</v>
      </c>
      <c r="R19" s="137">
        <v>2275340</v>
      </c>
      <c r="S19" s="139">
        <v>1</v>
      </c>
      <c r="T19" s="140">
        <v>97.91</v>
      </c>
      <c r="U19" s="137">
        <v>2227.7849999999999</v>
      </c>
      <c r="W19" s="12" t="s">
        <v>17</v>
      </c>
      <c r="X19" s="141">
        <v>8.2000000000000001E-5</v>
      </c>
      <c r="Y19" s="138">
        <v>8.2172900913342201E-2</v>
      </c>
      <c r="Z19" s="138">
        <v>3.26601241546687E-2</v>
      </c>
    </row>
    <row r="20" spans="1:26" x14ac:dyDescent="0.2">
      <c r="A20" s="3">
        <v>13710</v>
      </c>
      <c r="B20" s="3">
        <v>13711</v>
      </c>
      <c r="C20" s="3" t="s">
        <v>1274</v>
      </c>
      <c r="D20" s="3" t="s">
        <v>1283</v>
      </c>
      <c r="E20" s="3" t="s">
        <v>1284</v>
      </c>
      <c r="F20" s="12" t="s">
        <v>223</v>
      </c>
      <c r="G20" s="12" t="s">
        <v>53</v>
      </c>
      <c r="H20" s="12" t="s">
        <v>53</v>
      </c>
      <c r="I20" s="12" t="s">
        <v>311</v>
      </c>
      <c r="J20" s="3" t="s">
        <v>1228</v>
      </c>
      <c r="K20" s="12" t="s">
        <v>78</v>
      </c>
      <c r="L20" s="3" t="s">
        <v>1219</v>
      </c>
      <c r="M20" s="137">
        <v>1.7250000000000001</v>
      </c>
      <c r="N20" s="3" t="s">
        <v>1285</v>
      </c>
      <c r="O20" s="133">
        <v>0.02</v>
      </c>
      <c r="P20" s="138">
        <v>4.0030000000000003E-2</v>
      </c>
      <c r="R20" s="137">
        <v>965000</v>
      </c>
      <c r="S20" s="139">
        <v>1</v>
      </c>
      <c r="T20" s="140">
        <v>97.19</v>
      </c>
      <c r="U20" s="137">
        <v>937.88400000000001</v>
      </c>
      <c r="W20" s="12" t="s">
        <v>17</v>
      </c>
      <c r="X20" s="141">
        <v>3.4E-5</v>
      </c>
      <c r="Y20" s="138">
        <v>3.4594269322944703E-2</v>
      </c>
      <c r="Z20" s="138">
        <v>1.37497048122828E-2</v>
      </c>
    </row>
    <row r="21" spans="1:26" x14ac:dyDescent="0.2">
      <c r="A21" s="3">
        <v>13710</v>
      </c>
      <c r="B21" s="3">
        <v>13711</v>
      </c>
      <c r="C21" s="3" t="s">
        <v>1274</v>
      </c>
      <c r="D21" s="3" t="s">
        <v>1286</v>
      </c>
      <c r="E21" s="3" t="s">
        <v>1287</v>
      </c>
      <c r="F21" s="3" t="s">
        <v>223</v>
      </c>
      <c r="G21" s="3" t="s">
        <v>53</v>
      </c>
      <c r="H21" s="3" t="s">
        <v>53</v>
      </c>
      <c r="I21" s="3" t="s">
        <v>311</v>
      </c>
      <c r="J21" s="3" t="s">
        <v>1228</v>
      </c>
      <c r="K21" s="3" t="s">
        <v>78</v>
      </c>
      <c r="L21" s="12" t="s">
        <v>1219</v>
      </c>
      <c r="M21" s="137">
        <v>8.1739999999999995</v>
      </c>
      <c r="N21" s="3" t="s">
        <v>1288</v>
      </c>
      <c r="O21" s="142">
        <v>0.04</v>
      </c>
      <c r="P21" s="138">
        <v>4.1140000000000003E-2</v>
      </c>
      <c r="R21" s="137">
        <v>130000</v>
      </c>
      <c r="S21" s="139">
        <v>1</v>
      </c>
      <c r="T21" s="140">
        <v>100.1</v>
      </c>
      <c r="U21" s="137">
        <v>130.13</v>
      </c>
      <c r="W21" s="3" t="s">
        <v>17</v>
      </c>
      <c r="X21" s="138">
        <v>3.9999999999999998E-6</v>
      </c>
      <c r="Y21" s="138">
        <v>4.7999056034089497E-3</v>
      </c>
      <c r="Z21" s="138">
        <v>1.90775196196795E-3</v>
      </c>
    </row>
    <row r="22" spans="1:26" x14ac:dyDescent="0.2">
      <c r="A22" s="3">
        <v>13710</v>
      </c>
      <c r="B22" s="3">
        <v>13711</v>
      </c>
      <c r="C22" s="3" t="s">
        <v>1274</v>
      </c>
      <c r="D22" s="3" t="s">
        <v>1289</v>
      </c>
      <c r="E22" s="3" t="s">
        <v>1290</v>
      </c>
      <c r="F22" s="3" t="s">
        <v>223</v>
      </c>
      <c r="G22" s="3" t="s">
        <v>53</v>
      </c>
      <c r="H22" s="3" t="s">
        <v>53</v>
      </c>
      <c r="I22" s="3" t="s">
        <v>311</v>
      </c>
      <c r="J22" s="3" t="s">
        <v>1228</v>
      </c>
      <c r="K22" s="3" t="s">
        <v>78</v>
      </c>
      <c r="L22" s="12" t="s">
        <v>1219</v>
      </c>
      <c r="M22" s="137">
        <v>14.709</v>
      </c>
      <c r="N22" s="3" t="s">
        <v>1291</v>
      </c>
      <c r="O22" s="142">
        <v>3.7499999999999999E-2</v>
      </c>
      <c r="P22" s="138">
        <v>4.4699999999999997E-2</v>
      </c>
      <c r="R22" s="137">
        <v>50000</v>
      </c>
      <c r="S22" s="139">
        <v>1</v>
      </c>
      <c r="T22" s="140">
        <v>91.05</v>
      </c>
      <c r="U22" s="137">
        <v>45.524999999999999</v>
      </c>
      <c r="W22" s="3" t="s">
        <v>17</v>
      </c>
      <c r="X22" s="138">
        <v>1.9999999999999999E-6</v>
      </c>
      <c r="Y22" s="138">
        <v>1.67921080915387E-3</v>
      </c>
      <c r="Z22" s="138">
        <v>6.6741264941666697E-4</v>
      </c>
    </row>
    <row r="23" spans="1:26" x14ac:dyDescent="0.2">
      <c r="A23" s="3">
        <v>13710</v>
      </c>
      <c r="B23" s="3">
        <v>13711</v>
      </c>
      <c r="C23" s="3" t="s">
        <v>1274</v>
      </c>
      <c r="D23" s="3" t="s">
        <v>1292</v>
      </c>
      <c r="E23" s="3" t="s">
        <v>1293</v>
      </c>
      <c r="F23" s="3" t="s">
        <v>223</v>
      </c>
      <c r="G23" s="3" t="s">
        <v>53</v>
      </c>
      <c r="H23" s="3" t="s">
        <v>53</v>
      </c>
      <c r="I23" s="3" t="s">
        <v>311</v>
      </c>
      <c r="J23" s="3" t="s">
        <v>1228</v>
      </c>
      <c r="K23" s="3" t="s">
        <v>78</v>
      </c>
      <c r="L23" s="12" t="s">
        <v>1219</v>
      </c>
      <c r="M23" s="137">
        <v>0.16400000000000001</v>
      </c>
      <c r="N23" s="3" t="s">
        <v>1270</v>
      </c>
      <c r="O23" s="142">
        <v>1.7500000000000002E-2</v>
      </c>
      <c r="P23" s="138">
        <v>4.5069999999999999E-2</v>
      </c>
      <c r="R23" s="137">
        <v>249466.5</v>
      </c>
      <c r="S23" s="139">
        <v>1</v>
      </c>
      <c r="T23" s="140">
        <v>101.02</v>
      </c>
      <c r="U23" s="137">
        <v>252.011</v>
      </c>
      <c r="W23" s="3" t="s">
        <v>17</v>
      </c>
      <c r="X23" s="138">
        <v>1.9000000000000001E-5</v>
      </c>
      <c r="Y23" s="138">
        <v>9.2955451537323399E-3</v>
      </c>
      <c r="Z23" s="138">
        <v>3.6945715124063901E-3</v>
      </c>
    </row>
    <row r="24" spans="1:26" x14ac:dyDescent="0.2">
      <c r="A24" s="3">
        <v>13710</v>
      </c>
      <c r="B24" s="3">
        <v>13711</v>
      </c>
      <c r="C24" s="3" t="s">
        <v>1274</v>
      </c>
      <c r="D24" s="3" t="s">
        <v>1294</v>
      </c>
      <c r="E24" s="3" t="s">
        <v>1295</v>
      </c>
      <c r="F24" s="3" t="s">
        <v>223</v>
      </c>
      <c r="G24" s="3" t="s">
        <v>53</v>
      </c>
      <c r="H24" s="3" t="s">
        <v>53</v>
      </c>
      <c r="I24" s="3" t="s">
        <v>311</v>
      </c>
      <c r="J24" s="3" t="s">
        <v>1228</v>
      </c>
      <c r="K24" s="3" t="s">
        <v>78</v>
      </c>
      <c r="L24" s="12" t="s">
        <v>1219</v>
      </c>
      <c r="M24" s="137">
        <v>17.515999999999998</v>
      </c>
      <c r="N24" s="3" t="s">
        <v>1296</v>
      </c>
      <c r="O24" s="142">
        <v>2.8000000000000001E-2</v>
      </c>
      <c r="P24" s="138">
        <v>4.5929999999999999E-2</v>
      </c>
      <c r="R24" s="137">
        <v>510000</v>
      </c>
      <c r="S24" s="139">
        <v>1</v>
      </c>
      <c r="T24" s="140">
        <v>73.98</v>
      </c>
      <c r="U24" s="137">
        <v>377.298</v>
      </c>
      <c r="W24" s="3" t="s">
        <v>17</v>
      </c>
      <c r="X24" s="138">
        <v>2.0000000000000002E-5</v>
      </c>
      <c r="Y24" s="138">
        <v>1.39168122981249E-2</v>
      </c>
      <c r="Z24" s="138">
        <v>5.5313225216828002E-3</v>
      </c>
    </row>
    <row r="25" spans="1:26" x14ac:dyDescent="0.2">
      <c r="A25" s="3">
        <v>13710</v>
      </c>
      <c r="B25" s="3">
        <v>13711</v>
      </c>
      <c r="C25" s="3" t="s">
        <v>1274</v>
      </c>
      <c r="D25" s="3" t="s">
        <v>1297</v>
      </c>
      <c r="E25" s="3" t="s">
        <v>1298</v>
      </c>
      <c r="F25" s="3" t="s">
        <v>223</v>
      </c>
      <c r="G25" s="3" t="s">
        <v>53</v>
      </c>
      <c r="H25" s="3" t="s">
        <v>53</v>
      </c>
      <c r="I25" s="3" t="s">
        <v>1227</v>
      </c>
      <c r="J25" s="3" t="s">
        <v>1228</v>
      </c>
      <c r="K25" s="3" t="s">
        <v>78</v>
      </c>
      <c r="L25" s="12" t="s">
        <v>1219</v>
      </c>
      <c r="M25" s="137">
        <v>3.7810000000000001</v>
      </c>
      <c r="N25" s="3" t="s">
        <v>1299</v>
      </c>
      <c r="O25" s="142">
        <v>4.5999999999999999E-2</v>
      </c>
      <c r="P25" s="138">
        <v>3.9390000000000001E-2</v>
      </c>
      <c r="R25" s="137">
        <v>387000</v>
      </c>
      <c r="S25" s="139">
        <v>1</v>
      </c>
      <c r="T25" s="140">
        <v>105.5</v>
      </c>
      <c r="U25" s="137">
        <v>408.28500000000003</v>
      </c>
      <c r="W25" s="3" t="s">
        <v>17</v>
      </c>
      <c r="X25" s="138">
        <v>2.5000000000000001E-5</v>
      </c>
      <c r="Y25" s="138">
        <v>1.50597822123094E-2</v>
      </c>
      <c r="Z25" s="138">
        <v>5.9856029339282598E-3</v>
      </c>
    </row>
    <row r="26" spans="1:26" x14ac:dyDescent="0.2">
      <c r="A26" s="3">
        <v>13710</v>
      </c>
      <c r="B26" s="3">
        <v>13711</v>
      </c>
      <c r="C26" s="3" t="s">
        <v>1274</v>
      </c>
      <c r="D26" s="3" t="s">
        <v>1300</v>
      </c>
      <c r="E26" s="3" t="s">
        <v>1301</v>
      </c>
      <c r="F26" s="3" t="s">
        <v>223</v>
      </c>
      <c r="G26" s="3" t="s">
        <v>53</v>
      </c>
      <c r="H26" s="3" t="s">
        <v>53</v>
      </c>
      <c r="I26" s="3" t="s">
        <v>311</v>
      </c>
      <c r="J26" s="3" t="s">
        <v>1228</v>
      </c>
      <c r="K26" s="3" t="s">
        <v>78</v>
      </c>
      <c r="L26" s="12" t="s">
        <v>1219</v>
      </c>
      <c r="M26" s="137">
        <v>11.420999999999999</v>
      </c>
      <c r="N26" s="3" t="s">
        <v>1302</v>
      </c>
      <c r="O26" s="142">
        <v>5.5E-2</v>
      </c>
      <c r="P26" s="138">
        <v>4.3520000000000003E-2</v>
      </c>
      <c r="R26" s="137">
        <v>325000</v>
      </c>
      <c r="S26" s="139">
        <v>1</v>
      </c>
      <c r="T26" s="140">
        <v>115.63</v>
      </c>
      <c r="U26" s="137">
        <v>375.798</v>
      </c>
      <c r="W26" s="3" t="s">
        <v>17</v>
      </c>
      <c r="X26" s="138">
        <v>1.1E-5</v>
      </c>
      <c r="Y26" s="138">
        <v>1.3861465657397E-2</v>
      </c>
      <c r="Z26" s="138">
        <v>5.5093246593994503E-3</v>
      </c>
    </row>
    <row r="27" spans="1:26" x14ac:dyDescent="0.2">
      <c r="A27" s="3">
        <v>13710</v>
      </c>
      <c r="B27" s="3">
        <v>13711</v>
      </c>
      <c r="C27" s="3" t="s">
        <v>1251</v>
      </c>
      <c r="D27" s="3" t="s">
        <v>1303</v>
      </c>
      <c r="E27" s="3" t="s">
        <v>1304</v>
      </c>
      <c r="F27" s="3" t="s">
        <v>221</v>
      </c>
      <c r="G27" s="3" t="s">
        <v>53</v>
      </c>
      <c r="H27" s="3" t="s">
        <v>53</v>
      </c>
      <c r="I27" s="3" t="s">
        <v>311</v>
      </c>
      <c r="J27" s="3" t="s">
        <v>1228</v>
      </c>
      <c r="K27" s="3" t="s">
        <v>78</v>
      </c>
      <c r="L27" s="3" t="s">
        <v>1219</v>
      </c>
      <c r="M27" s="137">
        <v>3.8839999999999999</v>
      </c>
      <c r="N27" s="3" t="s">
        <v>1305</v>
      </c>
      <c r="O27" s="142">
        <v>5.0000000000000001E-3</v>
      </c>
      <c r="P27" s="138">
        <v>2.0080000000000001E-2</v>
      </c>
      <c r="R27" s="137">
        <v>800000</v>
      </c>
      <c r="S27" s="139">
        <v>1</v>
      </c>
      <c r="T27" s="140">
        <v>110.62</v>
      </c>
      <c r="U27" s="137">
        <v>884.96</v>
      </c>
      <c r="W27" s="3" t="s">
        <v>17</v>
      </c>
      <c r="X27" s="138">
        <v>2.6999999999999999E-5</v>
      </c>
      <c r="Y27" s="138">
        <v>3.2642161398545998E-2</v>
      </c>
      <c r="Z27" s="138">
        <v>1.29738275283421E-2</v>
      </c>
    </row>
    <row r="28" spans="1:26" x14ac:dyDescent="0.2">
      <c r="A28" s="3">
        <v>13710</v>
      </c>
      <c r="B28" s="3">
        <v>13711</v>
      </c>
      <c r="C28" s="3" t="s">
        <v>1251</v>
      </c>
      <c r="D28" s="3" t="s">
        <v>1306</v>
      </c>
      <c r="E28" s="3" t="s">
        <v>1307</v>
      </c>
      <c r="F28" s="3" t="s">
        <v>221</v>
      </c>
      <c r="G28" s="3" t="s">
        <v>53</v>
      </c>
      <c r="H28" s="3" t="s">
        <v>53</v>
      </c>
      <c r="I28" s="3" t="s">
        <v>311</v>
      </c>
      <c r="J28" s="3" t="s">
        <v>1228</v>
      </c>
      <c r="K28" s="3" t="s">
        <v>78</v>
      </c>
      <c r="L28" s="3" t="s">
        <v>1219</v>
      </c>
      <c r="M28" s="137">
        <v>1.0780000000000001</v>
      </c>
      <c r="N28" s="3" t="s">
        <v>1308</v>
      </c>
      <c r="O28" s="142">
        <v>1E-3</v>
      </c>
      <c r="P28" s="138">
        <v>2.3380000000000001E-2</v>
      </c>
      <c r="R28" s="137">
        <v>2684000</v>
      </c>
      <c r="S28" s="139">
        <v>1</v>
      </c>
      <c r="T28" s="140">
        <v>114.5</v>
      </c>
      <c r="U28" s="137">
        <v>3073.18</v>
      </c>
      <c r="W28" s="3" t="s">
        <v>17</v>
      </c>
      <c r="X28" s="138">
        <v>1.3300000000000001E-4</v>
      </c>
      <c r="Y28" s="138">
        <v>0.11335567434322801</v>
      </c>
      <c r="Z28" s="138">
        <v>4.50539089716488E-2</v>
      </c>
    </row>
    <row r="29" spans="1:26" x14ac:dyDescent="0.2">
      <c r="A29" s="3">
        <v>13710</v>
      </c>
      <c r="B29" s="3">
        <v>13711</v>
      </c>
      <c r="C29" s="3" t="s">
        <v>1251</v>
      </c>
      <c r="D29" s="3" t="s">
        <v>1309</v>
      </c>
      <c r="E29" s="3" t="s">
        <v>1310</v>
      </c>
      <c r="F29" s="3" t="s">
        <v>221</v>
      </c>
      <c r="G29" s="3" t="s">
        <v>53</v>
      </c>
      <c r="H29" s="3" t="s">
        <v>53</v>
      </c>
      <c r="I29" s="3" t="s">
        <v>311</v>
      </c>
      <c r="J29" s="3" t="s">
        <v>1228</v>
      </c>
      <c r="K29" s="3" t="s">
        <v>78</v>
      </c>
      <c r="L29" s="3" t="s">
        <v>1219</v>
      </c>
      <c r="M29" s="137">
        <v>3.2679999999999998</v>
      </c>
      <c r="N29" s="3" t="s">
        <v>1311</v>
      </c>
      <c r="O29" s="142">
        <v>1.0999999999999999E-2</v>
      </c>
      <c r="P29" s="138">
        <v>2.053E-2</v>
      </c>
      <c r="R29" s="137">
        <v>1907000</v>
      </c>
      <c r="S29" s="139">
        <v>1</v>
      </c>
      <c r="T29" s="140">
        <v>103.51</v>
      </c>
      <c r="U29" s="137">
        <v>1973.9359999999999</v>
      </c>
      <c r="W29" s="3" t="s">
        <v>17</v>
      </c>
      <c r="X29" s="138">
        <v>6.0999999999999999E-5</v>
      </c>
      <c r="Y29" s="138">
        <v>7.2809536826242804E-2</v>
      </c>
      <c r="Z29" s="138">
        <v>2.8938597590667602E-2</v>
      </c>
    </row>
    <row r="30" spans="1:26" x14ac:dyDescent="0.2">
      <c r="A30" s="3">
        <v>13710</v>
      </c>
      <c r="B30" s="3">
        <v>13711</v>
      </c>
      <c r="C30" s="3" t="s">
        <v>1251</v>
      </c>
      <c r="D30" s="3" t="s">
        <v>1312</v>
      </c>
      <c r="E30" s="3" t="s">
        <v>1313</v>
      </c>
      <c r="F30" s="3" t="s">
        <v>221</v>
      </c>
      <c r="G30" s="3" t="s">
        <v>53</v>
      </c>
      <c r="H30" s="3" t="s">
        <v>53</v>
      </c>
      <c r="I30" s="3" t="s">
        <v>1227</v>
      </c>
      <c r="J30" s="3" t="s">
        <v>1228</v>
      </c>
      <c r="K30" s="3" t="s">
        <v>78</v>
      </c>
      <c r="L30" s="3" t="s">
        <v>1219</v>
      </c>
      <c r="M30" s="137">
        <v>7.7789999999999999</v>
      </c>
      <c r="N30" s="3" t="s">
        <v>1314</v>
      </c>
      <c r="O30" s="142">
        <v>1.6E-2</v>
      </c>
      <c r="P30" s="138">
        <v>1.9709999999999998E-2</v>
      </c>
      <c r="R30" s="137">
        <v>437000</v>
      </c>
      <c r="S30" s="139">
        <v>1</v>
      </c>
      <c r="T30" s="140">
        <v>103.3</v>
      </c>
      <c r="U30" s="137">
        <v>451.42099999999999</v>
      </c>
      <c r="W30" s="3" t="s">
        <v>17</v>
      </c>
      <c r="X30" s="138">
        <v>1.8E-5</v>
      </c>
      <c r="Y30" s="138">
        <v>1.66508736447896E-2</v>
      </c>
      <c r="Z30" s="138">
        <v>6.6179919958774596E-3</v>
      </c>
    </row>
    <row r="31" spans="1:26" x14ac:dyDescent="0.2">
      <c r="A31" s="3">
        <v>13710</v>
      </c>
      <c r="B31" s="3">
        <v>13711</v>
      </c>
      <c r="C31" s="3" t="s">
        <v>1274</v>
      </c>
      <c r="D31" s="3" t="s">
        <v>1315</v>
      </c>
      <c r="E31" s="3" t="s">
        <v>1316</v>
      </c>
      <c r="F31" s="3" t="s">
        <v>223</v>
      </c>
      <c r="G31" s="3" t="s">
        <v>53</v>
      </c>
      <c r="H31" s="3" t="s">
        <v>53</v>
      </c>
      <c r="I31" s="3" t="s">
        <v>311</v>
      </c>
      <c r="J31" s="3" t="s">
        <v>1228</v>
      </c>
      <c r="K31" s="3" t="s">
        <v>78</v>
      </c>
      <c r="L31" s="3" t="s">
        <v>1219</v>
      </c>
      <c r="M31" s="137">
        <v>10.803000000000001</v>
      </c>
      <c r="N31" s="3" t="s">
        <v>1317</v>
      </c>
      <c r="O31" s="142">
        <v>1.4999999999999999E-2</v>
      </c>
      <c r="P31" s="138">
        <v>4.2529999999999998E-2</v>
      </c>
      <c r="R31" s="137">
        <v>2697197</v>
      </c>
      <c r="S31" s="139">
        <v>1</v>
      </c>
      <c r="T31" s="140">
        <v>74.8</v>
      </c>
      <c r="U31" s="137">
        <v>2017.5029999999999</v>
      </c>
      <c r="W31" s="3" t="s">
        <v>17</v>
      </c>
      <c r="X31" s="138">
        <v>7.2000000000000002E-5</v>
      </c>
      <c r="Y31" s="138">
        <v>7.4416550091145506E-2</v>
      </c>
      <c r="Z31" s="138">
        <v>2.9577314882701301E-2</v>
      </c>
    </row>
    <row r="32" spans="1:26" x14ac:dyDescent="0.2">
      <c r="A32" s="3">
        <v>13710</v>
      </c>
      <c r="B32" s="3">
        <v>13711</v>
      </c>
      <c r="C32" s="3" t="s">
        <v>1274</v>
      </c>
      <c r="D32" s="3" t="s">
        <v>1318</v>
      </c>
      <c r="E32" s="3" t="s">
        <v>1319</v>
      </c>
      <c r="F32" s="3" t="s">
        <v>223</v>
      </c>
      <c r="G32" s="3" t="s">
        <v>53</v>
      </c>
      <c r="H32" s="3" t="s">
        <v>53</v>
      </c>
      <c r="I32" s="3" t="s">
        <v>311</v>
      </c>
      <c r="J32" s="3" t="s">
        <v>1228</v>
      </c>
      <c r="K32" s="3" t="s">
        <v>78</v>
      </c>
      <c r="L32" s="3" t="s">
        <v>1219</v>
      </c>
      <c r="M32" s="137">
        <v>4.641</v>
      </c>
      <c r="N32" s="3" t="s">
        <v>1320</v>
      </c>
      <c r="O32" s="142">
        <v>0.01</v>
      </c>
      <c r="P32" s="138">
        <v>3.9690000000000003E-2</v>
      </c>
      <c r="R32" s="137">
        <v>293163</v>
      </c>
      <c r="S32" s="139">
        <v>1</v>
      </c>
      <c r="T32" s="140">
        <v>87.63</v>
      </c>
      <c r="U32" s="137">
        <v>256.899</v>
      </c>
      <c r="W32" s="3" t="s">
        <v>17</v>
      </c>
      <c r="X32" s="138">
        <v>7.9999999999999996E-6</v>
      </c>
      <c r="Y32" s="138">
        <v>9.4758294532774293E-3</v>
      </c>
      <c r="Z32" s="138">
        <v>3.7662266145244202E-3</v>
      </c>
    </row>
    <row r="33" spans="1:26" x14ac:dyDescent="0.2">
      <c r="A33" s="3">
        <v>13710</v>
      </c>
      <c r="B33" s="3">
        <v>13711</v>
      </c>
      <c r="C33" s="3" t="s">
        <v>1274</v>
      </c>
      <c r="D33" s="3" t="s">
        <v>1321</v>
      </c>
      <c r="E33" s="3" t="s">
        <v>1322</v>
      </c>
      <c r="F33" s="3" t="s">
        <v>223</v>
      </c>
      <c r="G33" s="3" t="s">
        <v>53</v>
      </c>
      <c r="H33" s="3" t="s">
        <v>53</v>
      </c>
      <c r="I33" s="3" t="s">
        <v>311</v>
      </c>
      <c r="J33" s="3" t="s">
        <v>1228</v>
      </c>
      <c r="K33" s="3" t="s">
        <v>78</v>
      </c>
      <c r="L33" s="3" t="s">
        <v>1219</v>
      </c>
      <c r="M33" s="137">
        <v>6.5380000000000003</v>
      </c>
      <c r="N33" s="3" t="s">
        <v>1323</v>
      </c>
      <c r="O33" s="142">
        <v>1.2999999999999999E-2</v>
      </c>
      <c r="P33" s="138">
        <v>4.0480000000000002E-2</v>
      </c>
      <c r="R33" s="137">
        <v>265000</v>
      </c>
      <c r="S33" s="139">
        <v>1</v>
      </c>
      <c r="T33" s="140">
        <v>84.1</v>
      </c>
      <c r="U33" s="137">
        <v>222.86500000000001</v>
      </c>
      <c r="W33" s="3" t="s">
        <v>17</v>
      </c>
      <c r="X33" s="138">
        <v>6.9999999999999999E-6</v>
      </c>
      <c r="Y33" s="138">
        <v>8.2204792307979408E-3</v>
      </c>
      <c r="Z33" s="138">
        <v>3.2672799585336701E-3</v>
      </c>
    </row>
    <row r="34" spans="1:26" x14ac:dyDescent="0.2">
      <c r="A34" s="3">
        <v>13710</v>
      </c>
      <c r="B34" s="3">
        <v>13711</v>
      </c>
      <c r="C34" s="3" t="s">
        <v>1224</v>
      </c>
      <c r="D34" s="3" t="s">
        <v>1324</v>
      </c>
      <c r="E34" s="3" t="s">
        <v>1325</v>
      </c>
      <c r="F34" s="3" t="s">
        <v>227</v>
      </c>
      <c r="G34" s="3" t="s">
        <v>53</v>
      </c>
      <c r="H34" s="3" t="s">
        <v>53</v>
      </c>
      <c r="I34" s="3" t="s">
        <v>1227</v>
      </c>
      <c r="J34" s="3" t="s">
        <v>1228</v>
      </c>
      <c r="K34" s="3" t="s">
        <v>78</v>
      </c>
      <c r="L34" s="3" t="s">
        <v>1219</v>
      </c>
      <c r="M34" s="137">
        <v>0.59499999999999997</v>
      </c>
      <c r="N34" s="3" t="s">
        <v>1326</v>
      </c>
      <c r="O34" s="142">
        <v>0</v>
      </c>
      <c r="P34" s="138">
        <v>4.2790000000000002E-2</v>
      </c>
      <c r="R34" s="137">
        <v>149000</v>
      </c>
      <c r="S34" s="139">
        <v>1</v>
      </c>
      <c r="T34" s="140">
        <v>97.54</v>
      </c>
      <c r="U34" s="137">
        <v>145.33500000000001</v>
      </c>
      <c r="W34" s="3" t="s">
        <v>17</v>
      </c>
      <c r="X34" s="138">
        <v>7.9999999999999996E-6</v>
      </c>
      <c r="Y34" s="138">
        <v>5.3607343495673402E-3</v>
      </c>
      <c r="Z34" s="138">
        <v>2.1306567916070602E-3</v>
      </c>
    </row>
    <row r="35" spans="1:26" x14ac:dyDescent="0.2">
      <c r="A35" s="3">
        <v>13710</v>
      </c>
      <c r="B35" s="3">
        <v>13711</v>
      </c>
      <c r="C35" s="3" t="s">
        <v>1224</v>
      </c>
      <c r="D35" s="3" t="s">
        <v>1327</v>
      </c>
      <c r="E35" s="3" t="s">
        <v>1328</v>
      </c>
      <c r="F35" s="3" t="s">
        <v>227</v>
      </c>
      <c r="G35" s="3" t="s">
        <v>53</v>
      </c>
      <c r="H35" s="3" t="s">
        <v>53</v>
      </c>
      <c r="I35" s="3" t="s">
        <v>1227</v>
      </c>
      <c r="J35" s="3" t="s">
        <v>1228</v>
      </c>
      <c r="K35" s="3" t="s">
        <v>78</v>
      </c>
      <c r="L35" s="3" t="s">
        <v>1219</v>
      </c>
      <c r="M35" s="137">
        <v>0.67100000000000004</v>
      </c>
      <c r="N35" s="3" t="s">
        <v>1329</v>
      </c>
      <c r="O35" s="142">
        <v>0</v>
      </c>
      <c r="P35" s="138">
        <v>4.2259999999999999E-2</v>
      </c>
      <c r="R35" s="137">
        <v>813000</v>
      </c>
      <c r="S35" s="139">
        <v>1</v>
      </c>
      <c r="T35" s="140">
        <v>97.26</v>
      </c>
      <c r="U35" s="137">
        <v>790.72400000000005</v>
      </c>
      <c r="W35" s="3" t="s">
        <v>17</v>
      </c>
      <c r="X35" s="138">
        <v>4.5000000000000003E-5</v>
      </c>
      <c r="Y35" s="138">
        <v>2.9166215310603399E-2</v>
      </c>
      <c r="Z35" s="138">
        <v>1.1592291407244701E-2</v>
      </c>
    </row>
    <row r="36" spans="1:26" x14ac:dyDescent="0.2">
      <c r="A36" s="3">
        <v>13710</v>
      </c>
      <c r="B36" s="3">
        <v>13711</v>
      </c>
      <c r="C36" s="3" t="s">
        <v>1224</v>
      </c>
      <c r="D36" s="3" t="s">
        <v>1330</v>
      </c>
      <c r="E36" s="3" t="s">
        <v>1331</v>
      </c>
      <c r="F36" s="3" t="s">
        <v>227</v>
      </c>
      <c r="G36" s="3" t="s">
        <v>53</v>
      </c>
      <c r="H36" s="3" t="s">
        <v>53</v>
      </c>
      <c r="I36" s="3" t="s">
        <v>1227</v>
      </c>
      <c r="J36" s="3" t="s">
        <v>1228</v>
      </c>
      <c r="K36" s="3" t="s">
        <v>78</v>
      </c>
      <c r="L36" s="3" t="s">
        <v>1219</v>
      </c>
      <c r="M36" s="137">
        <v>0.84399999999999997</v>
      </c>
      <c r="N36" s="3" t="s">
        <v>1332</v>
      </c>
      <c r="O36" s="142">
        <v>0</v>
      </c>
      <c r="P36" s="138">
        <v>4.1329999999999999E-2</v>
      </c>
      <c r="R36" s="137">
        <v>187000</v>
      </c>
      <c r="S36" s="139">
        <v>1</v>
      </c>
      <c r="T36" s="140">
        <v>96.64</v>
      </c>
      <c r="U36" s="137">
        <v>180.71700000000001</v>
      </c>
      <c r="W36" s="3" t="s">
        <v>17</v>
      </c>
      <c r="X36" s="138">
        <v>1.0000000000000001E-5</v>
      </c>
      <c r="Y36" s="138">
        <v>6.6658232609708304E-3</v>
      </c>
      <c r="Z36" s="138">
        <v>2.6493723949939998E-3</v>
      </c>
    </row>
    <row r="37" spans="1:26" x14ac:dyDescent="0.2">
      <c r="A37" s="3">
        <v>13710</v>
      </c>
      <c r="B37" s="3">
        <v>13711</v>
      </c>
      <c r="C37" s="3" t="s">
        <v>1224</v>
      </c>
      <c r="D37" s="3" t="s">
        <v>1333</v>
      </c>
      <c r="E37" s="3" t="s">
        <v>1334</v>
      </c>
      <c r="F37" s="3" t="s">
        <v>227</v>
      </c>
      <c r="G37" s="3" t="s">
        <v>53</v>
      </c>
      <c r="H37" s="3" t="s">
        <v>53</v>
      </c>
      <c r="I37" s="3" t="s">
        <v>1227</v>
      </c>
      <c r="J37" s="3" t="s">
        <v>1228</v>
      </c>
      <c r="K37" s="3" t="s">
        <v>78</v>
      </c>
      <c r="L37" s="3" t="s">
        <v>1219</v>
      </c>
      <c r="M37" s="137">
        <v>9.6000000000000002E-2</v>
      </c>
      <c r="N37" s="3" t="s">
        <v>1335</v>
      </c>
      <c r="O37" s="142">
        <v>0</v>
      </c>
      <c r="P37" s="138">
        <v>4.3779999999999999E-2</v>
      </c>
      <c r="R37" s="137">
        <v>247000</v>
      </c>
      <c r="S37" s="139">
        <v>1</v>
      </c>
      <c r="T37" s="140">
        <v>99.59</v>
      </c>
      <c r="U37" s="137">
        <v>245.98699999999999</v>
      </c>
      <c r="W37" s="3" t="s">
        <v>17</v>
      </c>
      <c r="X37" s="138">
        <v>7.9999999999999996E-6</v>
      </c>
      <c r="Y37" s="138">
        <v>9.0733560258006492E-3</v>
      </c>
      <c r="Z37" s="138">
        <v>3.6062610788764999E-3</v>
      </c>
    </row>
    <row r="38" spans="1:26" x14ac:dyDescent="0.2">
      <c r="A38" s="3">
        <v>13710</v>
      </c>
      <c r="B38" s="3">
        <v>13711</v>
      </c>
      <c r="C38" s="3" t="s">
        <v>1336</v>
      </c>
      <c r="D38" s="3" t="s">
        <v>1337</v>
      </c>
      <c r="E38" s="3" t="s">
        <v>1338</v>
      </c>
      <c r="F38" s="3" t="s">
        <v>225</v>
      </c>
      <c r="G38" s="3" t="s">
        <v>61</v>
      </c>
      <c r="H38" s="3" t="s">
        <v>314</v>
      </c>
      <c r="I38" s="3" t="s">
        <v>1150</v>
      </c>
      <c r="J38" s="3" t="s">
        <v>1339</v>
      </c>
      <c r="K38" s="3" t="s">
        <v>101</v>
      </c>
      <c r="L38" s="3" t="s">
        <v>1217</v>
      </c>
      <c r="M38" s="137">
        <v>10.71</v>
      </c>
      <c r="N38" s="3" t="s">
        <v>1340</v>
      </c>
      <c r="O38" s="142">
        <v>4.3749999999999997E-2</v>
      </c>
      <c r="P38" s="138">
        <v>4.6359999999999998E-2</v>
      </c>
      <c r="R38" s="137">
        <v>23000</v>
      </c>
      <c r="S38" s="139">
        <v>3.3719999999999999</v>
      </c>
      <c r="T38" s="140">
        <v>98.578000000000003</v>
      </c>
      <c r="U38" s="137">
        <v>76.453000000000003</v>
      </c>
      <c r="W38" s="3" t="s">
        <v>17</v>
      </c>
      <c r="X38" s="138">
        <v>9.9999999999999995E-7</v>
      </c>
      <c r="Y38" s="138">
        <v>2.8200151618671299E-3</v>
      </c>
      <c r="Z38" s="138">
        <v>1.1208323459550001E-3</v>
      </c>
    </row>
    <row r="39" spans="1:26" x14ac:dyDescent="0.2">
      <c r="A39" s="3">
        <v>13710</v>
      </c>
      <c r="B39" s="3">
        <v>13711</v>
      </c>
      <c r="C39" s="3" t="s">
        <v>1341</v>
      </c>
      <c r="D39" s="3" t="s">
        <v>1342</v>
      </c>
      <c r="E39" s="3" t="s">
        <v>1343</v>
      </c>
      <c r="F39" s="3" t="s">
        <v>225</v>
      </c>
      <c r="G39" s="3" t="s">
        <v>61</v>
      </c>
      <c r="H39" s="3" t="s">
        <v>314</v>
      </c>
      <c r="I39" s="3" t="s">
        <v>1150</v>
      </c>
      <c r="J39" s="3" t="s">
        <v>1339</v>
      </c>
      <c r="K39" s="3" t="s">
        <v>101</v>
      </c>
      <c r="L39" s="3" t="s">
        <v>1217</v>
      </c>
      <c r="M39" s="137">
        <v>14.308999999999999</v>
      </c>
      <c r="N39" s="3" t="s">
        <v>1344</v>
      </c>
      <c r="O39" s="142">
        <v>0.03</v>
      </c>
      <c r="P39" s="138">
        <v>4.87E-2</v>
      </c>
      <c r="Q39" s="137">
        <v>2.4340000000000002</v>
      </c>
      <c r="R39" s="137">
        <v>0</v>
      </c>
      <c r="S39" s="139">
        <v>3.3719999999999999</v>
      </c>
      <c r="T39" s="140">
        <v>0</v>
      </c>
      <c r="U39" s="137">
        <v>8.2059999999999995</v>
      </c>
      <c r="W39" s="3" t="s">
        <v>17</v>
      </c>
      <c r="X39" s="138">
        <v>0</v>
      </c>
      <c r="Y39" s="138">
        <v>3.0267548911523299E-4</v>
      </c>
      <c r="Z39" s="138">
        <v>1.2030023211062699E-4</v>
      </c>
    </row>
    <row r="40" spans="1:26" x14ac:dyDescent="0.2">
      <c r="A40" s="3">
        <v>13710</v>
      </c>
      <c r="B40" s="3">
        <v>13711</v>
      </c>
      <c r="C40" s="3" t="s">
        <v>1345</v>
      </c>
      <c r="D40" s="3" t="s">
        <v>1346</v>
      </c>
      <c r="E40" s="3" t="s">
        <v>1347</v>
      </c>
      <c r="F40" s="3" t="s">
        <v>225</v>
      </c>
      <c r="G40" s="3" t="s">
        <v>61</v>
      </c>
      <c r="H40" s="3" t="s">
        <v>314</v>
      </c>
      <c r="I40" s="3" t="s">
        <v>1150</v>
      </c>
      <c r="J40" s="3" t="s">
        <v>1339</v>
      </c>
      <c r="K40" s="3" t="s">
        <v>101</v>
      </c>
      <c r="L40" s="3" t="s">
        <v>1217</v>
      </c>
      <c r="M40" s="137">
        <v>9.8000000000000004E-2</v>
      </c>
      <c r="N40" s="3" t="s">
        <v>1348</v>
      </c>
      <c r="O40" s="142">
        <v>0</v>
      </c>
      <c r="P40" s="138">
        <v>4.3479999999999998E-2</v>
      </c>
      <c r="R40" s="137">
        <v>15000</v>
      </c>
      <c r="S40" s="139">
        <v>3.3719999999999999</v>
      </c>
      <c r="T40" s="140">
        <v>99.596999999999994</v>
      </c>
      <c r="U40" s="137">
        <v>50.375999999999998</v>
      </c>
      <c r="W40" s="3" t="s">
        <v>17</v>
      </c>
      <c r="X40" s="138">
        <v>0</v>
      </c>
      <c r="Y40" s="138">
        <v>1.8581519303806299E-3</v>
      </c>
      <c r="Z40" s="138">
        <v>7.3853389706258999E-4</v>
      </c>
    </row>
    <row r="41" spans="1:26" x14ac:dyDescent="0.2">
      <c r="A41" s="3">
        <v>13710</v>
      </c>
      <c r="B41" s="3">
        <v>13711</v>
      </c>
      <c r="C41" s="3" t="s">
        <v>1345</v>
      </c>
      <c r="D41" s="3" t="s">
        <v>1349</v>
      </c>
      <c r="E41" s="3" t="s">
        <v>1350</v>
      </c>
      <c r="F41" s="3" t="s">
        <v>225</v>
      </c>
      <c r="G41" s="3" t="s">
        <v>61</v>
      </c>
      <c r="H41" s="3" t="s">
        <v>314</v>
      </c>
      <c r="I41" s="3" t="s">
        <v>1150</v>
      </c>
      <c r="J41" s="3" t="s">
        <v>1339</v>
      </c>
      <c r="K41" s="3" t="s">
        <v>101</v>
      </c>
      <c r="L41" s="3" t="s">
        <v>1217</v>
      </c>
      <c r="M41" s="137">
        <v>0.219</v>
      </c>
      <c r="N41" s="3" t="s">
        <v>1351</v>
      </c>
      <c r="O41" s="142">
        <v>0</v>
      </c>
      <c r="P41" s="138">
        <v>4.3040000000000002E-2</v>
      </c>
      <c r="R41" s="137">
        <v>25000</v>
      </c>
      <c r="S41" s="139">
        <v>3.3719999999999999</v>
      </c>
      <c r="T41" s="140">
        <v>99.084999999999994</v>
      </c>
      <c r="U41" s="137">
        <v>83.528000000000006</v>
      </c>
      <c r="W41" s="3" t="s">
        <v>17</v>
      </c>
      <c r="X41" s="138">
        <v>0</v>
      </c>
      <c r="Y41" s="138">
        <v>3.08098087029542E-3</v>
      </c>
      <c r="Z41" s="138">
        <v>1.22455476955992E-3</v>
      </c>
    </row>
    <row r="42" spans="1:26" x14ac:dyDescent="0.2">
      <c r="A42" s="3">
        <v>13710</v>
      </c>
      <c r="B42" s="3">
        <v>13711</v>
      </c>
      <c r="C42" s="3" t="s">
        <v>1352</v>
      </c>
      <c r="D42" s="3" t="s">
        <v>1353</v>
      </c>
      <c r="E42" s="3" t="s">
        <v>1354</v>
      </c>
      <c r="F42" s="3" t="s">
        <v>225</v>
      </c>
      <c r="G42" s="3" t="s">
        <v>61</v>
      </c>
      <c r="H42" s="3" t="s">
        <v>53</v>
      </c>
      <c r="I42" s="3" t="s">
        <v>102</v>
      </c>
      <c r="J42" s="3" t="s">
        <v>1355</v>
      </c>
      <c r="K42" s="3" t="s">
        <v>84</v>
      </c>
      <c r="L42" s="3" t="s">
        <v>1215</v>
      </c>
      <c r="M42" s="137">
        <v>1.282</v>
      </c>
      <c r="N42" s="3" t="s">
        <v>1356</v>
      </c>
      <c r="O42" s="142">
        <v>0.05</v>
      </c>
      <c r="P42" s="138">
        <v>2.9190000000000001E-2</v>
      </c>
      <c r="R42" s="137">
        <v>5000</v>
      </c>
      <c r="S42" s="139">
        <v>3.9552</v>
      </c>
      <c r="T42" s="140">
        <v>105.91</v>
      </c>
      <c r="U42" s="137">
        <v>20.945</v>
      </c>
      <c r="W42" s="3" t="s">
        <v>17</v>
      </c>
      <c r="X42" s="138">
        <v>3.0000000000000001E-6</v>
      </c>
      <c r="Y42" s="138">
        <v>7.7256050200007198E-4</v>
      </c>
      <c r="Z42" s="138">
        <v>3.0705891640511301E-4</v>
      </c>
    </row>
    <row r="43" spans="1:26" x14ac:dyDescent="0.2">
      <c r="A43" s="3">
        <v>13710</v>
      </c>
      <c r="B43" s="3">
        <v>13711</v>
      </c>
      <c r="C43" s="3" t="s">
        <v>1352</v>
      </c>
      <c r="D43" s="3" t="s">
        <v>1357</v>
      </c>
      <c r="E43" s="3" t="s">
        <v>1358</v>
      </c>
      <c r="F43" s="3" t="s">
        <v>225</v>
      </c>
      <c r="G43" s="3" t="s">
        <v>61</v>
      </c>
      <c r="H43" s="3" t="s">
        <v>53</v>
      </c>
      <c r="I43" s="3" t="s">
        <v>102</v>
      </c>
      <c r="J43" s="3" t="s">
        <v>1355</v>
      </c>
      <c r="K43" s="3" t="s">
        <v>84</v>
      </c>
      <c r="L43" s="3" t="s">
        <v>1217</v>
      </c>
      <c r="M43" s="137">
        <v>7.4349999999999996</v>
      </c>
      <c r="N43" s="3" t="s">
        <v>1359</v>
      </c>
      <c r="O43" s="142">
        <v>5.6250000000000001E-2</v>
      </c>
      <c r="P43" s="138">
        <v>5.4850000000000003E-2</v>
      </c>
      <c r="R43" s="137">
        <v>10000</v>
      </c>
      <c r="S43" s="139">
        <v>3.3719999999999999</v>
      </c>
      <c r="T43" s="140">
        <v>103.77</v>
      </c>
      <c r="U43" s="137">
        <v>34.991</v>
      </c>
      <c r="W43" s="3" t="s">
        <v>17</v>
      </c>
      <c r="X43" s="138">
        <v>3.9999999999999998E-6</v>
      </c>
      <c r="Y43" s="138">
        <v>1.29067142686461E-3</v>
      </c>
      <c r="Z43" s="138">
        <v>5.1298528560815798E-4</v>
      </c>
    </row>
    <row r="44" spans="1:26" x14ac:dyDescent="0.2">
      <c r="A44" s="3">
        <v>13710</v>
      </c>
      <c r="B44" s="3">
        <v>13711</v>
      </c>
      <c r="C44" s="3" t="s">
        <v>1352</v>
      </c>
      <c r="D44" s="3" t="s">
        <v>1360</v>
      </c>
      <c r="E44" s="3" t="s">
        <v>1361</v>
      </c>
      <c r="F44" s="3" t="s">
        <v>225</v>
      </c>
      <c r="G44" s="3" t="s">
        <v>61</v>
      </c>
      <c r="H44" s="3" t="s">
        <v>53</v>
      </c>
      <c r="I44" s="3" t="s">
        <v>102</v>
      </c>
      <c r="J44" s="3" t="s">
        <v>1355</v>
      </c>
      <c r="K44" s="3" t="s">
        <v>84</v>
      </c>
      <c r="L44" s="3" t="s">
        <v>1217</v>
      </c>
      <c r="M44" s="137">
        <v>3.3530000000000002</v>
      </c>
      <c r="N44" s="3" t="s">
        <v>1362</v>
      </c>
      <c r="O44" s="142">
        <v>5.3749999999999999E-2</v>
      </c>
      <c r="P44" s="138">
        <v>4.9230000000000003E-2</v>
      </c>
      <c r="R44" s="137">
        <v>10000</v>
      </c>
      <c r="S44" s="139">
        <v>3.3719999999999999</v>
      </c>
      <c r="T44" s="140">
        <v>103.26600000000001</v>
      </c>
      <c r="U44" s="137">
        <v>34.820999999999998</v>
      </c>
      <c r="W44" s="3" t="s">
        <v>17</v>
      </c>
      <c r="X44" s="138">
        <v>5.0000000000000004E-6</v>
      </c>
      <c r="Y44" s="138">
        <v>1.2843934579601401E-3</v>
      </c>
      <c r="Z44" s="138">
        <v>5.1049006830926195E-4</v>
      </c>
    </row>
    <row r="45" spans="1:26" x14ac:dyDescent="0.2">
      <c r="A45" s="3">
        <v>13710</v>
      </c>
      <c r="B45" s="3">
        <v>13711</v>
      </c>
      <c r="C45" s="3" t="s">
        <v>1352</v>
      </c>
      <c r="D45" s="3" t="s">
        <v>1363</v>
      </c>
      <c r="E45" s="3" t="s">
        <v>1364</v>
      </c>
      <c r="F45" s="3" t="s">
        <v>225</v>
      </c>
      <c r="G45" s="3" t="s">
        <v>61</v>
      </c>
      <c r="H45" s="3" t="s">
        <v>53</v>
      </c>
      <c r="I45" s="3" t="s">
        <v>102</v>
      </c>
      <c r="J45" s="3" t="s">
        <v>1355</v>
      </c>
      <c r="K45" s="3" t="s">
        <v>84</v>
      </c>
      <c r="L45" s="3" t="s">
        <v>1217</v>
      </c>
      <c r="M45" s="137">
        <v>6.9240000000000004</v>
      </c>
      <c r="N45" s="3" t="s">
        <v>1365</v>
      </c>
      <c r="O45" s="142">
        <v>5.5E-2</v>
      </c>
      <c r="P45" s="138">
        <v>5.425E-2</v>
      </c>
      <c r="R45" s="137">
        <v>16000</v>
      </c>
      <c r="S45" s="139">
        <v>3.3719999999999999</v>
      </c>
      <c r="T45" s="140">
        <v>102.574</v>
      </c>
      <c r="U45" s="137">
        <v>55.341000000000001</v>
      </c>
      <c r="W45" s="3" t="s">
        <v>17</v>
      </c>
      <c r="X45" s="138">
        <v>5.0000000000000004E-6</v>
      </c>
      <c r="Y45" s="138">
        <v>2.04126837415095E-3</v>
      </c>
      <c r="Z45" s="138">
        <v>8.1131465229729999E-4</v>
      </c>
    </row>
    <row r="46" spans="1:26" x14ac:dyDescent="0.2">
      <c r="A46" s="3">
        <v>13710</v>
      </c>
      <c r="B46" s="3">
        <v>13711</v>
      </c>
      <c r="C46" s="3" t="s">
        <v>1352</v>
      </c>
      <c r="D46" s="3" t="s">
        <v>1366</v>
      </c>
      <c r="E46" s="3" t="s">
        <v>1367</v>
      </c>
      <c r="F46" s="3" t="s">
        <v>225</v>
      </c>
      <c r="G46" s="3" t="s">
        <v>61</v>
      </c>
      <c r="H46" s="3" t="s">
        <v>53</v>
      </c>
      <c r="I46" s="3" t="s">
        <v>102</v>
      </c>
      <c r="J46" s="3" t="s">
        <v>1355</v>
      </c>
      <c r="K46" s="3" t="s">
        <v>84</v>
      </c>
      <c r="L46" s="3" t="s">
        <v>1217</v>
      </c>
      <c r="M46" s="137">
        <v>13.561999999999999</v>
      </c>
      <c r="N46" s="3" t="s">
        <v>1368</v>
      </c>
      <c r="O46" s="142">
        <v>5.7500000000000002E-2</v>
      </c>
      <c r="P46" s="138">
        <v>6.3950000000000007E-2</v>
      </c>
      <c r="R46" s="137">
        <v>15000</v>
      </c>
      <c r="S46" s="139">
        <v>3.3719999999999999</v>
      </c>
      <c r="T46" s="140">
        <v>94.016999999999996</v>
      </c>
      <c r="U46" s="137">
        <v>47.554000000000002</v>
      </c>
      <c r="W46" s="3" t="s">
        <v>17</v>
      </c>
      <c r="X46" s="138">
        <v>5.0000000000000004E-6</v>
      </c>
      <c r="Y46" s="138">
        <v>1.75404398957597E-3</v>
      </c>
      <c r="Z46" s="138">
        <v>6.9715555658325299E-4</v>
      </c>
    </row>
    <row r="47" spans="1:26" x14ac:dyDescent="0.2">
      <c r="A47" s="3">
        <v>13710</v>
      </c>
      <c r="B47" s="3">
        <v>13711</v>
      </c>
      <c r="C47" s="3" t="s">
        <v>1369</v>
      </c>
      <c r="D47" s="3" t="s">
        <v>1370</v>
      </c>
      <c r="E47" s="3" t="s">
        <v>1371</v>
      </c>
      <c r="F47" s="3" t="s">
        <v>225</v>
      </c>
      <c r="G47" s="3" t="s">
        <v>61</v>
      </c>
      <c r="H47" s="3" t="s">
        <v>53</v>
      </c>
      <c r="I47" s="3" t="s">
        <v>102</v>
      </c>
      <c r="J47" s="3" t="s">
        <v>1355</v>
      </c>
      <c r="K47" s="3" t="s">
        <v>84</v>
      </c>
      <c r="L47" s="3" t="s">
        <v>1215</v>
      </c>
      <c r="M47" s="137">
        <v>1.5329999999999999</v>
      </c>
      <c r="N47" s="3" t="s">
        <v>1372</v>
      </c>
      <c r="O47" s="142">
        <v>1.4999999999999999E-2</v>
      </c>
      <c r="P47" s="138">
        <v>3.2050000000000002E-2</v>
      </c>
      <c r="R47" s="137">
        <v>20000</v>
      </c>
      <c r="S47" s="139">
        <v>3.9552</v>
      </c>
      <c r="T47" s="140">
        <v>98.015000000000001</v>
      </c>
      <c r="U47" s="137">
        <v>77.534000000000006</v>
      </c>
      <c r="W47" s="3" t="s">
        <v>17</v>
      </c>
      <c r="X47" s="138">
        <v>1.0000000000000001E-5</v>
      </c>
      <c r="Y47" s="138">
        <v>2.85986576329266E-3</v>
      </c>
      <c r="Z47" s="138">
        <v>1.13667121224461E-3</v>
      </c>
    </row>
    <row r="48" spans="1:26" x14ac:dyDescent="0.2">
      <c r="A48" s="3">
        <v>13710</v>
      </c>
      <c r="B48" s="3">
        <v>13711</v>
      </c>
      <c r="C48" s="3" t="s">
        <v>1341</v>
      </c>
      <c r="D48" s="3" t="s">
        <v>1373</v>
      </c>
      <c r="E48" s="3" t="s">
        <v>1374</v>
      </c>
      <c r="F48" s="3" t="s">
        <v>225</v>
      </c>
      <c r="G48" s="3" t="s">
        <v>61</v>
      </c>
      <c r="H48" s="3" t="s">
        <v>314</v>
      </c>
      <c r="I48" s="3" t="s">
        <v>1150</v>
      </c>
      <c r="J48" s="3" t="s">
        <v>1339</v>
      </c>
      <c r="K48" s="3" t="s">
        <v>101</v>
      </c>
      <c r="L48" s="3" t="s">
        <v>1217</v>
      </c>
      <c r="M48" s="137">
        <v>13.294</v>
      </c>
      <c r="N48" s="3" t="s">
        <v>1375</v>
      </c>
      <c r="O48" s="142">
        <v>1.125E-2</v>
      </c>
      <c r="P48" s="138">
        <v>4.7600000000000003E-2</v>
      </c>
      <c r="R48" s="137">
        <v>100000</v>
      </c>
      <c r="S48" s="139">
        <v>3.3719999999999999</v>
      </c>
      <c r="T48" s="140">
        <v>62.279000000000003</v>
      </c>
      <c r="U48" s="137">
        <v>210.006</v>
      </c>
      <c r="W48" s="3" t="s">
        <v>17</v>
      </c>
      <c r="X48" s="138">
        <v>1.9999999999999999E-6</v>
      </c>
      <c r="Y48" s="138">
        <v>7.7461614661417204E-3</v>
      </c>
      <c r="Z48" s="138">
        <v>3.0787594498227302E-3</v>
      </c>
    </row>
    <row r="49" spans="1:26" x14ac:dyDescent="0.2">
      <c r="A49" s="3">
        <v>13710</v>
      </c>
      <c r="B49" s="3">
        <v>13711</v>
      </c>
      <c r="C49" s="3" t="s">
        <v>1341</v>
      </c>
      <c r="D49" s="3" t="s">
        <v>1376</v>
      </c>
      <c r="E49" s="3" t="s">
        <v>1377</v>
      </c>
      <c r="F49" s="3" t="s">
        <v>225</v>
      </c>
      <c r="G49" s="3" t="s">
        <v>61</v>
      </c>
      <c r="H49" s="3" t="s">
        <v>314</v>
      </c>
      <c r="I49" s="3" t="s">
        <v>1150</v>
      </c>
      <c r="J49" s="3" t="s">
        <v>1339</v>
      </c>
      <c r="K49" s="3" t="s">
        <v>101</v>
      </c>
      <c r="L49" s="3" t="s">
        <v>1217</v>
      </c>
      <c r="M49" s="137">
        <v>13.420999999999999</v>
      </c>
      <c r="N49" s="3" t="s">
        <v>1378</v>
      </c>
      <c r="O49" s="142">
        <v>1.125E-2</v>
      </c>
      <c r="P49" s="138">
        <v>4.786E-2</v>
      </c>
      <c r="R49" s="137">
        <v>33000</v>
      </c>
      <c r="S49" s="139">
        <v>3.3719999999999999</v>
      </c>
      <c r="T49" s="140">
        <v>61.932000000000002</v>
      </c>
      <c r="U49" s="137">
        <v>68.915000000000006</v>
      </c>
      <c r="W49" s="3" t="s">
        <v>17</v>
      </c>
      <c r="X49" s="138">
        <v>0</v>
      </c>
      <c r="Y49" s="138">
        <v>2.5419660397290999E-3</v>
      </c>
      <c r="Z49" s="138">
        <v>1.01032001464882E-3</v>
      </c>
    </row>
    <row r="50" spans="1:26" x14ac:dyDescent="0.2">
      <c r="A50" s="3">
        <v>13710</v>
      </c>
      <c r="B50" s="3">
        <v>13711</v>
      </c>
      <c r="C50" s="3" t="s">
        <v>1341</v>
      </c>
      <c r="D50" s="3" t="s">
        <v>1379</v>
      </c>
      <c r="E50" s="3" t="s">
        <v>1380</v>
      </c>
      <c r="F50" s="3" t="s">
        <v>225</v>
      </c>
      <c r="G50" s="3" t="s">
        <v>61</v>
      </c>
      <c r="H50" s="3" t="s">
        <v>314</v>
      </c>
      <c r="I50" s="3" t="s">
        <v>1150</v>
      </c>
      <c r="J50" s="3" t="s">
        <v>1339</v>
      </c>
      <c r="K50" s="3" t="s">
        <v>101</v>
      </c>
      <c r="L50" s="3" t="s">
        <v>1217</v>
      </c>
      <c r="M50" s="137">
        <v>5.5910000000000002</v>
      </c>
      <c r="N50" s="3" t="s">
        <v>1381</v>
      </c>
      <c r="O50" s="142">
        <v>1.6250000000000001E-2</v>
      </c>
      <c r="P50" s="138">
        <v>3.9399999999999998E-2</v>
      </c>
      <c r="R50" s="137">
        <v>6000</v>
      </c>
      <c r="S50" s="139">
        <v>3.3719999999999999</v>
      </c>
      <c r="T50" s="140">
        <v>88.349000000000004</v>
      </c>
      <c r="U50" s="137">
        <v>17.875</v>
      </c>
      <c r="W50" s="3" t="s">
        <v>17</v>
      </c>
      <c r="X50" s="138">
        <v>0</v>
      </c>
      <c r="Y50" s="138">
        <v>6.5931726945984905E-4</v>
      </c>
      <c r="Z50" s="138">
        <v>2.62049698118659E-4</v>
      </c>
    </row>
    <row r="51" spans="1:26" x14ac:dyDescent="0.2">
      <c r="A51" s="3">
        <v>13710</v>
      </c>
      <c r="B51" s="3">
        <v>13711</v>
      </c>
      <c r="C51" s="3" t="s">
        <v>1336</v>
      </c>
      <c r="D51" s="3" t="s">
        <v>1382</v>
      </c>
      <c r="E51" s="3" t="s">
        <v>1383</v>
      </c>
      <c r="F51" s="3" t="s">
        <v>225</v>
      </c>
      <c r="G51" s="3" t="s">
        <v>61</v>
      </c>
      <c r="H51" s="3" t="s">
        <v>314</v>
      </c>
      <c r="I51" s="3" t="s">
        <v>1150</v>
      </c>
      <c r="J51" s="3" t="s">
        <v>1339</v>
      </c>
      <c r="K51" s="3" t="s">
        <v>101</v>
      </c>
      <c r="L51" s="3" t="s">
        <v>1217</v>
      </c>
      <c r="M51" s="137">
        <v>14.478999999999999</v>
      </c>
      <c r="N51" s="3" t="s">
        <v>1384</v>
      </c>
      <c r="O51" s="142">
        <v>2.5000000000000001E-2</v>
      </c>
      <c r="P51" s="138">
        <v>4.9209999999999997E-2</v>
      </c>
      <c r="R51" s="137">
        <v>10000</v>
      </c>
      <c r="S51" s="139">
        <v>3.3719999999999999</v>
      </c>
      <c r="T51" s="140">
        <v>71.421999999999997</v>
      </c>
      <c r="U51" s="137">
        <v>24.082999999999998</v>
      </c>
      <c r="W51" s="3" t="s">
        <v>17</v>
      </c>
      <c r="X51" s="138">
        <v>0</v>
      </c>
      <c r="Y51" s="138">
        <v>8.8832980148338995E-4</v>
      </c>
      <c r="Z51" s="138">
        <v>3.5307213551260901E-4</v>
      </c>
    </row>
    <row r="52" spans="1:26" x14ac:dyDescent="0.2">
      <c r="A52" s="3">
        <v>13710</v>
      </c>
      <c r="B52" s="3">
        <v>13711</v>
      </c>
      <c r="C52" s="3" t="s">
        <v>1341</v>
      </c>
      <c r="D52" s="3" t="s">
        <v>1385</v>
      </c>
      <c r="E52" s="3" t="s">
        <v>1386</v>
      </c>
      <c r="F52" s="3" t="s">
        <v>225</v>
      </c>
      <c r="G52" s="3" t="s">
        <v>61</v>
      </c>
      <c r="H52" s="3" t="s">
        <v>314</v>
      </c>
      <c r="I52" s="3" t="s">
        <v>1150</v>
      </c>
      <c r="J52" s="3" t="s">
        <v>1339</v>
      </c>
      <c r="K52" s="3" t="s">
        <v>101</v>
      </c>
      <c r="L52" s="3" t="s">
        <v>1217</v>
      </c>
      <c r="M52" s="137">
        <v>13.372999999999999</v>
      </c>
      <c r="N52" s="3" t="s">
        <v>1387</v>
      </c>
      <c r="O52" s="142">
        <v>0.02</v>
      </c>
      <c r="P52" s="138">
        <v>4.8379999999999999E-2</v>
      </c>
      <c r="R52" s="137">
        <v>13000</v>
      </c>
      <c r="S52" s="139">
        <v>3.3719999999999999</v>
      </c>
      <c r="T52" s="140">
        <v>69.028000000000006</v>
      </c>
      <c r="U52" s="137">
        <v>30.259</v>
      </c>
      <c r="W52" s="3" t="s">
        <v>17</v>
      </c>
      <c r="X52" s="138">
        <v>0</v>
      </c>
      <c r="Y52" s="138">
        <v>1.1161194883979001E-3</v>
      </c>
      <c r="Z52" s="138">
        <v>4.4360854560754798E-4</v>
      </c>
    </row>
    <row r="53" spans="1:26" x14ac:dyDescent="0.2">
      <c r="A53" s="3">
        <v>13710</v>
      </c>
      <c r="B53" s="3">
        <v>13711</v>
      </c>
      <c r="C53" s="3" t="s">
        <v>1341</v>
      </c>
      <c r="D53" s="3" t="s">
        <v>1388</v>
      </c>
      <c r="E53" s="3" t="s">
        <v>1389</v>
      </c>
      <c r="F53" s="3" t="s">
        <v>225</v>
      </c>
      <c r="G53" s="3" t="s">
        <v>61</v>
      </c>
      <c r="H53" s="3" t="s">
        <v>314</v>
      </c>
      <c r="I53" s="3" t="s">
        <v>1150</v>
      </c>
      <c r="J53" s="3" t="s">
        <v>1339</v>
      </c>
      <c r="K53" s="3" t="s">
        <v>101</v>
      </c>
      <c r="L53" s="3" t="s">
        <v>1217</v>
      </c>
      <c r="M53" s="137">
        <v>13.058</v>
      </c>
      <c r="N53" s="3" t="s">
        <v>1390</v>
      </c>
      <c r="O53" s="142">
        <v>2.375E-2</v>
      </c>
      <c r="P53" s="138">
        <v>4.8370000000000003E-2</v>
      </c>
      <c r="R53" s="137">
        <v>14000</v>
      </c>
      <c r="S53" s="139">
        <v>3.3719999999999999</v>
      </c>
      <c r="T53" s="140">
        <v>73.644000000000005</v>
      </c>
      <c r="U53" s="137">
        <v>34.765999999999998</v>
      </c>
      <c r="W53" s="3" t="s">
        <v>17</v>
      </c>
      <c r="X53" s="138">
        <v>0</v>
      </c>
      <c r="Y53" s="138">
        <v>1.28235534131916E-3</v>
      </c>
      <c r="Z53" s="138">
        <v>5.0968000633267298E-4</v>
      </c>
    </row>
    <row r="54" spans="1:26" x14ac:dyDescent="0.2">
      <c r="A54" s="3">
        <v>13710</v>
      </c>
      <c r="B54" s="3">
        <v>13711</v>
      </c>
      <c r="C54" s="3" t="s">
        <v>1345</v>
      </c>
      <c r="D54" s="3" t="s">
        <v>1391</v>
      </c>
      <c r="E54" s="3" t="s">
        <v>1392</v>
      </c>
      <c r="F54" s="3" t="s">
        <v>225</v>
      </c>
      <c r="G54" s="3" t="s">
        <v>61</v>
      </c>
      <c r="H54" s="3" t="s">
        <v>314</v>
      </c>
      <c r="I54" s="3" t="s">
        <v>1150</v>
      </c>
      <c r="J54" s="3" t="s">
        <v>1339</v>
      </c>
      <c r="K54" s="3" t="s">
        <v>101</v>
      </c>
      <c r="L54" s="3" t="s">
        <v>1217</v>
      </c>
      <c r="M54" s="137">
        <v>12.6</v>
      </c>
      <c r="N54" s="3" t="s">
        <v>1393</v>
      </c>
      <c r="O54" s="142">
        <v>3.2500000000000001E-2</v>
      </c>
      <c r="P54" s="138">
        <v>4.8129999999999999E-2</v>
      </c>
      <c r="R54" s="137">
        <v>15000</v>
      </c>
      <c r="S54" s="139">
        <v>3.3719999999999999</v>
      </c>
      <c r="T54" s="140">
        <v>83.174999999999997</v>
      </c>
      <c r="U54" s="137">
        <v>42.07</v>
      </c>
      <c r="W54" s="3" t="s">
        <v>17</v>
      </c>
      <c r="X54" s="138">
        <v>0</v>
      </c>
      <c r="Y54" s="138">
        <v>1.5517719235029501E-3</v>
      </c>
      <c r="Z54" s="138">
        <v>6.1676128161500005E-4</v>
      </c>
    </row>
    <row r="55" spans="1:26" x14ac:dyDescent="0.2">
      <c r="A55" s="3">
        <v>13710</v>
      </c>
      <c r="B55" s="3">
        <v>13711</v>
      </c>
      <c r="C55" s="3" t="s">
        <v>1341</v>
      </c>
      <c r="D55" s="3" t="s">
        <v>1394</v>
      </c>
      <c r="E55" s="3" t="s">
        <v>1395</v>
      </c>
      <c r="F55" s="3" t="s">
        <v>225</v>
      </c>
      <c r="G55" s="3" t="s">
        <v>61</v>
      </c>
      <c r="H55" s="3" t="s">
        <v>314</v>
      </c>
      <c r="I55" s="3" t="s">
        <v>1150</v>
      </c>
      <c r="J55" s="3" t="s">
        <v>1339</v>
      </c>
      <c r="K55" s="3" t="s">
        <v>101</v>
      </c>
      <c r="L55" s="3" t="s">
        <v>1217</v>
      </c>
      <c r="M55" s="137">
        <v>13.45</v>
      </c>
      <c r="N55" s="3" t="s">
        <v>1396</v>
      </c>
      <c r="O55" s="142">
        <v>3.3750000000000002E-2</v>
      </c>
      <c r="P55" s="138">
        <v>4.8820000000000002E-2</v>
      </c>
      <c r="R55" s="137">
        <v>12000</v>
      </c>
      <c r="S55" s="139">
        <v>3.3719999999999999</v>
      </c>
      <c r="T55" s="140">
        <v>82.712999999999994</v>
      </c>
      <c r="U55" s="137">
        <v>33.469000000000001</v>
      </c>
      <c r="W55" s="3" t="s">
        <v>17</v>
      </c>
      <c r="X55" s="138">
        <v>0</v>
      </c>
      <c r="Y55" s="138">
        <v>1.23451914612277E-3</v>
      </c>
      <c r="Z55" s="138">
        <v>4.9066721675318904E-4</v>
      </c>
    </row>
    <row r="56" spans="1:26" x14ac:dyDescent="0.2">
      <c r="A56" s="3">
        <v>13710</v>
      </c>
      <c r="B56" s="3">
        <v>13711</v>
      </c>
      <c r="C56" s="3" t="s">
        <v>1341</v>
      </c>
      <c r="D56" s="3" t="s">
        <v>1397</v>
      </c>
      <c r="E56" s="3" t="s">
        <v>1398</v>
      </c>
      <c r="F56" s="3" t="s">
        <v>225</v>
      </c>
      <c r="G56" s="3" t="s">
        <v>61</v>
      </c>
      <c r="H56" s="3" t="s">
        <v>314</v>
      </c>
      <c r="I56" s="3" t="s">
        <v>1150</v>
      </c>
      <c r="J56" s="3" t="s">
        <v>1339</v>
      </c>
      <c r="K56" s="3" t="s">
        <v>101</v>
      </c>
      <c r="L56" s="3" t="s">
        <v>1217</v>
      </c>
      <c r="M56" s="137">
        <v>10.622</v>
      </c>
      <c r="N56" s="3" t="s">
        <v>1399</v>
      </c>
      <c r="O56" s="142">
        <v>3.5000000000000003E-2</v>
      </c>
      <c r="P56" s="138">
        <v>4.5350000000000001E-2</v>
      </c>
      <c r="R56" s="137">
        <v>12000</v>
      </c>
      <c r="S56" s="139">
        <v>3.3719999999999999</v>
      </c>
      <c r="T56" s="140">
        <v>91.56</v>
      </c>
      <c r="U56" s="137">
        <v>37.048999999999999</v>
      </c>
      <c r="W56" s="3" t="s">
        <v>17</v>
      </c>
      <c r="X56" s="138">
        <v>0</v>
      </c>
      <c r="Y56" s="138">
        <v>1.3665654478024799E-3</v>
      </c>
      <c r="Z56" s="138">
        <v>5.4314983035316897E-4</v>
      </c>
    </row>
    <row r="57" spans="1:26" x14ac:dyDescent="0.2">
      <c r="A57" s="3">
        <v>13710</v>
      </c>
      <c r="B57" s="3">
        <v>13711</v>
      </c>
      <c r="C57" s="3" t="s">
        <v>1341</v>
      </c>
      <c r="D57" s="3" t="s">
        <v>1400</v>
      </c>
      <c r="E57" s="3" t="s">
        <v>1401</v>
      </c>
      <c r="F57" s="3" t="s">
        <v>225</v>
      </c>
      <c r="G57" s="3" t="s">
        <v>61</v>
      </c>
      <c r="H57" s="3" t="s">
        <v>314</v>
      </c>
      <c r="I57" s="3" t="s">
        <v>1150</v>
      </c>
      <c r="J57" s="3" t="s">
        <v>1339</v>
      </c>
      <c r="K57" s="3" t="s">
        <v>101</v>
      </c>
      <c r="L57" s="3" t="s">
        <v>1217</v>
      </c>
      <c r="M57" s="137">
        <v>13.016999999999999</v>
      </c>
      <c r="N57" s="3" t="s">
        <v>1402</v>
      </c>
      <c r="O57" s="142">
        <v>3.6249999999999998E-2</v>
      </c>
      <c r="P57" s="138">
        <v>4.8680000000000001E-2</v>
      </c>
      <c r="R57" s="137">
        <v>5000</v>
      </c>
      <c r="S57" s="139">
        <v>3.3719999999999999</v>
      </c>
      <c r="T57" s="140">
        <v>86.997</v>
      </c>
      <c r="U57" s="137">
        <v>14.667999999999999</v>
      </c>
      <c r="W57" s="3" t="s">
        <v>17</v>
      </c>
      <c r="X57" s="138">
        <v>0</v>
      </c>
      <c r="Y57" s="138">
        <v>5.4102506170698196E-4</v>
      </c>
      <c r="Z57" s="138">
        <v>2.1503373362432099E-4</v>
      </c>
    </row>
    <row r="58" spans="1:26" x14ac:dyDescent="0.2">
      <c r="A58" s="3">
        <v>13710</v>
      </c>
      <c r="B58" s="3">
        <v>13711</v>
      </c>
      <c r="C58" s="3" t="s">
        <v>1341</v>
      </c>
      <c r="D58" s="3" t="s">
        <v>1403</v>
      </c>
      <c r="E58" s="3" t="s">
        <v>1404</v>
      </c>
      <c r="F58" s="3" t="s">
        <v>225</v>
      </c>
      <c r="G58" s="3" t="s">
        <v>61</v>
      </c>
      <c r="H58" s="3" t="s">
        <v>314</v>
      </c>
      <c r="I58" s="3" t="s">
        <v>1150</v>
      </c>
      <c r="J58" s="3" t="s">
        <v>1339</v>
      </c>
      <c r="K58" s="3" t="s">
        <v>101</v>
      </c>
      <c r="L58" s="3" t="s">
        <v>1217</v>
      </c>
      <c r="M58" s="137">
        <v>6.9340000000000002</v>
      </c>
      <c r="N58" s="3" t="s">
        <v>1405</v>
      </c>
      <c r="O58" s="142">
        <v>3.875E-2</v>
      </c>
      <c r="P58" s="138">
        <v>4.147E-2</v>
      </c>
      <c r="R58" s="137">
        <v>20000</v>
      </c>
      <c r="S58" s="139">
        <v>3.3719999999999999</v>
      </c>
      <c r="T58" s="140">
        <v>99.938000000000002</v>
      </c>
      <c r="U58" s="137">
        <v>67.397999999999996</v>
      </c>
      <c r="W58" s="3" t="s">
        <v>17</v>
      </c>
      <c r="X58" s="138">
        <v>0</v>
      </c>
      <c r="Y58" s="138">
        <v>2.4860016813887998E-3</v>
      </c>
      <c r="Z58" s="138">
        <v>9.880766367065209E-4</v>
      </c>
    </row>
    <row r="59" spans="1:26" x14ac:dyDescent="0.2">
      <c r="A59" s="3">
        <v>13710</v>
      </c>
      <c r="B59" s="3">
        <v>13711</v>
      </c>
      <c r="C59" s="3" t="s">
        <v>1345</v>
      </c>
      <c r="D59" s="3" t="s">
        <v>1406</v>
      </c>
      <c r="E59" s="3" t="s">
        <v>1407</v>
      </c>
      <c r="F59" s="3" t="s">
        <v>225</v>
      </c>
      <c r="G59" s="3" t="s">
        <v>61</v>
      </c>
      <c r="H59" s="3" t="s">
        <v>314</v>
      </c>
      <c r="I59" s="3" t="s">
        <v>1150</v>
      </c>
      <c r="J59" s="3" t="s">
        <v>1339</v>
      </c>
      <c r="K59" s="3" t="s">
        <v>101</v>
      </c>
      <c r="L59" s="3" t="s">
        <v>1217</v>
      </c>
      <c r="M59" s="137">
        <v>7.7880000000000003</v>
      </c>
      <c r="N59" s="3" t="s">
        <v>1408</v>
      </c>
      <c r="O59" s="142">
        <v>4.2500000000000003E-2</v>
      </c>
      <c r="P59" s="138">
        <v>4.2590000000000003E-2</v>
      </c>
      <c r="R59" s="137">
        <v>121000</v>
      </c>
      <c r="S59" s="139">
        <v>3.3719999999999999</v>
      </c>
      <c r="T59" s="140">
        <v>100.864</v>
      </c>
      <c r="U59" s="137">
        <v>411.536</v>
      </c>
      <c r="W59" s="3" t="s">
        <v>17</v>
      </c>
      <c r="X59" s="138">
        <v>9.9999999999999995E-7</v>
      </c>
      <c r="Y59" s="138">
        <v>1.51796993220844E-2</v>
      </c>
      <c r="Z59" s="138">
        <v>6.0332647257110598E-3</v>
      </c>
    </row>
    <row r="60" spans="1:26" x14ac:dyDescent="0.2">
      <c r="A60" s="3">
        <v>13710</v>
      </c>
      <c r="B60" s="3">
        <v>13711</v>
      </c>
      <c r="C60" s="3" t="s">
        <v>1341</v>
      </c>
      <c r="D60" s="3" t="s">
        <v>1409</v>
      </c>
      <c r="E60" s="3" t="s">
        <v>1410</v>
      </c>
      <c r="F60" s="3" t="s">
        <v>225</v>
      </c>
      <c r="G60" s="3" t="s">
        <v>61</v>
      </c>
      <c r="H60" s="3" t="s">
        <v>314</v>
      </c>
      <c r="I60" s="3" t="s">
        <v>1150</v>
      </c>
      <c r="J60" s="3" t="s">
        <v>1339</v>
      </c>
      <c r="K60" s="3" t="s">
        <v>101</v>
      </c>
      <c r="L60" s="3" t="s">
        <v>1217</v>
      </c>
      <c r="M60" s="137">
        <v>0.19400000000000001</v>
      </c>
      <c r="N60" s="3" t="s">
        <v>1411</v>
      </c>
      <c r="O60" s="142">
        <v>0</v>
      </c>
      <c r="P60" s="138">
        <v>4.3150000000000001E-2</v>
      </c>
      <c r="R60" s="137">
        <v>25000</v>
      </c>
      <c r="S60" s="139">
        <v>3.3719999999999999</v>
      </c>
      <c r="T60" s="140">
        <v>99.188999999999993</v>
      </c>
      <c r="U60" s="137">
        <v>83.617000000000004</v>
      </c>
      <c r="W60" s="3" t="s">
        <v>17</v>
      </c>
      <c r="X60" s="138">
        <v>0</v>
      </c>
      <c r="Y60" s="138">
        <v>3.0842364589249399E-3</v>
      </c>
      <c r="Z60" s="138">
        <v>1.22584872325578E-3</v>
      </c>
    </row>
    <row r="61" spans="1:26" x14ac:dyDescent="0.2">
      <c r="A61" s="3">
        <v>13710</v>
      </c>
      <c r="B61" s="3">
        <v>13711</v>
      </c>
      <c r="C61" s="3" t="s">
        <v>1336</v>
      </c>
      <c r="D61" s="3" t="s">
        <v>1412</v>
      </c>
      <c r="E61" s="3" t="s">
        <v>1413</v>
      </c>
      <c r="F61" s="3" t="s">
        <v>225</v>
      </c>
      <c r="G61" s="3" t="s">
        <v>61</v>
      </c>
      <c r="H61" s="3" t="s">
        <v>314</v>
      </c>
      <c r="I61" s="3" t="s">
        <v>1150</v>
      </c>
      <c r="J61" s="3" t="s">
        <v>1339</v>
      </c>
      <c r="K61" s="3" t="s">
        <v>101</v>
      </c>
      <c r="L61" s="3" t="s">
        <v>1217</v>
      </c>
      <c r="M61" s="137">
        <v>0.41499999999999998</v>
      </c>
      <c r="N61" s="3" t="s">
        <v>1273</v>
      </c>
      <c r="O61" s="142">
        <v>3.7499999999999999E-3</v>
      </c>
      <c r="P61" s="138">
        <v>4.3389999999999998E-2</v>
      </c>
      <c r="R61" s="137">
        <v>30000</v>
      </c>
      <c r="S61" s="139">
        <v>3.3719999999999999</v>
      </c>
      <c r="T61" s="140">
        <v>98.397999999999996</v>
      </c>
      <c r="U61" s="137">
        <v>99.539000000000001</v>
      </c>
      <c r="W61" s="3" t="s">
        <v>17</v>
      </c>
      <c r="X61" s="138">
        <v>0</v>
      </c>
      <c r="Y61" s="138">
        <v>3.6715585282504999E-3</v>
      </c>
      <c r="Z61" s="138">
        <v>1.4592834869034601E-3</v>
      </c>
    </row>
    <row r="62" spans="1:26" x14ac:dyDescent="0.2">
      <c r="A62" s="3">
        <v>13710</v>
      </c>
      <c r="B62" s="3">
        <v>13711</v>
      </c>
      <c r="C62" s="3" t="s">
        <v>1414</v>
      </c>
      <c r="D62" s="3" t="s">
        <v>1415</v>
      </c>
      <c r="E62" s="3" t="s">
        <v>1416</v>
      </c>
      <c r="F62" s="3" t="s">
        <v>225</v>
      </c>
      <c r="G62" s="3" t="s">
        <v>61</v>
      </c>
      <c r="H62" s="3" t="s">
        <v>314</v>
      </c>
      <c r="I62" s="3" t="s">
        <v>1150</v>
      </c>
      <c r="J62" s="3" t="s">
        <v>1339</v>
      </c>
      <c r="K62" s="3" t="s">
        <v>101</v>
      </c>
      <c r="L62" s="3" t="s">
        <v>1217</v>
      </c>
      <c r="M62" s="137">
        <v>6.2350000000000003</v>
      </c>
      <c r="N62" s="3" t="s">
        <v>1417</v>
      </c>
      <c r="O62" s="142">
        <v>2.8750000000000001E-2</v>
      </c>
      <c r="P62" s="138">
        <v>4.0460000000000003E-2</v>
      </c>
      <c r="R62" s="137">
        <v>27000</v>
      </c>
      <c r="S62" s="139">
        <v>3.3719999999999999</v>
      </c>
      <c r="T62" s="140">
        <v>93.641000000000005</v>
      </c>
      <c r="U62" s="137">
        <v>85.254000000000005</v>
      </c>
      <c r="W62" s="3" t="s">
        <v>17</v>
      </c>
      <c r="X62" s="138">
        <v>0</v>
      </c>
      <c r="Y62" s="138">
        <v>3.1446414401559001E-3</v>
      </c>
      <c r="Z62" s="138">
        <v>1.2498570540392399E-3</v>
      </c>
    </row>
    <row r="63" spans="1:26" x14ac:dyDescent="0.2">
      <c r="A63" s="3">
        <v>13710</v>
      </c>
      <c r="B63" s="3">
        <v>13711</v>
      </c>
      <c r="C63" s="3" t="s">
        <v>1341</v>
      </c>
      <c r="D63" s="3" t="s">
        <v>1418</v>
      </c>
      <c r="E63" s="3" t="s">
        <v>1419</v>
      </c>
      <c r="F63" s="3" t="s">
        <v>225</v>
      </c>
      <c r="G63" s="3" t="s">
        <v>61</v>
      </c>
      <c r="H63" s="3" t="s">
        <v>314</v>
      </c>
      <c r="I63" s="3" t="s">
        <v>1150</v>
      </c>
      <c r="J63" s="3" t="s">
        <v>1339</v>
      </c>
      <c r="K63" s="3" t="s">
        <v>101</v>
      </c>
      <c r="L63" s="3" t="s">
        <v>1217</v>
      </c>
      <c r="M63" s="137">
        <v>7.6379999999999999</v>
      </c>
      <c r="N63" s="3" t="s">
        <v>1420</v>
      </c>
      <c r="O63" s="142">
        <v>3.875E-2</v>
      </c>
      <c r="P63" s="138">
        <v>4.24E-2</v>
      </c>
      <c r="R63" s="137">
        <v>50000</v>
      </c>
      <c r="S63" s="139">
        <v>3.3719999999999999</v>
      </c>
      <c r="T63" s="140">
        <v>99.09</v>
      </c>
      <c r="U63" s="137">
        <v>167.065</v>
      </c>
      <c r="W63" s="3" t="s">
        <v>17</v>
      </c>
      <c r="X63" s="138">
        <v>0</v>
      </c>
      <c r="Y63" s="138">
        <v>6.1622676602008999E-3</v>
      </c>
      <c r="Z63" s="138">
        <v>2.44923112874774E-3</v>
      </c>
    </row>
    <row r="64" spans="1:26" x14ac:dyDescent="0.2">
      <c r="A64" s="3">
        <v>13710</v>
      </c>
      <c r="B64" s="3">
        <v>13711</v>
      </c>
      <c r="C64" s="3" t="s">
        <v>1341</v>
      </c>
      <c r="D64" s="3" t="s">
        <v>1421</v>
      </c>
      <c r="E64" s="3" t="s">
        <v>1422</v>
      </c>
      <c r="F64" s="3" t="s">
        <v>225</v>
      </c>
      <c r="G64" s="3" t="s">
        <v>61</v>
      </c>
      <c r="H64" s="3" t="s">
        <v>314</v>
      </c>
      <c r="I64" s="3" t="s">
        <v>1150</v>
      </c>
      <c r="J64" s="3" t="s">
        <v>1339</v>
      </c>
      <c r="K64" s="3" t="s">
        <v>101</v>
      </c>
      <c r="L64" s="3" t="s">
        <v>1217</v>
      </c>
      <c r="M64" s="137">
        <v>13.388</v>
      </c>
      <c r="N64" s="3" t="s">
        <v>1423</v>
      </c>
      <c r="O64" s="142">
        <v>2.8750000000000001E-2</v>
      </c>
      <c r="P64" s="138">
        <v>4.8660000000000002E-2</v>
      </c>
      <c r="R64" s="137">
        <v>35000</v>
      </c>
      <c r="S64" s="139">
        <v>3.3719999999999999</v>
      </c>
      <c r="T64" s="140">
        <v>77.483999999999995</v>
      </c>
      <c r="U64" s="137">
        <v>91.447000000000003</v>
      </c>
      <c r="W64" s="3" t="s">
        <v>17</v>
      </c>
      <c r="X64" s="138">
        <v>9.9999999999999995E-7</v>
      </c>
      <c r="Y64" s="138">
        <v>3.3730673443371799E-3</v>
      </c>
      <c r="Z64" s="138">
        <v>1.3406463325943501E-3</v>
      </c>
    </row>
    <row r="65" spans="1:26" x14ac:dyDescent="0.2">
      <c r="A65" s="3">
        <v>13710</v>
      </c>
      <c r="B65" s="3">
        <v>13711</v>
      </c>
      <c r="C65" s="3" t="s">
        <v>1341</v>
      </c>
      <c r="D65" s="3" t="s">
        <v>1424</v>
      </c>
      <c r="E65" s="3" t="s">
        <v>1425</v>
      </c>
      <c r="F65" s="3" t="s">
        <v>225</v>
      </c>
      <c r="G65" s="3" t="s">
        <v>61</v>
      </c>
      <c r="H65" s="3" t="s">
        <v>314</v>
      </c>
      <c r="I65" s="3" t="s">
        <v>1150</v>
      </c>
      <c r="J65" s="3" t="s">
        <v>1339</v>
      </c>
      <c r="K65" s="3" t="s">
        <v>101</v>
      </c>
      <c r="L65" s="3" t="s">
        <v>1217</v>
      </c>
      <c r="M65" s="137">
        <v>0.17499999999999999</v>
      </c>
      <c r="N65" s="3" t="s">
        <v>1426</v>
      </c>
      <c r="O65" s="142">
        <v>0</v>
      </c>
      <c r="P65" s="138">
        <v>4.3729999999999998E-2</v>
      </c>
      <c r="R65" s="137">
        <v>25000</v>
      </c>
      <c r="S65" s="139">
        <v>3.3719999999999999</v>
      </c>
      <c r="T65" s="140">
        <v>99.263000000000005</v>
      </c>
      <c r="U65" s="137">
        <v>83.679000000000002</v>
      </c>
      <c r="W65" s="3" t="s">
        <v>17</v>
      </c>
      <c r="X65" s="138">
        <v>0</v>
      </c>
      <c r="Y65" s="138">
        <v>3.08652501024425E-3</v>
      </c>
      <c r="Z65" s="138">
        <v>1.2267583220333901E-3</v>
      </c>
    </row>
    <row r="66" spans="1:26" x14ac:dyDescent="0.2">
      <c r="A66" s="3">
        <v>13710</v>
      </c>
      <c r="B66" s="3">
        <v>13711</v>
      </c>
      <c r="C66" s="3" t="s">
        <v>1341</v>
      </c>
      <c r="D66" s="3" t="s">
        <v>1427</v>
      </c>
      <c r="E66" s="3" t="s">
        <v>1428</v>
      </c>
      <c r="F66" s="3" t="s">
        <v>225</v>
      </c>
      <c r="G66" s="3" t="s">
        <v>61</v>
      </c>
      <c r="H66" s="3" t="s">
        <v>314</v>
      </c>
      <c r="I66" s="3" t="s">
        <v>1150</v>
      </c>
      <c r="J66" s="3" t="s">
        <v>1339</v>
      </c>
      <c r="K66" s="3" t="s">
        <v>101</v>
      </c>
      <c r="L66" s="3" t="s">
        <v>1217</v>
      </c>
      <c r="M66" s="137">
        <v>0.315</v>
      </c>
      <c r="N66" s="3" t="s">
        <v>1429</v>
      </c>
      <c r="O66" s="142">
        <v>0</v>
      </c>
      <c r="P66" s="138">
        <v>4.2849999999999999E-2</v>
      </c>
      <c r="R66" s="137">
        <v>13000</v>
      </c>
      <c r="S66" s="139">
        <v>3.3719999999999999</v>
      </c>
      <c r="T66" s="140">
        <v>98.683000000000007</v>
      </c>
      <c r="U66" s="137">
        <v>43.259</v>
      </c>
      <c r="W66" s="3" t="s">
        <v>17</v>
      </c>
      <c r="X66" s="138">
        <v>0</v>
      </c>
      <c r="Y66" s="138">
        <v>1.5956197707631601E-3</v>
      </c>
      <c r="Z66" s="138">
        <v>6.3418887781175302E-4</v>
      </c>
    </row>
    <row r="67" spans="1:26" x14ac:dyDescent="0.2">
      <c r="A67" s="3">
        <v>13710</v>
      </c>
      <c r="B67" s="3">
        <v>13711</v>
      </c>
      <c r="C67" s="3" t="s">
        <v>1341</v>
      </c>
      <c r="D67" s="3" t="s">
        <v>1430</v>
      </c>
      <c r="E67" s="3" t="s">
        <v>1431</v>
      </c>
      <c r="F67" s="3" t="s">
        <v>225</v>
      </c>
      <c r="G67" s="3" t="s">
        <v>61</v>
      </c>
      <c r="H67" s="3" t="s">
        <v>314</v>
      </c>
      <c r="I67" s="3" t="s">
        <v>1150</v>
      </c>
      <c r="J67" s="3" t="s">
        <v>1339</v>
      </c>
      <c r="K67" s="3" t="s">
        <v>101</v>
      </c>
      <c r="L67" s="3" t="s">
        <v>1217</v>
      </c>
      <c r="M67" s="137">
        <v>0.33200000000000002</v>
      </c>
      <c r="N67" s="3" t="s">
        <v>1257</v>
      </c>
      <c r="O67" s="142">
        <v>0.03</v>
      </c>
      <c r="P67" s="138">
        <v>4.3459999999999999E-2</v>
      </c>
      <c r="R67" s="137">
        <v>25000</v>
      </c>
      <c r="S67" s="139">
        <v>3.3719999999999999</v>
      </c>
      <c r="T67" s="140">
        <v>100.032</v>
      </c>
      <c r="U67" s="137">
        <v>84.326999999999998</v>
      </c>
      <c r="W67" s="3" t="s">
        <v>17</v>
      </c>
      <c r="X67" s="138">
        <v>9.9999999999999995E-7</v>
      </c>
      <c r="Y67" s="138">
        <v>3.1104475481295202E-3</v>
      </c>
      <c r="Z67" s="138">
        <v>1.2362664816424999E-3</v>
      </c>
    </row>
    <row r="68" spans="1:26" x14ac:dyDescent="0.2">
      <c r="A68" s="3">
        <v>13710</v>
      </c>
      <c r="B68" s="3">
        <v>13711</v>
      </c>
      <c r="C68" s="3" t="s">
        <v>1341</v>
      </c>
      <c r="D68" s="3" t="s">
        <v>1432</v>
      </c>
      <c r="E68" s="3" t="s">
        <v>1433</v>
      </c>
      <c r="F68" s="3" t="s">
        <v>225</v>
      </c>
      <c r="G68" s="3" t="s">
        <v>61</v>
      </c>
      <c r="H68" s="3" t="s">
        <v>314</v>
      </c>
      <c r="I68" s="3" t="s">
        <v>1150</v>
      </c>
      <c r="J68" s="3" t="s">
        <v>1339</v>
      </c>
      <c r="K68" s="3" t="s">
        <v>101</v>
      </c>
      <c r="L68" s="3" t="s">
        <v>1217</v>
      </c>
      <c r="M68" s="137">
        <v>8.9689999999999994</v>
      </c>
      <c r="N68" s="3" t="s">
        <v>1434</v>
      </c>
      <c r="O68" s="142">
        <v>4.7500000000000001E-2</v>
      </c>
      <c r="P68" s="138">
        <v>4.3619999999999999E-2</v>
      </c>
      <c r="R68" s="137">
        <v>19000</v>
      </c>
      <c r="S68" s="139">
        <v>3.3719999999999999</v>
      </c>
      <c r="T68" s="140">
        <v>105.84399999999999</v>
      </c>
      <c r="U68" s="137">
        <v>67.811999999999998</v>
      </c>
      <c r="W68" s="3" t="s">
        <v>17</v>
      </c>
      <c r="X68" s="138">
        <v>9.9999999999999995E-7</v>
      </c>
      <c r="Y68" s="138">
        <v>2.5012762067228599E-3</v>
      </c>
      <c r="Z68" s="138">
        <v>9.941475906130909E-4</v>
      </c>
    </row>
    <row r="69" spans="1:26" x14ac:dyDescent="0.2">
      <c r="A69" s="3">
        <v>13710</v>
      </c>
      <c r="B69" s="3">
        <v>13711</v>
      </c>
      <c r="C69" s="3" t="s">
        <v>1341</v>
      </c>
      <c r="D69" s="3" t="s">
        <v>1435</v>
      </c>
      <c r="E69" s="3" t="s">
        <v>1436</v>
      </c>
      <c r="F69" s="3" t="s">
        <v>225</v>
      </c>
      <c r="G69" s="3" t="s">
        <v>61</v>
      </c>
      <c r="H69" s="3" t="s">
        <v>314</v>
      </c>
      <c r="I69" s="3" t="s">
        <v>1150</v>
      </c>
      <c r="J69" s="3" t="s">
        <v>1339</v>
      </c>
      <c r="K69" s="3" t="s">
        <v>101</v>
      </c>
      <c r="L69" s="3" t="s">
        <v>1217</v>
      </c>
      <c r="M69" s="137">
        <v>18.983000000000001</v>
      </c>
      <c r="N69" s="3" t="s">
        <v>1437</v>
      </c>
      <c r="O69" s="142">
        <v>1.375E-2</v>
      </c>
      <c r="P69" s="138">
        <v>4.9709999999999997E-2</v>
      </c>
      <c r="R69" s="137">
        <v>105000</v>
      </c>
      <c r="S69" s="139">
        <v>3.3719999999999999</v>
      </c>
      <c r="T69" s="140">
        <v>49.899000000000001</v>
      </c>
      <c r="U69" s="137">
        <v>176.673</v>
      </c>
      <c r="W69" s="3" t="s">
        <v>17</v>
      </c>
      <c r="X69" s="138">
        <v>9.9999999999999995E-7</v>
      </c>
      <c r="Y69" s="138">
        <v>6.5166647697692103E-3</v>
      </c>
      <c r="Z69" s="138">
        <v>2.5900884365694901E-3</v>
      </c>
    </row>
    <row r="70" spans="1:26" x14ac:dyDescent="0.2">
      <c r="A70" s="3">
        <v>13710</v>
      </c>
      <c r="B70" s="3">
        <v>13711</v>
      </c>
      <c r="C70" s="3" t="s">
        <v>1341</v>
      </c>
      <c r="D70" s="3" t="s">
        <v>1438</v>
      </c>
      <c r="E70" s="3" t="s">
        <v>1439</v>
      </c>
      <c r="F70" s="3" t="s">
        <v>225</v>
      </c>
      <c r="G70" s="3" t="s">
        <v>61</v>
      </c>
      <c r="H70" s="3" t="s">
        <v>314</v>
      </c>
      <c r="I70" s="3" t="s">
        <v>1150</v>
      </c>
      <c r="J70" s="3" t="s">
        <v>1339</v>
      </c>
      <c r="K70" s="3" t="s">
        <v>101</v>
      </c>
      <c r="L70" s="3" t="s">
        <v>1217</v>
      </c>
      <c r="M70" s="137">
        <v>6.18</v>
      </c>
      <c r="N70" s="3" t="s">
        <v>1440</v>
      </c>
      <c r="O70" s="142">
        <v>1.8749999999999999E-2</v>
      </c>
      <c r="P70" s="138">
        <v>4.0289999999999999E-2</v>
      </c>
      <c r="R70" s="137">
        <v>10000</v>
      </c>
      <c r="S70" s="139">
        <v>3.3719999999999999</v>
      </c>
      <c r="T70" s="140">
        <v>88.522000000000006</v>
      </c>
      <c r="U70" s="137">
        <v>29.849</v>
      </c>
      <c r="W70" s="3" t="s">
        <v>17</v>
      </c>
      <c r="X70" s="138">
        <v>0</v>
      </c>
      <c r="Y70" s="138">
        <v>1.1010120024346E-3</v>
      </c>
      <c r="Z70" s="138">
        <v>4.3760398252480002E-4</v>
      </c>
    </row>
    <row r="71" spans="1:26" x14ac:dyDescent="0.2">
      <c r="A71" s="3">
        <v>13710</v>
      </c>
      <c r="B71" s="3">
        <v>13711</v>
      </c>
      <c r="C71" s="3" t="s">
        <v>1341</v>
      </c>
      <c r="D71" s="3" t="s">
        <v>1441</v>
      </c>
      <c r="E71" s="3" t="s">
        <v>1442</v>
      </c>
      <c r="F71" s="3" t="s">
        <v>225</v>
      </c>
      <c r="G71" s="3" t="s">
        <v>61</v>
      </c>
      <c r="H71" s="3" t="s">
        <v>314</v>
      </c>
      <c r="I71" s="3" t="s">
        <v>1150</v>
      </c>
      <c r="J71" s="3" t="s">
        <v>1339</v>
      </c>
      <c r="K71" s="3" t="s">
        <v>101</v>
      </c>
      <c r="L71" s="3" t="s">
        <v>1217</v>
      </c>
      <c r="M71" s="137">
        <v>13.24</v>
      </c>
      <c r="N71" s="3" t="s">
        <v>1443</v>
      </c>
      <c r="O71" s="142">
        <v>2.75E-2</v>
      </c>
      <c r="P71" s="138">
        <v>4.8529999999999997E-2</v>
      </c>
      <c r="R71" s="137">
        <v>6000</v>
      </c>
      <c r="S71" s="139">
        <v>3.3719999999999999</v>
      </c>
      <c r="T71" s="140">
        <v>76.542000000000002</v>
      </c>
      <c r="U71" s="137">
        <v>15.486000000000001</v>
      </c>
      <c r="W71" s="3" t="s">
        <v>17</v>
      </c>
      <c r="X71" s="138">
        <v>0</v>
      </c>
      <c r="Y71" s="138">
        <v>5.7120854117740001E-4</v>
      </c>
      <c r="Z71" s="138">
        <v>2.2703034291968099E-4</v>
      </c>
    </row>
    <row r="72" spans="1:26" x14ac:dyDescent="0.2">
      <c r="A72" s="3">
        <v>13710</v>
      </c>
      <c r="B72" s="3">
        <v>13711</v>
      </c>
      <c r="C72" s="3" t="s">
        <v>1341</v>
      </c>
      <c r="D72" s="3" t="s">
        <v>1444</v>
      </c>
      <c r="E72" s="3" t="s">
        <v>1445</v>
      </c>
      <c r="F72" s="3" t="s">
        <v>225</v>
      </c>
      <c r="G72" s="3" t="s">
        <v>61</v>
      </c>
      <c r="H72" s="3" t="s">
        <v>314</v>
      </c>
      <c r="I72" s="3" t="s">
        <v>1150</v>
      </c>
      <c r="J72" s="3" t="s">
        <v>1339</v>
      </c>
      <c r="K72" s="3" t="s">
        <v>101</v>
      </c>
      <c r="L72" s="3" t="s">
        <v>1217</v>
      </c>
      <c r="M72" s="137">
        <v>13.989000000000001</v>
      </c>
      <c r="N72" s="3" t="s">
        <v>1446</v>
      </c>
      <c r="O72" s="142">
        <v>0.03</v>
      </c>
      <c r="P72" s="138">
        <v>4.9070000000000003E-2</v>
      </c>
      <c r="R72" s="137">
        <v>10000</v>
      </c>
      <c r="S72" s="139">
        <v>3.3719999999999999</v>
      </c>
      <c r="T72" s="140">
        <v>77.453000000000003</v>
      </c>
      <c r="U72" s="137">
        <v>26.117000000000001</v>
      </c>
      <c r="W72" s="3" t="s">
        <v>17</v>
      </c>
      <c r="X72" s="138">
        <v>0</v>
      </c>
      <c r="Y72" s="138">
        <v>9.6334453364126603E-4</v>
      </c>
      <c r="Z72" s="138">
        <v>3.8288720153162602E-4</v>
      </c>
    </row>
    <row r="73" spans="1:26" x14ac:dyDescent="0.2">
      <c r="A73" s="3">
        <v>13710</v>
      </c>
      <c r="B73" s="3">
        <v>13711</v>
      </c>
      <c r="C73" s="3" t="s">
        <v>1341</v>
      </c>
      <c r="D73" s="3" t="s">
        <v>1447</v>
      </c>
      <c r="E73" s="3" t="s">
        <v>1448</v>
      </c>
      <c r="F73" s="3" t="s">
        <v>225</v>
      </c>
      <c r="G73" s="3" t="s">
        <v>61</v>
      </c>
      <c r="H73" s="3" t="s">
        <v>314</v>
      </c>
      <c r="I73" s="3" t="s">
        <v>1150</v>
      </c>
      <c r="J73" s="3" t="s">
        <v>1339</v>
      </c>
      <c r="K73" s="3" t="s">
        <v>101</v>
      </c>
      <c r="L73" s="3" t="s">
        <v>1217</v>
      </c>
      <c r="M73" s="137">
        <v>6.6470000000000002</v>
      </c>
      <c r="N73" s="3" t="s">
        <v>1449</v>
      </c>
      <c r="O73" s="142">
        <v>3.5000000000000003E-2</v>
      </c>
      <c r="P73" s="138">
        <v>4.1009999999999998E-2</v>
      </c>
      <c r="R73" s="137">
        <v>20000</v>
      </c>
      <c r="S73" s="139">
        <v>3.3719999999999999</v>
      </c>
      <c r="T73" s="140">
        <v>97.685000000000002</v>
      </c>
      <c r="U73" s="137">
        <v>65.879000000000005</v>
      </c>
      <c r="W73" s="3" t="s">
        <v>17</v>
      </c>
      <c r="X73" s="138">
        <v>0</v>
      </c>
      <c r="Y73" s="138">
        <v>2.4299718630181001E-3</v>
      </c>
      <c r="Z73" s="138">
        <v>9.6580724127309802E-4</v>
      </c>
    </row>
    <row r="74" spans="1:26" x14ac:dyDescent="0.2">
      <c r="A74" s="3">
        <v>13710</v>
      </c>
      <c r="B74" s="3">
        <v>13711</v>
      </c>
      <c r="C74" s="3" t="s">
        <v>1341</v>
      </c>
      <c r="D74" s="3" t="s">
        <v>1450</v>
      </c>
      <c r="E74" s="3" t="s">
        <v>1451</v>
      </c>
      <c r="F74" s="3" t="s">
        <v>225</v>
      </c>
      <c r="G74" s="3" t="s">
        <v>61</v>
      </c>
      <c r="H74" s="3" t="s">
        <v>314</v>
      </c>
      <c r="I74" s="3" t="s">
        <v>1150</v>
      </c>
      <c r="J74" s="3" t="s">
        <v>1339</v>
      </c>
      <c r="K74" s="3" t="s">
        <v>101</v>
      </c>
      <c r="L74" s="3" t="s">
        <v>1217</v>
      </c>
      <c r="M74" s="137">
        <v>14.311999999999999</v>
      </c>
      <c r="N74" s="3" t="s">
        <v>1452</v>
      </c>
      <c r="O74" s="142">
        <v>2.8750000000000001E-2</v>
      </c>
      <c r="P74" s="138">
        <v>4.9169999999999998E-2</v>
      </c>
      <c r="R74" s="137">
        <v>5000</v>
      </c>
      <c r="S74" s="139">
        <v>3.3719999999999999</v>
      </c>
      <c r="T74" s="140">
        <v>75.906999999999996</v>
      </c>
      <c r="U74" s="137">
        <v>12.798</v>
      </c>
      <c r="W74" s="3" t="s">
        <v>17</v>
      </c>
      <c r="X74" s="138">
        <v>0</v>
      </c>
      <c r="Y74" s="138">
        <v>4.7205821198153999E-4</v>
      </c>
      <c r="Z74" s="138">
        <v>1.87622435622748E-4</v>
      </c>
    </row>
    <row r="75" spans="1:26" x14ac:dyDescent="0.2">
      <c r="A75" s="3">
        <v>13710</v>
      </c>
      <c r="B75" s="3">
        <v>13711</v>
      </c>
      <c r="C75" s="3" t="s">
        <v>1336</v>
      </c>
      <c r="D75" s="3" t="s">
        <v>1453</v>
      </c>
      <c r="E75" s="3" t="s">
        <v>1454</v>
      </c>
      <c r="F75" s="3" t="s">
        <v>225</v>
      </c>
      <c r="G75" s="3" t="s">
        <v>61</v>
      </c>
      <c r="H75" s="3" t="s">
        <v>314</v>
      </c>
      <c r="I75" s="3" t="s">
        <v>1150</v>
      </c>
      <c r="J75" s="3" t="s">
        <v>1339</v>
      </c>
      <c r="K75" s="3" t="s">
        <v>101</v>
      </c>
      <c r="L75" s="3" t="s">
        <v>1217</v>
      </c>
      <c r="M75" s="137">
        <v>13.632999999999999</v>
      </c>
      <c r="N75" s="3" t="s">
        <v>1455</v>
      </c>
      <c r="O75" s="142">
        <v>3.125E-2</v>
      </c>
      <c r="P75" s="138">
        <v>4.897E-2</v>
      </c>
      <c r="R75" s="137">
        <v>77000</v>
      </c>
      <c r="S75" s="139">
        <v>3.3719999999999999</v>
      </c>
      <c r="T75" s="140">
        <v>78.891000000000005</v>
      </c>
      <c r="U75" s="137">
        <v>204.83500000000001</v>
      </c>
      <c r="W75" s="3" t="s">
        <v>17</v>
      </c>
      <c r="X75" s="138">
        <v>1.9999999999999999E-6</v>
      </c>
      <c r="Y75" s="138">
        <v>7.5554235743402597E-3</v>
      </c>
      <c r="Z75" s="138">
        <v>3.0029495032588998E-3</v>
      </c>
    </row>
    <row r="76" spans="1:26" x14ac:dyDescent="0.2">
      <c r="A76" s="3">
        <v>13710</v>
      </c>
      <c r="B76" s="3">
        <v>15444</v>
      </c>
      <c r="C76" s="3" t="s">
        <v>1224</v>
      </c>
      <c r="D76" s="3" t="s">
        <v>1236</v>
      </c>
      <c r="E76" s="3" t="s">
        <v>1237</v>
      </c>
      <c r="F76" s="3" t="s">
        <v>227</v>
      </c>
      <c r="G76" s="3" t="s">
        <v>53</v>
      </c>
      <c r="H76" s="3" t="s">
        <v>53</v>
      </c>
      <c r="I76" s="3" t="s">
        <v>1227</v>
      </c>
      <c r="J76" s="3" t="s">
        <v>1228</v>
      </c>
      <c r="K76" s="3" t="s">
        <v>78</v>
      </c>
      <c r="L76" s="3" t="s">
        <v>1219</v>
      </c>
      <c r="M76" s="137">
        <v>0.34499999999999997</v>
      </c>
      <c r="N76" s="3" t="s">
        <v>1238</v>
      </c>
      <c r="O76" s="142">
        <v>0</v>
      </c>
      <c r="P76" s="138">
        <v>4.3220000000000001E-2</v>
      </c>
      <c r="R76" s="137">
        <v>100000</v>
      </c>
      <c r="S76" s="139">
        <v>1</v>
      </c>
      <c r="T76" s="140">
        <v>98.55</v>
      </c>
      <c r="U76" s="137">
        <v>98.55</v>
      </c>
      <c r="W76" s="3" t="s">
        <v>17</v>
      </c>
      <c r="X76" s="138">
        <v>6.9999999999999999E-6</v>
      </c>
      <c r="Y76" s="138">
        <v>0.102138207669697</v>
      </c>
      <c r="Z76" s="138">
        <v>1.18046291315454E-2</v>
      </c>
    </row>
    <row r="77" spans="1:26" x14ac:dyDescent="0.2">
      <c r="A77" s="3">
        <v>13710</v>
      </c>
      <c r="B77" s="3">
        <v>15444</v>
      </c>
      <c r="C77" s="3" t="s">
        <v>1224</v>
      </c>
      <c r="D77" s="3" t="s">
        <v>1239</v>
      </c>
      <c r="E77" s="3" t="s">
        <v>1240</v>
      </c>
      <c r="F77" s="3" t="s">
        <v>227</v>
      </c>
      <c r="G77" s="3" t="s">
        <v>53</v>
      </c>
      <c r="H77" s="3" t="s">
        <v>53</v>
      </c>
      <c r="I77" s="3" t="s">
        <v>1227</v>
      </c>
      <c r="J77" s="3" t="s">
        <v>1228</v>
      </c>
      <c r="K77" s="3" t="s">
        <v>78</v>
      </c>
      <c r="L77" s="3" t="s">
        <v>1219</v>
      </c>
      <c r="M77" s="137">
        <v>0.51800000000000002</v>
      </c>
      <c r="N77" s="3" t="s">
        <v>1241</v>
      </c>
      <c r="O77" s="142">
        <v>0</v>
      </c>
      <c r="P77" s="138">
        <v>4.3279999999999999E-2</v>
      </c>
      <c r="R77" s="137">
        <v>5000</v>
      </c>
      <c r="S77" s="139">
        <v>1</v>
      </c>
      <c r="T77" s="140">
        <v>97.83</v>
      </c>
      <c r="U77" s="137">
        <v>4.891</v>
      </c>
      <c r="W77" s="3" t="s">
        <v>17</v>
      </c>
      <c r="X77" s="138">
        <v>0</v>
      </c>
      <c r="Y77" s="138">
        <v>5.0695996226922798E-3</v>
      </c>
      <c r="Z77" s="138">
        <v>5.8591926328720601E-4</v>
      </c>
    </row>
    <row r="78" spans="1:26" x14ac:dyDescent="0.2">
      <c r="A78" s="3">
        <v>13710</v>
      </c>
      <c r="B78" s="3">
        <v>15444</v>
      </c>
      <c r="C78" s="3" t="s">
        <v>1224</v>
      </c>
      <c r="D78" s="3" t="s">
        <v>1242</v>
      </c>
      <c r="E78" s="3" t="s">
        <v>1243</v>
      </c>
      <c r="F78" s="3" t="s">
        <v>227</v>
      </c>
      <c r="G78" s="3" t="s">
        <v>53</v>
      </c>
      <c r="H78" s="3" t="s">
        <v>53</v>
      </c>
      <c r="I78" s="3" t="s">
        <v>1227</v>
      </c>
      <c r="J78" s="3" t="s">
        <v>1228</v>
      </c>
      <c r="K78" s="3" t="s">
        <v>78</v>
      </c>
      <c r="L78" s="3" t="s">
        <v>1219</v>
      </c>
      <c r="M78" s="137">
        <v>0.748</v>
      </c>
      <c r="N78" s="3" t="s">
        <v>1244</v>
      </c>
      <c r="O78" s="142">
        <v>0</v>
      </c>
      <c r="P78" s="138">
        <v>4.1849999999999998E-2</v>
      </c>
      <c r="R78" s="137">
        <v>215000</v>
      </c>
      <c r="S78" s="139">
        <v>1</v>
      </c>
      <c r="T78" s="140">
        <v>96.98</v>
      </c>
      <c r="U78" s="137">
        <v>208.50700000000001</v>
      </c>
      <c r="W78" s="3" t="s">
        <v>17</v>
      </c>
      <c r="X78" s="138">
        <v>1.2E-5</v>
      </c>
      <c r="Y78" s="138">
        <v>0.21609874446053301</v>
      </c>
      <c r="Z78" s="138">
        <v>2.4975624620305802E-2</v>
      </c>
    </row>
    <row r="79" spans="1:26" x14ac:dyDescent="0.2">
      <c r="A79" s="3">
        <v>13710</v>
      </c>
      <c r="B79" s="3">
        <v>15444</v>
      </c>
      <c r="C79" s="3" t="s">
        <v>1251</v>
      </c>
      <c r="D79" s="3" t="s">
        <v>1252</v>
      </c>
      <c r="E79" s="3" t="s">
        <v>1253</v>
      </c>
      <c r="F79" s="3" t="s">
        <v>221</v>
      </c>
      <c r="G79" s="3" t="s">
        <v>53</v>
      </c>
      <c r="H79" s="3" t="s">
        <v>53</v>
      </c>
      <c r="I79" s="3" t="s">
        <v>311</v>
      </c>
      <c r="J79" s="3" t="s">
        <v>1228</v>
      </c>
      <c r="K79" s="3" t="s">
        <v>78</v>
      </c>
      <c r="L79" s="3" t="s">
        <v>1219</v>
      </c>
      <c r="M79" s="137">
        <v>1.905</v>
      </c>
      <c r="N79" s="3" t="s">
        <v>1254</v>
      </c>
      <c r="O79" s="142">
        <v>7.4999999999999997E-3</v>
      </c>
      <c r="P79" s="138">
        <v>2.0959999999999999E-2</v>
      </c>
      <c r="R79" s="137">
        <v>5000</v>
      </c>
      <c r="S79" s="139">
        <v>1</v>
      </c>
      <c r="T79" s="140">
        <v>115.45</v>
      </c>
      <c r="U79" s="137">
        <v>5.7720000000000002</v>
      </c>
      <c r="W79" s="3" t="s">
        <v>17</v>
      </c>
      <c r="X79" s="138">
        <v>0</v>
      </c>
      <c r="Y79" s="138">
        <v>5.9826768520885596E-3</v>
      </c>
      <c r="Z79" s="138">
        <v>6.9144821574678502E-4</v>
      </c>
    </row>
    <row r="80" spans="1:26" x14ac:dyDescent="0.2">
      <c r="A80" s="3">
        <v>13710</v>
      </c>
      <c r="B80" s="3">
        <v>15444</v>
      </c>
      <c r="C80" s="3" t="s">
        <v>1264</v>
      </c>
      <c r="D80" s="3" t="s">
        <v>1265</v>
      </c>
      <c r="E80" s="3" t="s">
        <v>1266</v>
      </c>
      <c r="F80" s="3" t="s">
        <v>227</v>
      </c>
      <c r="G80" s="3" t="s">
        <v>53</v>
      </c>
      <c r="H80" s="3" t="s">
        <v>53</v>
      </c>
      <c r="I80" s="3" t="s">
        <v>1227</v>
      </c>
      <c r="J80" s="3" t="s">
        <v>1228</v>
      </c>
      <c r="K80" s="3" t="s">
        <v>78</v>
      </c>
      <c r="L80" s="3" t="s">
        <v>1219</v>
      </c>
      <c r="M80" s="137">
        <v>0.65800000000000003</v>
      </c>
      <c r="N80" s="3" t="s">
        <v>1267</v>
      </c>
      <c r="O80" s="142">
        <v>0</v>
      </c>
      <c r="P80" s="138">
        <v>4.283E-2</v>
      </c>
      <c r="R80" s="137">
        <v>22000</v>
      </c>
      <c r="S80" s="139">
        <v>1</v>
      </c>
      <c r="T80" s="140">
        <v>97.28</v>
      </c>
      <c r="U80" s="137">
        <v>21.402000000000001</v>
      </c>
      <c r="W80" s="3" t="s">
        <v>17</v>
      </c>
      <c r="X80" s="138">
        <v>3.9999999999999998E-6</v>
      </c>
      <c r="Y80" s="138">
        <v>2.21808327271821E-2</v>
      </c>
      <c r="Z80" s="138">
        <v>2.5635509976832198E-3</v>
      </c>
    </row>
    <row r="81" spans="1:26" x14ac:dyDescent="0.2">
      <c r="A81" s="3">
        <v>13710</v>
      </c>
      <c r="B81" s="3">
        <v>15444</v>
      </c>
      <c r="C81" s="3" t="s">
        <v>1264</v>
      </c>
      <c r="D81" s="3" t="s">
        <v>1271</v>
      </c>
      <c r="E81" s="3" t="s">
        <v>1272</v>
      </c>
      <c r="F81" s="3" t="s">
        <v>227</v>
      </c>
      <c r="G81" s="3" t="s">
        <v>53</v>
      </c>
      <c r="H81" s="3" t="s">
        <v>53</v>
      </c>
      <c r="I81" s="3" t="s">
        <v>1227</v>
      </c>
      <c r="J81" s="3" t="s">
        <v>1228</v>
      </c>
      <c r="K81" s="3" t="s">
        <v>78</v>
      </c>
      <c r="L81" s="3" t="s">
        <v>1219</v>
      </c>
      <c r="M81" s="137">
        <v>0.41399999999999998</v>
      </c>
      <c r="N81" s="3" t="s">
        <v>1273</v>
      </c>
      <c r="O81" s="142">
        <v>0</v>
      </c>
      <c r="P81" s="138">
        <v>4.3860000000000003E-2</v>
      </c>
      <c r="R81" s="137">
        <v>231000</v>
      </c>
      <c r="S81" s="139">
        <v>1</v>
      </c>
      <c r="T81" s="140">
        <v>98.24</v>
      </c>
      <c r="U81" s="137">
        <v>226.934</v>
      </c>
      <c r="W81" s="3" t="s">
        <v>17</v>
      </c>
      <c r="X81" s="138">
        <v>3.6000000000000001E-5</v>
      </c>
      <c r="Y81" s="138">
        <v>0.23519708650023499</v>
      </c>
      <c r="Z81" s="138">
        <v>2.7182916582341701E-2</v>
      </c>
    </row>
    <row r="82" spans="1:26" x14ac:dyDescent="0.2">
      <c r="A82" s="3">
        <v>13710</v>
      </c>
      <c r="B82" s="3">
        <v>15444</v>
      </c>
      <c r="C82" s="3" t="s">
        <v>1274</v>
      </c>
      <c r="D82" s="3" t="s">
        <v>1283</v>
      </c>
      <c r="E82" s="3" t="s">
        <v>1284</v>
      </c>
      <c r="F82" s="3" t="s">
        <v>223</v>
      </c>
      <c r="G82" s="3" t="s">
        <v>53</v>
      </c>
      <c r="H82" s="3" t="s">
        <v>53</v>
      </c>
      <c r="I82" s="3" t="s">
        <v>311</v>
      </c>
      <c r="J82" s="3" t="s">
        <v>1228</v>
      </c>
      <c r="K82" s="3" t="s">
        <v>78</v>
      </c>
      <c r="L82" s="3" t="s">
        <v>1219</v>
      </c>
      <c r="M82" s="137">
        <v>1.7250000000000001</v>
      </c>
      <c r="N82" s="3" t="s">
        <v>1285</v>
      </c>
      <c r="O82" s="142">
        <v>0.02</v>
      </c>
      <c r="P82" s="138">
        <v>4.0030000000000003E-2</v>
      </c>
      <c r="R82" s="137">
        <v>47000</v>
      </c>
      <c r="S82" s="139">
        <v>1</v>
      </c>
      <c r="T82" s="140">
        <v>97.19</v>
      </c>
      <c r="U82" s="137">
        <v>45.679000000000002</v>
      </c>
      <c r="W82" s="3" t="s">
        <v>17</v>
      </c>
      <c r="X82" s="138">
        <v>1.9999999999999999E-6</v>
      </c>
      <c r="Y82" s="138">
        <v>4.7342484318684999E-2</v>
      </c>
      <c r="Z82" s="138">
        <v>5.4716103042983296E-3</v>
      </c>
    </row>
    <row r="83" spans="1:26" x14ac:dyDescent="0.2">
      <c r="A83" s="3">
        <v>13710</v>
      </c>
      <c r="B83" s="3">
        <v>15444</v>
      </c>
      <c r="C83" s="3" t="s">
        <v>1251</v>
      </c>
      <c r="D83" s="3" t="s">
        <v>1306</v>
      </c>
      <c r="E83" s="3" t="s">
        <v>1307</v>
      </c>
      <c r="F83" s="3" t="s">
        <v>221</v>
      </c>
      <c r="G83" s="3" t="s">
        <v>53</v>
      </c>
      <c r="H83" s="3" t="s">
        <v>53</v>
      </c>
      <c r="I83" s="3" t="s">
        <v>311</v>
      </c>
      <c r="J83" s="3" t="s">
        <v>1228</v>
      </c>
      <c r="K83" s="3" t="s">
        <v>78</v>
      </c>
      <c r="L83" s="3" t="s">
        <v>1219</v>
      </c>
      <c r="M83" s="137">
        <v>1.0780000000000001</v>
      </c>
      <c r="N83" s="3" t="s">
        <v>1308</v>
      </c>
      <c r="O83" s="142">
        <v>1E-3</v>
      </c>
      <c r="P83" s="138">
        <v>2.3380000000000001E-2</v>
      </c>
      <c r="R83" s="137">
        <v>9000</v>
      </c>
      <c r="S83" s="139">
        <v>1</v>
      </c>
      <c r="T83" s="140">
        <v>114.5</v>
      </c>
      <c r="U83" s="137">
        <v>10.305</v>
      </c>
      <c r="W83" s="3" t="s">
        <v>17</v>
      </c>
      <c r="X83" s="138">
        <v>0</v>
      </c>
      <c r="Y83" s="138">
        <v>1.0680205276877E-2</v>
      </c>
      <c r="Z83" s="138">
        <v>1.2343653292803201E-3</v>
      </c>
    </row>
    <row r="84" spans="1:26" x14ac:dyDescent="0.2">
      <c r="A84" s="3">
        <v>13710</v>
      </c>
      <c r="B84" s="3">
        <v>15444</v>
      </c>
      <c r="C84" s="3" t="s">
        <v>1224</v>
      </c>
      <c r="D84" s="3" t="s">
        <v>1324</v>
      </c>
      <c r="E84" s="3" t="s">
        <v>1325</v>
      </c>
      <c r="F84" s="3" t="s">
        <v>227</v>
      </c>
      <c r="G84" s="3" t="s">
        <v>53</v>
      </c>
      <c r="H84" s="3" t="s">
        <v>53</v>
      </c>
      <c r="I84" s="3" t="s">
        <v>1227</v>
      </c>
      <c r="J84" s="3" t="s">
        <v>1228</v>
      </c>
      <c r="K84" s="3" t="s">
        <v>78</v>
      </c>
      <c r="L84" s="3" t="s">
        <v>1219</v>
      </c>
      <c r="M84" s="137">
        <v>0.59499999999999997</v>
      </c>
      <c r="N84" s="3" t="s">
        <v>1326</v>
      </c>
      <c r="O84" s="142">
        <v>0</v>
      </c>
      <c r="P84" s="138">
        <v>4.2790000000000002E-2</v>
      </c>
      <c r="R84" s="137">
        <v>250000</v>
      </c>
      <c r="S84" s="139">
        <v>1</v>
      </c>
      <c r="T84" s="140">
        <v>97.54</v>
      </c>
      <c r="U84" s="137">
        <v>243.85</v>
      </c>
      <c r="W84" s="3" t="s">
        <v>17</v>
      </c>
      <c r="X84" s="138">
        <v>1.4E-5</v>
      </c>
      <c r="Y84" s="138">
        <v>0.25272858386865199</v>
      </c>
      <c r="Z84" s="138">
        <v>2.9209120382824399E-2</v>
      </c>
    </row>
    <row r="85" spans="1:26" x14ac:dyDescent="0.2">
      <c r="A85" s="3">
        <v>13710</v>
      </c>
      <c r="B85" s="3">
        <v>15444</v>
      </c>
      <c r="C85" s="3" t="s">
        <v>1224</v>
      </c>
      <c r="D85" s="3" t="s">
        <v>1327</v>
      </c>
      <c r="E85" s="3" t="s">
        <v>1328</v>
      </c>
      <c r="F85" s="3" t="s">
        <v>227</v>
      </c>
      <c r="G85" s="3" t="s">
        <v>53</v>
      </c>
      <c r="H85" s="3" t="s">
        <v>53</v>
      </c>
      <c r="I85" s="3" t="s">
        <v>1227</v>
      </c>
      <c r="J85" s="3" t="s">
        <v>1228</v>
      </c>
      <c r="K85" s="3" t="s">
        <v>78</v>
      </c>
      <c r="L85" s="3" t="s">
        <v>1219</v>
      </c>
      <c r="M85" s="137">
        <v>0.67100000000000004</v>
      </c>
      <c r="N85" s="3" t="s">
        <v>1329</v>
      </c>
      <c r="O85" s="142">
        <v>0</v>
      </c>
      <c r="P85" s="138">
        <v>4.2259999999999999E-2</v>
      </c>
      <c r="R85" s="137">
        <v>83000</v>
      </c>
      <c r="S85" s="139">
        <v>1</v>
      </c>
      <c r="T85" s="140">
        <v>97.26</v>
      </c>
      <c r="U85" s="137">
        <v>80.725999999999999</v>
      </c>
      <c r="W85" s="3" t="s">
        <v>17</v>
      </c>
      <c r="X85" s="138">
        <v>5.0000000000000004E-6</v>
      </c>
      <c r="Y85" s="138">
        <v>8.3665028155276003E-2</v>
      </c>
      <c r="Z85" s="138">
        <v>9.6695903637473903E-3</v>
      </c>
    </row>
    <row r="86" spans="1:26" x14ac:dyDescent="0.2">
      <c r="A86" s="3">
        <v>13710</v>
      </c>
      <c r="B86" s="3">
        <v>15444</v>
      </c>
      <c r="C86" s="3" t="s">
        <v>1224</v>
      </c>
      <c r="D86" s="3" t="s">
        <v>1330</v>
      </c>
      <c r="E86" s="3" t="s">
        <v>1331</v>
      </c>
      <c r="F86" s="3" t="s">
        <v>227</v>
      </c>
      <c r="G86" s="3" t="s">
        <v>53</v>
      </c>
      <c r="H86" s="3" t="s">
        <v>53</v>
      </c>
      <c r="I86" s="3" t="s">
        <v>1227</v>
      </c>
      <c r="J86" s="3" t="s">
        <v>1228</v>
      </c>
      <c r="K86" s="3" t="s">
        <v>78</v>
      </c>
      <c r="L86" s="3" t="s">
        <v>1219</v>
      </c>
      <c r="M86" s="137">
        <v>0.84399999999999997</v>
      </c>
      <c r="N86" s="3" t="s">
        <v>1332</v>
      </c>
      <c r="O86" s="142">
        <v>0</v>
      </c>
      <c r="P86" s="138">
        <v>4.1329999999999999E-2</v>
      </c>
      <c r="R86" s="137">
        <v>12000</v>
      </c>
      <c r="S86" s="139">
        <v>1</v>
      </c>
      <c r="T86" s="140">
        <v>96.64</v>
      </c>
      <c r="U86" s="137">
        <v>11.597</v>
      </c>
      <c r="W86" s="3" t="s">
        <v>17</v>
      </c>
      <c r="X86" s="138">
        <v>9.9999999999999995E-7</v>
      </c>
      <c r="Y86" s="138">
        <v>1.2019039743317601E-2</v>
      </c>
      <c r="Z86" s="138">
        <v>1.3891011985053799E-3</v>
      </c>
    </row>
    <row r="87" spans="1:26" x14ac:dyDescent="0.2">
      <c r="A87" s="3">
        <v>13710</v>
      </c>
      <c r="B87" s="3">
        <v>15444</v>
      </c>
      <c r="C87" s="3" t="s">
        <v>1341</v>
      </c>
      <c r="D87" s="3" t="s">
        <v>1427</v>
      </c>
      <c r="E87" s="3" t="s">
        <v>1428</v>
      </c>
      <c r="F87" s="3" t="s">
        <v>225</v>
      </c>
      <c r="G87" s="3" t="s">
        <v>61</v>
      </c>
      <c r="H87" s="3" t="s">
        <v>314</v>
      </c>
      <c r="I87" s="3" t="s">
        <v>1150</v>
      </c>
      <c r="J87" s="3" t="s">
        <v>1339</v>
      </c>
      <c r="K87" s="3" t="s">
        <v>101</v>
      </c>
      <c r="L87" s="3" t="s">
        <v>1217</v>
      </c>
      <c r="M87" s="137">
        <v>0.315</v>
      </c>
      <c r="N87" s="3" t="s">
        <v>1429</v>
      </c>
      <c r="O87" s="142">
        <v>0</v>
      </c>
      <c r="P87" s="138">
        <v>4.2849999999999999E-2</v>
      </c>
      <c r="R87" s="137">
        <v>2000</v>
      </c>
      <c r="S87" s="139">
        <v>3.3719999999999999</v>
      </c>
      <c r="T87" s="140">
        <v>98.683000000000007</v>
      </c>
      <c r="U87" s="137">
        <v>6.6550000000000002</v>
      </c>
      <c r="W87" s="3" t="s">
        <v>17</v>
      </c>
      <c r="X87" s="138">
        <v>0</v>
      </c>
      <c r="Y87" s="138">
        <v>6.8975108047634398E-3</v>
      </c>
      <c r="Z87" s="138">
        <v>7.9718020159870299E-4</v>
      </c>
    </row>
    <row r="88" spans="1:26" x14ac:dyDescent="0.2">
      <c r="A88" s="3">
        <v>559</v>
      </c>
      <c r="B88" s="3">
        <v>556</v>
      </c>
      <c r="C88" s="3" t="s">
        <v>1224</v>
      </c>
      <c r="D88" s="3" t="s">
        <v>1225</v>
      </c>
      <c r="E88" s="3" t="s">
        <v>1226</v>
      </c>
      <c r="F88" s="3" t="s">
        <v>227</v>
      </c>
      <c r="G88" s="3" t="s">
        <v>53</v>
      </c>
      <c r="H88" s="3" t="s">
        <v>53</v>
      </c>
      <c r="I88" s="3" t="s">
        <v>1227</v>
      </c>
      <c r="J88" s="3" t="s">
        <v>1228</v>
      </c>
      <c r="K88" s="3" t="s">
        <v>78</v>
      </c>
      <c r="L88" s="3" t="s">
        <v>1219</v>
      </c>
      <c r="M88" s="137">
        <v>0.42199999999999999</v>
      </c>
      <c r="N88" s="3" t="s">
        <v>1229</v>
      </c>
      <c r="O88" s="142">
        <v>0</v>
      </c>
      <c r="P88" s="138">
        <v>4.3240000000000001E-2</v>
      </c>
      <c r="R88" s="137">
        <v>1364000</v>
      </c>
      <c r="S88" s="139">
        <v>1</v>
      </c>
      <c r="T88" s="140">
        <v>98.23</v>
      </c>
      <c r="U88" s="137">
        <v>1339.857</v>
      </c>
      <c r="W88" s="3" t="s">
        <v>17</v>
      </c>
      <c r="X88" s="138">
        <v>9.7E-5</v>
      </c>
      <c r="Y88" s="138">
        <v>9.57207361931392E-3</v>
      </c>
      <c r="Z88" s="138">
        <v>4.0177236307319102E-3</v>
      </c>
    </row>
    <row r="89" spans="1:26" x14ac:dyDescent="0.2">
      <c r="A89" s="3">
        <v>559</v>
      </c>
      <c r="B89" s="3">
        <v>556</v>
      </c>
      <c r="C89" s="3" t="s">
        <v>1224</v>
      </c>
      <c r="D89" s="3" t="s">
        <v>1230</v>
      </c>
      <c r="E89" s="3" t="s">
        <v>1231</v>
      </c>
      <c r="F89" s="3" t="s">
        <v>227</v>
      </c>
      <c r="G89" s="3" t="s">
        <v>53</v>
      </c>
      <c r="H89" s="3" t="s">
        <v>53</v>
      </c>
      <c r="I89" s="3" t="s">
        <v>1227</v>
      </c>
      <c r="J89" s="3" t="s">
        <v>1228</v>
      </c>
      <c r="K89" s="3" t="s">
        <v>78</v>
      </c>
      <c r="L89" s="3" t="s">
        <v>1219</v>
      </c>
      <c r="M89" s="137">
        <v>0.17299999999999999</v>
      </c>
      <c r="N89" s="3" t="s">
        <v>1232</v>
      </c>
      <c r="O89" s="142">
        <v>0</v>
      </c>
      <c r="P89" s="138">
        <v>4.3970000000000002E-2</v>
      </c>
      <c r="R89" s="137">
        <v>7270000</v>
      </c>
      <c r="S89" s="139">
        <v>1</v>
      </c>
      <c r="T89" s="140">
        <v>99.26</v>
      </c>
      <c r="U89" s="137">
        <v>7216.2020000000002</v>
      </c>
      <c r="W89" s="3" t="s">
        <v>17</v>
      </c>
      <c r="X89" s="138">
        <v>2.5999999999999998E-4</v>
      </c>
      <c r="Y89" s="138">
        <v>5.15532676137729E-2</v>
      </c>
      <c r="Z89" s="138">
        <v>2.16386532083679E-2</v>
      </c>
    </row>
    <row r="90" spans="1:26" x14ac:dyDescent="0.2">
      <c r="A90" s="3">
        <v>559</v>
      </c>
      <c r="B90" s="3">
        <v>556</v>
      </c>
      <c r="C90" s="3" t="s">
        <v>1224</v>
      </c>
      <c r="D90" s="3" t="s">
        <v>1233</v>
      </c>
      <c r="E90" s="3" t="s">
        <v>1234</v>
      </c>
      <c r="F90" s="3" t="s">
        <v>227</v>
      </c>
      <c r="G90" s="3" t="s">
        <v>53</v>
      </c>
      <c r="H90" s="3" t="s">
        <v>53</v>
      </c>
      <c r="I90" s="3" t="s">
        <v>1227</v>
      </c>
      <c r="J90" s="3" t="s">
        <v>1228</v>
      </c>
      <c r="K90" s="3" t="s">
        <v>78</v>
      </c>
      <c r="L90" s="3" t="s">
        <v>1219</v>
      </c>
      <c r="M90" s="137">
        <v>0.255</v>
      </c>
      <c r="N90" s="3" t="s">
        <v>1235</v>
      </c>
      <c r="O90" s="142">
        <v>0</v>
      </c>
      <c r="P90" s="138">
        <v>4.3540000000000002E-2</v>
      </c>
      <c r="R90" s="137">
        <v>691000</v>
      </c>
      <c r="S90" s="139">
        <v>1</v>
      </c>
      <c r="T90" s="140">
        <v>98.92</v>
      </c>
      <c r="U90" s="137">
        <v>683.53700000000003</v>
      </c>
      <c r="W90" s="3" t="s">
        <v>17</v>
      </c>
      <c r="X90" s="138">
        <v>4.8999999999999998E-5</v>
      </c>
      <c r="Y90" s="138">
        <v>4.8832580068530499E-3</v>
      </c>
      <c r="Z90" s="138">
        <v>2.04966884599667E-3</v>
      </c>
    </row>
    <row r="91" spans="1:26" x14ac:dyDescent="0.2">
      <c r="A91" s="3">
        <v>559</v>
      </c>
      <c r="B91" s="3">
        <v>556</v>
      </c>
      <c r="C91" s="3" t="s">
        <v>1224</v>
      </c>
      <c r="D91" s="3" t="s">
        <v>1236</v>
      </c>
      <c r="E91" s="3" t="s">
        <v>1237</v>
      </c>
      <c r="F91" s="3" t="s">
        <v>227</v>
      </c>
      <c r="G91" s="3" t="s">
        <v>53</v>
      </c>
      <c r="H91" s="3" t="s">
        <v>53</v>
      </c>
      <c r="I91" s="3" t="s">
        <v>1227</v>
      </c>
      <c r="J91" s="3" t="s">
        <v>1228</v>
      </c>
      <c r="K91" s="3" t="s">
        <v>78</v>
      </c>
      <c r="L91" s="3" t="s">
        <v>1219</v>
      </c>
      <c r="M91" s="137">
        <v>0.34499999999999997</v>
      </c>
      <c r="N91" s="3" t="s">
        <v>1238</v>
      </c>
      <c r="O91" s="142">
        <v>0</v>
      </c>
      <c r="P91" s="138">
        <v>4.3220000000000001E-2</v>
      </c>
      <c r="R91" s="137">
        <v>3201000</v>
      </c>
      <c r="S91" s="139">
        <v>1</v>
      </c>
      <c r="T91" s="140">
        <v>98.55</v>
      </c>
      <c r="U91" s="137">
        <v>3154.5859999999998</v>
      </c>
      <c r="W91" s="3" t="s">
        <v>17</v>
      </c>
      <c r="X91" s="138">
        <v>2.2900000000000001E-4</v>
      </c>
      <c r="Y91" s="138">
        <v>2.2536673792117701E-2</v>
      </c>
      <c r="Z91" s="138">
        <v>9.4594056056975604E-3</v>
      </c>
    </row>
    <row r="92" spans="1:26" x14ac:dyDescent="0.2">
      <c r="A92" s="3">
        <v>559</v>
      </c>
      <c r="B92" s="3">
        <v>556</v>
      </c>
      <c r="C92" s="3" t="s">
        <v>1224</v>
      </c>
      <c r="D92" s="3" t="s">
        <v>1239</v>
      </c>
      <c r="E92" s="3" t="s">
        <v>1240</v>
      </c>
      <c r="F92" s="3" t="s">
        <v>227</v>
      </c>
      <c r="G92" s="3" t="s">
        <v>53</v>
      </c>
      <c r="H92" s="3" t="s">
        <v>53</v>
      </c>
      <c r="I92" s="3" t="s">
        <v>1227</v>
      </c>
      <c r="J92" s="3" t="s">
        <v>1228</v>
      </c>
      <c r="K92" s="3" t="s">
        <v>78</v>
      </c>
      <c r="L92" s="3" t="s">
        <v>1219</v>
      </c>
      <c r="M92" s="137">
        <v>0.51800000000000002</v>
      </c>
      <c r="N92" s="3" t="s">
        <v>1241</v>
      </c>
      <c r="O92" s="142">
        <v>0</v>
      </c>
      <c r="P92" s="138">
        <v>4.3279999999999999E-2</v>
      </c>
      <c r="R92" s="137">
        <v>664000</v>
      </c>
      <c r="S92" s="139">
        <v>1</v>
      </c>
      <c r="T92" s="140">
        <v>97.83</v>
      </c>
      <c r="U92" s="137">
        <v>649.59100000000001</v>
      </c>
      <c r="W92" s="3" t="s">
        <v>17</v>
      </c>
      <c r="X92" s="138">
        <v>4.1E-5</v>
      </c>
      <c r="Y92" s="138">
        <v>4.6407443934013796E-3</v>
      </c>
      <c r="Z92" s="138">
        <v>1.9478776652881401E-3</v>
      </c>
    </row>
    <row r="93" spans="1:26" x14ac:dyDescent="0.2">
      <c r="A93" s="3">
        <v>559</v>
      </c>
      <c r="B93" s="3">
        <v>556</v>
      </c>
      <c r="C93" s="3" t="s">
        <v>1224</v>
      </c>
      <c r="D93" s="3" t="s">
        <v>1242</v>
      </c>
      <c r="E93" s="3" t="s">
        <v>1243</v>
      </c>
      <c r="F93" s="3" t="s">
        <v>227</v>
      </c>
      <c r="G93" s="3" t="s">
        <v>53</v>
      </c>
      <c r="H93" s="3" t="s">
        <v>53</v>
      </c>
      <c r="I93" s="3" t="s">
        <v>1227</v>
      </c>
      <c r="J93" s="3" t="s">
        <v>1228</v>
      </c>
      <c r="K93" s="3" t="s">
        <v>78</v>
      </c>
      <c r="L93" s="3" t="s">
        <v>1219</v>
      </c>
      <c r="M93" s="137">
        <v>0.748</v>
      </c>
      <c r="N93" s="3" t="s">
        <v>1244</v>
      </c>
      <c r="O93" s="142">
        <v>0</v>
      </c>
      <c r="P93" s="138">
        <v>4.1849999999999998E-2</v>
      </c>
      <c r="R93" s="137">
        <v>1842600</v>
      </c>
      <c r="S93" s="139">
        <v>1</v>
      </c>
      <c r="T93" s="140">
        <v>96.98</v>
      </c>
      <c r="U93" s="137">
        <v>1786.953</v>
      </c>
      <c r="W93" s="3" t="s">
        <v>17</v>
      </c>
      <c r="X93" s="138">
        <v>1.02E-4</v>
      </c>
      <c r="Y93" s="138">
        <v>1.2766174085454199E-2</v>
      </c>
      <c r="Z93" s="138">
        <v>5.3583958227896404E-3</v>
      </c>
    </row>
    <row r="94" spans="1:26" x14ac:dyDescent="0.2">
      <c r="A94" s="3">
        <v>559</v>
      </c>
      <c r="B94" s="3">
        <v>556</v>
      </c>
      <c r="C94" s="3" t="s">
        <v>1224</v>
      </c>
      <c r="D94" s="3" t="s">
        <v>1245</v>
      </c>
      <c r="E94" s="3" t="s">
        <v>1246</v>
      </c>
      <c r="F94" s="3" t="s">
        <v>227</v>
      </c>
      <c r="G94" s="3" t="s">
        <v>53</v>
      </c>
      <c r="H94" s="3" t="s">
        <v>53</v>
      </c>
      <c r="I94" s="3" t="s">
        <v>1227</v>
      </c>
      <c r="J94" s="3" t="s">
        <v>1228</v>
      </c>
      <c r="K94" s="3" t="s">
        <v>78</v>
      </c>
      <c r="L94" s="3" t="s">
        <v>1219</v>
      </c>
      <c r="M94" s="137">
        <v>0.92100000000000004</v>
      </c>
      <c r="N94" s="3" t="s">
        <v>1247</v>
      </c>
      <c r="O94" s="142">
        <v>0</v>
      </c>
      <c r="P94" s="138">
        <v>4.1099999999999998E-2</v>
      </c>
      <c r="R94" s="137">
        <v>295000</v>
      </c>
      <c r="S94" s="139">
        <v>1</v>
      </c>
      <c r="T94" s="140">
        <v>96.36</v>
      </c>
      <c r="U94" s="137">
        <v>284.262</v>
      </c>
      <c r="W94" s="3" t="s">
        <v>17</v>
      </c>
      <c r="X94" s="138">
        <v>1.5999999999999999E-5</v>
      </c>
      <c r="Y94" s="138">
        <v>2.0307961110881201E-3</v>
      </c>
      <c r="Z94" s="138">
        <v>8.5239393774136103E-4</v>
      </c>
    </row>
    <row r="95" spans="1:26" x14ac:dyDescent="0.2">
      <c r="A95" s="3">
        <v>559</v>
      </c>
      <c r="B95" s="3">
        <v>556</v>
      </c>
      <c r="C95" s="3" t="s">
        <v>1224</v>
      </c>
      <c r="D95" s="3" t="s">
        <v>1248</v>
      </c>
      <c r="E95" s="3" t="s">
        <v>1249</v>
      </c>
      <c r="F95" s="3" t="s">
        <v>227</v>
      </c>
      <c r="G95" s="3" t="s">
        <v>53</v>
      </c>
      <c r="H95" s="3" t="s">
        <v>53</v>
      </c>
      <c r="I95" s="3" t="s">
        <v>1227</v>
      </c>
      <c r="J95" s="3" t="s">
        <v>1228</v>
      </c>
      <c r="K95" s="3" t="s">
        <v>78</v>
      </c>
      <c r="L95" s="3" t="s">
        <v>1219</v>
      </c>
      <c r="M95" s="137">
        <v>3.0000000000000001E-3</v>
      </c>
      <c r="N95" s="3" t="s">
        <v>1250</v>
      </c>
      <c r="O95" s="142">
        <v>0</v>
      </c>
      <c r="P95" s="138">
        <v>0.11574</v>
      </c>
      <c r="R95" s="137">
        <v>2827000</v>
      </c>
      <c r="S95" s="139">
        <v>1</v>
      </c>
      <c r="T95" s="140">
        <v>99.97</v>
      </c>
      <c r="U95" s="137">
        <v>2826.152</v>
      </c>
      <c r="W95" s="3" t="s">
        <v>17</v>
      </c>
      <c r="X95" s="138">
        <v>9.3999999999999994E-5</v>
      </c>
      <c r="Y95" s="138">
        <v>2.01903113601688E-2</v>
      </c>
      <c r="Z95" s="138">
        <v>8.4745577906868604E-3</v>
      </c>
    </row>
    <row r="96" spans="1:26" x14ac:dyDescent="0.2">
      <c r="A96" s="3">
        <v>559</v>
      </c>
      <c r="B96" s="3">
        <v>556</v>
      </c>
      <c r="C96" s="3" t="s">
        <v>1251</v>
      </c>
      <c r="D96" s="3" t="s">
        <v>1252</v>
      </c>
      <c r="E96" s="3" t="s">
        <v>1253</v>
      </c>
      <c r="F96" s="3" t="s">
        <v>221</v>
      </c>
      <c r="G96" s="3" t="s">
        <v>53</v>
      </c>
      <c r="H96" s="3" t="s">
        <v>53</v>
      </c>
      <c r="I96" s="3" t="s">
        <v>311</v>
      </c>
      <c r="J96" s="3" t="s">
        <v>1228</v>
      </c>
      <c r="K96" s="3" t="s">
        <v>78</v>
      </c>
      <c r="L96" s="3" t="s">
        <v>1219</v>
      </c>
      <c r="M96" s="137">
        <v>1.905</v>
      </c>
      <c r="N96" s="3" t="s">
        <v>1254</v>
      </c>
      <c r="O96" s="142">
        <v>7.4999999999999997E-3</v>
      </c>
      <c r="P96" s="138">
        <v>2.0959999999999999E-2</v>
      </c>
      <c r="R96" s="137">
        <v>3915000</v>
      </c>
      <c r="S96" s="139">
        <v>1</v>
      </c>
      <c r="T96" s="140">
        <v>115.45</v>
      </c>
      <c r="U96" s="137">
        <v>4519.8680000000004</v>
      </c>
      <c r="W96" s="3" t="s">
        <v>17</v>
      </c>
      <c r="X96" s="138">
        <v>1.6100000000000001E-4</v>
      </c>
      <c r="Y96" s="138">
        <v>3.2290384721255699E-2</v>
      </c>
      <c r="Z96" s="138">
        <v>1.35533685698201E-2</v>
      </c>
    </row>
    <row r="97" spans="1:26" x14ac:dyDescent="0.2">
      <c r="A97" s="3">
        <v>559</v>
      </c>
      <c r="B97" s="3">
        <v>556</v>
      </c>
      <c r="C97" s="3" t="s">
        <v>1251</v>
      </c>
      <c r="D97" s="3" t="s">
        <v>1255</v>
      </c>
      <c r="E97" s="3" t="s">
        <v>1256</v>
      </c>
      <c r="F97" s="3" t="s">
        <v>221</v>
      </c>
      <c r="G97" s="3" t="s">
        <v>53</v>
      </c>
      <c r="H97" s="3" t="s">
        <v>53</v>
      </c>
      <c r="I97" s="3" t="s">
        <v>311</v>
      </c>
      <c r="J97" s="3" t="s">
        <v>1228</v>
      </c>
      <c r="K97" s="3" t="s">
        <v>78</v>
      </c>
      <c r="L97" s="3" t="s">
        <v>1219</v>
      </c>
      <c r="M97" s="137">
        <v>0.33200000000000002</v>
      </c>
      <c r="N97" s="3" t="s">
        <v>1257</v>
      </c>
      <c r="O97" s="142">
        <v>7.4999999999999997E-3</v>
      </c>
      <c r="P97" s="138">
        <v>5.9899999999999997E-3</v>
      </c>
      <c r="R97" s="137">
        <v>7838552</v>
      </c>
      <c r="S97" s="139">
        <v>1</v>
      </c>
      <c r="T97" s="140">
        <v>118.26</v>
      </c>
      <c r="U97" s="137">
        <v>9269.8719999999994</v>
      </c>
      <c r="W97" s="3" t="s">
        <v>17</v>
      </c>
      <c r="X97" s="138">
        <v>6.1799999999999995E-4</v>
      </c>
      <c r="Y97" s="138">
        <v>6.6224888257376602E-2</v>
      </c>
      <c r="Z97" s="138">
        <v>2.7796829514283701E-2</v>
      </c>
    </row>
    <row r="98" spans="1:26" x14ac:dyDescent="0.2">
      <c r="A98" s="3">
        <v>559</v>
      </c>
      <c r="B98" s="3">
        <v>556</v>
      </c>
      <c r="C98" s="3" t="s">
        <v>1251</v>
      </c>
      <c r="D98" s="3" t="s">
        <v>1258</v>
      </c>
      <c r="E98" s="3" t="s">
        <v>1259</v>
      </c>
      <c r="F98" s="3" t="s">
        <v>221</v>
      </c>
      <c r="G98" s="3" t="s">
        <v>53</v>
      </c>
      <c r="H98" s="3" t="s">
        <v>53</v>
      </c>
      <c r="I98" s="3" t="s">
        <v>311</v>
      </c>
      <c r="J98" s="3" t="s">
        <v>1228</v>
      </c>
      <c r="K98" s="3" t="s">
        <v>78</v>
      </c>
      <c r="L98" s="3" t="s">
        <v>1219</v>
      </c>
      <c r="M98" s="137">
        <v>6.3940000000000001</v>
      </c>
      <c r="N98" s="3" t="s">
        <v>1260</v>
      </c>
      <c r="O98" s="142">
        <v>1E-3</v>
      </c>
      <c r="P98" s="138">
        <v>1.9699999999999999E-2</v>
      </c>
      <c r="R98" s="137">
        <v>1597000</v>
      </c>
      <c r="S98" s="139">
        <v>1</v>
      </c>
      <c r="T98" s="140">
        <v>104.14</v>
      </c>
      <c r="U98" s="137">
        <v>1663.116</v>
      </c>
      <c r="W98" s="3" t="s">
        <v>17</v>
      </c>
      <c r="X98" s="138">
        <v>4.6999999999999997E-5</v>
      </c>
      <c r="Y98" s="138">
        <v>1.1881465334547699E-2</v>
      </c>
      <c r="Z98" s="138">
        <v>4.9870535832502198E-3</v>
      </c>
    </row>
    <row r="99" spans="1:26" x14ac:dyDescent="0.2">
      <c r="A99" s="3">
        <v>559</v>
      </c>
      <c r="B99" s="3">
        <v>556</v>
      </c>
      <c r="C99" s="3" t="s">
        <v>1251</v>
      </c>
      <c r="D99" s="3" t="s">
        <v>1261</v>
      </c>
      <c r="E99" s="3" t="s">
        <v>1262</v>
      </c>
      <c r="F99" s="3" t="s">
        <v>221</v>
      </c>
      <c r="G99" s="3" t="s">
        <v>53</v>
      </c>
      <c r="H99" s="3" t="s">
        <v>53</v>
      </c>
      <c r="I99" s="3" t="s">
        <v>1227</v>
      </c>
      <c r="J99" s="3" t="s">
        <v>1228</v>
      </c>
      <c r="K99" s="3" t="s">
        <v>78</v>
      </c>
      <c r="L99" s="3" t="s">
        <v>1219</v>
      </c>
      <c r="M99" s="137">
        <v>5.5449999999999999</v>
      </c>
      <c r="N99" s="3" t="s">
        <v>1263</v>
      </c>
      <c r="O99" s="142">
        <v>0.02</v>
      </c>
      <c r="P99" s="138">
        <v>2.0459999999999999E-2</v>
      </c>
      <c r="R99" s="137">
        <v>990000</v>
      </c>
      <c r="S99" s="139">
        <v>1</v>
      </c>
      <c r="T99" s="140">
        <v>100.84</v>
      </c>
      <c r="U99" s="137">
        <v>998.31600000000003</v>
      </c>
      <c r="W99" s="3" t="s">
        <v>17</v>
      </c>
      <c r="X99" s="138">
        <v>2.5500000000000002E-4</v>
      </c>
      <c r="Y99" s="138">
        <v>7.1320691841929096E-3</v>
      </c>
      <c r="Z99" s="138">
        <v>2.9935710940970101E-3</v>
      </c>
    </row>
    <row r="100" spans="1:26" x14ac:dyDescent="0.2">
      <c r="A100" s="3">
        <v>559</v>
      </c>
      <c r="B100" s="3">
        <v>556</v>
      </c>
      <c r="C100" s="3" t="s">
        <v>1264</v>
      </c>
      <c r="D100" s="3" t="s">
        <v>1265</v>
      </c>
      <c r="E100" s="3" t="s">
        <v>1266</v>
      </c>
      <c r="F100" s="3" t="s">
        <v>227</v>
      </c>
      <c r="G100" s="3" t="s">
        <v>53</v>
      </c>
      <c r="H100" s="3" t="s">
        <v>53</v>
      </c>
      <c r="I100" s="3" t="s">
        <v>1227</v>
      </c>
      <c r="J100" s="3" t="s">
        <v>1228</v>
      </c>
      <c r="K100" s="3" t="s">
        <v>78</v>
      </c>
      <c r="L100" s="3" t="s">
        <v>1219</v>
      </c>
      <c r="M100" s="137">
        <v>0.65800000000000003</v>
      </c>
      <c r="N100" s="3" t="s">
        <v>1267</v>
      </c>
      <c r="O100" s="142">
        <v>0</v>
      </c>
      <c r="P100" s="138">
        <v>4.283E-2</v>
      </c>
      <c r="R100" s="137">
        <v>2130000</v>
      </c>
      <c r="S100" s="139">
        <v>1</v>
      </c>
      <c r="T100" s="140">
        <v>97.28</v>
      </c>
      <c r="U100" s="137">
        <v>2072.0639999999999</v>
      </c>
      <c r="W100" s="3" t="s">
        <v>17</v>
      </c>
      <c r="X100" s="138">
        <v>4.08E-4</v>
      </c>
      <c r="Y100" s="138">
        <v>1.4803032108145601E-2</v>
      </c>
      <c r="Z100" s="138">
        <v>6.2133341502280098E-3</v>
      </c>
    </row>
    <row r="101" spans="1:26" x14ac:dyDescent="0.2">
      <c r="A101" s="3">
        <v>559</v>
      </c>
      <c r="B101" s="3">
        <v>556</v>
      </c>
      <c r="C101" s="3" t="s">
        <v>1264</v>
      </c>
      <c r="D101" s="3" t="s">
        <v>1268</v>
      </c>
      <c r="E101" s="3" t="s">
        <v>1269</v>
      </c>
      <c r="F101" s="3" t="s">
        <v>227</v>
      </c>
      <c r="G101" s="3" t="s">
        <v>53</v>
      </c>
      <c r="H101" s="3" t="s">
        <v>53</v>
      </c>
      <c r="I101" s="3" t="s">
        <v>1227</v>
      </c>
      <c r="J101" s="3" t="s">
        <v>1228</v>
      </c>
      <c r="K101" s="3" t="s">
        <v>78</v>
      </c>
      <c r="L101" s="3" t="s">
        <v>1219</v>
      </c>
      <c r="M101" s="137">
        <v>0.16400000000000001</v>
      </c>
      <c r="N101" s="3" t="s">
        <v>1270</v>
      </c>
      <c r="O101" s="142">
        <v>0</v>
      </c>
      <c r="P101" s="138">
        <v>4.4940000000000001E-2</v>
      </c>
      <c r="R101" s="137">
        <v>1810000</v>
      </c>
      <c r="S101" s="139">
        <v>1</v>
      </c>
      <c r="T101" s="140">
        <v>99.28</v>
      </c>
      <c r="U101" s="137">
        <v>1796.9680000000001</v>
      </c>
      <c r="W101" s="3" t="s">
        <v>17</v>
      </c>
      <c r="X101" s="138">
        <v>1.94E-4</v>
      </c>
      <c r="Y101" s="138">
        <v>1.2837718816267401E-2</v>
      </c>
      <c r="Z101" s="138">
        <v>5.3884255704780004E-3</v>
      </c>
    </row>
    <row r="102" spans="1:26" x14ac:dyDescent="0.2">
      <c r="A102" s="3">
        <v>559</v>
      </c>
      <c r="B102" s="3">
        <v>556</v>
      </c>
      <c r="C102" s="3" t="s">
        <v>1264</v>
      </c>
      <c r="D102" s="3" t="s">
        <v>1271</v>
      </c>
      <c r="E102" s="3" t="s">
        <v>1272</v>
      </c>
      <c r="F102" s="3" t="s">
        <v>227</v>
      </c>
      <c r="G102" s="3" t="s">
        <v>53</v>
      </c>
      <c r="H102" s="3" t="s">
        <v>53</v>
      </c>
      <c r="I102" s="3" t="s">
        <v>1227</v>
      </c>
      <c r="J102" s="3" t="s">
        <v>1228</v>
      </c>
      <c r="K102" s="3" t="s">
        <v>78</v>
      </c>
      <c r="L102" s="3" t="s">
        <v>1219</v>
      </c>
      <c r="M102" s="137">
        <v>0.41399999999999998</v>
      </c>
      <c r="N102" s="3" t="s">
        <v>1273</v>
      </c>
      <c r="O102" s="142">
        <v>0</v>
      </c>
      <c r="P102" s="138">
        <v>4.3860000000000003E-2</v>
      </c>
      <c r="R102" s="137">
        <v>2944457</v>
      </c>
      <c r="S102" s="139">
        <v>1</v>
      </c>
      <c r="T102" s="140">
        <v>98.24</v>
      </c>
      <c r="U102" s="137">
        <v>2892.6350000000002</v>
      </c>
      <c r="W102" s="3" t="s">
        <v>17</v>
      </c>
      <c r="X102" s="138">
        <v>4.64E-4</v>
      </c>
      <c r="Y102" s="138">
        <v>2.06652700985307E-2</v>
      </c>
      <c r="Z102" s="138">
        <v>8.6739140663102607E-3</v>
      </c>
    </row>
    <row r="103" spans="1:26" x14ac:dyDescent="0.2">
      <c r="A103" s="3">
        <v>559</v>
      </c>
      <c r="B103" s="3">
        <v>556</v>
      </c>
      <c r="C103" s="3" t="s">
        <v>1274</v>
      </c>
      <c r="D103" s="3" t="s">
        <v>1275</v>
      </c>
      <c r="E103" s="3" t="s">
        <v>1276</v>
      </c>
      <c r="F103" s="3" t="s">
        <v>223</v>
      </c>
      <c r="G103" s="3" t="s">
        <v>53</v>
      </c>
      <c r="H103" s="3" t="s">
        <v>53</v>
      </c>
      <c r="I103" s="3" t="s">
        <v>311</v>
      </c>
      <c r="J103" s="3" t="s">
        <v>1228</v>
      </c>
      <c r="K103" s="3" t="s">
        <v>78</v>
      </c>
      <c r="L103" s="3" t="s">
        <v>1219</v>
      </c>
      <c r="M103" s="137">
        <v>3.109</v>
      </c>
      <c r="N103" s="3" t="s">
        <v>1277</v>
      </c>
      <c r="O103" s="142">
        <v>2.2499999999999999E-2</v>
      </c>
      <c r="P103" s="138">
        <v>3.952E-2</v>
      </c>
      <c r="R103" s="137">
        <v>3277000</v>
      </c>
      <c r="S103" s="139">
        <v>1</v>
      </c>
      <c r="T103" s="140">
        <v>96.6</v>
      </c>
      <c r="U103" s="137">
        <v>3165.5819999999999</v>
      </c>
      <c r="W103" s="3" t="s">
        <v>17</v>
      </c>
      <c r="X103" s="138">
        <v>9.3999999999999994E-5</v>
      </c>
      <c r="Y103" s="138">
        <v>2.2615233886100001E-2</v>
      </c>
      <c r="Z103" s="138">
        <v>9.4923799390111002E-3</v>
      </c>
    </row>
    <row r="104" spans="1:26" x14ac:dyDescent="0.2">
      <c r="A104" s="3">
        <v>559</v>
      </c>
      <c r="B104" s="3">
        <v>556</v>
      </c>
      <c r="C104" s="3" t="s">
        <v>1274</v>
      </c>
      <c r="D104" s="3" t="s">
        <v>1278</v>
      </c>
      <c r="E104" s="3" t="s">
        <v>1279</v>
      </c>
      <c r="F104" s="3" t="s">
        <v>223</v>
      </c>
      <c r="G104" s="3" t="s">
        <v>53</v>
      </c>
      <c r="H104" s="3" t="s">
        <v>53</v>
      </c>
      <c r="I104" s="3" t="s">
        <v>311</v>
      </c>
      <c r="J104" s="3" t="s">
        <v>1228</v>
      </c>
      <c r="K104" s="3" t="s">
        <v>78</v>
      </c>
      <c r="L104" s="3" t="s">
        <v>1219</v>
      </c>
      <c r="M104" s="137">
        <v>2.1389999999999998</v>
      </c>
      <c r="N104" s="3" t="s">
        <v>1280</v>
      </c>
      <c r="O104" s="142">
        <v>3.7499999999999999E-2</v>
      </c>
      <c r="P104" s="138">
        <v>3.9739999999999998E-2</v>
      </c>
      <c r="R104" s="137">
        <v>3283000</v>
      </c>
      <c r="S104" s="139">
        <v>1</v>
      </c>
      <c r="T104" s="140">
        <v>102.34</v>
      </c>
      <c r="U104" s="137">
        <v>3359.8220000000001</v>
      </c>
      <c r="W104" s="3" t="s">
        <v>17</v>
      </c>
      <c r="X104" s="138">
        <v>9.2E-5</v>
      </c>
      <c r="Y104" s="138">
        <v>2.4002905269461E-2</v>
      </c>
      <c r="Z104" s="138">
        <v>1.00748326373868E-2</v>
      </c>
    </row>
    <row r="105" spans="1:26" x14ac:dyDescent="0.2">
      <c r="A105" s="3">
        <v>559</v>
      </c>
      <c r="B105" s="3">
        <v>556</v>
      </c>
      <c r="C105" s="3" t="s">
        <v>1274</v>
      </c>
      <c r="D105" s="3" t="s">
        <v>1281</v>
      </c>
      <c r="E105" s="3" t="s">
        <v>1282</v>
      </c>
      <c r="F105" s="3" t="s">
        <v>223</v>
      </c>
      <c r="G105" s="3" t="s">
        <v>53</v>
      </c>
      <c r="H105" s="3" t="s">
        <v>53</v>
      </c>
      <c r="I105" s="3" t="s">
        <v>311</v>
      </c>
      <c r="J105" s="3" t="s">
        <v>1228</v>
      </c>
      <c r="K105" s="3" t="s">
        <v>78</v>
      </c>
      <c r="L105" s="3" t="s">
        <v>1219</v>
      </c>
      <c r="M105" s="137">
        <v>0.65800000000000003</v>
      </c>
      <c r="N105" s="3" t="s">
        <v>1267</v>
      </c>
      <c r="O105" s="142">
        <v>5.0000000000000001E-3</v>
      </c>
      <c r="P105" s="138">
        <v>4.0480000000000002E-2</v>
      </c>
      <c r="R105" s="137">
        <v>7697549</v>
      </c>
      <c r="S105" s="139">
        <v>1</v>
      </c>
      <c r="T105" s="140">
        <v>97.91</v>
      </c>
      <c r="U105" s="137">
        <v>7536.67</v>
      </c>
      <c r="W105" s="3" t="s">
        <v>17</v>
      </c>
      <c r="X105" s="138">
        <v>2.7700000000000001E-4</v>
      </c>
      <c r="Y105" s="138">
        <v>5.3842724617822003E-2</v>
      </c>
      <c r="Z105" s="138">
        <v>2.2599615887149802E-2</v>
      </c>
    </row>
    <row r="106" spans="1:26" x14ac:dyDescent="0.2">
      <c r="A106" s="3">
        <v>559</v>
      </c>
      <c r="B106" s="3">
        <v>556</v>
      </c>
      <c r="C106" s="3" t="s">
        <v>1274</v>
      </c>
      <c r="D106" s="3" t="s">
        <v>1283</v>
      </c>
      <c r="E106" s="3" t="s">
        <v>1284</v>
      </c>
      <c r="F106" s="3" t="s">
        <v>223</v>
      </c>
      <c r="G106" s="3" t="s">
        <v>53</v>
      </c>
      <c r="H106" s="3" t="s">
        <v>53</v>
      </c>
      <c r="I106" s="3" t="s">
        <v>311</v>
      </c>
      <c r="J106" s="3" t="s">
        <v>1228</v>
      </c>
      <c r="K106" s="3" t="s">
        <v>78</v>
      </c>
      <c r="L106" s="3" t="s">
        <v>1219</v>
      </c>
      <c r="M106" s="137">
        <v>1.7250000000000001</v>
      </c>
      <c r="N106" s="3" t="s">
        <v>1285</v>
      </c>
      <c r="O106" s="142">
        <v>0.02</v>
      </c>
      <c r="P106" s="138">
        <v>4.0030000000000003E-2</v>
      </c>
      <c r="R106" s="137">
        <v>3368996</v>
      </c>
      <c r="S106" s="139">
        <v>1</v>
      </c>
      <c r="T106" s="140">
        <v>97.19</v>
      </c>
      <c r="U106" s="137">
        <v>3274.3270000000002</v>
      </c>
      <c r="W106" s="3" t="s">
        <v>17</v>
      </c>
      <c r="X106" s="138">
        <v>1.1900000000000001E-4</v>
      </c>
      <c r="Y106" s="138">
        <v>2.33921205415142E-2</v>
      </c>
      <c r="Z106" s="138">
        <v>9.8184655917123304E-3</v>
      </c>
    </row>
    <row r="107" spans="1:26" x14ac:dyDescent="0.2">
      <c r="A107" s="3">
        <v>559</v>
      </c>
      <c r="B107" s="3">
        <v>556</v>
      </c>
      <c r="C107" s="3" t="s">
        <v>1274</v>
      </c>
      <c r="D107" s="3" t="s">
        <v>1286</v>
      </c>
      <c r="E107" s="3" t="s">
        <v>1287</v>
      </c>
      <c r="F107" s="3" t="s">
        <v>223</v>
      </c>
      <c r="G107" s="3" t="s">
        <v>53</v>
      </c>
      <c r="H107" s="3" t="s">
        <v>53</v>
      </c>
      <c r="I107" s="3" t="s">
        <v>311</v>
      </c>
      <c r="J107" s="3" t="s">
        <v>1228</v>
      </c>
      <c r="K107" s="3" t="s">
        <v>78</v>
      </c>
      <c r="L107" s="3" t="s">
        <v>1219</v>
      </c>
      <c r="M107" s="137">
        <v>8.1739999999999995</v>
      </c>
      <c r="N107" s="3" t="s">
        <v>1288</v>
      </c>
      <c r="O107" s="142">
        <v>0.04</v>
      </c>
      <c r="P107" s="138">
        <v>4.1140000000000003E-2</v>
      </c>
      <c r="R107" s="137">
        <v>1209000</v>
      </c>
      <c r="S107" s="139">
        <v>1</v>
      </c>
      <c r="T107" s="140">
        <v>100.1</v>
      </c>
      <c r="U107" s="137">
        <v>1210.2090000000001</v>
      </c>
      <c r="W107" s="3" t="s">
        <v>17</v>
      </c>
      <c r="X107" s="138">
        <v>3.6000000000000001E-5</v>
      </c>
      <c r="Y107" s="138">
        <v>8.6458539333566908E-3</v>
      </c>
      <c r="Z107" s="138">
        <v>3.6289578452274101E-3</v>
      </c>
    </row>
    <row r="108" spans="1:26" x14ac:dyDescent="0.2">
      <c r="A108" s="3">
        <v>559</v>
      </c>
      <c r="B108" s="3">
        <v>556</v>
      </c>
      <c r="C108" s="3" t="s">
        <v>1274</v>
      </c>
      <c r="D108" s="3" t="s">
        <v>1289</v>
      </c>
      <c r="E108" s="3" t="s">
        <v>1290</v>
      </c>
      <c r="F108" s="3" t="s">
        <v>223</v>
      </c>
      <c r="G108" s="3" t="s">
        <v>53</v>
      </c>
      <c r="H108" s="3" t="s">
        <v>53</v>
      </c>
      <c r="I108" s="3" t="s">
        <v>311</v>
      </c>
      <c r="J108" s="3" t="s">
        <v>1228</v>
      </c>
      <c r="K108" s="3" t="s">
        <v>78</v>
      </c>
      <c r="L108" s="3" t="s">
        <v>1219</v>
      </c>
      <c r="M108" s="137">
        <v>14.709</v>
      </c>
      <c r="N108" s="3" t="s">
        <v>1291</v>
      </c>
      <c r="O108" s="142">
        <v>3.7499999999999999E-2</v>
      </c>
      <c r="P108" s="138">
        <v>4.4699999999999997E-2</v>
      </c>
      <c r="R108" s="137">
        <v>1318000</v>
      </c>
      <c r="S108" s="139">
        <v>1</v>
      </c>
      <c r="T108" s="140">
        <v>91.05</v>
      </c>
      <c r="U108" s="137">
        <v>1200.039</v>
      </c>
      <c r="W108" s="3" t="s">
        <v>17</v>
      </c>
      <c r="X108" s="138">
        <v>5.0000000000000002E-5</v>
      </c>
      <c r="Y108" s="138">
        <v>8.5731984378990995E-3</v>
      </c>
      <c r="Z108" s="138">
        <v>3.5984618719814999E-3</v>
      </c>
    </row>
    <row r="109" spans="1:26" x14ac:dyDescent="0.2">
      <c r="A109" s="3">
        <v>559</v>
      </c>
      <c r="B109" s="3">
        <v>556</v>
      </c>
      <c r="C109" s="3" t="s">
        <v>1274</v>
      </c>
      <c r="D109" s="3" t="s">
        <v>1292</v>
      </c>
      <c r="E109" s="3" t="s">
        <v>1293</v>
      </c>
      <c r="F109" s="3" t="s">
        <v>223</v>
      </c>
      <c r="G109" s="3" t="s">
        <v>53</v>
      </c>
      <c r="H109" s="3" t="s">
        <v>53</v>
      </c>
      <c r="I109" s="3" t="s">
        <v>311</v>
      </c>
      <c r="J109" s="3" t="s">
        <v>1228</v>
      </c>
      <c r="K109" s="3" t="s">
        <v>78</v>
      </c>
      <c r="L109" s="3" t="s">
        <v>1219</v>
      </c>
      <c r="M109" s="137">
        <v>0.16400000000000001</v>
      </c>
      <c r="N109" s="3" t="s">
        <v>1270</v>
      </c>
      <c r="O109" s="142">
        <v>1.7500000000000002E-2</v>
      </c>
      <c r="P109" s="138">
        <v>4.5069999999999999E-2</v>
      </c>
      <c r="R109" s="137">
        <v>3141400.5</v>
      </c>
      <c r="S109" s="139">
        <v>1</v>
      </c>
      <c r="T109" s="140">
        <v>101.02</v>
      </c>
      <c r="U109" s="137">
        <v>3173.4430000000002</v>
      </c>
      <c r="W109" s="3" t="s">
        <v>17</v>
      </c>
      <c r="X109" s="138">
        <v>2.4000000000000001E-4</v>
      </c>
      <c r="Y109" s="138">
        <v>2.2671392119740699E-2</v>
      </c>
      <c r="Z109" s="138">
        <v>9.5159514524920698E-3</v>
      </c>
    </row>
    <row r="110" spans="1:26" x14ac:dyDescent="0.2">
      <c r="A110" s="3">
        <v>559</v>
      </c>
      <c r="B110" s="3">
        <v>556</v>
      </c>
      <c r="C110" s="3" t="s">
        <v>1274</v>
      </c>
      <c r="D110" s="3" t="s">
        <v>1294</v>
      </c>
      <c r="E110" s="3" t="s">
        <v>1295</v>
      </c>
      <c r="F110" s="3" t="s">
        <v>223</v>
      </c>
      <c r="G110" s="3" t="s">
        <v>53</v>
      </c>
      <c r="H110" s="3" t="s">
        <v>53</v>
      </c>
      <c r="I110" s="3" t="s">
        <v>311</v>
      </c>
      <c r="J110" s="3" t="s">
        <v>1228</v>
      </c>
      <c r="K110" s="3" t="s">
        <v>78</v>
      </c>
      <c r="L110" s="3" t="s">
        <v>1219</v>
      </c>
      <c r="M110" s="137">
        <v>17.515999999999998</v>
      </c>
      <c r="N110" s="3" t="s">
        <v>1296</v>
      </c>
      <c r="O110" s="142">
        <v>2.8000000000000001E-2</v>
      </c>
      <c r="P110" s="138">
        <v>4.5929999999999999E-2</v>
      </c>
      <c r="R110" s="137">
        <v>2339000</v>
      </c>
      <c r="S110" s="139">
        <v>1</v>
      </c>
      <c r="T110" s="140">
        <v>73.98</v>
      </c>
      <c r="U110" s="137">
        <v>1730.3920000000001</v>
      </c>
      <c r="W110" s="3" t="s">
        <v>17</v>
      </c>
      <c r="X110" s="138">
        <v>9.1000000000000003E-5</v>
      </c>
      <c r="Y110" s="138">
        <v>1.2362094653584401E-2</v>
      </c>
      <c r="Z110" s="138">
        <v>5.1887899937203604E-3</v>
      </c>
    </row>
    <row r="111" spans="1:26" x14ac:dyDescent="0.2">
      <c r="A111" s="3">
        <v>559</v>
      </c>
      <c r="B111" s="3">
        <v>556</v>
      </c>
      <c r="C111" s="3" t="s">
        <v>1274</v>
      </c>
      <c r="D111" s="3" t="s">
        <v>1297</v>
      </c>
      <c r="E111" s="3" t="s">
        <v>1298</v>
      </c>
      <c r="F111" s="3" t="s">
        <v>223</v>
      </c>
      <c r="G111" s="3" t="s">
        <v>53</v>
      </c>
      <c r="H111" s="3" t="s">
        <v>53</v>
      </c>
      <c r="I111" s="3" t="s">
        <v>1227</v>
      </c>
      <c r="J111" s="3" t="s">
        <v>1228</v>
      </c>
      <c r="K111" s="3" t="s">
        <v>78</v>
      </c>
      <c r="L111" s="3" t="s">
        <v>1219</v>
      </c>
      <c r="M111" s="137">
        <v>3.7810000000000001</v>
      </c>
      <c r="N111" s="3" t="s">
        <v>1299</v>
      </c>
      <c r="O111" s="142">
        <v>4.5999999999999999E-2</v>
      </c>
      <c r="P111" s="138">
        <v>3.9390000000000001E-2</v>
      </c>
      <c r="R111" s="137">
        <v>931000</v>
      </c>
      <c r="S111" s="139">
        <v>1</v>
      </c>
      <c r="T111" s="140">
        <v>105.5</v>
      </c>
      <c r="U111" s="137">
        <v>982.20500000000004</v>
      </c>
      <c r="W111" s="3" t="s">
        <v>17</v>
      </c>
      <c r="X111" s="138">
        <v>6.0000000000000002E-5</v>
      </c>
      <c r="Y111" s="138">
        <v>7.0169705915363503E-3</v>
      </c>
      <c r="Z111" s="138">
        <v>2.9452603148477602E-3</v>
      </c>
    </row>
    <row r="112" spans="1:26" x14ac:dyDescent="0.2">
      <c r="A112" s="3">
        <v>559</v>
      </c>
      <c r="B112" s="3">
        <v>556</v>
      </c>
      <c r="C112" s="3" t="s">
        <v>1456</v>
      </c>
      <c r="D112" s="3" t="s">
        <v>1457</v>
      </c>
      <c r="E112" s="3" t="s">
        <v>1458</v>
      </c>
      <c r="F112" s="3" t="s">
        <v>224</v>
      </c>
      <c r="G112" s="3" t="s">
        <v>53</v>
      </c>
      <c r="H112" s="3" t="s">
        <v>53</v>
      </c>
      <c r="I112" s="3" t="s">
        <v>311</v>
      </c>
      <c r="J112" s="3" t="s">
        <v>1228</v>
      </c>
      <c r="K112" s="3" t="s">
        <v>78</v>
      </c>
      <c r="L112" s="3" t="s">
        <v>1219</v>
      </c>
      <c r="M112" s="137">
        <v>4.8550000000000004</v>
      </c>
      <c r="N112" s="3" t="s">
        <v>1459</v>
      </c>
      <c r="O112" s="142">
        <v>4.3200000000000002E-2</v>
      </c>
      <c r="P112" s="138">
        <v>4.607E-2</v>
      </c>
      <c r="R112" s="137">
        <v>141075</v>
      </c>
      <c r="S112" s="139">
        <v>1</v>
      </c>
      <c r="T112" s="140">
        <v>98.36</v>
      </c>
      <c r="U112" s="137">
        <v>138.761</v>
      </c>
      <c r="W112" s="3" t="s">
        <v>17</v>
      </c>
      <c r="X112" s="138">
        <v>3.9999999999999998E-6</v>
      </c>
      <c r="Y112" s="138">
        <v>9.9132508237210603E-4</v>
      </c>
      <c r="Z112" s="138">
        <v>4.1609272636049097E-4</v>
      </c>
    </row>
    <row r="113" spans="1:26" x14ac:dyDescent="0.2">
      <c r="A113" s="3">
        <v>559</v>
      </c>
      <c r="B113" s="3">
        <v>556</v>
      </c>
      <c r="C113" s="3" t="s">
        <v>1251</v>
      </c>
      <c r="D113" s="3" t="s">
        <v>1460</v>
      </c>
      <c r="E113" s="3" t="s">
        <v>1461</v>
      </c>
      <c r="F113" s="3" t="s">
        <v>221</v>
      </c>
      <c r="G113" s="3" t="s">
        <v>53</v>
      </c>
      <c r="H113" s="3" t="s">
        <v>53</v>
      </c>
      <c r="I113" s="3" t="s">
        <v>311</v>
      </c>
      <c r="J113" s="3" t="s">
        <v>1228</v>
      </c>
      <c r="K113" s="3" t="s">
        <v>78</v>
      </c>
      <c r="L113" s="3" t="s">
        <v>1219</v>
      </c>
      <c r="M113" s="137">
        <v>9.2189999999999994</v>
      </c>
      <c r="N113" s="3" t="s">
        <v>1462</v>
      </c>
      <c r="O113" s="142">
        <v>0.04</v>
      </c>
      <c r="P113" s="138">
        <v>1.9400000000000001E-2</v>
      </c>
      <c r="R113" s="137">
        <v>54000</v>
      </c>
      <c r="S113" s="139">
        <v>1</v>
      </c>
      <c r="T113" s="140">
        <v>167.7</v>
      </c>
      <c r="U113" s="137">
        <v>90.558000000000007</v>
      </c>
      <c r="W113" s="3" t="s">
        <v>17</v>
      </c>
      <c r="X113" s="138">
        <v>3.0000000000000001E-6</v>
      </c>
      <c r="Y113" s="138">
        <v>6.4695539406574797E-4</v>
      </c>
      <c r="Z113" s="138">
        <v>2.7154909982334002E-4</v>
      </c>
    </row>
    <row r="114" spans="1:26" x14ac:dyDescent="0.2">
      <c r="A114" s="3">
        <v>559</v>
      </c>
      <c r="B114" s="3">
        <v>556</v>
      </c>
      <c r="C114" s="3" t="s">
        <v>1274</v>
      </c>
      <c r="D114" s="3" t="s">
        <v>1300</v>
      </c>
      <c r="E114" s="3" t="s">
        <v>1301</v>
      </c>
      <c r="F114" s="3" t="s">
        <v>223</v>
      </c>
      <c r="G114" s="3" t="s">
        <v>53</v>
      </c>
      <c r="H114" s="3" t="s">
        <v>53</v>
      </c>
      <c r="I114" s="3" t="s">
        <v>311</v>
      </c>
      <c r="J114" s="3" t="s">
        <v>1228</v>
      </c>
      <c r="K114" s="3" t="s">
        <v>78</v>
      </c>
      <c r="L114" s="3" t="s">
        <v>1219</v>
      </c>
      <c r="M114" s="137">
        <v>11.420999999999999</v>
      </c>
      <c r="N114" s="3" t="s">
        <v>1302</v>
      </c>
      <c r="O114" s="142">
        <v>5.5E-2</v>
      </c>
      <c r="P114" s="138">
        <v>4.3520000000000003E-2</v>
      </c>
      <c r="R114" s="137">
        <v>615000</v>
      </c>
      <c r="S114" s="139">
        <v>1</v>
      </c>
      <c r="T114" s="140">
        <v>115.63</v>
      </c>
      <c r="U114" s="137">
        <v>711.125</v>
      </c>
      <c r="W114" s="3" t="s">
        <v>17</v>
      </c>
      <c r="X114" s="138">
        <v>2.0999999999999999E-5</v>
      </c>
      <c r="Y114" s="138">
        <v>5.0803444325990899E-3</v>
      </c>
      <c r="Z114" s="138">
        <v>2.1323926968056101E-3</v>
      </c>
    </row>
    <row r="115" spans="1:26" x14ac:dyDescent="0.2">
      <c r="A115" s="3">
        <v>559</v>
      </c>
      <c r="B115" s="3">
        <v>556</v>
      </c>
      <c r="C115" s="3" t="s">
        <v>1456</v>
      </c>
      <c r="D115" s="3" t="s">
        <v>1463</v>
      </c>
      <c r="E115" s="3" t="s">
        <v>1464</v>
      </c>
      <c r="F115" s="3" t="s">
        <v>224</v>
      </c>
      <c r="G115" s="3" t="s">
        <v>53</v>
      </c>
      <c r="H115" s="3" t="s">
        <v>53</v>
      </c>
      <c r="I115" s="3" t="s">
        <v>311</v>
      </c>
      <c r="J115" s="3" t="s">
        <v>1228</v>
      </c>
      <c r="K115" s="3" t="s">
        <v>78</v>
      </c>
      <c r="L115" s="3" t="s">
        <v>1219</v>
      </c>
      <c r="M115" s="137">
        <v>0.89700000000000002</v>
      </c>
      <c r="N115" s="3" t="s">
        <v>1465</v>
      </c>
      <c r="O115" s="142">
        <v>4.3200000000000002E-2</v>
      </c>
      <c r="P115" s="138">
        <v>4.3869999999999999E-2</v>
      </c>
      <c r="R115" s="137">
        <v>160000</v>
      </c>
      <c r="S115" s="139">
        <v>1</v>
      </c>
      <c r="T115" s="140">
        <v>100.22</v>
      </c>
      <c r="U115" s="137">
        <v>160.352</v>
      </c>
      <c r="W115" s="3" t="s">
        <v>17</v>
      </c>
      <c r="X115" s="138">
        <v>7.9999999999999996E-6</v>
      </c>
      <c r="Y115" s="138">
        <v>1.1455706988806201E-3</v>
      </c>
      <c r="Z115" s="138">
        <v>4.80834837947748E-4</v>
      </c>
    </row>
    <row r="116" spans="1:26" x14ac:dyDescent="0.2">
      <c r="A116" s="3">
        <v>559</v>
      </c>
      <c r="B116" s="3">
        <v>556</v>
      </c>
      <c r="C116" s="3" t="s">
        <v>1251</v>
      </c>
      <c r="D116" s="3" t="s">
        <v>1303</v>
      </c>
      <c r="E116" s="3" t="s">
        <v>1304</v>
      </c>
      <c r="F116" s="3" t="s">
        <v>221</v>
      </c>
      <c r="G116" s="3" t="s">
        <v>53</v>
      </c>
      <c r="H116" s="3" t="s">
        <v>53</v>
      </c>
      <c r="I116" s="3" t="s">
        <v>311</v>
      </c>
      <c r="J116" s="3" t="s">
        <v>1228</v>
      </c>
      <c r="K116" s="3" t="s">
        <v>78</v>
      </c>
      <c r="L116" s="3" t="s">
        <v>1219</v>
      </c>
      <c r="M116" s="137">
        <v>3.8839999999999999</v>
      </c>
      <c r="N116" s="3" t="s">
        <v>1305</v>
      </c>
      <c r="O116" s="142">
        <v>5.0000000000000001E-3</v>
      </c>
      <c r="P116" s="138">
        <v>2.0080000000000001E-2</v>
      </c>
      <c r="R116" s="137">
        <v>4630000</v>
      </c>
      <c r="S116" s="139">
        <v>1</v>
      </c>
      <c r="T116" s="140">
        <v>110.62</v>
      </c>
      <c r="U116" s="137">
        <v>5121.7060000000001</v>
      </c>
      <c r="W116" s="3" t="s">
        <v>17</v>
      </c>
      <c r="X116" s="138">
        <v>1.5699999999999999E-4</v>
      </c>
      <c r="Y116" s="138">
        <v>3.6589979057829299E-2</v>
      </c>
      <c r="Z116" s="138">
        <v>1.5358053996994201E-2</v>
      </c>
    </row>
    <row r="117" spans="1:26" x14ac:dyDescent="0.2">
      <c r="A117" s="3">
        <v>559</v>
      </c>
      <c r="B117" s="3">
        <v>556</v>
      </c>
      <c r="C117" s="3" t="s">
        <v>1251</v>
      </c>
      <c r="D117" s="3" t="s">
        <v>1306</v>
      </c>
      <c r="E117" s="3" t="s">
        <v>1307</v>
      </c>
      <c r="F117" s="3" t="s">
        <v>221</v>
      </c>
      <c r="G117" s="3" t="s">
        <v>53</v>
      </c>
      <c r="H117" s="3" t="s">
        <v>53</v>
      </c>
      <c r="I117" s="3" t="s">
        <v>311</v>
      </c>
      <c r="J117" s="3" t="s">
        <v>1228</v>
      </c>
      <c r="K117" s="3" t="s">
        <v>78</v>
      </c>
      <c r="L117" s="3" t="s">
        <v>1219</v>
      </c>
      <c r="M117" s="137">
        <v>1.0780000000000001</v>
      </c>
      <c r="N117" s="3" t="s">
        <v>1308</v>
      </c>
      <c r="O117" s="142">
        <v>1E-3</v>
      </c>
      <c r="P117" s="138">
        <v>2.3380000000000001E-2</v>
      </c>
      <c r="R117" s="137">
        <v>7116000</v>
      </c>
      <c r="S117" s="139">
        <v>1</v>
      </c>
      <c r="T117" s="140">
        <v>114.5</v>
      </c>
      <c r="U117" s="137">
        <v>8147.82</v>
      </c>
      <c r="W117" s="3" t="s">
        <v>17</v>
      </c>
      <c r="X117" s="138">
        <v>3.5199999999999999E-4</v>
      </c>
      <c r="Y117" s="138">
        <v>5.82088396262814E-2</v>
      </c>
      <c r="Z117" s="138">
        <v>2.4432222294249E-2</v>
      </c>
    </row>
    <row r="118" spans="1:26" x14ac:dyDescent="0.2">
      <c r="A118" s="3">
        <v>559</v>
      </c>
      <c r="B118" s="3">
        <v>556</v>
      </c>
      <c r="C118" s="3" t="s">
        <v>1251</v>
      </c>
      <c r="D118" s="3" t="s">
        <v>1309</v>
      </c>
      <c r="E118" s="3" t="s">
        <v>1310</v>
      </c>
      <c r="F118" s="3" t="s">
        <v>221</v>
      </c>
      <c r="G118" s="3" t="s">
        <v>53</v>
      </c>
      <c r="H118" s="3" t="s">
        <v>53</v>
      </c>
      <c r="I118" s="3" t="s">
        <v>311</v>
      </c>
      <c r="J118" s="3" t="s">
        <v>1228</v>
      </c>
      <c r="K118" s="3" t="s">
        <v>78</v>
      </c>
      <c r="L118" s="3" t="s">
        <v>1219</v>
      </c>
      <c r="M118" s="137">
        <v>3.2679999999999998</v>
      </c>
      <c r="N118" s="3" t="s">
        <v>1311</v>
      </c>
      <c r="O118" s="142">
        <v>1.0999999999999999E-2</v>
      </c>
      <c r="P118" s="138">
        <v>2.053E-2</v>
      </c>
      <c r="R118" s="137">
        <v>9073000</v>
      </c>
      <c r="S118" s="139">
        <v>1</v>
      </c>
      <c r="T118" s="140">
        <v>103.51</v>
      </c>
      <c r="U118" s="137">
        <v>9391.4619999999995</v>
      </c>
      <c r="W118" s="3" t="s">
        <v>17</v>
      </c>
      <c r="X118" s="138">
        <v>2.8899999999999998E-4</v>
      </c>
      <c r="Y118" s="138">
        <v>6.7093544393097504E-2</v>
      </c>
      <c r="Z118" s="138">
        <v>2.8161433927315401E-2</v>
      </c>
    </row>
    <row r="119" spans="1:26" x14ac:dyDescent="0.2">
      <c r="A119" s="3">
        <v>559</v>
      </c>
      <c r="B119" s="3">
        <v>556</v>
      </c>
      <c r="C119" s="3" t="s">
        <v>1251</v>
      </c>
      <c r="D119" s="3" t="s">
        <v>1312</v>
      </c>
      <c r="E119" s="3" t="s">
        <v>1313</v>
      </c>
      <c r="F119" s="3" t="s">
        <v>221</v>
      </c>
      <c r="G119" s="3" t="s">
        <v>53</v>
      </c>
      <c r="H119" s="3" t="s">
        <v>53</v>
      </c>
      <c r="I119" s="3" t="s">
        <v>1227</v>
      </c>
      <c r="J119" s="3" t="s">
        <v>1228</v>
      </c>
      <c r="K119" s="3" t="s">
        <v>78</v>
      </c>
      <c r="L119" s="3" t="s">
        <v>1219</v>
      </c>
      <c r="M119" s="137">
        <v>7.7789999999999999</v>
      </c>
      <c r="N119" s="3" t="s">
        <v>1314</v>
      </c>
      <c r="O119" s="142">
        <v>1.6E-2</v>
      </c>
      <c r="P119" s="138">
        <v>1.9709999999999998E-2</v>
      </c>
      <c r="R119" s="137">
        <v>1388000</v>
      </c>
      <c r="S119" s="139">
        <v>1</v>
      </c>
      <c r="T119" s="140">
        <v>103.3</v>
      </c>
      <c r="U119" s="137">
        <v>1433.8040000000001</v>
      </c>
      <c r="W119" s="3" t="s">
        <v>17</v>
      </c>
      <c r="X119" s="138">
        <v>5.8999999999999998E-5</v>
      </c>
      <c r="Y119" s="138">
        <v>1.0243238938945701E-2</v>
      </c>
      <c r="Z119" s="138">
        <v>4.2994344566256301E-3</v>
      </c>
    </row>
    <row r="120" spans="1:26" x14ac:dyDescent="0.2">
      <c r="A120" s="3">
        <v>559</v>
      </c>
      <c r="B120" s="3">
        <v>556</v>
      </c>
      <c r="C120" s="3" t="s">
        <v>1274</v>
      </c>
      <c r="D120" s="3" t="s">
        <v>1315</v>
      </c>
      <c r="E120" s="3" t="s">
        <v>1316</v>
      </c>
      <c r="F120" s="3" t="s">
        <v>223</v>
      </c>
      <c r="G120" s="3" t="s">
        <v>53</v>
      </c>
      <c r="H120" s="3" t="s">
        <v>53</v>
      </c>
      <c r="I120" s="3" t="s">
        <v>311</v>
      </c>
      <c r="J120" s="3" t="s">
        <v>1228</v>
      </c>
      <c r="K120" s="3" t="s">
        <v>78</v>
      </c>
      <c r="L120" s="3" t="s">
        <v>1219</v>
      </c>
      <c r="M120" s="137">
        <v>10.803000000000001</v>
      </c>
      <c r="N120" s="3" t="s">
        <v>1317</v>
      </c>
      <c r="O120" s="142">
        <v>1.4999999999999999E-2</v>
      </c>
      <c r="P120" s="138">
        <v>4.2529999999999998E-2</v>
      </c>
      <c r="R120" s="137">
        <v>8411000</v>
      </c>
      <c r="S120" s="139">
        <v>1</v>
      </c>
      <c r="T120" s="140">
        <v>74.8</v>
      </c>
      <c r="U120" s="137">
        <v>6291.4279999999999</v>
      </c>
      <c r="W120" s="3" t="s">
        <v>17</v>
      </c>
      <c r="X120" s="138">
        <v>2.23E-4</v>
      </c>
      <c r="Y120" s="138">
        <v>4.4946589820626402E-2</v>
      </c>
      <c r="Z120" s="138">
        <v>1.88656066830468E-2</v>
      </c>
    </row>
    <row r="121" spans="1:26" x14ac:dyDescent="0.2">
      <c r="A121" s="3">
        <v>559</v>
      </c>
      <c r="B121" s="3">
        <v>556</v>
      </c>
      <c r="C121" s="3" t="s">
        <v>1274</v>
      </c>
      <c r="D121" s="3" t="s">
        <v>1318</v>
      </c>
      <c r="E121" s="3" t="s">
        <v>1319</v>
      </c>
      <c r="F121" s="3" t="s">
        <v>223</v>
      </c>
      <c r="G121" s="3" t="s">
        <v>53</v>
      </c>
      <c r="H121" s="3" t="s">
        <v>53</v>
      </c>
      <c r="I121" s="3" t="s">
        <v>311</v>
      </c>
      <c r="J121" s="3" t="s">
        <v>1228</v>
      </c>
      <c r="K121" s="3" t="s">
        <v>78</v>
      </c>
      <c r="L121" s="3" t="s">
        <v>1219</v>
      </c>
      <c r="M121" s="137">
        <v>4.641</v>
      </c>
      <c r="N121" s="3" t="s">
        <v>1320</v>
      </c>
      <c r="O121" s="142">
        <v>0.01</v>
      </c>
      <c r="P121" s="138">
        <v>3.9690000000000003E-2</v>
      </c>
      <c r="R121" s="137">
        <v>12000</v>
      </c>
      <c r="S121" s="139">
        <v>1</v>
      </c>
      <c r="T121" s="140">
        <v>87.63</v>
      </c>
      <c r="U121" s="137">
        <v>10.516</v>
      </c>
      <c r="W121" s="3" t="s">
        <v>17</v>
      </c>
      <c r="X121" s="138">
        <v>0</v>
      </c>
      <c r="Y121" s="138">
        <v>7.5124496365177904E-5</v>
      </c>
      <c r="Z121" s="138">
        <v>3.1532296584534901E-5</v>
      </c>
    </row>
    <row r="122" spans="1:26" x14ac:dyDescent="0.2">
      <c r="A122" s="3">
        <v>559</v>
      </c>
      <c r="B122" s="3">
        <v>556</v>
      </c>
      <c r="C122" s="3" t="s">
        <v>1274</v>
      </c>
      <c r="D122" s="3" t="s">
        <v>1321</v>
      </c>
      <c r="E122" s="3" t="s">
        <v>1322</v>
      </c>
      <c r="F122" s="3" t="s">
        <v>223</v>
      </c>
      <c r="G122" s="3" t="s">
        <v>53</v>
      </c>
      <c r="H122" s="3" t="s">
        <v>53</v>
      </c>
      <c r="I122" s="3" t="s">
        <v>311</v>
      </c>
      <c r="J122" s="3" t="s">
        <v>1228</v>
      </c>
      <c r="K122" s="3" t="s">
        <v>78</v>
      </c>
      <c r="L122" s="3" t="s">
        <v>1219</v>
      </c>
      <c r="M122" s="137">
        <v>6.5380000000000003</v>
      </c>
      <c r="N122" s="3" t="s">
        <v>1323</v>
      </c>
      <c r="O122" s="142">
        <v>1.2999999999999999E-2</v>
      </c>
      <c r="P122" s="138">
        <v>4.0480000000000002E-2</v>
      </c>
      <c r="R122" s="137">
        <v>3777000</v>
      </c>
      <c r="S122" s="139">
        <v>1</v>
      </c>
      <c r="T122" s="140">
        <v>84.1</v>
      </c>
      <c r="U122" s="137">
        <v>3176.4569999999999</v>
      </c>
      <c r="W122" s="3" t="s">
        <v>17</v>
      </c>
      <c r="X122" s="138">
        <v>1.06E-4</v>
      </c>
      <c r="Y122" s="138">
        <v>2.2692925971950599E-2</v>
      </c>
      <c r="Z122" s="138">
        <v>9.5249899399008995E-3</v>
      </c>
    </row>
    <row r="123" spans="1:26" x14ac:dyDescent="0.2">
      <c r="A123" s="3">
        <v>559</v>
      </c>
      <c r="B123" s="3">
        <v>556</v>
      </c>
      <c r="C123" s="3" t="s">
        <v>1224</v>
      </c>
      <c r="D123" s="3" t="s">
        <v>1324</v>
      </c>
      <c r="E123" s="3" t="s">
        <v>1325</v>
      </c>
      <c r="F123" s="3" t="s">
        <v>227</v>
      </c>
      <c r="G123" s="3" t="s">
        <v>53</v>
      </c>
      <c r="H123" s="3" t="s">
        <v>53</v>
      </c>
      <c r="I123" s="3" t="s">
        <v>1227</v>
      </c>
      <c r="J123" s="3" t="s">
        <v>1228</v>
      </c>
      <c r="K123" s="3" t="s">
        <v>78</v>
      </c>
      <c r="L123" s="3" t="s">
        <v>1219</v>
      </c>
      <c r="M123" s="137">
        <v>0.59499999999999997</v>
      </c>
      <c r="N123" s="3" t="s">
        <v>1326</v>
      </c>
      <c r="O123" s="142">
        <v>0</v>
      </c>
      <c r="P123" s="138">
        <v>4.2790000000000002E-2</v>
      </c>
      <c r="R123" s="137">
        <v>725000</v>
      </c>
      <c r="S123" s="139">
        <v>1</v>
      </c>
      <c r="T123" s="140">
        <v>97.54</v>
      </c>
      <c r="U123" s="137">
        <v>707.16499999999996</v>
      </c>
      <c r="W123" s="3" t="s">
        <v>17</v>
      </c>
      <c r="X123" s="138">
        <v>4.0000000000000003E-5</v>
      </c>
      <c r="Y123" s="138">
        <v>5.0520573692496001E-3</v>
      </c>
      <c r="Z123" s="138">
        <v>2.1205196578609501E-3</v>
      </c>
    </row>
    <row r="124" spans="1:26" x14ac:dyDescent="0.2">
      <c r="A124" s="3">
        <v>559</v>
      </c>
      <c r="B124" s="3">
        <v>556</v>
      </c>
      <c r="C124" s="3" t="s">
        <v>1224</v>
      </c>
      <c r="D124" s="3" t="s">
        <v>1327</v>
      </c>
      <c r="E124" s="3" t="s">
        <v>1328</v>
      </c>
      <c r="F124" s="3" t="s">
        <v>227</v>
      </c>
      <c r="G124" s="3" t="s">
        <v>53</v>
      </c>
      <c r="H124" s="3" t="s">
        <v>53</v>
      </c>
      <c r="I124" s="3" t="s">
        <v>1227</v>
      </c>
      <c r="J124" s="3" t="s">
        <v>1228</v>
      </c>
      <c r="K124" s="3" t="s">
        <v>78</v>
      </c>
      <c r="L124" s="3" t="s">
        <v>1219</v>
      </c>
      <c r="M124" s="137">
        <v>0.67100000000000004</v>
      </c>
      <c r="N124" s="3" t="s">
        <v>1329</v>
      </c>
      <c r="O124" s="142">
        <v>0</v>
      </c>
      <c r="P124" s="138">
        <v>4.2259999999999999E-2</v>
      </c>
      <c r="R124" s="137">
        <v>4324000</v>
      </c>
      <c r="S124" s="139">
        <v>1</v>
      </c>
      <c r="T124" s="140">
        <v>97.26</v>
      </c>
      <c r="U124" s="137">
        <v>4205.5219999999999</v>
      </c>
      <c r="W124" s="3" t="s">
        <v>17</v>
      </c>
      <c r="X124" s="138">
        <v>2.4000000000000001E-4</v>
      </c>
      <c r="Y124" s="138">
        <v>3.0044671940020001E-2</v>
      </c>
      <c r="Z124" s="138">
        <v>1.26107668235483E-2</v>
      </c>
    </row>
    <row r="125" spans="1:26" x14ac:dyDescent="0.2">
      <c r="A125" s="3">
        <v>559</v>
      </c>
      <c r="B125" s="3">
        <v>556</v>
      </c>
      <c r="C125" s="3" t="s">
        <v>1224</v>
      </c>
      <c r="D125" s="3" t="s">
        <v>1330</v>
      </c>
      <c r="E125" s="3" t="s">
        <v>1331</v>
      </c>
      <c r="F125" s="3" t="s">
        <v>227</v>
      </c>
      <c r="G125" s="3" t="s">
        <v>53</v>
      </c>
      <c r="H125" s="3" t="s">
        <v>53</v>
      </c>
      <c r="I125" s="3" t="s">
        <v>1227</v>
      </c>
      <c r="J125" s="3" t="s">
        <v>1228</v>
      </c>
      <c r="K125" s="3" t="s">
        <v>78</v>
      </c>
      <c r="L125" s="3" t="s">
        <v>1219</v>
      </c>
      <c r="M125" s="137">
        <v>0.84399999999999997</v>
      </c>
      <c r="N125" s="3" t="s">
        <v>1332</v>
      </c>
      <c r="O125" s="142">
        <v>0</v>
      </c>
      <c r="P125" s="138">
        <v>4.1329999999999999E-2</v>
      </c>
      <c r="R125" s="137">
        <v>1423000</v>
      </c>
      <c r="S125" s="139">
        <v>1</v>
      </c>
      <c r="T125" s="140">
        <v>96.64</v>
      </c>
      <c r="U125" s="137">
        <v>1375.1869999999999</v>
      </c>
      <c r="W125" s="3" t="s">
        <v>17</v>
      </c>
      <c r="X125" s="138">
        <v>7.8999999999999996E-5</v>
      </c>
      <c r="Y125" s="138">
        <v>9.82447466695569E-3</v>
      </c>
      <c r="Z125" s="138">
        <v>4.1236649025881596E-3</v>
      </c>
    </row>
    <row r="126" spans="1:26" x14ac:dyDescent="0.2">
      <c r="A126" s="3">
        <v>559</v>
      </c>
      <c r="B126" s="3">
        <v>556</v>
      </c>
      <c r="C126" s="3" t="s">
        <v>1224</v>
      </c>
      <c r="D126" s="3" t="s">
        <v>1333</v>
      </c>
      <c r="E126" s="3" t="s">
        <v>1334</v>
      </c>
      <c r="F126" s="3" t="s">
        <v>227</v>
      </c>
      <c r="G126" s="3" t="s">
        <v>53</v>
      </c>
      <c r="H126" s="3" t="s">
        <v>53</v>
      </c>
      <c r="I126" s="3" t="s">
        <v>1227</v>
      </c>
      <c r="J126" s="3" t="s">
        <v>1228</v>
      </c>
      <c r="K126" s="3" t="s">
        <v>78</v>
      </c>
      <c r="L126" s="3" t="s">
        <v>1219</v>
      </c>
      <c r="M126" s="137">
        <v>9.6000000000000002E-2</v>
      </c>
      <c r="N126" s="3" t="s">
        <v>1335</v>
      </c>
      <c r="O126" s="142">
        <v>0</v>
      </c>
      <c r="P126" s="138">
        <v>4.3779999999999999E-2</v>
      </c>
      <c r="R126" s="137">
        <v>3407000</v>
      </c>
      <c r="S126" s="139">
        <v>1</v>
      </c>
      <c r="T126" s="140">
        <v>99.59</v>
      </c>
      <c r="U126" s="137">
        <v>3393.0309999999999</v>
      </c>
      <c r="W126" s="3" t="s">
        <v>17</v>
      </c>
      <c r="X126" s="138">
        <v>1.1400000000000001E-4</v>
      </c>
      <c r="Y126" s="138">
        <v>2.42401543957344E-2</v>
      </c>
      <c r="Z126" s="138">
        <v>1.0174414134448801E-2</v>
      </c>
    </row>
    <row r="127" spans="1:26" x14ac:dyDescent="0.2">
      <c r="A127" s="3">
        <v>559</v>
      </c>
      <c r="B127" s="3">
        <v>556</v>
      </c>
      <c r="C127" s="3" t="s">
        <v>1251</v>
      </c>
      <c r="D127" s="3" t="s">
        <v>1252</v>
      </c>
      <c r="E127" s="3" t="s">
        <v>1253</v>
      </c>
      <c r="F127" s="3" t="s">
        <v>221</v>
      </c>
      <c r="G127" s="3" t="s">
        <v>53</v>
      </c>
      <c r="H127" s="3" t="s">
        <v>53</v>
      </c>
      <c r="I127" s="3" t="s">
        <v>311</v>
      </c>
      <c r="J127" s="3" t="s">
        <v>1228</v>
      </c>
      <c r="K127" s="3" t="s">
        <v>78</v>
      </c>
      <c r="L127" s="3" t="s">
        <v>1219</v>
      </c>
      <c r="M127" s="137">
        <v>1.905</v>
      </c>
      <c r="N127" s="3" t="s">
        <v>1254</v>
      </c>
      <c r="O127" s="142">
        <v>7.4999999999999997E-3</v>
      </c>
      <c r="P127" s="138">
        <v>2.0959999999999999E-2</v>
      </c>
      <c r="R127" s="137">
        <v>5000000</v>
      </c>
      <c r="S127" s="139">
        <v>1</v>
      </c>
      <c r="T127" s="140">
        <v>115.45</v>
      </c>
      <c r="U127" s="137">
        <v>5772.5</v>
      </c>
      <c r="W127" s="3" t="s">
        <v>17</v>
      </c>
      <c r="X127" s="138">
        <v>2.05E-4</v>
      </c>
      <c r="Y127" s="138">
        <v>4.1239316374528302E-2</v>
      </c>
      <c r="Z127" s="138">
        <v>1.73095384033462E-2</v>
      </c>
    </row>
    <row r="128" spans="1:26" x14ac:dyDescent="0.2">
      <c r="A128" s="3">
        <v>559</v>
      </c>
      <c r="B128" s="3">
        <v>556</v>
      </c>
      <c r="C128" s="3" t="s">
        <v>1251</v>
      </c>
      <c r="D128" s="3" t="s">
        <v>1255</v>
      </c>
      <c r="E128" s="3" t="s">
        <v>1256</v>
      </c>
      <c r="F128" s="3" t="s">
        <v>221</v>
      </c>
      <c r="G128" s="3" t="s">
        <v>53</v>
      </c>
      <c r="H128" s="3" t="s">
        <v>53</v>
      </c>
      <c r="I128" s="3" t="s">
        <v>311</v>
      </c>
      <c r="J128" s="3" t="s">
        <v>1228</v>
      </c>
      <c r="K128" s="3" t="s">
        <v>78</v>
      </c>
      <c r="L128" s="3" t="s">
        <v>1219</v>
      </c>
      <c r="M128" s="137">
        <v>0.33200000000000002</v>
      </c>
      <c r="N128" s="3" t="s">
        <v>1257</v>
      </c>
      <c r="O128" s="142">
        <v>7.4999999999999997E-3</v>
      </c>
      <c r="P128" s="138">
        <v>5.9899999999999997E-3</v>
      </c>
      <c r="R128" s="137">
        <v>2000000</v>
      </c>
      <c r="S128" s="139">
        <v>1</v>
      </c>
      <c r="T128" s="140">
        <v>118.26</v>
      </c>
      <c r="U128" s="137">
        <v>2365.1999999999998</v>
      </c>
      <c r="W128" s="3" t="s">
        <v>17</v>
      </c>
      <c r="X128" s="138">
        <v>1.5799999999999999E-4</v>
      </c>
      <c r="Y128" s="138">
        <v>1.6897224961287899E-2</v>
      </c>
      <c r="Z128" s="138">
        <v>7.0923378486954496E-3</v>
      </c>
    </row>
    <row r="129" spans="1:26" x14ac:dyDescent="0.2">
      <c r="A129" s="3">
        <v>559</v>
      </c>
      <c r="B129" s="3">
        <v>556</v>
      </c>
      <c r="C129" s="3" t="s">
        <v>1274</v>
      </c>
      <c r="D129" s="3" t="s">
        <v>1275</v>
      </c>
      <c r="E129" s="3" t="s">
        <v>1276</v>
      </c>
      <c r="F129" s="3" t="s">
        <v>223</v>
      </c>
      <c r="G129" s="3" t="s">
        <v>53</v>
      </c>
      <c r="H129" s="3" t="s">
        <v>53</v>
      </c>
      <c r="I129" s="3" t="s">
        <v>311</v>
      </c>
      <c r="J129" s="3" t="s">
        <v>1228</v>
      </c>
      <c r="K129" s="3" t="s">
        <v>78</v>
      </c>
      <c r="L129" s="3" t="s">
        <v>1219</v>
      </c>
      <c r="M129" s="137">
        <v>3.109</v>
      </c>
      <c r="N129" s="3" t="s">
        <v>1277</v>
      </c>
      <c r="O129" s="142">
        <v>2.2499999999999999E-2</v>
      </c>
      <c r="P129" s="138">
        <v>3.952E-2</v>
      </c>
      <c r="R129" s="137">
        <v>2000000</v>
      </c>
      <c r="S129" s="139">
        <v>1</v>
      </c>
      <c r="T129" s="140">
        <v>96.6</v>
      </c>
      <c r="U129" s="137">
        <v>1932</v>
      </c>
      <c r="W129" s="3" t="s">
        <v>17</v>
      </c>
      <c r="X129" s="138">
        <v>5.8E-5</v>
      </c>
      <c r="Y129" s="138">
        <v>1.38024009069881E-2</v>
      </c>
      <c r="Z129" s="138">
        <v>5.7933353304919699E-3</v>
      </c>
    </row>
    <row r="130" spans="1:26" x14ac:dyDescent="0.2">
      <c r="A130" s="3">
        <v>559</v>
      </c>
      <c r="B130" s="3">
        <v>556</v>
      </c>
      <c r="C130" s="3" t="s">
        <v>1274</v>
      </c>
      <c r="D130" s="3" t="s">
        <v>1283</v>
      </c>
      <c r="E130" s="3" t="s">
        <v>1284</v>
      </c>
      <c r="F130" s="3" t="s">
        <v>223</v>
      </c>
      <c r="G130" s="3" t="s">
        <v>53</v>
      </c>
      <c r="H130" s="3" t="s">
        <v>53</v>
      </c>
      <c r="I130" s="3" t="s">
        <v>311</v>
      </c>
      <c r="J130" s="3" t="s">
        <v>1228</v>
      </c>
      <c r="K130" s="3" t="s">
        <v>78</v>
      </c>
      <c r="L130" s="3" t="s">
        <v>1219</v>
      </c>
      <c r="M130" s="137">
        <v>1.7250000000000001</v>
      </c>
      <c r="N130" s="3" t="s">
        <v>1285</v>
      </c>
      <c r="O130" s="142">
        <v>0.02</v>
      </c>
      <c r="P130" s="138">
        <v>4.0030000000000003E-2</v>
      </c>
      <c r="R130" s="137">
        <v>400000</v>
      </c>
      <c r="S130" s="139">
        <v>1</v>
      </c>
      <c r="T130" s="140">
        <v>97.19</v>
      </c>
      <c r="U130" s="137">
        <v>388.76</v>
      </c>
      <c r="W130" s="3" t="s">
        <v>17</v>
      </c>
      <c r="X130" s="138">
        <v>1.4E-5</v>
      </c>
      <c r="Y130" s="138">
        <v>2.77734025703969E-3</v>
      </c>
      <c r="Z130" s="138">
        <v>1.16574381111908E-3</v>
      </c>
    </row>
    <row r="131" spans="1:26" x14ac:dyDescent="0.2">
      <c r="A131" s="3">
        <v>559</v>
      </c>
      <c r="B131" s="3">
        <v>556</v>
      </c>
      <c r="C131" s="3" t="s">
        <v>1251</v>
      </c>
      <c r="D131" s="3" t="s">
        <v>1460</v>
      </c>
      <c r="E131" s="3" t="s">
        <v>1461</v>
      </c>
      <c r="F131" s="3" t="s">
        <v>221</v>
      </c>
      <c r="G131" s="3" t="s">
        <v>53</v>
      </c>
      <c r="H131" s="3" t="s">
        <v>53</v>
      </c>
      <c r="I131" s="3" t="s">
        <v>311</v>
      </c>
      <c r="J131" s="3" t="s">
        <v>1228</v>
      </c>
      <c r="K131" s="3" t="s">
        <v>78</v>
      </c>
      <c r="L131" s="3" t="s">
        <v>1219</v>
      </c>
      <c r="M131" s="137">
        <v>9.2189999999999994</v>
      </c>
      <c r="N131" s="3" t="s">
        <v>1462</v>
      </c>
      <c r="O131" s="142">
        <v>0.04</v>
      </c>
      <c r="P131" s="138">
        <v>1.9400000000000001E-2</v>
      </c>
      <c r="R131" s="137">
        <v>1000000</v>
      </c>
      <c r="S131" s="139">
        <v>1</v>
      </c>
      <c r="T131" s="140">
        <v>167.7</v>
      </c>
      <c r="U131" s="137">
        <v>1677</v>
      </c>
      <c r="W131" s="3" t="s">
        <v>17</v>
      </c>
      <c r="X131" s="138">
        <v>6.3E-5</v>
      </c>
      <c r="Y131" s="138">
        <v>1.1980655445662E-2</v>
      </c>
      <c r="Z131" s="138">
        <v>5.0286870337655498E-3</v>
      </c>
    </row>
    <row r="132" spans="1:26" x14ac:dyDescent="0.2">
      <c r="A132" s="3">
        <v>559</v>
      </c>
      <c r="B132" s="3">
        <v>556</v>
      </c>
      <c r="C132" s="3" t="s">
        <v>1274</v>
      </c>
      <c r="D132" s="3" t="s">
        <v>1321</v>
      </c>
      <c r="E132" s="3" t="s">
        <v>1322</v>
      </c>
      <c r="F132" s="3" t="s">
        <v>223</v>
      </c>
      <c r="G132" s="3" t="s">
        <v>53</v>
      </c>
      <c r="H132" s="3" t="s">
        <v>53</v>
      </c>
      <c r="I132" s="3" t="s">
        <v>311</v>
      </c>
      <c r="J132" s="3" t="s">
        <v>1228</v>
      </c>
      <c r="K132" s="3" t="s">
        <v>78</v>
      </c>
      <c r="L132" s="3" t="s">
        <v>1219</v>
      </c>
      <c r="M132" s="137">
        <v>6.5380000000000003</v>
      </c>
      <c r="N132" s="3" t="s">
        <v>1323</v>
      </c>
      <c r="O132" s="142">
        <v>1.2999999999999999E-2</v>
      </c>
      <c r="P132" s="138">
        <v>4.0480000000000002E-2</v>
      </c>
      <c r="R132" s="137">
        <v>860000</v>
      </c>
      <c r="S132" s="139">
        <v>1</v>
      </c>
      <c r="T132" s="140">
        <v>84.1</v>
      </c>
      <c r="U132" s="137">
        <v>723.26</v>
      </c>
      <c r="W132" s="3" t="s">
        <v>17</v>
      </c>
      <c r="X132" s="138">
        <v>2.4000000000000001E-5</v>
      </c>
      <c r="Y132" s="138">
        <v>5.1670416563085898E-3</v>
      </c>
      <c r="Z132" s="138">
        <v>2.16878245917786E-3</v>
      </c>
    </row>
    <row r="133" spans="1:26" x14ac:dyDescent="0.2">
      <c r="A133" s="3">
        <v>559</v>
      </c>
      <c r="B133" s="3">
        <v>556</v>
      </c>
      <c r="C133" s="3" t="s">
        <v>1341</v>
      </c>
      <c r="D133" s="3" t="s">
        <v>1342</v>
      </c>
      <c r="E133" s="3" t="s">
        <v>1343</v>
      </c>
      <c r="F133" s="3" t="s">
        <v>225</v>
      </c>
      <c r="G133" s="3" t="s">
        <v>61</v>
      </c>
      <c r="H133" s="3" t="s">
        <v>314</v>
      </c>
      <c r="I133" s="3" t="s">
        <v>1150</v>
      </c>
      <c r="J133" s="3" t="s">
        <v>1339</v>
      </c>
      <c r="K133" s="3" t="s">
        <v>101</v>
      </c>
      <c r="L133" s="3" t="s">
        <v>1217</v>
      </c>
      <c r="M133" s="137">
        <v>14.308999999999999</v>
      </c>
      <c r="N133" s="3" t="s">
        <v>1344</v>
      </c>
      <c r="O133" s="142">
        <v>0.03</v>
      </c>
      <c r="P133" s="138">
        <v>4.87E-2</v>
      </c>
      <c r="Q133" s="137">
        <v>4.4749999999999996</v>
      </c>
      <c r="R133" s="137">
        <v>0</v>
      </c>
      <c r="S133" s="139">
        <v>3.3719999999999999</v>
      </c>
      <c r="T133" s="140">
        <v>0</v>
      </c>
      <c r="U133" s="137">
        <v>15.087999999999999</v>
      </c>
      <c r="W133" s="3" t="s">
        <v>17</v>
      </c>
      <c r="X133" s="138">
        <v>0</v>
      </c>
      <c r="Y133" s="138">
        <v>1.07791250126694E-4</v>
      </c>
      <c r="Z133" s="138">
        <v>4.5243639993148301E-5</v>
      </c>
    </row>
    <row r="134" spans="1:26" x14ac:dyDescent="0.2">
      <c r="A134" s="3">
        <v>559</v>
      </c>
      <c r="B134" s="3">
        <v>556</v>
      </c>
      <c r="C134" s="3" t="s">
        <v>1345</v>
      </c>
      <c r="D134" s="3" t="s">
        <v>1346</v>
      </c>
      <c r="E134" s="3" t="s">
        <v>1347</v>
      </c>
      <c r="F134" s="3" t="s">
        <v>225</v>
      </c>
      <c r="G134" s="3" t="s">
        <v>61</v>
      </c>
      <c r="H134" s="3" t="s">
        <v>314</v>
      </c>
      <c r="I134" s="3" t="s">
        <v>1150</v>
      </c>
      <c r="J134" s="3" t="s">
        <v>1339</v>
      </c>
      <c r="K134" s="3" t="s">
        <v>101</v>
      </c>
      <c r="L134" s="3" t="s">
        <v>1217</v>
      </c>
      <c r="M134" s="137">
        <v>9.8000000000000004E-2</v>
      </c>
      <c r="N134" s="3" t="s">
        <v>1348</v>
      </c>
      <c r="O134" s="142">
        <v>0</v>
      </c>
      <c r="P134" s="138">
        <v>4.3479999999999998E-2</v>
      </c>
      <c r="R134" s="137">
        <v>65000</v>
      </c>
      <c r="S134" s="139">
        <v>3.3719999999999999</v>
      </c>
      <c r="T134" s="140">
        <v>99.596999999999994</v>
      </c>
      <c r="U134" s="137">
        <v>218.297</v>
      </c>
      <c r="W134" s="3" t="s">
        <v>17</v>
      </c>
      <c r="X134" s="138">
        <v>9.9999999999999995E-7</v>
      </c>
      <c r="Y134" s="138">
        <v>1.5595365859130501E-3</v>
      </c>
      <c r="Z134" s="138">
        <v>6.5459034723376001E-4</v>
      </c>
    </row>
    <row r="135" spans="1:26" x14ac:dyDescent="0.2">
      <c r="A135" s="3">
        <v>559</v>
      </c>
      <c r="B135" s="3">
        <v>556</v>
      </c>
      <c r="C135" s="3" t="s">
        <v>1345</v>
      </c>
      <c r="D135" s="3" t="s">
        <v>1349</v>
      </c>
      <c r="E135" s="3" t="s">
        <v>1350</v>
      </c>
      <c r="F135" s="3" t="s">
        <v>225</v>
      </c>
      <c r="G135" s="3" t="s">
        <v>61</v>
      </c>
      <c r="H135" s="3" t="s">
        <v>314</v>
      </c>
      <c r="I135" s="3" t="s">
        <v>1150</v>
      </c>
      <c r="J135" s="3" t="s">
        <v>1339</v>
      </c>
      <c r="K135" s="3" t="s">
        <v>101</v>
      </c>
      <c r="L135" s="3" t="s">
        <v>1217</v>
      </c>
      <c r="M135" s="137">
        <v>0.219</v>
      </c>
      <c r="N135" s="3" t="s">
        <v>1351</v>
      </c>
      <c r="O135" s="142">
        <v>0</v>
      </c>
      <c r="P135" s="138">
        <v>4.3040000000000002E-2</v>
      </c>
      <c r="R135" s="137">
        <v>135000</v>
      </c>
      <c r="S135" s="139">
        <v>3.3719999999999999</v>
      </c>
      <c r="T135" s="140">
        <v>99.084999999999994</v>
      </c>
      <c r="U135" s="137">
        <v>451.053</v>
      </c>
      <c r="W135" s="3" t="s">
        <v>17</v>
      </c>
      <c r="X135" s="138">
        <v>9.9999999999999995E-7</v>
      </c>
      <c r="Y135" s="138">
        <v>3.2223670696450799E-3</v>
      </c>
      <c r="Z135" s="138">
        <v>1.3525366433123299E-3</v>
      </c>
    </row>
    <row r="136" spans="1:26" x14ac:dyDescent="0.2">
      <c r="A136" s="3">
        <v>559</v>
      </c>
      <c r="B136" s="3">
        <v>556</v>
      </c>
      <c r="C136" s="3" t="s">
        <v>1352</v>
      </c>
      <c r="D136" s="3" t="s">
        <v>1466</v>
      </c>
      <c r="E136" s="3" t="s">
        <v>1467</v>
      </c>
      <c r="F136" s="3" t="s">
        <v>225</v>
      </c>
      <c r="G136" s="3" t="s">
        <v>61</v>
      </c>
      <c r="H136" s="3" t="s">
        <v>53</v>
      </c>
      <c r="I136" s="3" t="s">
        <v>102</v>
      </c>
      <c r="J136" s="3" t="s">
        <v>1355</v>
      </c>
      <c r="K136" s="3" t="s">
        <v>84</v>
      </c>
      <c r="L136" s="3" t="s">
        <v>1217</v>
      </c>
      <c r="M136" s="137">
        <v>2.4239999999999999</v>
      </c>
      <c r="N136" s="3" t="s">
        <v>1468</v>
      </c>
      <c r="O136" s="142">
        <v>3.2500000000000001E-2</v>
      </c>
      <c r="P136" s="138">
        <v>4.8529999999999997E-2</v>
      </c>
      <c r="R136" s="137">
        <v>400000</v>
      </c>
      <c r="S136" s="139">
        <v>3.3719999999999999</v>
      </c>
      <c r="T136" s="140">
        <v>97.757000000000005</v>
      </c>
      <c r="U136" s="137">
        <v>1318.54</v>
      </c>
      <c r="W136" s="3" t="s">
        <v>17</v>
      </c>
      <c r="X136" s="138">
        <v>4.0000000000000002E-4</v>
      </c>
      <c r="Y136" s="138">
        <v>9.4197844235390203E-3</v>
      </c>
      <c r="Z136" s="138">
        <v>3.9538026952163898E-3</v>
      </c>
    </row>
    <row r="137" spans="1:26" x14ac:dyDescent="0.2">
      <c r="A137" s="3">
        <v>559</v>
      </c>
      <c r="B137" s="3">
        <v>556</v>
      </c>
      <c r="C137" s="3" t="s">
        <v>1352</v>
      </c>
      <c r="D137" s="3" t="s">
        <v>1353</v>
      </c>
      <c r="E137" s="3" t="s">
        <v>1354</v>
      </c>
      <c r="F137" s="3" t="s">
        <v>225</v>
      </c>
      <c r="G137" s="3" t="s">
        <v>61</v>
      </c>
      <c r="H137" s="3" t="s">
        <v>53</v>
      </c>
      <c r="I137" s="3" t="s">
        <v>102</v>
      </c>
      <c r="J137" s="3" t="s">
        <v>1355</v>
      </c>
      <c r="K137" s="3" t="s">
        <v>84</v>
      </c>
      <c r="L137" s="3" t="s">
        <v>1215</v>
      </c>
      <c r="M137" s="137">
        <v>1.282</v>
      </c>
      <c r="N137" s="3" t="s">
        <v>1356</v>
      </c>
      <c r="O137" s="142">
        <v>0.05</v>
      </c>
      <c r="P137" s="138">
        <v>2.9190000000000001E-2</v>
      </c>
      <c r="R137" s="137">
        <v>100000</v>
      </c>
      <c r="S137" s="139">
        <v>3.9552</v>
      </c>
      <c r="T137" s="140">
        <v>105.91</v>
      </c>
      <c r="U137" s="137">
        <v>418.89699999999999</v>
      </c>
      <c r="W137" s="3" t="s">
        <v>17</v>
      </c>
      <c r="X137" s="138">
        <v>5.5999999999999999E-5</v>
      </c>
      <c r="Y137" s="138">
        <v>2.9926418498788E-3</v>
      </c>
      <c r="Z137" s="138">
        <v>1.2561131847455499E-3</v>
      </c>
    </row>
    <row r="138" spans="1:26" x14ac:dyDescent="0.2">
      <c r="A138" s="3">
        <v>559</v>
      </c>
      <c r="B138" s="3">
        <v>556</v>
      </c>
      <c r="C138" s="3" t="s">
        <v>1352</v>
      </c>
      <c r="D138" s="3" t="s">
        <v>1357</v>
      </c>
      <c r="E138" s="3" t="s">
        <v>1358</v>
      </c>
      <c r="F138" s="3" t="s">
        <v>225</v>
      </c>
      <c r="G138" s="3" t="s">
        <v>61</v>
      </c>
      <c r="H138" s="3" t="s">
        <v>53</v>
      </c>
      <c r="I138" s="3" t="s">
        <v>102</v>
      </c>
      <c r="J138" s="3" t="s">
        <v>1355</v>
      </c>
      <c r="K138" s="3" t="s">
        <v>84</v>
      </c>
      <c r="L138" s="3" t="s">
        <v>1217</v>
      </c>
      <c r="M138" s="137">
        <v>7.4349999999999996</v>
      </c>
      <c r="N138" s="3" t="s">
        <v>1359</v>
      </c>
      <c r="O138" s="142">
        <v>5.6250000000000001E-2</v>
      </c>
      <c r="P138" s="138">
        <v>5.4850000000000003E-2</v>
      </c>
      <c r="R138" s="137">
        <v>45000</v>
      </c>
      <c r="S138" s="139">
        <v>3.3719999999999999</v>
      </c>
      <c r="T138" s="140">
        <v>103.77</v>
      </c>
      <c r="U138" s="137">
        <v>157.46100000000001</v>
      </c>
      <c r="W138" s="3" t="s">
        <v>17</v>
      </c>
      <c r="X138" s="138">
        <v>1.8E-5</v>
      </c>
      <c r="Y138" s="138">
        <v>1.12491694440521E-3</v>
      </c>
      <c r="Z138" s="138">
        <v>4.7216575737865001E-4</v>
      </c>
    </row>
    <row r="139" spans="1:26" x14ac:dyDescent="0.2">
      <c r="A139" s="3">
        <v>559</v>
      </c>
      <c r="B139" s="3">
        <v>556</v>
      </c>
      <c r="C139" s="3" t="s">
        <v>1352</v>
      </c>
      <c r="D139" s="3" t="s">
        <v>1360</v>
      </c>
      <c r="E139" s="3" t="s">
        <v>1361</v>
      </c>
      <c r="F139" s="3" t="s">
        <v>225</v>
      </c>
      <c r="G139" s="3" t="s">
        <v>61</v>
      </c>
      <c r="H139" s="3" t="s">
        <v>53</v>
      </c>
      <c r="I139" s="3" t="s">
        <v>102</v>
      </c>
      <c r="J139" s="3" t="s">
        <v>1355</v>
      </c>
      <c r="K139" s="3" t="s">
        <v>84</v>
      </c>
      <c r="L139" s="3" t="s">
        <v>1217</v>
      </c>
      <c r="M139" s="137">
        <v>3.3530000000000002</v>
      </c>
      <c r="N139" s="3" t="s">
        <v>1362</v>
      </c>
      <c r="O139" s="142">
        <v>5.3749999999999999E-2</v>
      </c>
      <c r="P139" s="138">
        <v>4.9230000000000003E-2</v>
      </c>
      <c r="R139" s="137">
        <v>80000</v>
      </c>
      <c r="S139" s="139">
        <v>3.3719999999999999</v>
      </c>
      <c r="T139" s="140">
        <v>103.26600000000001</v>
      </c>
      <c r="U139" s="137">
        <v>278.56900000000002</v>
      </c>
      <c r="W139" s="3" t="s">
        <v>17</v>
      </c>
      <c r="X139" s="138">
        <v>4.0000000000000003E-5</v>
      </c>
      <c r="Y139" s="138">
        <v>1.9901248420960099E-3</v>
      </c>
      <c r="Z139" s="138">
        <v>8.3532282807169303E-4</v>
      </c>
    </row>
    <row r="140" spans="1:26" x14ac:dyDescent="0.2">
      <c r="A140" s="3">
        <v>559</v>
      </c>
      <c r="B140" s="3">
        <v>556</v>
      </c>
      <c r="C140" s="3" t="s">
        <v>1352</v>
      </c>
      <c r="D140" s="3" t="s">
        <v>1363</v>
      </c>
      <c r="E140" s="3" t="s">
        <v>1364</v>
      </c>
      <c r="F140" s="3" t="s">
        <v>225</v>
      </c>
      <c r="G140" s="3" t="s">
        <v>61</v>
      </c>
      <c r="H140" s="3" t="s">
        <v>53</v>
      </c>
      <c r="I140" s="3" t="s">
        <v>102</v>
      </c>
      <c r="J140" s="3" t="s">
        <v>1355</v>
      </c>
      <c r="K140" s="3" t="s">
        <v>84</v>
      </c>
      <c r="L140" s="3" t="s">
        <v>1217</v>
      </c>
      <c r="M140" s="137">
        <v>6.9240000000000004</v>
      </c>
      <c r="N140" s="3" t="s">
        <v>1365</v>
      </c>
      <c r="O140" s="142">
        <v>5.5E-2</v>
      </c>
      <c r="P140" s="138">
        <v>5.425E-2</v>
      </c>
      <c r="R140" s="137">
        <v>127000</v>
      </c>
      <c r="S140" s="139">
        <v>3.3719999999999999</v>
      </c>
      <c r="T140" s="140">
        <v>102.574</v>
      </c>
      <c r="U140" s="137">
        <v>439.267</v>
      </c>
      <c r="W140" s="3" t="s">
        <v>17</v>
      </c>
      <c r="X140" s="138">
        <v>4.1999999999999998E-5</v>
      </c>
      <c r="Y140" s="138">
        <v>3.1381673120803701E-3</v>
      </c>
      <c r="Z140" s="138">
        <v>1.3171951521032501E-3</v>
      </c>
    </row>
    <row r="141" spans="1:26" x14ac:dyDescent="0.2">
      <c r="A141" s="3">
        <v>559</v>
      </c>
      <c r="B141" s="3">
        <v>556</v>
      </c>
      <c r="C141" s="3" t="s">
        <v>1352</v>
      </c>
      <c r="D141" s="3" t="s">
        <v>1366</v>
      </c>
      <c r="E141" s="3" t="s">
        <v>1367</v>
      </c>
      <c r="F141" s="3" t="s">
        <v>225</v>
      </c>
      <c r="G141" s="3" t="s">
        <v>61</v>
      </c>
      <c r="H141" s="3" t="s">
        <v>53</v>
      </c>
      <c r="I141" s="3" t="s">
        <v>102</v>
      </c>
      <c r="J141" s="3" t="s">
        <v>1355</v>
      </c>
      <c r="K141" s="3" t="s">
        <v>84</v>
      </c>
      <c r="L141" s="3" t="s">
        <v>1217</v>
      </c>
      <c r="M141" s="137">
        <v>13.561999999999999</v>
      </c>
      <c r="N141" s="3" t="s">
        <v>1368</v>
      </c>
      <c r="O141" s="142">
        <v>5.7500000000000002E-2</v>
      </c>
      <c r="P141" s="138">
        <v>6.3950000000000007E-2</v>
      </c>
      <c r="R141" s="137">
        <v>105000</v>
      </c>
      <c r="S141" s="139">
        <v>3.3719999999999999</v>
      </c>
      <c r="T141" s="140">
        <v>94.016999999999996</v>
      </c>
      <c r="U141" s="137">
        <v>332.87700000000001</v>
      </c>
      <c r="W141" s="3" t="s">
        <v>17</v>
      </c>
      <c r="X141" s="138">
        <v>3.4999999999999997E-5</v>
      </c>
      <c r="Y141" s="138">
        <v>2.37810359756293E-3</v>
      </c>
      <c r="Z141" s="138">
        <v>9.9817065771188305E-4</v>
      </c>
    </row>
    <row r="142" spans="1:26" x14ac:dyDescent="0.2">
      <c r="A142" s="3">
        <v>559</v>
      </c>
      <c r="B142" s="3">
        <v>556</v>
      </c>
      <c r="C142" s="3" t="s">
        <v>1369</v>
      </c>
      <c r="D142" s="3" t="s">
        <v>1370</v>
      </c>
      <c r="E142" s="3" t="s">
        <v>1371</v>
      </c>
      <c r="F142" s="3" t="s">
        <v>225</v>
      </c>
      <c r="G142" s="3" t="s">
        <v>61</v>
      </c>
      <c r="H142" s="3" t="s">
        <v>53</v>
      </c>
      <c r="I142" s="3" t="s">
        <v>102</v>
      </c>
      <c r="J142" s="3" t="s">
        <v>1355</v>
      </c>
      <c r="K142" s="3" t="s">
        <v>84</v>
      </c>
      <c r="L142" s="3" t="s">
        <v>1215</v>
      </c>
      <c r="M142" s="137">
        <v>1.5329999999999999</v>
      </c>
      <c r="N142" s="3" t="s">
        <v>1372</v>
      </c>
      <c r="O142" s="142">
        <v>1.4999999999999999E-2</v>
      </c>
      <c r="P142" s="138">
        <v>3.2050000000000002E-2</v>
      </c>
      <c r="R142" s="137">
        <v>350000</v>
      </c>
      <c r="S142" s="139">
        <v>3.9552</v>
      </c>
      <c r="T142" s="140">
        <v>98.015000000000001</v>
      </c>
      <c r="U142" s="137">
        <v>1356.8389999999999</v>
      </c>
      <c r="W142" s="3" t="s">
        <v>17</v>
      </c>
      <c r="X142" s="138">
        <v>1.6899999999999999E-4</v>
      </c>
      <c r="Y142" s="138">
        <v>9.6933958051380695E-3</v>
      </c>
      <c r="Z142" s="138">
        <v>4.0686466629089903E-3</v>
      </c>
    </row>
    <row r="143" spans="1:26" x14ac:dyDescent="0.2">
      <c r="A143" s="3">
        <v>559</v>
      </c>
      <c r="B143" s="3">
        <v>556</v>
      </c>
      <c r="C143" s="3" t="s">
        <v>1341</v>
      </c>
      <c r="D143" s="3" t="s">
        <v>1373</v>
      </c>
      <c r="E143" s="3" t="s">
        <v>1374</v>
      </c>
      <c r="F143" s="3" t="s">
        <v>225</v>
      </c>
      <c r="G143" s="3" t="s">
        <v>61</v>
      </c>
      <c r="H143" s="3" t="s">
        <v>314</v>
      </c>
      <c r="I143" s="3" t="s">
        <v>1150</v>
      </c>
      <c r="J143" s="3" t="s">
        <v>1339</v>
      </c>
      <c r="K143" s="3" t="s">
        <v>101</v>
      </c>
      <c r="L143" s="3" t="s">
        <v>1217</v>
      </c>
      <c r="M143" s="137">
        <v>13.294</v>
      </c>
      <c r="N143" s="3" t="s">
        <v>1375</v>
      </c>
      <c r="O143" s="142">
        <v>1.125E-2</v>
      </c>
      <c r="P143" s="138">
        <v>4.7600000000000003E-2</v>
      </c>
      <c r="R143" s="137">
        <v>195000</v>
      </c>
      <c r="S143" s="139">
        <v>3.3719999999999999</v>
      </c>
      <c r="T143" s="140">
        <v>62.279000000000003</v>
      </c>
      <c r="U143" s="137">
        <v>409.51100000000002</v>
      </c>
      <c r="W143" s="3" t="s">
        <v>17</v>
      </c>
      <c r="X143" s="138">
        <v>3.0000000000000001E-6</v>
      </c>
      <c r="Y143" s="138">
        <v>2.92558961704836E-3</v>
      </c>
      <c r="Z143" s="138">
        <v>1.22796909068085E-3</v>
      </c>
    </row>
    <row r="144" spans="1:26" x14ac:dyDescent="0.2">
      <c r="A144" s="3">
        <v>559</v>
      </c>
      <c r="B144" s="3">
        <v>556</v>
      </c>
      <c r="C144" s="3" t="s">
        <v>1341</v>
      </c>
      <c r="D144" s="3" t="s">
        <v>1376</v>
      </c>
      <c r="E144" s="3" t="s">
        <v>1377</v>
      </c>
      <c r="F144" s="3" t="s">
        <v>225</v>
      </c>
      <c r="G144" s="3" t="s">
        <v>61</v>
      </c>
      <c r="H144" s="3" t="s">
        <v>314</v>
      </c>
      <c r="I144" s="3" t="s">
        <v>1150</v>
      </c>
      <c r="J144" s="3" t="s">
        <v>1339</v>
      </c>
      <c r="K144" s="3" t="s">
        <v>101</v>
      </c>
      <c r="L144" s="3" t="s">
        <v>1217</v>
      </c>
      <c r="M144" s="137">
        <v>13.420999999999999</v>
      </c>
      <c r="N144" s="3" t="s">
        <v>1378</v>
      </c>
      <c r="O144" s="142">
        <v>1.125E-2</v>
      </c>
      <c r="P144" s="138">
        <v>4.786E-2</v>
      </c>
      <c r="R144" s="137">
        <v>408000</v>
      </c>
      <c r="S144" s="139">
        <v>3.3719999999999999</v>
      </c>
      <c r="T144" s="140">
        <v>61.932000000000002</v>
      </c>
      <c r="U144" s="137">
        <v>852.04100000000005</v>
      </c>
      <c r="W144" s="3" t="s">
        <v>17</v>
      </c>
      <c r="X144" s="138">
        <v>5.0000000000000004E-6</v>
      </c>
      <c r="Y144" s="138">
        <v>6.0870688961162196E-3</v>
      </c>
      <c r="Z144" s="138">
        <v>2.5549490652133399E-3</v>
      </c>
    </row>
    <row r="145" spans="1:26" x14ac:dyDescent="0.2">
      <c r="A145" s="3">
        <v>559</v>
      </c>
      <c r="B145" s="3">
        <v>556</v>
      </c>
      <c r="C145" s="3" t="s">
        <v>1341</v>
      </c>
      <c r="D145" s="3" t="s">
        <v>1379</v>
      </c>
      <c r="E145" s="3" t="s">
        <v>1380</v>
      </c>
      <c r="F145" s="3" t="s">
        <v>225</v>
      </c>
      <c r="G145" s="3" t="s">
        <v>61</v>
      </c>
      <c r="H145" s="3" t="s">
        <v>314</v>
      </c>
      <c r="I145" s="3" t="s">
        <v>1150</v>
      </c>
      <c r="J145" s="3" t="s">
        <v>1339</v>
      </c>
      <c r="K145" s="3" t="s">
        <v>101</v>
      </c>
      <c r="L145" s="3" t="s">
        <v>1217</v>
      </c>
      <c r="M145" s="137">
        <v>5.5910000000000002</v>
      </c>
      <c r="N145" s="3" t="s">
        <v>1381</v>
      </c>
      <c r="O145" s="142">
        <v>1.6250000000000001E-2</v>
      </c>
      <c r="P145" s="138">
        <v>3.9399999999999998E-2</v>
      </c>
      <c r="R145" s="137">
        <v>122000</v>
      </c>
      <c r="S145" s="139">
        <v>3.3719999999999999</v>
      </c>
      <c r="T145" s="140">
        <v>88.349000000000004</v>
      </c>
      <c r="U145" s="137">
        <v>363.45299999999997</v>
      </c>
      <c r="W145" s="3" t="s">
        <v>17</v>
      </c>
      <c r="X145" s="138">
        <v>9.9999999999999995E-7</v>
      </c>
      <c r="Y145" s="138">
        <v>2.5965415979377201E-3</v>
      </c>
      <c r="Z145" s="138">
        <v>1.0898564878526801E-3</v>
      </c>
    </row>
    <row r="146" spans="1:26" x14ac:dyDescent="0.2">
      <c r="A146" s="3">
        <v>559</v>
      </c>
      <c r="B146" s="3">
        <v>556</v>
      </c>
      <c r="C146" s="3" t="s">
        <v>1336</v>
      </c>
      <c r="D146" s="3" t="s">
        <v>1382</v>
      </c>
      <c r="E146" s="3" t="s">
        <v>1383</v>
      </c>
      <c r="F146" s="3" t="s">
        <v>225</v>
      </c>
      <c r="G146" s="3" t="s">
        <v>61</v>
      </c>
      <c r="H146" s="3" t="s">
        <v>314</v>
      </c>
      <c r="I146" s="3" t="s">
        <v>1150</v>
      </c>
      <c r="J146" s="3" t="s">
        <v>1339</v>
      </c>
      <c r="K146" s="3" t="s">
        <v>101</v>
      </c>
      <c r="L146" s="3" t="s">
        <v>1217</v>
      </c>
      <c r="M146" s="137">
        <v>14.478999999999999</v>
      </c>
      <c r="N146" s="3" t="s">
        <v>1384</v>
      </c>
      <c r="O146" s="142">
        <v>2.5000000000000001E-2</v>
      </c>
      <c r="P146" s="138">
        <v>4.9209999999999997E-2</v>
      </c>
      <c r="R146" s="137">
        <v>60000</v>
      </c>
      <c r="S146" s="139">
        <v>3.3719999999999999</v>
      </c>
      <c r="T146" s="140">
        <v>71.421999999999997</v>
      </c>
      <c r="U146" s="137">
        <v>144.501</v>
      </c>
      <c r="W146" s="3" t="s">
        <v>17</v>
      </c>
      <c r="X146" s="138">
        <v>9.9999999999999995E-7</v>
      </c>
      <c r="Y146" s="138">
        <v>1.0323280582069799E-3</v>
      </c>
      <c r="Z146" s="138">
        <v>4.3330306463136499E-4</v>
      </c>
    </row>
    <row r="147" spans="1:26" x14ac:dyDescent="0.2">
      <c r="A147" s="3">
        <v>559</v>
      </c>
      <c r="B147" s="3">
        <v>556</v>
      </c>
      <c r="C147" s="3" t="s">
        <v>1341</v>
      </c>
      <c r="D147" s="3" t="s">
        <v>1385</v>
      </c>
      <c r="E147" s="3" t="s">
        <v>1386</v>
      </c>
      <c r="F147" s="3" t="s">
        <v>225</v>
      </c>
      <c r="G147" s="3" t="s">
        <v>61</v>
      </c>
      <c r="H147" s="3" t="s">
        <v>314</v>
      </c>
      <c r="I147" s="3" t="s">
        <v>1150</v>
      </c>
      <c r="J147" s="3" t="s">
        <v>1339</v>
      </c>
      <c r="K147" s="3" t="s">
        <v>101</v>
      </c>
      <c r="L147" s="3" t="s">
        <v>1217</v>
      </c>
      <c r="M147" s="137">
        <v>13.372999999999999</v>
      </c>
      <c r="N147" s="3" t="s">
        <v>1387</v>
      </c>
      <c r="O147" s="142">
        <v>0.02</v>
      </c>
      <c r="P147" s="138">
        <v>4.8379999999999999E-2</v>
      </c>
      <c r="R147" s="137">
        <v>487000</v>
      </c>
      <c r="S147" s="139">
        <v>3.3719999999999999</v>
      </c>
      <c r="T147" s="140">
        <v>69.028000000000006</v>
      </c>
      <c r="U147" s="137">
        <v>1133.5509999999999</v>
      </c>
      <c r="W147" s="3" t="s">
        <v>17</v>
      </c>
      <c r="X147" s="138">
        <v>6.9999999999999999E-6</v>
      </c>
      <c r="Y147" s="138">
        <v>8.0982009469304696E-3</v>
      </c>
      <c r="Z147" s="138">
        <v>3.3990893305760098E-3</v>
      </c>
    </row>
    <row r="148" spans="1:26" x14ac:dyDescent="0.2">
      <c r="A148" s="3">
        <v>559</v>
      </c>
      <c r="B148" s="3">
        <v>556</v>
      </c>
      <c r="C148" s="3" t="s">
        <v>1341</v>
      </c>
      <c r="D148" s="3" t="s">
        <v>1388</v>
      </c>
      <c r="E148" s="3" t="s">
        <v>1389</v>
      </c>
      <c r="F148" s="3" t="s">
        <v>225</v>
      </c>
      <c r="G148" s="3" t="s">
        <v>61</v>
      </c>
      <c r="H148" s="3" t="s">
        <v>314</v>
      </c>
      <c r="I148" s="3" t="s">
        <v>1150</v>
      </c>
      <c r="J148" s="3" t="s">
        <v>1339</v>
      </c>
      <c r="K148" s="3" t="s">
        <v>101</v>
      </c>
      <c r="L148" s="3" t="s">
        <v>1217</v>
      </c>
      <c r="M148" s="137">
        <v>13.058</v>
      </c>
      <c r="N148" s="3" t="s">
        <v>1390</v>
      </c>
      <c r="O148" s="142">
        <v>2.375E-2</v>
      </c>
      <c r="P148" s="138">
        <v>4.8370000000000003E-2</v>
      </c>
      <c r="R148" s="137">
        <v>82000</v>
      </c>
      <c r="S148" s="139">
        <v>3.3719999999999999</v>
      </c>
      <c r="T148" s="140">
        <v>73.644000000000005</v>
      </c>
      <c r="U148" s="137">
        <v>203.62899999999999</v>
      </c>
      <c r="W148" s="3" t="s">
        <v>17</v>
      </c>
      <c r="X148" s="138">
        <v>9.9999999999999995E-7</v>
      </c>
      <c r="Y148" s="138">
        <v>1.4547435781432699E-3</v>
      </c>
      <c r="Z148" s="138">
        <v>6.1060517114792402E-4</v>
      </c>
    </row>
    <row r="149" spans="1:26" x14ac:dyDescent="0.2">
      <c r="A149" s="3">
        <v>559</v>
      </c>
      <c r="B149" s="3">
        <v>556</v>
      </c>
      <c r="C149" s="3" t="s">
        <v>1345</v>
      </c>
      <c r="D149" s="3" t="s">
        <v>1391</v>
      </c>
      <c r="E149" s="3" t="s">
        <v>1392</v>
      </c>
      <c r="F149" s="3" t="s">
        <v>225</v>
      </c>
      <c r="G149" s="3" t="s">
        <v>61</v>
      </c>
      <c r="H149" s="3" t="s">
        <v>314</v>
      </c>
      <c r="I149" s="3" t="s">
        <v>1150</v>
      </c>
      <c r="J149" s="3" t="s">
        <v>1339</v>
      </c>
      <c r="K149" s="3" t="s">
        <v>101</v>
      </c>
      <c r="L149" s="3" t="s">
        <v>1217</v>
      </c>
      <c r="M149" s="137">
        <v>12.6</v>
      </c>
      <c r="N149" s="3" t="s">
        <v>1393</v>
      </c>
      <c r="O149" s="142">
        <v>3.2500000000000001E-2</v>
      </c>
      <c r="P149" s="138">
        <v>4.8129999999999999E-2</v>
      </c>
      <c r="R149" s="137">
        <v>65000</v>
      </c>
      <c r="S149" s="139">
        <v>3.3719999999999999</v>
      </c>
      <c r="T149" s="140">
        <v>83.174999999999997</v>
      </c>
      <c r="U149" s="137">
        <v>182.303</v>
      </c>
      <c r="W149" s="3" t="s">
        <v>17</v>
      </c>
      <c r="X149" s="138">
        <v>9.9999999999999995E-7</v>
      </c>
      <c r="Y149" s="138">
        <v>1.3023935452572701E-3</v>
      </c>
      <c r="Z149" s="138">
        <v>5.4665870023551605E-4</v>
      </c>
    </row>
    <row r="150" spans="1:26" x14ac:dyDescent="0.2">
      <c r="A150" s="3">
        <v>559</v>
      </c>
      <c r="B150" s="3">
        <v>556</v>
      </c>
      <c r="C150" s="3" t="s">
        <v>1341</v>
      </c>
      <c r="D150" s="3" t="s">
        <v>1394</v>
      </c>
      <c r="E150" s="3" t="s">
        <v>1395</v>
      </c>
      <c r="F150" s="3" t="s">
        <v>225</v>
      </c>
      <c r="G150" s="3" t="s">
        <v>61</v>
      </c>
      <c r="H150" s="3" t="s">
        <v>314</v>
      </c>
      <c r="I150" s="3" t="s">
        <v>1150</v>
      </c>
      <c r="J150" s="3" t="s">
        <v>1339</v>
      </c>
      <c r="K150" s="3" t="s">
        <v>101</v>
      </c>
      <c r="L150" s="3" t="s">
        <v>1217</v>
      </c>
      <c r="M150" s="137">
        <v>13.45</v>
      </c>
      <c r="N150" s="3" t="s">
        <v>1396</v>
      </c>
      <c r="O150" s="142">
        <v>3.3750000000000002E-2</v>
      </c>
      <c r="P150" s="138">
        <v>4.8820000000000002E-2</v>
      </c>
      <c r="R150" s="137">
        <v>119000</v>
      </c>
      <c r="S150" s="139">
        <v>3.3719999999999999</v>
      </c>
      <c r="T150" s="140">
        <v>82.712999999999994</v>
      </c>
      <c r="U150" s="137">
        <v>331.90100000000001</v>
      </c>
      <c r="W150" s="3" t="s">
        <v>17</v>
      </c>
      <c r="X150" s="138">
        <v>3.0000000000000001E-6</v>
      </c>
      <c r="Y150" s="138">
        <v>2.3711323429036102E-3</v>
      </c>
      <c r="Z150" s="138">
        <v>9.9524458592279005E-4</v>
      </c>
    </row>
    <row r="151" spans="1:26" x14ac:dyDescent="0.2">
      <c r="A151" s="3">
        <v>559</v>
      </c>
      <c r="B151" s="3">
        <v>556</v>
      </c>
      <c r="C151" s="3" t="s">
        <v>1341</v>
      </c>
      <c r="D151" s="3" t="s">
        <v>1397</v>
      </c>
      <c r="E151" s="3" t="s">
        <v>1398</v>
      </c>
      <c r="F151" s="3" t="s">
        <v>225</v>
      </c>
      <c r="G151" s="3" t="s">
        <v>61</v>
      </c>
      <c r="H151" s="3" t="s">
        <v>314</v>
      </c>
      <c r="I151" s="3" t="s">
        <v>1150</v>
      </c>
      <c r="J151" s="3" t="s">
        <v>1339</v>
      </c>
      <c r="K151" s="3" t="s">
        <v>101</v>
      </c>
      <c r="L151" s="3" t="s">
        <v>1217</v>
      </c>
      <c r="M151" s="137">
        <v>10.622</v>
      </c>
      <c r="N151" s="3" t="s">
        <v>1399</v>
      </c>
      <c r="O151" s="142">
        <v>3.5000000000000003E-2</v>
      </c>
      <c r="P151" s="138">
        <v>4.5350000000000001E-2</v>
      </c>
      <c r="R151" s="137">
        <v>161000</v>
      </c>
      <c r="S151" s="139">
        <v>3.3719999999999999</v>
      </c>
      <c r="T151" s="140">
        <v>91.56</v>
      </c>
      <c r="U151" s="137">
        <v>497.07299999999998</v>
      </c>
      <c r="W151" s="3" t="s">
        <v>17</v>
      </c>
      <c r="X151" s="138">
        <v>6.0000000000000002E-6</v>
      </c>
      <c r="Y151" s="138">
        <v>3.5511360698436598E-3</v>
      </c>
      <c r="Z151" s="138">
        <v>1.4905321324490499E-3</v>
      </c>
    </row>
    <row r="152" spans="1:26" x14ac:dyDescent="0.2">
      <c r="A152" s="3">
        <v>559</v>
      </c>
      <c r="B152" s="3">
        <v>556</v>
      </c>
      <c r="C152" s="3" t="s">
        <v>1341</v>
      </c>
      <c r="D152" s="3" t="s">
        <v>1400</v>
      </c>
      <c r="E152" s="3" t="s">
        <v>1401</v>
      </c>
      <c r="F152" s="3" t="s">
        <v>225</v>
      </c>
      <c r="G152" s="3" t="s">
        <v>61</v>
      </c>
      <c r="H152" s="3" t="s">
        <v>314</v>
      </c>
      <c r="I152" s="3" t="s">
        <v>1150</v>
      </c>
      <c r="J152" s="3" t="s">
        <v>1339</v>
      </c>
      <c r="K152" s="3" t="s">
        <v>101</v>
      </c>
      <c r="L152" s="3" t="s">
        <v>1217</v>
      </c>
      <c r="M152" s="137">
        <v>13.016999999999999</v>
      </c>
      <c r="N152" s="3" t="s">
        <v>1402</v>
      </c>
      <c r="O152" s="142">
        <v>3.6249999999999998E-2</v>
      </c>
      <c r="P152" s="138">
        <v>4.8680000000000001E-2</v>
      </c>
      <c r="R152" s="137">
        <v>135000</v>
      </c>
      <c r="S152" s="139">
        <v>3.3719999999999999</v>
      </c>
      <c r="T152" s="140">
        <v>86.997</v>
      </c>
      <c r="U152" s="137">
        <v>396.02800000000002</v>
      </c>
      <c r="W152" s="3" t="s">
        <v>17</v>
      </c>
      <c r="X152" s="138">
        <v>3.0000000000000001E-6</v>
      </c>
      <c r="Y152" s="138">
        <v>2.8292634784435199E-3</v>
      </c>
      <c r="Z152" s="138">
        <v>1.18753774646836E-3</v>
      </c>
    </row>
    <row r="153" spans="1:26" x14ac:dyDescent="0.2">
      <c r="A153" s="3">
        <v>559</v>
      </c>
      <c r="B153" s="3">
        <v>556</v>
      </c>
      <c r="C153" s="3" t="s">
        <v>1341</v>
      </c>
      <c r="D153" s="3" t="s">
        <v>1403</v>
      </c>
      <c r="E153" s="3" t="s">
        <v>1404</v>
      </c>
      <c r="F153" s="3" t="s">
        <v>225</v>
      </c>
      <c r="G153" s="3" t="s">
        <v>61</v>
      </c>
      <c r="H153" s="3" t="s">
        <v>314</v>
      </c>
      <c r="I153" s="3" t="s">
        <v>1150</v>
      </c>
      <c r="J153" s="3" t="s">
        <v>1339</v>
      </c>
      <c r="K153" s="3" t="s">
        <v>101</v>
      </c>
      <c r="L153" s="3" t="s">
        <v>1217</v>
      </c>
      <c r="M153" s="137">
        <v>6.9340000000000002</v>
      </c>
      <c r="N153" s="3" t="s">
        <v>1405</v>
      </c>
      <c r="O153" s="142">
        <v>3.875E-2</v>
      </c>
      <c r="P153" s="138">
        <v>4.147E-2</v>
      </c>
      <c r="R153" s="137">
        <v>140000</v>
      </c>
      <c r="S153" s="139">
        <v>3.3719999999999999</v>
      </c>
      <c r="T153" s="140">
        <v>99.938000000000002</v>
      </c>
      <c r="U153" s="137">
        <v>471.78500000000003</v>
      </c>
      <c r="W153" s="3" t="s">
        <v>17</v>
      </c>
      <c r="X153" s="138">
        <v>9.9999999999999995E-7</v>
      </c>
      <c r="Y153" s="138">
        <v>3.3704796328895802E-3</v>
      </c>
      <c r="Z153" s="138">
        <v>1.4147045046370699E-3</v>
      </c>
    </row>
    <row r="154" spans="1:26" x14ac:dyDescent="0.2">
      <c r="A154" s="3">
        <v>559</v>
      </c>
      <c r="B154" s="3">
        <v>556</v>
      </c>
      <c r="C154" s="3" t="s">
        <v>1341</v>
      </c>
      <c r="D154" s="3" t="s">
        <v>1409</v>
      </c>
      <c r="E154" s="3" t="s">
        <v>1410</v>
      </c>
      <c r="F154" s="3" t="s">
        <v>225</v>
      </c>
      <c r="G154" s="3" t="s">
        <v>61</v>
      </c>
      <c r="H154" s="3" t="s">
        <v>314</v>
      </c>
      <c r="I154" s="3" t="s">
        <v>1150</v>
      </c>
      <c r="J154" s="3" t="s">
        <v>1339</v>
      </c>
      <c r="K154" s="3" t="s">
        <v>101</v>
      </c>
      <c r="L154" s="3" t="s">
        <v>1217</v>
      </c>
      <c r="M154" s="137">
        <v>0.19400000000000001</v>
      </c>
      <c r="N154" s="3" t="s">
        <v>1411</v>
      </c>
      <c r="O154" s="142">
        <v>0</v>
      </c>
      <c r="P154" s="138">
        <v>4.3150000000000001E-2</v>
      </c>
      <c r="R154" s="137">
        <v>120000</v>
      </c>
      <c r="S154" s="139">
        <v>3.3719999999999999</v>
      </c>
      <c r="T154" s="140">
        <v>99.188999999999993</v>
      </c>
      <c r="U154" s="137">
        <v>401.36</v>
      </c>
      <c r="W154" s="3" t="s">
        <v>17</v>
      </c>
      <c r="X154" s="138">
        <v>1.9999999999999999E-6</v>
      </c>
      <c r="Y154" s="138">
        <v>2.8673529397540399E-3</v>
      </c>
      <c r="Z154" s="138">
        <v>1.2035251839741001E-3</v>
      </c>
    </row>
    <row r="155" spans="1:26" x14ac:dyDescent="0.2">
      <c r="A155" s="3">
        <v>559</v>
      </c>
      <c r="B155" s="3">
        <v>556</v>
      </c>
      <c r="C155" s="3" t="s">
        <v>1336</v>
      </c>
      <c r="D155" s="3" t="s">
        <v>1412</v>
      </c>
      <c r="E155" s="3" t="s">
        <v>1413</v>
      </c>
      <c r="F155" s="3" t="s">
        <v>225</v>
      </c>
      <c r="G155" s="3" t="s">
        <v>61</v>
      </c>
      <c r="H155" s="3" t="s">
        <v>314</v>
      </c>
      <c r="I155" s="3" t="s">
        <v>1150</v>
      </c>
      <c r="J155" s="3" t="s">
        <v>1339</v>
      </c>
      <c r="K155" s="3" t="s">
        <v>101</v>
      </c>
      <c r="L155" s="3" t="s">
        <v>1217</v>
      </c>
      <c r="M155" s="137">
        <v>0.41499999999999998</v>
      </c>
      <c r="N155" s="3" t="s">
        <v>1273</v>
      </c>
      <c r="O155" s="142">
        <v>3.7499999999999999E-3</v>
      </c>
      <c r="P155" s="138">
        <v>4.3389999999999998E-2</v>
      </c>
      <c r="R155" s="137">
        <v>220000</v>
      </c>
      <c r="S155" s="139">
        <v>3.3719999999999999</v>
      </c>
      <c r="T155" s="140">
        <v>98.397999999999996</v>
      </c>
      <c r="U155" s="137">
        <v>729.95600000000002</v>
      </c>
      <c r="W155" s="3" t="s">
        <v>17</v>
      </c>
      <c r="X155" s="138">
        <v>3.9999999999999998E-6</v>
      </c>
      <c r="Y155" s="138">
        <v>5.2148777325396198E-3</v>
      </c>
      <c r="Z155" s="138">
        <v>2.1888608812124701E-3</v>
      </c>
    </row>
    <row r="156" spans="1:26" x14ac:dyDescent="0.2">
      <c r="A156" s="3">
        <v>559</v>
      </c>
      <c r="B156" s="3">
        <v>556</v>
      </c>
      <c r="C156" s="3" t="s">
        <v>1414</v>
      </c>
      <c r="D156" s="3" t="s">
        <v>1415</v>
      </c>
      <c r="E156" s="3" t="s">
        <v>1416</v>
      </c>
      <c r="F156" s="3" t="s">
        <v>225</v>
      </c>
      <c r="G156" s="3" t="s">
        <v>61</v>
      </c>
      <c r="H156" s="3" t="s">
        <v>314</v>
      </c>
      <c r="I156" s="3" t="s">
        <v>1150</v>
      </c>
      <c r="J156" s="3" t="s">
        <v>1339</v>
      </c>
      <c r="K156" s="3" t="s">
        <v>101</v>
      </c>
      <c r="L156" s="3" t="s">
        <v>1217</v>
      </c>
      <c r="M156" s="137">
        <v>6.2350000000000003</v>
      </c>
      <c r="N156" s="3" t="s">
        <v>1417</v>
      </c>
      <c r="O156" s="142">
        <v>2.8750000000000001E-2</v>
      </c>
      <c r="P156" s="138">
        <v>4.0460000000000003E-2</v>
      </c>
      <c r="R156" s="137">
        <v>108000</v>
      </c>
      <c r="S156" s="139">
        <v>3.3719999999999999</v>
      </c>
      <c r="T156" s="140">
        <v>93.641000000000005</v>
      </c>
      <c r="U156" s="137">
        <v>341.017</v>
      </c>
      <c r="W156" s="3" t="s">
        <v>17</v>
      </c>
      <c r="X156" s="138">
        <v>9.9999999999999995E-7</v>
      </c>
      <c r="Y156" s="138">
        <v>2.4362585305836601E-3</v>
      </c>
      <c r="Z156" s="138">
        <v>1.02258025357726E-3</v>
      </c>
    </row>
    <row r="157" spans="1:26" x14ac:dyDescent="0.2">
      <c r="A157" s="3">
        <v>559</v>
      </c>
      <c r="B157" s="3">
        <v>556</v>
      </c>
      <c r="C157" s="3" t="s">
        <v>1341</v>
      </c>
      <c r="D157" s="3" t="s">
        <v>1418</v>
      </c>
      <c r="E157" s="3" t="s">
        <v>1419</v>
      </c>
      <c r="F157" s="3" t="s">
        <v>225</v>
      </c>
      <c r="G157" s="3" t="s">
        <v>61</v>
      </c>
      <c r="H157" s="3" t="s">
        <v>314</v>
      </c>
      <c r="I157" s="3" t="s">
        <v>1150</v>
      </c>
      <c r="J157" s="3" t="s">
        <v>1339</v>
      </c>
      <c r="K157" s="3" t="s">
        <v>101</v>
      </c>
      <c r="L157" s="3" t="s">
        <v>1217</v>
      </c>
      <c r="M157" s="137">
        <v>7.6379999999999999</v>
      </c>
      <c r="N157" s="3" t="s">
        <v>1420</v>
      </c>
      <c r="O157" s="142">
        <v>3.875E-2</v>
      </c>
      <c r="P157" s="138">
        <v>4.24E-2</v>
      </c>
      <c r="R157" s="137">
        <v>100000</v>
      </c>
      <c r="S157" s="139">
        <v>3.3719999999999999</v>
      </c>
      <c r="T157" s="140">
        <v>99.09</v>
      </c>
      <c r="U157" s="137">
        <v>334.13</v>
      </c>
      <c r="W157" s="3" t="s">
        <v>17</v>
      </c>
      <c r="X157" s="138">
        <v>9.9999999999999995E-7</v>
      </c>
      <c r="Y157" s="138">
        <v>2.3870570731666101E-3</v>
      </c>
      <c r="Z157" s="138">
        <v>1.00192873479536E-3</v>
      </c>
    </row>
    <row r="158" spans="1:26" x14ac:dyDescent="0.2">
      <c r="A158" s="3">
        <v>559</v>
      </c>
      <c r="B158" s="3">
        <v>556</v>
      </c>
      <c r="C158" s="3" t="s">
        <v>1341</v>
      </c>
      <c r="D158" s="3" t="s">
        <v>1421</v>
      </c>
      <c r="E158" s="3" t="s">
        <v>1422</v>
      </c>
      <c r="F158" s="3" t="s">
        <v>225</v>
      </c>
      <c r="G158" s="3" t="s">
        <v>61</v>
      </c>
      <c r="H158" s="3" t="s">
        <v>314</v>
      </c>
      <c r="I158" s="3" t="s">
        <v>1150</v>
      </c>
      <c r="J158" s="3" t="s">
        <v>1339</v>
      </c>
      <c r="K158" s="3" t="s">
        <v>101</v>
      </c>
      <c r="L158" s="3" t="s">
        <v>1217</v>
      </c>
      <c r="M158" s="137">
        <v>13.388</v>
      </c>
      <c r="N158" s="3" t="s">
        <v>1423</v>
      </c>
      <c r="O158" s="142">
        <v>2.8750000000000001E-2</v>
      </c>
      <c r="P158" s="138">
        <v>4.8660000000000002E-2</v>
      </c>
      <c r="R158" s="137">
        <v>185000</v>
      </c>
      <c r="S158" s="139">
        <v>3.3719999999999999</v>
      </c>
      <c r="T158" s="140">
        <v>77.483999999999995</v>
      </c>
      <c r="U158" s="137">
        <v>483.363</v>
      </c>
      <c r="W158" s="3" t="s">
        <v>17</v>
      </c>
      <c r="X158" s="138">
        <v>3.9999999999999998E-6</v>
      </c>
      <c r="Y158" s="138">
        <v>3.4531937371242698E-3</v>
      </c>
      <c r="Z158" s="138">
        <v>1.4494224168048199E-3</v>
      </c>
    </row>
    <row r="159" spans="1:26" x14ac:dyDescent="0.2">
      <c r="A159" s="3">
        <v>559</v>
      </c>
      <c r="B159" s="3">
        <v>556</v>
      </c>
      <c r="C159" s="3" t="s">
        <v>1341</v>
      </c>
      <c r="D159" s="3" t="s">
        <v>1424</v>
      </c>
      <c r="E159" s="3" t="s">
        <v>1425</v>
      </c>
      <c r="F159" s="3" t="s">
        <v>225</v>
      </c>
      <c r="G159" s="3" t="s">
        <v>61</v>
      </c>
      <c r="H159" s="3" t="s">
        <v>314</v>
      </c>
      <c r="I159" s="3" t="s">
        <v>1150</v>
      </c>
      <c r="J159" s="3" t="s">
        <v>1339</v>
      </c>
      <c r="K159" s="3" t="s">
        <v>101</v>
      </c>
      <c r="L159" s="3" t="s">
        <v>1217</v>
      </c>
      <c r="M159" s="137">
        <v>0.17499999999999999</v>
      </c>
      <c r="N159" s="3" t="s">
        <v>1426</v>
      </c>
      <c r="O159" s="142">
        <v>0</v>
      </c>
      <c r="P159" s="138">
        <v>4.3729999999999998E-2</v>
      </c>
      <c r="R159" s="137">
        <v>120000</v>
      </c>
      <c r="S159" s="139">
        <v>3.3719999999999999</v>
      </c>
      <c r="T159" s="140">
        <v>99.263000000000005</v>
      </c>
      <c r="U159" s="137">
        <v>401.65699999999998</v>
      </c>
      <c r="W159" s="3" t="s">
        <v>17</v>
      </c>
      <c r="X159" s="138">
        <v>1.9999999999999999E-6</v>
      </c>
      <c r="Y159" s="138">
        <v>2.8694805601361399E-3</v>
      </c>
      <c r="Z159" s="138">
        <v>1.2044182183390999E-3</v>
      </c>
    </row>
    <row r="160" spans="1:26" x14ac:dyDescent="0.2">
      <c r="A160" s="3">
        <v>559</v>
      </c>
      <c r="B160" s="3">
        <v>556</v>
      </c>
      <c r="C160" s="3" t="s">
        <v>1341</v>
      </c>
      <c r="D160" s="3" t="s">
        <v>1427</v>
      </c>
      <c r="E160" s="3" t="s">
        <v>1428</v>
      </c>
      <c r="F160" s="3" t="s">
        <v>225</v>
      </c>
      <c r="G160" s="3" t="s">
        <v>61</v>
      </c>
      <c r="H160" s="3" t="s">
        <v>314</v>
      </c>
      <c r="I160" s="3" t="s">
        <v>1150</v>
      </c>
      <c r="J160" s="3" t="s">
        <v>1339</v>
      </c>
      <c r="K160" s="3" t="s">
        <v>101</v>
      </c>
      <c r="L160" s="3" t="s">
        <v>1217</v>
      </c>
      <c r="M160" s="137">
        <v>0.315</v>
      </c>
      <c r="N160" s="3" t="s">
        <v>1429</v>
      </c>
      <c r="O160" s="142">
        <v>0</v>
      </c>
      <c r="P160" s="138">
        <v>4.2849999999999999E-2</v>
      </c>
      <c r="R160" s="137">
        <v>130000</v>
      </c>
      <c r="S160" s="139">
        <v>3.3719999999999999</v>
      </c>
      <c r="T160" s="140">
        <v>98.683000000000007</v>
      </c>
      <c r="U160" s="137">
        <v>432.58800000000002</v>
      </c>
      <c r="W160" s="3" t="s">
        <v>17</v>
      </c>
      <c r="X160" s="138">
        <v>1.9999999999999999E-6</v>
      </c>
      <c r="Y160" s="138">
        <v>3.0904495470751099E-3</v>
      </c>
      <c r="Z160" s="138">
        <v>1.29716638929887E-3</v>
      </c>
    </row>
    <row r="161" spans="1:26" x14ac:dyDescent="0.2">
      <c r="A161" s="3">
        <v>559</v>
      </c>
      <c r="B161" s="3">
        <v>556</v>
      </c>
      <c r="C161" s="3" t="s">
        <v>1341</v>
      </c>
      <c r="D161" s="3" t="s">
        <v>1430</v>
      </c>
      <c r="E161" s="3" t="s">
        <v>1431</v>
      </c>
      <c r="F161" s="3" t="s">
        <v>225</v>
      </c>
      <c r="G161" s="3" t="s">
        <v>61</v>
      </c>
      <c r="H161" s="3" t="s">
        <v>314</v>
      </c>
      <c r="I161" s="3" t="s">
        <v>1150</v>
      </c>
      <c r="J161" s="3" t="s">
        <v>1339</v>
      </c>
      <c r="K161" s="3" t="s">
        <v>101</v>
      </c>
      <c r="L161" s="3" t="s">
        <v>1217</v>
      </c>
      <c r="M161" s="137">
        <v>0.33200000000000002</v>
      </c>
      <c r="N161" s="3" t="s">
        <v>1257</v>
      </c>
      <c r="O161" s="142">
        <v>0.03</v>
      </c>
      <c r="P161" s="138">
        <v>4.3459999999999999E-2</v>
      </c>
      <c r="R161" s="137">
        <v>120000</v>
      </c>
      <c r="S161" s="139">
        <v>3.3719999999999999</v>
      </c>
      <c r="T161" s="140">
        <v>100.032</v>
      </c>
      <c r="U161" s="137">
        <v>404.77</v>
      </c>
      <c r="W161" s="3" t="s">
        <v>17</v>
      </c>
      <c r="X161" s="138">
        <v>3.9999999999999998E-6</v>
      </c>
      <c r="Y161" s="138">
        <v>2.8917208612146599E-3</v>
      </c>
      <c r="Z161" s="138">
        <v>1.2137532262748399E-3</v>
      </c>
    </row>
    <row r="162" spans="1:26" x14ac:dyDescent="0.2">
      <c r="A162" s="3">
        <v>559</v>
      </c>
      <c r="B162" s="3">
        <v>556</v>
      </c>
      <c r="C162" s="3" t="s">
        <v>1341</v>
      </c>
      <c r="D162" s="3" t="s">
        <v>1469</v>
      </c>
      <c r="E162" s="3" t="s">
        <v>1470</v>
      </c>
      <c r="F162" s="3" t="s">
        <v>225</v>
      </c>
      <c r="G162" s="3" t="s">
        <v>61</v>
      </c>
      <c r="H162" s="3" t="s">
        <v>314</v>
      </c>
      <c r="I162" s="3" t="s">
        <v>1150</v>
      </c>
      <c r="J162" s="3" t="s">
        <v>1339</v>
      </c>
      <c r="K162" s="3" t="s">
        <v>101</v>
      </c>
      <c r="L162" s="3" t="s">
        <v>1217</v>
      </c>
      <c r="M162" s="137">
        <v>9.6679999999999993</v>
      </c>
      <c r="N162" s="3" t="s">
        <v>1471</v>
      </c>
      <c r="O162" s="142">
        <v>4.3749999999999997E-2</v>
      </c>
      <c r="P162" s="138">
        <v>4.453E-2</v>
      </c>
      <c r="R162" s="137">
        <v>70000</v>
      </c>
      <c r="S162" s="139">
        <v>3.3719999999999999</v>
      </c>
      <c r="T162" s="140">
        <v>101.47799999999999</v>
      </c>
      <c r="U162" s="137">
        <v>239.52799999999999</v>
      </c>
      <c r="W162" s="3" t="s">
        <v>17</v>
      </c>
      <c r="X162" s="138">
        <v>3.0000000000000001E-6</v>
      </c>
      <c r="Y162" s="138">
        <v>1.71120916731738E-3</v>
      </c>
      <c r="Z162" s="138">
        <v>7.18252468805071E-4</v>
      </c>
    </row>
    <row r="163" spans="1:26" x14ac:dyDescent="0.2">
      <c r="A163" s="3">
        <v>559</v>
      </c>
      <c r="B163" s="3">
        <v>556</v>
      </c>
      <c r="C163" s="3" t="s">
        <v>1341</v>
      </c>
      <c r="D163" s="3" t="s">
        <v>1432</v>
      </c>
      <c r="E163" s="3" t="s">
        <v>1433</v>
      </c>
      <c r="F163" s="3" t="s">
        <v>225</v>
      </c>
      <c r="G163" s="3" t="s">
        <v>61</v>
      </c>
      <c r="H163" s="3" t="s">
        <v>314</v>
      </c>
      <c r="I163" s="3" t="s">
        <v>1150</v>
      </c>
      <c r="J163" s="3" t="s">
        <v>1339</v>
      </c>
      <c r="K163" s="3" t="s">
        <v>101</v>
      </c>
      <c r="L163" s="3" t="s">
        <v>1217</v>
      </c>
      <c r="M163" s="137">
        <v>8.9689999999999994</v>
      </c>
      <c r="N163" s="3" t="s">
        <v>1434</v>
      </c>
      <c r="O163" s="142">
        <v>4.7500000000000001E-2</v>
      </c>
      <c r="P163" s="138">
        <v>4.3619999999999999E-2</v>
      </c>
      <c r="R163" s="137">
        <v>60000</v>
      </c>
      <c r="S163" s="139">
        <v>3.3719999999999999</v>
      </c>
      <c r="T163" s="140">
        <v>105.84399999999999</v>
      </c>
      <c r="U163" s="137">
        <v>214.143</v>
      </c>
      <c r="W163" s="3" t="s">
        <v>17</v>
      </c>
      <c r="X163" s="138">
        <v>3.9999999999999998E-6</v>
      </c>
      <c r="Y163" s="138">
        <v>1.52985950963003E-3</v>
      </c>
      <c r="Z163" s="138">
        <v>6.4213387276278102E-4</v>
      </c>
    </row>
    <row r="164" spans="1:26" x14ac:dyDescent="0.2">
      <c r="A164" s="3">
        <v>559</v>
      </c>
      <c r="B164" s="3">
        <v>556</v>
      </c>
      <c r="C164" s="3" t="s">
        <v>1341</v>
      </c>
      <c r="D164" s="3" t="s">
        <v>1438</v>
      </c>
      <c r="E164" s="3" t="s">
        <v>1439</v>
      </c>
      <c r="F164" s="3" t="s">
        <v>225</v>
      </c>
      <c r="G164" s="3" t="s">
        <v>61</v>
      </c>
      <c r="H164" s="3" t="s">
        <v>314</v>
      </c>
      <c r="I164" s="3" t="s">
        <v>1150</v>
      </c>
      <c r="J164" s="3" t="s">
        <v>1339</v>
      </c>
      <c r="K164" s="3" t="s">
        <v>101</v>
      </c>
      <c r="L164" s="3" t="s">
        <v>1217</v>
      </c>
      <c r="M164" s="137">
        <v>6.18</v>
      </c>
      <c r="N164" s="3" t="s">
        <v>1440</v>
      </c>
      <c r="O164" s="142">
        <v>1.8749999999999999E-2</v>
      </c>
      <c r="P164" s="138">
        <v>4.0289999999999999E-2</v>
      </c>
      <c r="R164" s="137">
        <v>180000</v>
      </c>
      <c r="S164" s="139">
        <v>3.3719999999999999</v>
      </c>
      <c r="T164" s="140">
        <v>88.522000000000006</v>
      </c>
      <c r="U164" s="137">
        <v>537.29100000000005</v>
      </c>
      <c r="W164" s="3" t="s">
        <v>17</v>
      </c>
      <c r="X164" s="138">
        <v>9.9999999999999995E-7</v>
      </c>
      <c r="Y164" s="138">
        <v>3.8384581360815001E-3</v>
      </c>
      <c r="Z164" s="138">
        <v>1.61113093904675E-3</v>
      </c>
    </row>
    <row r="165" spans="1:26" x14ac:dyDescent="0.2">
      <c r="A165" s="3">
        <v>559</v>
      </c>
      <c r="B165" s="3">
        <v>556</v>
      </c>
      <c r="C165" s="3" t="s">
        <v>1341</v>
      </c>
      <c r="D165" s="3" t="s">
        <v>1441</v>
      </c>
      <c r="E165" s="3" t="s">
        <v>1442</v>
      </c>
      <c r="F165" s="3" t="s">
        <v>225</v>
      </c>
      <c r="G165" s="3" t="s">
        <v>61</v>
      </c>
      <c r="H165" s="3" t="s">
        <v>314</v>
      </c>
      <c r="I165" s="3" t="s">
        <v>1150</v>
      </c>
      <c r="J165" s="3" t="s">
        <v>1339</v>
      </c>
      <c r="K165" s="3" t="s">
        <v>101</v>
      </c>
      <c r="L165" s="3" t="s">
        <v>1217</v>
      </c>
      <c r="M165" s="137">
        <v>13.24</v>
      </c>
      <c r="N165" s="3" t="s">
        <v>1443</v>
      </c>
      <c r="O165" s="142">
        <v>2.75E-2</v>
      </c>
      <c r="P165" s="138">
        <v>4.8529999999999997E-2</v>
      </c>
      <c r="R165" s="137">
        <v>208000</v>
      </c>
      <c r="S165" s="139">
        <v>3.3719999999999999</v>
      </c>
      <c r="T165" s="140">
        <v>76.542000000000002</v>
      </c>
      <c r="U165" s="137">
        <v>536.84799999999996</v>
      </c>
      <c r="W165" s="3" t="s">
        <v>17</v>
      </c>
      <c r="X165" s="138">
        <v>5.0000000000000004E-6</v>
      </c>
      <c r="Y165" s="138">
        <v>3.83529719850972E-3</v>
      </c>
      <c r="Z165" s="138">
        <v>1.6098041864451101E-3</v>
      </c>
    </row>
    <row r="166" spans="1:26" x14ac:dyDescent="0.2">
      <c r="A166" s="3">
        <v>559</v>
      </c>
      <c r="B166" s="3">
        <v>556</v>
      </c>
      <c r="C166" s="3" t="s">
        <v>1341</v>
      </c>
      <c r="D166" s="3" t="s">
        <v>1444</v>
      </c>
      <c r="E166" s="3" t="s">
        <v>1445</v>
      </c>
      <c r="F166" s="3" t="s">
        <v>225</v>
      </c>
      <c r="G166" s="3" t="s">
        <v>61</v>
      </c>
      <c r="H166" s="3" t="s">
        <v>314</v>
      </c>
      <c r="I166" s="3" t="s">
        <v>1150</v>
      </c>
      <c r="J166" s="3" t="s">
        <v>1339</v>
      </c>
      <c r="K166" s="3" t="s">
        <v>101</v>
      </c>
      <c r="L166" s="3" t="s">
        <v>1217</v>
      </c>
      <c r="M166" s="137">
        <v>13.989000000000001</v>
      </c>
      <c r="N166" s="3" t="s">
        <v>1446</v>
      </c>
      <c r="O166" s="142">
        <v>0.03</v>
      </c>
      <c r="P166" s="138">
        <v>4.9070000000000003E-2</v>
      </c>
      <c r="R166" s="137">
        <v>120000</v>
      </c>
      <c r="S166" s="139">
        <v>3.3719999999999999</v>
      </c>
      <c r="T166" s="140">
        <v>77.453000000000003</v>
      </c>
      <c r="U166" s="137">
        <v>313.40600000000001</v>
      </c>
      <c r="W166" s="3" t="s">
        <v>17</v>
      </c>
      <c r="X166" s="138">
        <v>3.0000000000000001E-6</v>
      </c>
      <c r="Y166" s="138">
        <v>2.2390053562033798E-3</v>
      </c>
      <c r="Z166" s="138">
        <v>9.3978641271653604E-4</v>
      </c>
    </row>
    <row r="167" spans="1:26" x14ac:dyDescent="0.2">
      <c r="A167" s="3">
        <v>559</v>
      </c>
      <c r="B167" s="3">
        <v>556</v>
      </c>
      <c r="C167" s="3" t="s">
        <v>1341</v>
      </c>
      <c r="D167" s="3" t="s">
        <v>1447</v>
      </c>
      <c r="E167" s="3" t="s">
        <v>1448</v>
      </c>
      <c r="F167" s="3" t="s">
        <v>225</v>
      </c>
      <c r="G167" s="3" t="s">
        <v>61</v>
      </c>
      <c r="H167" s="3" t="s">
        <v>314</v>
      </c>
      <c r="I167" s="3" t="s">
        <v>1150</v>
      </c>
      <c r="J167" s="3" t="s">
        <v>1339</v>
      </c>
      <c r="K167" s="3" t="s">
        <v>101</v>
      </c>
      <c r="L167" s="3" t="s">
        <v>1217</v>
      </c>
      <c r="M167" s="137">
        <v>6.6470000000000002</v>
      </c>
      <c r="N167" s="3" t="s">
        <v>1449</v>
      </c>
      <c r="O167" s="142">
        <v>3.5000000000000003E-2</v>
      </c>
      <c r="P167" s="138">
        <v>4.1009999999999998E-2</v>
      </c>
      <c r="R167" s="137">
        <v>140000</v>
      </c>
      <c r="S167" s="139">
        <v>3.3719999999999999</v>
      </c>
      <c r="T167" s="140">
        <v>97.685000000000002</v>
      </c>
      <c r="U167" s="137">
        <v>461.15199999999999</v>
      </c>
      <c r="W167" s="3" t="s">
        <v>17</v>
      </c>
      <c r="X167" s="138">
        <v>9.9999999999999995E-7</v>
      </c>
      <c r="Y167" s="138">
        <v>3.29451534168335E-3</v>
      </c>
      <c r="Z167" s="138">
        <v>1.38281971770279E-3</v>
      </c>
    </row>
    <row r="168" spans="1:26" x14ac:dyDescent="0.2">
      <c r="A168" s="3">
        <v>559</v>
      </c>
      <c r="B168" s="3">
        <v>556</v>
      </c>
      <c r="C168" s="3" t="s">
        <v>1341</v>
      </c>
      <c r="D168" s="3" t="s">
        <v>1450</v>
      </c>
      <c r="E168" s="3" t="s">
        <v>1451</v>
      </c>
      <c r="F168" s="3" t="s">
        <v>225</v>
      </c>
      <c r="G168" s="3" t="s">
        <v>61</v>
      </c>
      <c r="H168" s="3" t="s">
        <v>314</v>
      </c>
      <c r="I168" s="3" t="s">
        <v>1150</v>
      </c>
      <c r="J168" s="3" t="s">
        <v>1339</v>
      </c>
      <c r="K168" s="3" t="s">
        <v>101</v>
      </c>
      <c r="L168" s="3" t="s">
        <v>1217</v>
      </c>
      <c r="M168" s="137">
        <v>14.311999999999999</v>
      </c>
      <c r="N168" s="3" t="s">
        <v>1452</v>
      </c>
      <c r="O168" s="142">
        <v>2.8750000000000001E-2</v>
      </c>
      <c r="P168" s="138">
        <v>4.9169999999999998E-2</v>
      </c>
      <c r="R168" s="137">
        <v>67000</v>
      </c>
      <c r="S168" s="139">
        <v>3.3719999999999999</v>
      </c>
      <c r="T168" s="140">
        <v>75.906999999999996</v>
      </c>
      <c r="U168" s="137">
        <v>171.49199999999999</v>
      </c>
      <c r="W168" s="3" t="s">
        <v>17</v>
      </c>
      <c r="X168" s="138">
        <v>1.9999999999999999E-6</v>
      </c>
      <c r="Y168" s="138">
        <v>1.2251594245861E-3</v>
      </c>
      <c r="Z168" s="138">
        <v>5.1424092284888597E-4</v>
      </c>
    </row>
    <row r="169" spans="1:26" x14ac:dyDescent="0.2">
      <c r="A169" s="3">
        <v>559</v>
      </c>
      <c r="B169" s="3">
        <v>7205</v>
      </c>
      <c r="C169" s="3" t="s">
        <v>1224</v>
      </c>
      <c r="D169" s="3" t="s">
        <v>1225</v>
      </c>
      <c r="E169" s="3" t="s">
        <v>1226</v>
      </c>
      <c r="F169" s="3" t="s">
        <v>227</v>
      </c>
      <c r="G169" s="3" t="s">
        <v>53</v>
      </c>
      <c r="H169" s="3" t="s">
        <v>53</v>
      </c>
      <c r="I169" s="3" t="s">
        <v>1227</v>
      </c>
      <c r="J169" s="3" t="s">
        <v>1228</v>
      </c>
      <c r="K169" s="3" t="s">
        <v>78</v>
      </c>
      <c r="L169" s="3" t="s">
        <v>1219</v>
      </c>
      <c r="M169" s="137">
        <v>0.42199999999999999</v>
      </c>
      <c r="N169" s="3" t="s">
        <v>1229</v>
      </c>
      <c r="O169" s="142">
        <v>0</v>
      </c>
      <c r="P169" s="138">
        <v>4.3240000000000001E-2</v>
      </c>
      <c r="R169" s="137">
        <v>7280620</v>
      </c>
      <c r="S169" s="139">
        <v>1</v>
      </c>
      <c r="T169" s="140">
        <v>98.23</v>
      </c>
      <c r="U169" s="137">
        <v>7151.7529999999997</v>
      </c>
      <c r="W169" s="3" t="s">
        <v>17</v>
      </c>
      <c r="X169" s="138">
        <v>5.1999999999999995E-4</v>
      </c>
      <c r="Y169" s="138">
        <v>9.4498878821685697E-3</v>
      </c>
      <c r="Z169" s="138">
        <v>3.73077701761208E-3</v>
      </c>
    </row>
    <row r="170" spans="1:26" x14ac:dyDescent="0.2">
      <c r="A170" s="3">
        <v>559</v>
      </c>
      <c r="B170" s="3">
        <v>7205</v>
      </c>
      <c r="C170" s="3" t="s">
        <v>1224</v>
      </c>
      <c r="D170" s="3" t="s">
        <v>1230</v>
      </c>
      <c r="E170" s="3" t="s">
        <v>1231</v>
      </c>
      <c r="F170" s="3" t="s">
        <v>227</v>
      </c>
      <c r="G170" s="3" t="s">
        <v>53</v>
      </c>
      <c r="H170" s="3" t="s">
        <v>53</v>
      </c>
      <c r="I170" s="3" t="s">
        <v>1227</v>
      </c>
      <c r="J170" s="3" t="s">
        <v>1228</v>
      </c>
      <c r="K170" s="3" t="s">
        <v>78</v>
      </c>
      <c r="L170" s="3" t="s">
        <v>1219</v>
      </c>
      <c r="M170" s="137">
        <v>0.17299999999999999</v>
      </c>
      <c r="N170" s="3" t="s">
        <v>1232</v>
      </c>
      <c r="O170" s="142">
        <v>0</v>
      </c>
      <c r="P170" s="138">
        <v>4.3970000000000002E-2</v>
      </c>
      <c r="R170" s="137">
        <v>26132135</v>
      </c>
      <c r="S170" s="139">
        <v>1</v>
      </c>
      <c r="T170" s="140">
        <v>99.26</v>
      </c>
      <c r="U170" s="137">
        <v>25938.757000000001</v>
      </c>
      <c r="W170" s="3" t="s">
        <v>17</v>
      </c>
      <c r="X170" s="138">
        <v>9.3300000000000002E-4</v>
      </c>
      <c r="Y170" s="138">
        <v>3.4273883125035397E-2</v>
      </c>
      <c r="Z170" s="138">
        <v>1.3531188630130199E-2</v>
      </c>
    </row>
    <row r="171" spans="1:26" x14ac:dyDescent="0.2">
      <c r="A171" s="3">
        <v>559</v>
      </c>
      <c r="B171" s="3">
        <v>7205</v>
      </c>
      <c r="C171" s="3" t="s">
        <v>1224</v>
      </c>
      <c r="D171" s="3" t="s">
        <v>1233</v>
      </c>
      <c r="E171" s="3" t="s">
        <v>1234</v>
      </c>
      <c r="F171" s="3" t="s">
        <v>227</v>
      </c>
      <c r="G171" s="3" t="s">
        <v>53</v>
      </c>
      <c r="H171" s="3" t="s">
        <v>53</v>
      </c>
      <c r="I171" s="3" t="s">
        <v>1227</v>
      </c>
      <c r="J171" s="3" t="s">
        <v>1228</v>
      </c>
      <c r="K171" s="3" t="s">
        <v>78</v>
      </c>
      <c r="L171" s="3" t="s">
        <v>1219</v>
      </c>
      <c r="M171" s="137">
        <v>0.255</v>
      </c>
      <c r="N171" s="3" t="s">
        <v>1235</v>
      </c>
      <c r="O171" s="142">
        <v>0</v>
      </c>
      <c r="P171" s="138">
        <v>4.3540000000000002E-2</v>
      </c>
      <c r="R171" s="137">
        <v>3853500</v>
      </c>
      <c r="S171" s="139">
        <v>1</v>
      </c>
      <c r="T171" s="140">
        <v>98.92</v>
      </c>
      <c r="U171" s="137">
        <v>3811.8820000000001</v>
      </c>
      <c r="W171" s="3" t="s">
        <v>17</v>
      </c>
      <c r="X171" s="138">
        <v>2.7500000000000002E-4</v>
      </c>
      <c r="Y171" s="138">
        <v>5.0367873833279198E-3</v>
      </c>
      <c r="Z171" s="138">
        <v>1.9885030221126901E-3</v>
      </c>
    </row>
    <row r="172" spans="1:26" x14ac:dyDescent="0.2">
      <c r="A172" s="3">
        <v>559</v>
      </c>
      <c r="B172" s="3">
        <v>7205</v>
      </c>
      <c r="C172" s="3" t="s">
        <v>1224</v>
      </c>
      <c r="D172" s="3" t="s">
        <v>1236</v>
      </c>
      <c r="E172" s="3" t="s">
        <v>1237</v>
      </c>
      <c r="F172" s="3" t="s">
        <v>227</v>
      </c>
      <c r="G172" s="3" t="s">
        <v>53</v>
      </c>
      <c r="H172" s="3" t="s">
        <v>53</v>
      </c>
      <c r="I172" s="3" t="s">
        <v>1227</v>
      </c>
      <c r="J172" s="3" t="s">
        <v>1228</v>
      </c>
      <c r="K172" s="3" t="s">
        <v>78</v>
      </c>
      <c r="L172" s="3" t="s">
        <v>1219</v>
      </c>
      <c r="M172" s="137">
        <v>0.34499999999999997</v>
      </c>
      <c r="N172" s="3" t="s">
        <v>1238</v>
      </c>
      <c r="O172" s="142">
        <v>0</v>
      </c>
      <c r="P172" s="138">
        <v>4.3220000000000001E-2</v>
      </c>
      <c r="R172" s="137">
        <v>15504000</v>
      </c>
      <c r="S172" s="139">
        <v>1</v>
      </c>
      <c r="T172" s="140">
        <v>98.55</v>
      </c>
      <c r="U172" s="137">
        <v>15279.191999999999</v>
      </c>
      <c r="W172" s="3" t="s">
        <v>17</v>
      </c>
      <c r="X172" s="138">
        <v>1.1069999999999999E-3</v>
      </c>
      <c r="Y172" s="138">
        <v>2.0188987344111699E-2</v>
      </c>
      <c r="Z172" s="138">
        <v>7.9705294847359307E-3</v>
      </c>
    </row>
    <row r="173" spans="1:26" x14ac:dyDescent="0.2">
      <c r="A173" s="3">
        <v>559</v>
      </c>
      <c r="B173" s="3">
        <v>7205</v>
      </c>
      <c r="C173" s="3" t="s">
        <v>1224</v>
      </c>
      <c r="D173" s="3" t="s">
        <v>1239</v>
      </c>
      <c r="E173" s="3" t="s">
        <v>1240</v>
      </c>
      <c r="F173" s="3" t="s">
        <v>227</v>
      </c>
      <c r="G173" s="3" t="s">
        <v>53</v>
      </c>
      <c r="H173" s="3" t="s">
        <v>53</v>
      </c>
      <c r="I173" s="3" t="s">
        <v>1227</v>
      </c>
      <c r="J173" s="3" t="s">
        <v>1228</v>
      </c>
      <c r="K173" s="3" t="s">
        <v>78</v>
      </c>
      <c r="L173" s="3" t="s">
        <v>1219</v>
      </c>
      <c r="M173" s="137">
        <v>0.51800000000000002</v>
      </c>
      <c r="N173" s="3" t="s">
        <v>1241</v>
      </c>
      <c r="O173" s="142">
        <v>0</v>
      </c>
      <c r="P173" s="138">
        <v>4.3279999999999999E-2</v>
      </c>
      <c r="R173" s="137">
        <v>3528000</v>
      </c>
      <c r="S173" s="139">
        <v>1</v>
      </c>
      <c r="T173" s="140">
        <v>97.83</v>
      </c>
      <c r="U173" s="137">
        <v>3451.442</v>
      </c>
      <c r="W173" s="3" t="s">
        <v>17</v>
      </c>
      <c r="X173" s="138">
        <v>2.2000000000000001E-4</v>
      </c>
      <c r="Y173" s="138">
        <v>4.5605243348294001E-3</v>
      </c>
      <c r="Z173" s="138">
        <v>1.8004763219198899E-3</v>
      </c>
    </row>
    <row r="174" spans="1:26" x14ac:dyDescent="0.2">
      <c r="A174" s="3">
        <v>559</v>
      </c>
      <c r="B174" s="3">
        <v>7205</v>
      </c>
      <c r="C174" s="3" t="s">
        <v>1224</v>
      </c>
      <c r="D174" s="3" t="s">
        <v>1242</v>
      </c>
      <c r="E174" s="3" t="s">
        <v>1243</v>
      </c>
      <c r="F174" s="3" t="s">
        <v>227</v>
      </c>
      <c r="G174" s="3" t="s">
        <v>53</v>
      </c>
      <c r="H174" s="3" t="s">
        <v>53</v>
      </c>
      <c r="I174" s="3" t="s">
        <v>1227</v>
      </c>
      <c r="J174" s="3" t="s">
        <v>1228</v>
      </c>
      <c r="K174" s="3" t="s">
        <v>78</v>
      </c>
      <c r="L174" s="3" t="s">
        <v>1219</v>
      </c>
      <c r="M174" s="137">
        <v>0.748</v>
      </c>
      <c r="N174" s="3" t="s">
        <v>1244</v>
      </c>
      <c r="O174" s="142">
        <v>0</v>
      </c>
      <c r="P174" s="138">
        <v>4.1849999999999998E-2</v>
      </c>
      <c r="R174" s="137">
        <v>7527632</v>
      </c>
      <c r="S174" s="139">
        <v>1</v>
      </c>
      <c r="T174" s="140">
        <v>96.98</v>
      </c>
      <c r="U174" s="137">
        <v>7300.2979999999998</v>
      </c>
      <c r="W174" s="3" t="s">
        <v>17</v>
      </c>
      <c r="X174" s="138">
        <v>4.1800000000000002E-4</v>
      </c>
      <c r="Y174" s="138">
        <v>9.6461654589012902E-3</v>
      </c>
      <c r="Z174" s="138">
        <v>3.8082666007137802E-3</v>
      </c>
    </row>
    <row r="175" spans="1:26" x14ac:dyDescent="0.2">
      <c r="A175" s="3">
        <v>559</v>
      </c>
      <c r="B175" s="3">
        <v>7205</v>
      </c>
      <c r="C175" s="3" t="s">
        <v>1224</v>
      </c>
      <c r="D175" s="3" t="s">
        <v>1245</v>
      </c>
      <c r="E175" s="3" t="s">
        <v>1246</v>
      </c>
      <c r="F175" s="3" t="s">
        <v>227</v>
      </c>
      <c r="G175" s="3" t="s">
        <v>53</v>
      </c>
      <c r="H175" s="3" t="s">
        <v>53</v>
      </c>
      <c r="I175" s="3" t="s">
        <v>1227</v>
      </c>
      <c r="J175" s="3" t="s">
        <v>1228</v>
      </c>
      <c r="K175" s="3" t="s">
        <v>78</v>
      </c>
      <c r="L175" s="3" t="s">
        <v>1219</v>
      </c>
      <c r="M175" s="137">
        <v>0.92100000000000004</v>
      </c>
      <c r="N175" s="3" t="s">
        <v>1247</v>
      </c>
      <c r="O175" s="142">
        <v>0</v>
      </c>
      <c r="P175" s="138">
        <v>4.1099999999999998E-2</v>
      </c>
      <c r="R175" s="137">
        <v>1530000</v>
      </c>
      <c r="S175" s="139">
        <v>1</v>
      </c>
      <c r="T175" s="140">
        <v>96.36</v>
      </c>
      <c r="U175" s="137">
        <v>1474.308</v>
      </c>
      <c r="W175" s="3" t="s">
        <v>17</v>
      </c>
      <c r="X175" s="138">
        <v>8.5000000000000006E-5</v>
      </c>
      <c r="Y175" s="138">
        <v>1.94806018232657E-3</v>
      </c>
      <c r="Z175" s="138">
        <v>7.6908617835171197E-4</v>
      </c>
    </row>
    <row r="176" spans="1:26" x14ac:dyDescent="0.2">
      <c r="A176" s="3">
        <v>559</v>
      </c>
      <c r="B176" s="3">
        <v>7205</v>
      </c>
      <c r="C176" s="3" t="s">
        <v>1224</v>
      </c>
      <c r="D176" s="3" t="s">
        <v>1248</v>
      </c>
      <c r="E176" s="3" t="s">
        <v>1249</v>
      </c>
      <c r="F176" s="3" t="s">
        <v>227</v>
      </c>
      <c r="G176" s="3" t="s">
        <v>53</v>
      </c>
      <c r="H176" s="3" t="s">
        <v>53</v>
      </c>
      <c r="I176" s="3" t="s">
        <v>1227</v>
      </c>
      <c r="J176" s="3" t="s">
        <v>1228</v>
      </c>
      <c r="K176" s="3" t="s">
        <v>78</v>
      </c>
      <c r="L176" s="3" t="s">
        <v>1219</v>
      </c>
      <c r="M176" s="137">
        <v>3.0000000000000001E-3</v>
      </c>
      <c r="N176" s="3" t="s">
        <v>1250</v>
      </c>
      <c r="O176" s="142">
        <v>0</v>
      </c>
      <c r="P176" s="138">
        <v>0.11574</v>
      </c>
      <c r="R176" s="137">
        <v>15169508</v>
      </c>
      <c r="S176" s="139">
        <v>1</v>
      </c>
      <c r="T176" s="140">
        <v>99.97</v>
      </c>
      <c r="U176" s="137">
        <v>15164.957</v>
      </c>
      <c r="W176" s="3" t="s">
        <v>17</v>
      </c>
      <c r="X176" s="138">
        <v>5.0600000000000005E-4</v>
      </c>
      <c r="Y176" s="138">
        <v>2.0038044415365198E-2</v>
      </c>
      <c r="Z176" s="138">
        <v>7.9109378349131697E-3</v>
      </c>
    </row>
    <row r="177" spans="1:26" x14ac:dyDescent="0.2">
      <c r="A177" s="3">
        <v>559</v>
      </c>
      <c r="B177" s="3">
        <v>7205</v>
      </c>
      <c r="C177" s="3" t="s">
        <v>1251</v>
      </c>
      <c r="D177" s="3" t="s">
        <v>1252</v>
      </c>
      <c r="E177" s="3" t="s">
        <v>1253</v>
      </c>
      <c r="F177" s="3" t="s">
        <v>221</v>
      </c>
      <c r="G177" s="3" t="s">
        <v>53</v>
      </c>
      <c r="H177" s="3" t="s">
        <v>53</v>
      </c>
      <c r="I177" s="3" t="s">
        <v>311</v>
      </c>
      <c r="J177" s="3" t="s">
        <v>1228</v>
      </c>
      <c r="K177" s="3" t="s">
        <v>78</v>
      </c>
      <c r="L177" s="3" t="s">
        <v>1219</v>
      </c>
      <c r="M177" s="137">
        <v>1.905</v>
      </c>
      <c r="N177" s="3" t="s">
        <v>1254</v>
      </c>
      <c r="O177" s="142">
        <v>7.4999999999999997E-3</v>
      </c>
      <c r="P177" s="138">
        <v>2.0959999999999999E-2</v>
      </c>
      <c r="R177" s="137">
        <v>22545121</v>
      </c>
      <c r="S177" s="139">
        <v>1</v>
      </c>
      <c r="T177" s="140">
        <v>115.45</v>
      </c>
      <c r="U177" s="137">
        <v>26028.342000000001</v>
      </c>
      <c r="W177" s="3" t="s">
        <v>17</v>
      </c>
      <c r="X177" s="138">
        <v>9.2599999999999996E-4</v>
      </c>
      <c r="Y177" s="138">
        <v>3.43922552418328E-2</v>
      </c>
      <c r="Z177" s="138">
        <v>1.3577921456845299E-2</v>
      </c>
    </row>
    <row r="178" spans="1:26" x14ac:dyDescent="0.2">
      <c r="A178" s="3">
        <v>559</v>
      </c>
      <c r="B178" s="3">
        <v>7205</v>
      </c>
      <c r="C178" s="3" t="s">
        <v>1251</v>
      </c>
      <c r="D178" s="3" t="s">
        <v>1255</v>
      </c>
      <c r="E178" s="3" t="s">
        <v>1256</v>
      </c>
      <c r="F178" s="3" t="s">
        <v>221</v>
      </c>
      <c r="G178" s="3" t="s">
        <v>53</v>
      </c>
      <c r="H178" s="3" t="s">
        <v>53</v>
      </c>
      <c r="I178" s="3" t="s">
        <v>311</v>
      </c>
      <c r="J178" s="3" t="s">
        <v>1228</v>
      </c>
      <c r="K178" s="3" t="s">
        <v>78</v>
      </c>
      <c r="L178" s="3" t="s">
        <v>1219</v>
      </c>
      <c r="M178" s="137">
        <v>0.33200000000000002</v>
      </c>
      <c r="N178" s="3" t="s">
        <v>1257</v>
      </c>
      <c r="O178" s="142">
        <v>7.4999999999999997E-3</v>
      </c>
      <c r="P178" s="138">
        <v>5.9899999999999997E-3</v>
      </c>
      <c r="R178" s="137">
        <v>36762183.5</v>
      </c>
      <c r="S178" s="139">
        <v>1</v>
      </c>
      <c r="T178" s="140">
        <v>118.26</v>
      </c>
      <c r="U178" s="137">
        <v>43474.957999999999</v>
      </c>
      <c r="W178" s="3" t="s">
        <v>17</v>
      </c>
      <c r="X178" s="138">
        <v>2.8990000000000001E-3</v>
      </c>
      <c r="Y178" s="138">
        <v>5.74451437634221E-2</v>
      </c>
      <c r="Z178" s="138">
        <v>2.26791073924166E-2</v>
      </c>
    </row>
    <row r="179" spans="1:26" x14ac:dyDescent="0.2">
      <c r="A179" s="3">
        <v>559</v>
      </c>
      <c r="B179" s="3">
        <v>7205</v>
      </c>
      <c r="C179" s="3" t="s">
        <v>1251</v>
      </c>
      <c r="D179" s="3" t="s">
        <v>1258</v>
      </c>
      <c r="E179" s="3" t="s">
        <v>1259</v>
      </c>
      <c r="F179" s="3" t="s">
        <v>221</v>
      </c>
      <c r="G179" s="3" t="s">
        <v>53</v>
      </c>
      <c r="H179" s="3" t="s">
        <v>53</v>
      </c>
      <c r="I179" s="3" t="s">
        <v>311</v>
      </c>
      <c r="J179" s="3" t="s">
        <v>1228</v>
      </c>
      <c r="K179" s="3" t="s">
        <v>78</v>
      </c>
      <c r="L179" s="3" t="s">
        <v>1219</v>
      </c>
      <c r="M179" s="137">
        <v>6.3940000000000001</v>
      </c>
      <c r="N179" s="3" t="s">
        <v>1260</v>
      </c>
      <c r="O179" s="142">
        <v>1E-3</v>
      </c>
      <c r="P179" s="138">
        <v>1.9699999999999999E-2</v>
      </c>
      <c r="R179" s="137">
        <v>8134944</v>
      </c>
      <c r="S179" s="139">
        <v>1</v>
      </c>
      <c r="T179" s="140">
        <v>104.14</v>
      </c>
      <c r="U179" s="137">
        <v>8471.7309999999998</v>
      </c>
      <c r="W179" s="3" t="s">
        <v>17</v>
      </c>
      <c r="X179" s="138">
        <v>2.3800000000000001E-4</v>
      </c>
      <c r="Y179" s="138">
        <v>1.11940254113925E-2</v>
      </c>
      <c r="Z179" s="138">
        <v>4.4193553680348299E-3</v>
      </c>
    </row>
    <row r="180" spans="1:26" x14ac:dyDescent="0.2">
      <c r="A180" s="3">
        <v>559</v>
      </c>
      <c r="B180" s="3">
        <v>7205</v>
      </c>
      <c r="C180" s="3" t="s">
        <v>1251</v>
      </c>
      <c r="D180" s="3" t="s">
        <v>1261</v>
      </c>
      <c r="E180" s="3" t="s">
        <v>1262</v>
      </c>
      <c r="F180" s="3" t="s">
        <v>221</v>
      </c>
      <c r="G180" s="3" t="s">
        <v>53</v>
      </c>
      <c r="H180" s="3" t="s">
        <v>53</v>
      </c>
      <c r="I180" s="3" t="s">
        <v>1227</v>
      </c>
      <c r="J180" s="3" t="s">
        <v>1228</v>
      </c>
      <c r="K180" s="3" t="s">
        <v>78</v>
      </c>
      <c r="L180" s="3" t="s">
        <v>1219</v>
      </c>
      <c r="M180" s="137">
        <v>5.5449999999999999</v>
      </c>
      <c r="N180" s="3" t="s">
        <v>1263</v>
      </c>
      <c r="O180" s="142">
        <v>0.02</v>
      </c>
      <c r="P180" s="138">
        <v>2.0459999999999999E-2</v>
      </c>
      <c r="R180" s="137">
        <v>5090000</v>
      </c>
      <c r="S180" s="139">
        <v>1</v>
      </c>
      <c r="T180" s="140">
        <v>100.84</v>
      </c>
      <c r="U180" s="137">
        <v>5132.7560000000003</v>
      </c>
      <c r="W180" s="3" t="s">
        <v>17</v>
      </c>
      <c r="X180" s="138">
        <v>1.3110000000000001E-3</v>
      </c>
      <c r="Y180" s="138">
        <v>6.7821090228078603E-3</v>
      </c>
      <c r="Z180" s="138">
        <v>2.6775488544129298E-3</v>
      </c>
    </row>
    <row r="181" spans="1:26" x14ac:dyDescent="0.2">
      <c r="A181" s="3">
        <v>559</v>
      </c>
      <c r="B181" s="3">
        <v>7205</v>
      </c>
      <c r="C181" s="3" t="s">
        <v>1264</v>
      </c>
      <c r="D181" s="3" t="s">
        <v>1265</v>
      </c>
      <c r="E181" s="3" t="s">
        <v>1266</v>
      </c>
      <c r="F181" s="3" t="s">
        <v>227</v>
      </c>
      <c r="G181" s="3" t="s">
        <v>53</v>
      </c>
      <c r="H181" s="3" t="s">
        <v>53</v>
      </c>
      <c r="I181" s="3" t="s">
        <v>1227</v>
      </c>
      <c r="J181" s="3" t="s">
        <v>1228</v>
      </c>
      <c r="K181" s="3" t="s">
        <v>78</v>
      </c>
      <c r="L181" s="3" t="s">
        <v>1219</v>
      </c>
      <c r="M181" s="137">
        <v>0.65800000000000003</v>
      </c>
      <c r="N181" s="3" t="s">
        <v>1267</v>
      </c>
      <c r="O181" s="142">
        <v>0</v>
      </c>
      <c r="P181" s="138">
        <v>4.283E-2</v>
      </c>
      <c r="R181" s="137">
        <v>10193000</v>
      </c>
      <c r="S181" s="139">
        <v>1</v>
      </c>
      <c r="T181" s="140">
        <v>97.28</v>
      </c>
      <c r="U181" s="137">
        <v>9915.75</v>
      </c>
      <c r="W181" s="3" t="s">
        <v>17</v>
      </c>
      <c r="X181" s="138">
        <v>1.951E-3</v>
      </c>
      <c r="Y181" s="138">
        <v>1.31020645157788E-2</v>
      </c>
      <c r="Z181" s="138">
        <v>5.1726413887908497E-3</v>
      </c>
    </row>
    <row r="182" spans="1:26" x14ac:dyDescent="0.2">
      <c r="A182" s="3">
        <v>559</v>
      </c>
      <c r="B182" s="3">
        <v>7205</v>
      </c>
      <c r="C182" s="3" t="s">
        <v>1264</v>
      </c>
      <c r="D182" s="3" t="s">
        <v>1268</v>
      </c>
      <c r="E182" s="3" t="s">
        <v>1269</v>
      </c>
      <c r="F182" s="3" t="s">
        <v>227</v>
      </c>
      <c r="G182" s="3" t="s">
        <v>53</v>
      </c>
      <c r="H182" s="3" t="s">
        <v>53</v>
      </c>
      <c r="I182" s="3" t="s">
        <v>1227</v>
      </c>
      <c r="J182" s="3" t="s">
        <v>1228</v>
      </c>
      <c r="K182" s="3" t="s">
        <v>78</v>
      </c>
      <c r="L182" s="3" t="s">
        <v>1219</v>
      </c>
      <c r="M182" s="137">
        <v>0.16400000000000001</v>
      </c>
      <c r="N182" s="3" t="s">
        <v>1270</v>
      </c>
      <c r="O182" s="142">
        <v>0</v>
      </c>
      <c r="P182" s="138">
        <v>4.4940000000000001E-2</v>
      </c>
      <c r="R182" s="137">
        <v>11106514</v>
      </c>
      <c r="S182" s="139">
        <v>1</v>
      </c>
      <c r="T182" s="140">
        <v>99.28</v>
      </c>
      <c r="U182" s="137">
        <v>11026.547</v>
      </c>
      <c r="W182" s="3" t="s">
        <v>17</v>
      </c>
      <c r="X182" s="138">
        <v>1.1900000000000001E-3</v>
      </c>
      <c r="Y182" s="138">
        <v>1.4569803156803099E-2</v>
      </c>
      <c r="Z182" s="138">
        <v>5.75209859061939E-3</v>
      </c>
    </row>
    <row r="183" spans="1:26" x14ac:dyDescent="0.2">
      <c r="A183" s="3">
        <v>559</v>
      </c>
      <c r="B183" s="3">
        <v>7205</v>
      </c>
      <c r="C183" s="3" t="s">
        <v>1264</v>
      </c>
      <c r="D183" s="3" t="s">
        <v>1271</v>
      </c>
      <c r="E183" s="3" t="s">
        <v>1272</v>
      </c>
      <c r="F183" s="3" t="s">
        <v>227</v>
      </c>
      <c r="G183" s="3" t="s">
        <v>53</v>
      </c>
      <c r="H183" s="3" t="s">
        <v>53</v>
      </c>
      <c r="I183" s="3" t="s">
        <v>1227</v>
      </c>
      <c r="J183" s="3" t="s">
        <v>1228</v>
      </c>
      <c r="K183" s="3" t="s">
        <v>78</v>
      </c>
      <c r="L183" s="3" t="s">
        <v>1219</v>
      </c>
      <c r="M183" s="137">
        <v>0.41399999999999998</v>
      </c>
      <c r="N183" s="3" t="s">
        <v>1273</v>
      </c>
      <c r="O183" s="142">
        <v>0</v>
      </c>
      <c r="P183" s="138">
        <v>4.3860000000000003E-2</v>
      </c>
      <c r="R183" s="137">
        <v>14601000</v>
      </c>
      <c r="S183" s="139">
        <v>1</v>
      </c>
      <c r="T183" s="140">
        <v>98.24</v>
      </c>
      <c r="U183" s="137">
        <v>14344.022000000001</v>
      </c>
      <c r="W183" s="3" t="s">
        <v>17</v>
      </c>
      <c r="X183" s="138">
        <v>2.3019999999999998E-3</v>
      </c>
      <c r="Y183" s="138">
        <v>1.8953311582003501E-2</v>
      </c>
      <c r="Z183" s="138">
        <v>7.48268975669084E-3</v>
      </c>
    </row>
    <row r="184" spans="1:26" x14ac:dyDescent="0.2">
      <c r="A184" s="3">
        <v>559</v>
      </c>
      <c r="B184" s="3">
        <v>7205</v>
      </c>
      <c r="C184" s="3" t="s">
        <v>1274</v>
      </c>
      <c r="D184" s="3" t="s">
        <v>1275</v>
      </c>
      <c r="E184" s="3" t="s">
        <v>1276</v>
      </c>
      <c r="F184" s="3" t="s">
        <v>223</v>
      </c>
      <c r="G184" s="3" t="s">
        <v>53</v>
      </c>
      <c r="H184" s="3" t="s">
        <v>53</v>
      </c>
      <c r="I184" s="3" t="s">
        <v>311</v>
      </c>
      <c r="J184" s="3" t="s">
        <v>1228</v>
      </c>
      <c r="K184" s="3" t="s">
        <v>78</v>
      </c>
      <c r="L184" s="3" t="s">
        <v>1219</v>
      </c>
      <c r="M184" s="137">
        <v>3.109</v>
      </c>
      <c r="N184" s="3" t="s">
        <v>1277</v>
      </c>
      <c r="O184" s="142">
        <v>2.2499999999999999E-2</v>
      </c>
      <c r="P184" s="138">
        <v>3.952E-2</v>
      </c>
      <c r="R184" s="137">
        <v>22722726</v>
      </c>
      <c r="S184" s="139">
        <v>1</v>
      </c>
      <c r="T184" s="140">
        <v>96.6</v>
      </c>
      <c r="U184" s="137">
        <v>21950.152999999998</v>
      </c>
      <c r="W184" s="3" t="s">
        <v>17</v>
      </c>
      <c r="X184" s="138">
        <v>6.5399999999999996E-4</v>
      </c>
      <c r="Y184" s="138">
        <v>2.9003586544238499E-2</v>
      </c>
      <c r="Z184" s="138">
        <v>1.14504971335953E-2</v>
      </c>
    </row>
    <row r="185" spans="1:26" x14ac:dyDescent="0.2">
      <c r="A185" s="3">
        <v>559</v>
      </c>
      <c r="B185" s="3">
        <v>7205</v>
      </c>
      <c r="C185" s="3" t="s">
        <v>1274</v>
      </c>
      <c r="D185" s="3" t="s">
        <v>1278</v>
      </c>
      <c r="E185" s="3" t="s">
        <v>1279</v>
      </c>
      <c r="F185" s="3" t="s">
        <v>223</v>
      </c>
      <c r="G185" s="3" t="s">
        <v>53</v>
      </c>
      <c r="H185" s="3" t="s">
        <v>53</v>
      </c>
      <c r="I185" s="3" t="s">
        <v>311</v>
      </c>
      <c r="J185" s="3" t="s">
        <v>1228</v>
      </c>
      <c r="K185" s="3" t="s">
        <v>78</v>
      </c>
      <c r="L185" s="3" t="s">
        <v>1219</v>
      </c>
      <c r="M185" s="137">
        <v>2.1389999999999998</v>
      </c>
      <c r="N185" s="3" t="s">
        <v>1280</v>
      </c>
      <c r="O185" s="142">
        <v>3.7499999999999999E-2</v>
      </c>
      <c r="P185" s="138">
        <v>3.9739999999999998E-2</v>
      </c>
      <c r="R185" s="137">
        <v>13741069</v>
      </c>
      <c r="S185" s="139">
        <v>1</v>
      </c>
      <c r="T185" s="140">
        <v>102.34</v>
      </c>
      <c r="U185" s="137">
        <v>14062.61</v>
      </c>
      <c r="W185" s="3" t="s">
        <v>17</v>
      </c>
      <c r="X185" s="138">
        <v>3.8299999999999999E-4</v>
      </c>
      <c r="Y185" s="138">
        <v>1.8581470512965499E-2</v>
      </c>
      <c r="Z185" s="138">
        <v>7.3358884261492396E-3</v>
      </c>
    </row>
    <row r="186" spans="1:26" x14ac:dyDescent="0.2">
      <c r="A186" s="3">
        <v>559</v>
      </c>
      <c r="B186" s="3">
        <v>7205</v>
      </c>
      <c r="C186" s="3" t="s">
        <v>1274</v>
      </c>
      <c r="D186" s="3" t="s">
        <v>1281</v>
      </c>
      <c r="E186" s="3" t="s">
        <v>1282</v>
      </c>
      <c r="F186" s="3" t="s">
        <v>223</v>
      </c>
      <c r="G186" s="3" t="s">
        <v>53</v>
      </c>
      <c r="H186" s="3" t="s">
        <v>53</v>
      </c>
      <c r="I186" s="3" t="s">
        <v>311</v>
      </c>
      <c r="J186" s="3" t="s">
        <v>1228</v>
      </c>
      <c r="K186" s="3" t="s">
        <v>78</v>
      </c>
      <c r="L186" s="3" t="s">
        <v>1219</v>
      </c>
      <c r="M186" s="137">
        <v>0.65800000000000003</v>
      </c>
      <c r="N186" s="3" t="s">
        <v>1267</v>
      </c>
      <c r="O186" s="142">
        <v>5.0000000000000001E-3</v>
      </c>
      <c r="P186" s="138">
        <v>4.0480000000000002E-2</v>
      </c>
      <c r="R186" s="137">
        <v>38872890</v>
      </c>
      <c r="S186" s="139">
        <v>1</v>
      </c>
      <c r="T186" s="140">
        <v>97.91</v>
      </c>
      <c r="U186" s="137">
        <v>38060.447</v>
      </c>
      <c r="W186" s="3" t="s">
        <v>17</v>
      </c>
      <c r="X186" s="138">
        <v>1.3990000000000001E-3</v>
      </c>
      <c r="Y186" s="138">
        <v>5.0290740158147898E-2</v>
      </c>
      <c r="Z186" s="138">
        <v>1.9854578162218701E-2</v>
      </c>
    </row>
    <row r="187" spans="1:26" x14ac:dyDescent="0.2">
      <c r="A187" s="3">
        <v>559</v>
      </c>
      <c r="B187" s="3">
        <v>7205</v>
      </c>
      <c r="C187" s="3" t="s">
        <v>1274</v>
      </c>
      <c r="D187" s="3" t="s">
        <v>1283</v>
      </c>
      <c r="E187" s="3" t="s">
        <v>1284</v>
      </c>
      <c r="F187" s="3" t="s">
        <v>223</v>
      </c>
      <c r="G187" s="3" t="s">
        <v>53</v>
      </c>
      <c r="H187" s="3" t="s">
        <v>53</v>
      </c>
      <c r="I187" s="3" t="s">
        <v>311</v>
      </c>
      <c r="J187" s="3" t="s">
        <v>1228</v>
      </c>
      <c r="K187" s="3" t="s">
        <v>78</v>
      </c>
      <c r="L187" s="3" t="s">
        <v>1219</v>
      </c>
      <c r="M187" s="137">
        <v>1.7250000000000001</v>
      </c>
      <c r="N187" s="3" t="s">
        <v>1285</v>
      </c>
      <c r="O187" s="142">
        <v>0.02</v>
      </c>
      <c r="P187" s="138">
        <v>4.0030000000000003E-2</v>
      </c>
      <c r="R187" s="137">
        <v>29275434</v>
      </c>
      <c r="S187" s="139">
        <v>1</v>
      </c>
      <c r="T187" s="140">
        <v>97.19</v>
      </c>
      <c r="U187" s="137">
        <v>28452.794000000002</v>
      </c>
      <c r="W187" s="3" t="s">
        <v>17</v>
      </c>
      <c r="X187" s="138">
        <v>1.0369999999999999E-3</v>
      </c>
      <c r="Y187" s="138">
        <v>3.7595777585633101E-2</v>
      </c>
      <c r="Z187" s="138">
        <v>1.48426589526423E-2</v>
      </c>
    </row>
    <row r="188" spans="1:26" x14ac:dyDescent="0.2">
      <c r="A188" s="3">
        <v>559</v>
      </c>
      <c r="B188" s="3">
        <v>7205</v>
      </c>
      <c r="C188" s="3" t="s">
        <v>1274</v>
      </c>
      <c r="D188" s="3" t="s">
        <v>1286</v>
      </c>
      <c r="E188" s="3" t="s">
        <v>1287</v>
      </c>
      <c r="F188" s="3" t="s">
        <v>223</v>
      </c>
      <c r="G188" s="3" t="s">
        <v>53</v>
      </c>
      <c r="H188" s="3" t="s">
        <v>53</v>
      </c>
      <c r="I188" s="3" t="s">
        <v>311</v>
      </c>
      <c r="J188" s="3" t="s">
        <v>1228</v>
      </c>
      <c r="K188" s="3" t="s">
        <v>78</v>
      </c>
      <c r="L188" s="3" t="s">
        <v>1219</v>
      </c>
      <c r="M188" s="137">
        <v>8.1739999999999995</v>
      </c>
      <c r="N188" s="3" t="s">
        <v>1288</v>
      </c>
      <c r="O188" s="142">
        <v>0.04</v>
      </c>
      <c r="P188" s="138">
        <v>4.1140000000000003E-2</v>
      </c>
      <c r="R188" s="137">
        <v>5614992</v>
      </c>
      <c r="S188" s="139">
        <v>1</v>
      </c>
      <c r="T188" s="140">
        <v>100.1</v>
      </c>
      <c r="U188" s="137">
        <v>5620.607</v>
      </c>
      <c r="W188" s="3" t="s">
        <v>17</v>
      </c>
      <c r="X188" s="138">
        <v>1.6899999999999999E-4</v>
      </c>
      <c r="Y188" s="138">
        <v>7.4267254071886798E-3</v>
      </c>
      <c r="Z188" s="138">
        <v>2.9320407618314498E-3</v>
      </c>
    </row>
    <row r="189" spans="1:26" x14ac:dyDescent="0.2">
      <c r="A189" s="3">
        <v>559</v>
      </c>
      <c r="B189" s="3">
        <v>7205</v>
      </c>
      <c r="C189" s="3" t="s">
        <v>1274</v>
      </c>
      <c r="D189" s="3" t="s">
        <v>1289</v>
      </c>
      <c r="E189" s="3" t="s">
        <v>1290</v>
      </c>
      <c r="F189" s="3" t="s">
        <v>223</v>
      </c>
      <c r="G189" s="3" t="s">
        <v>53</v>
      </c>
      <c r="H189" s="3" t="s">
        <v>53</v>
      </c>
      <c r="I189" s="3" t="s">
        <v>311</v>
      </c>
      <c r="J189" s="3" t="s">
        <v>1228</v>
      </c>
      <c r="K189" s="3" t="s">
        <v>78</v>
      </c>
      <c r="L189" s="3" t="s">
        <v>1219</v>
      </c>
      <c r="M189" s="137">
        <v>14.709</v>
      </c>
      <c r="N189" s="3" t="s">
        <v>1291</v>
      </c>
      <c r="O189" s="142">
        <v>3.7499999999999999E-2</v>
      </c>
      <c r="P189" s="138">
        <v>4.4699999999999997E-2</v>
      </c>
      <c r="R189" s="137">
        <v>12212477</v>
      </c>
      <c r="S189" s="139">
        <v>1</v>
      </c>
      <c r="T189" s="140">
        <v>91.05</v>
      </c>
      <c r="U189" s="137">
        <v>11119.46</v>
      </c>
      <c r="W189" s="3" t="s">
        <v>17</v>
      </c>
      <c r="X189" s="138">
        <v>4.6500000000000003E-4</v>
      </c>
      <c r="Y189" s="138">
        <v>1.46925729738627E-2</v>
      </c>
      <c r="Z189" s="138">
        <v>5.8005676113795897E-3</v>
      </c>
    </row>
    <row r="190" spans="1:26" x14ac:dyDescent="0.2">
      <c r="A190" s="3">
        <v>559</v>
      </c>
      <c r="B190" s="3">
        <v>7205</v>
      </c>
      <c r="C190" s="3" t="s">
        <v>1274</v>
      </c>
      <c r="D190" s="3" t="s">
        <v>1292</v>
      </c>
      <c r="E190" s="3" t="s">
        <v>1293</v>
      </c>
      <c r="F190" s="3" t="s">
        <v>223</v>
      </c>
      <c r="G190" s="3" t="s">
        <v>53</v>
      </c>
      <c r="H190" s="3" t="s">
        <v>53</v>
      </c>
      <c r="I190" s="3" t="s">
        <v>311</v>
      </c>
      <c r="J190" s="3" t="s">
        <v>1228</v>
      </c>
      <c r="K190" s="3" t="s">
        <v>78</v>
      </c>
      <c r="L190" s="3" t="s">
        <v>1219</v>
      </c>
      <c r="M190" s="137">
        <v>0.16400000000000001</v>
      </c>
      <c r="N190" s="3" t="s">
        <v>1270</v>
      </c>
      <c r="O190" s="142">
        <v>1.7500000000000002E-2</v>
      </c>
      <c r="P190" s="138">
        <v>4.5069999999999999E-2</v>
      </c>
      <c r="R190" s="137">
        <v>13244575.5</v>
      </c>
      <c r="S190" s="139">
        <v>1</v>
      </c>
      <c r="T190" s="140">
        <v>101.02</v>
      </c>
      <c r="U190" s="137">
        <v>13379.67</v>
      </c>
      <c r="W190" s="3" t="s">
        <v>17</v>
      </c>
      <c r="X190" s="138">
        <v>1.0120000000000001E-3</v>
      </c>
      <c r="Y190" s="138">
        <v>1.76790756823095E-2</v>
      </c>
      <c r="Z190" s="138">
        <v>6.9796266443162601E-3</v>
      </c>
    </row>
    <row r="191" spans="1:26" x14ac:dyDescent="0.2">
      <c r="A191" s="3">
        <v>559</v>
      </c>
      <c r="B191" s="3">
        <v>7205</v>
      </c>
      <c r="C191" s="3" t="s">
        <v>1274</v>
      </c>
      <c r="D191" s="3" t="s">
        <v>1294</v>
      </c>
      <c r="E191" s="3" t="s">
        <v>1295</v>
      </c>
      <c r="F191" s="3" t="s">
        <v>223</v>
      </c>
      <c r="G191" s="3" t="s">
        <v>53</v>
      </c>
      <c r="H191" s="3" t="s">
        <v>53</v>
      </c>
      <c r="I191" s="3" t="s">
        <v>311</v>
      </c>
      <c r="J191" s="3" t="s">
        <v>1228</v>
      </c>
      <c r="K191" s="3" t="s">
        <v>78</v>
      </c>
      <c r="L191" s="3" t="s">
        <v>1219</v>
      </c>
      <c r="M191" s="137">
        <v>17.515999999999998</v>
      </c>
      <c r="N191" s="3" t="s">
        <v>1296</v>
      </c>
      <c r="O191" s="142">
        <v>2.8000000000000001E-2</v>
      </c>
      <c r="P191" s="138">
        <v>4.5929999999999999E-2</v>
      </c>
      <c r="R191" s="137">
        <v>10509277</v>
      </c>
      <c r="S191" s="139">
        <v>1</v>
      </c>
      <c r="T191" s="140">
        <v>73.98</v>
      </c>
      <c r="U191" s="137">
        <v>7774.7629999999999</v>
      </c>
      <c r="W191" s="3" t="s">
        <v>17</v>
      </c>
      <c r="X191" s="138">
        <v>4.08E-4</v>
      </c>
      <c r="Y191" s="138">
        <v>1.02730952216594E-2</v>
      </c>
      <c r="Z191" s="138">
        <v>4.0557759023816201E-3</v>
      </c>
    </row>
    <row r="192" spans="1:26" x14ac:dyDescent="0.2">
      <c r="A192" s="3">
        <v>559</v>
      </c>
      <c r="B192" s="3">
        <v>7205</v>
      </c>
      <c r="C192" s="3" t="s">
        <v>1274</v>
      </c>
      <c r="D192" s="3" t="s">
        <v>1297</v>
      </c>
      <c r="E192" s="3" t="s">
        <v>1298</v>
      </c>
      <c r="F192" s="3" t="s">
        <v>223</v>
      </c>
      <c r="G192" s="3" t="s">
        <v>53</v>
      </c>
      <c r="H192" s="3" t="s">
        <v>53</v>
      </c>
      <c r="I192" s="3" t="s">
        <v>1227</v>
      </c>
      <c r="J192" s="3" t="s">
        <v>1228</v>
      </c>
      <c r="K192" s="3" t="s">
        <v>78</v>
      </c>
      <c r="L192" s="3" t="s">
        <v>1219</v>
      </c>
      <c r="M192" s="137">
        <v>3.7810000000000001</v>
      </c>
      <c r="N192" s="3" t="s">
        <v>1299</v>
      </c>
      <c r="O192" s="142">
        <v>4.5999999999999999E-2</v>
      </c>
      <c r="P192" s="138">
        <v>3.9390000000000001E-2</v>
      </c>
      <c r="R192" s="137">
        <v>3326923</v>
      </c>
      <c r="S192" s="139">
        <v>1</v>
      </c>
      <c r="T192" s="140">
        <v>105.5</v>
      </c>
      <c r="U192" s="137">
        <v>3509.904</v>
      </c>
      <c r="W192" s="3" t="s">
        <v>17</v>
      </c>
      <c r="X192" s="138">
        <v>2.1599999999999999E-4</v>
      </c>
      <c r="Y192" s="138">
        <v>4.63777159751872E-3</v>
      </c>
      <c r="Z192" s="138">
        <v>1.8309732247306101E-3</v>
      </c>
    </row>
    <row r="193" spans="1:26" x14ac:dyDescent="0.2">
      <c r="A193" s="3">
        <v>559</v>
      </c>
      <c r="B193" s="3">
        <v>7205</v>
      </c>
      <c r="C193" s="3" t="s">
        <v>1456</v>
      </c>
      <c r="D193" s="3" t="s">
        <v>1457</v>
      </c>
      <c r="E193" s="3" t="s">
        <v>1458</v>
      </c>
      <c r="F193" s="3" t="s">
        <v>224</v>
      </c>
      <c r="G193" s="3" t="s">
        <v>53</v>
      </c>
      <c r="H193" s="3" t="s">
        <v>53</v>
      </c>
      <c r="I193" s="3" t="s">
        <v>311</v>
      </c>
      <c r="J193" s="3" t="s">
        <v>1228</v>
      </c>
      <c r="K193" s="3" t="s">
        <v>78</v>
      </c>
      <c r="L193" s="3" t="s">
        <v>1219</v>
      </c>
      <c r="M193" s="137">
        <v>4.8550000000000004</v>
      </c>
      <c r="N193" s="3" t="s">
        <v>1459</v>
      </c>
      <c r="O193" s="142">
        <v>4.3200000000000002E-2</v>
      </c>
      <c r="P193" s="138">
        <v>4.607E-2</v>
      </c>
      <c r="R193" s="137">
        <v>592500</v>
      </c>
      <c r="S193" s="139">
        <v>1</v>
      </c>
      <c r="T193" s="140">
        <v>98.36</v>
      </c>
      <c r="U193" s="137">
        <v>582.78300000000002</v>
      </c>
      <c r="W193" s="3" t="s">
        <v>17</v>
      </c>
      <c r="X193" s="138">
        <v>1.8E-5</v>
      </c>
      <c r="Y193" s="138">
        <v>7.7005371824396705E-4</v>
      </c>
      <c r="Z193" s="138">
        <v>3.0401405288335001E-4</v>
      </c>
    </row>
    <row r="194" spans="1:26" x14ac:dyDescent="0.2">
      <c r="A194" s="3">
        <v>559</v>
      </c>
      <c r="B194" s="3">
        <v>7205</v>
      </c>
      <c r="C194" s="3" t="s">
        <v>1251</v>
      </c>
      <c r="D194" s="3" t="s">
        <v>1472</v>
      </c>
      <c r="E194" s="3" t="s">
        <v>1473</v>
      </c>
      <c r="F194" s="3" t="s">
        <v>221</v>
      </c>
      <c r="G194" s="3" t="s">
        <v>53</v>
      </c>
      <c r="H194" s="3" t="s">
        <v>53</v>
      </c>
      <c r="I194" s="3" t="s">
        <v>311</v>
      </c>
      <c r="J194" s="3" t="s">
        <v>1228</v>
      </c>
      <c r="K194" s="3" t="s">
        <v>78</v>
      </c>
      <c r="L194" s="3" t="s">
        <v>1219</v>
      </c>
      <c r="M194" s="137">
        <v>13.17</v>
      </c>
      <c r="N194" s="3" t="s">
        <v>1474</v>
      </c>
      <c r="O194" s="142">
        <v>2.75E-2</v>
      </c>
      <c r="P194" s="138">
        <v>1.9619999999999999E-2</v>
      </c>
      <c r="R194" s="137">
        <v>4154195</v>
      </c>
      <c r="S194" s="139">
        <v>1</v>
      </c>
      <c r="T194" s="140">
        <v>141.80000000000001</v>
      </c>
      <c r="U194" s="137">
        <v>5890.6490000000003</v>
      </c>
      <c r="W194" s="3" t="s">
        <v>17</v>
      </c>
      <c r="X194" s="138">
        <v>2.0599999999999999E-4</v>
      </c>
      <c r="Y194" s="138">
        <v>7.7835417093391297E-3</v>
      </c>
      <c r="Z194" s="138">
        <v>3.0729103759656101E-3</v>
      </c>
    </row>
    <row r="195" spans="1:26" x14ac:dyDescent="0.2">
      <c r="A195" s="3">
        <v>559</v>
      </c>
      <c r="B195" s="3">
        <v>7205</v>
      </c>
      <c r="C195" s="3" t="s">
        <v>1251</v>
      </c>
      <c r="D195" s="3" t="s">
        <v>1460</v>
      </c>
      <c r="E195" s="3" t="s">
        <v>1461</v>
      </c>
      <c r="F195" s="3" t="s">
        <v>221</v>
      </c>
      <c r="G195" s="3" t="s">
        <v>53</v>
      </c>
      <c r="H195" s="3" t="s">
        <v>53</v>
      </c>
      <c r="I195" s="3" t="s">
        <v>311</v>
      </c>
      <c r="J195" s="3" t="s">
        <v>1228</v>
      </c>
      <c r="K195" s="3" t="s">
        <v>78</v>
      </c>
      <c r="L195" s="3" t="s">
        <v>1219</v>
      </c>
      <c r="M195" s="137">
        <v>9.2189999999999994</v>
      </c>
      <c r="N195" s="3" t="s">
        <v>1462</v>
      </c>
      <c r="O195" s="142">
        <v>0.04</v>
      </c>
      <c r="P195" s="138">
        <v>1.9400000000000001E-2</v>
      </c>
      <c r="R195" s="137">
        <v>2181735</v>
      </c>
      <c r="S195" s="139">
        <v>1</v>
      </c>
      <c r="T195" s="140">
        <v>167.7</v>
      </c>
      <c r="U195" s="137">
        <v>3658.77</v>
      </c>
      <c r="W195" s="3" t="s">
        <v>17</v>
      </c>
      <c r="X195" s="138">
        <v>1.37E-4</v>
      </c>
      <c r="Y195" s="138">
        <v>4.8344737763931396E-3</v>
      </c>
      <c r="Z195" s="138">
        <v>1.9086304390181601E-3</v>
      </c>
    </row>
    <row r="196" spans="1:26" x14ac:dyDescent="0.2">
      <c r="A196" s="3">
        <v>559</v>
      </c>
      <c r="B196" s="3">
        <v>7205</v>
      </c>
      <c r="C196" s="3" t="s">
        <v>1274</v>
      </c>
      <c r="D196" s="3" t="s">
        <v>1300</v>
      </c>
      <c r="E196" s="3" t="s">
        <v>1301</v>
      </c>
      <c r="F196" s="3" t="s">
        <v>223</v>
      </c>
      <c r="G196" s="3" t="s">
        <v>53</v>
      </c>
      <c r="H196" s="3" t="s">
        <v>53</v>
      </c>
      <c r="I196" s="3" t="s">
        <v>311</v>
      </c>
      <c r="J196" s="3" t="s">
        <v>1228</v>
      </c>
      <c r="K196" s="3" t="s">
        <v>78</v>
      </c>
      <c r="L196" s="3" t="s">
        <v>1219</v>
      </c>
      <c r="M196" s="137">
        <v>11.420999999999999</v>
      </c>
      <c r="N196" s="3" t="s">
        <v>1302</v>
      </c>
      <c r="O196" s="142">
        <v>5.5E-2</v>
      </c>
      <c r="P196" s="138">
        <v>4.3520000000000003E-2</v>
      </c>
      <c r="R196" s="137">
        <v>3027594</v>
      </c>
      <c r="S196" s="139">
        <v>1</v>
      </c>
      <c r="T196" s="140">
        <v>115.63</v>
      </c>
      <c r="U196" s="137">
        <v>3500.8069999999998</v>
      </c>
      <c r="W196" s="3" t="s">
        <v>17</v>
      </c>
      <c r="X196" s="138">
        <v>1.05E-4</v>
      </c>
      <c r="Y196" s="138">
        <v>4.6257516137145401E-3</v>
      </c>
      <c r="Z196" s="138">
        <v>1.8262277843732399E-3</v>
      </c>
    </row>
    <row r="197" spans="1:26" x14ac:dyDescent="0.2">
      <c r="A197" s="3">
        <v>559</v>
      </c>
      <c r="B197" s="3">
        <v>7205</v>
      </c>
      <c r="C197" s="3" t="s">
        <v>1456</v>
      </c>
      <c r="D197" s="3" t="s">
        <v>1463</v>
      </c>
      <c r="E197" s="3" t="s">
        <v>1464</v>
      </c>
      <c r="F197" s="3" t="s">
        <v>224</v>
      </c>
      <c r="G197" s="3" t="s">
        <v>53</v>
      </c>
      <c r="H197" s="3" t="s">
        <v>53</v>
      </c>
      <c r="I197" s="3" t="s">
        <v>311</v>
      </c>
      <c r="J197" s="3" t="s">
        <v>1228</v>
      </c>
      <c r="K197" s="3" t="s">
        <v>78</v>
      </c>
      <c r="L197" s="3" t="s">
        <v>1219</v>
      </c>
      <c r="M197" s="137">
        <v>0.89700000000000002</v>
      </c>
      <c r="N197" s="3" t="s">
        <v>1465</v>
      </c>
      <c r="O197" s="142">
        <v>4.3200000000000002E-2</v>
      </c>
      <c r="P197" s="138">
        <v>4.3869999999999999E-2</v>
      </c>
      <c r="R197" s="137">
        <v>840000</v>
      </c>
      <c r="S197" s="139">
        <v>1</v>
      </c>
      <c r="T197" s="140">
        <v>100.22</v>
      </c>
      <c r="U197" s="137">
        <v>841.84799999999996</v>
      </c>
      <c r="W197" s="3" t="s">
        <v>17</v>
      </c>
      <c r="X197" s="138">
        <v>4.0000000000000003E-5</v>
      </c>
      <c r="Y197" s="138">
        <v>1.11236632262137E-3</v>
      </c>
      <c r="Z197" s="138">
        <v>4.39157666561555E-4</v>
      </c>
    </row>
    <row r="198" spans="1:26" x14ac:dyDescent="0.2">
      <c r="A198" s="3">
        <v>559</v>
      </c>
      <c r="B198" s="3">
        <v>7205</v>
      </c>
      <c r="C198" s="3" t="s">
        <v>1251</v>
      </c>
      <c r="D198" s="3" t="s">
        <v>1303</v>
      </c>
      <c r="E198" s="3" t="s">
        <v>1304</v>
      </c>
      <c r="F198" s="3" t="s">
        <v>221</v>
      </c>
      <c r="G198" s="3" t="s">
        <v>53</v>
      </c>
      <c r="H198" s="3" t="s">
        <v>53</v>
      </c>
      <c r="I198" s="3" t="s">
        <v>311</v>
      </c>
      <c r="J198" s="3" t="s">
        <v>1228</v>
      </c>
      <c r="K198" s="3" t="s">
        <v>78</v>
      </c>
      <c r="L198" s="3" t="s">
        <v>1219</v>
      </c>
      <c r="M198" s="137">
        <v>3.8839999999999999</v>
      </c>
      <c r="N198" s="3" t="s">
        <v>1305</v>
      </c>
      <c r="O198" s="142">
        <v>5.0000000000000001E-3</v>
      </c>
      <c r="P198" s="138">
        <v>2.0080000000000001E-2</v>
      </c>
      <c r="R198" s="137">
        <v>21280460</v>
      </c>
      <c r="S198" s="139">
        <v>1</v>
      </c>
      <c r="T198" s="140">
        <v>110.62</v>
      </c>
      <c r="U198" s="137">
        <v>23540.445</v>
      </c>
      <c r="W198" s="3" t="s">
        <v>17</v>
      </c>
      <c r="X198" s="138">
        <v>7.2300000000000001E-4</v>
      </c>
      <c r="Y198" s="138">
        <v>3.1104900258586199E-2</v>
      </c>
      <c r="Z198" s="138">
        <v>1.22800871784755E-2</v>
      </c>
    </row>
    <row r="199" spans="1:26" x14ac:dyDescent="0.2">
      <c r="A199" s="3">
        <v>559</v>
      </c>
      <c r="B199" s="3">
        <v>7205</v>
      </c>
      <c r="C199" s="3" t="s">
        <v>1251</v>
      </c>
      <c r="D199" s="3" t="s">
        <v>1306</v>
      </c>
      <c r="E199" s="3" t="s">
        <v>1307</v>
      </c>
      <c r="F199" s="3" t="s">
        <v>221</v>
      </c>
      <c r="G199" s="3" t="s">
        <v>53</v>
      </c>
      <c r="H199" s="3" t="s">
        <v>53</v>
      </c>
      <c r="I199" s="3" t="s">
        <v>311</v>
      </c>
      <c r="J199" s="3" t="s">
        <v>1228</v>
      </c>
      <c r="K199" s="3" t="s">
        <v>78</v>
      </c>
      <c r="L199" s="3" t="s">
        <v>1219</v>
      </c>
      <c r="M199" s="137">
        <v>1.0780000000000001</v>
      </c>
      <c r="N199" s="3" t="s">
        <v>1308</v>
      </c>
      <c r="O199" s="142">
        <v>1E-3</v>
      </c>
      <c r="P199" s="138">
        <v>2.3380000000000001E-2</v>
      </c>
      <c r="R199" s="137">
        <v>48733906</v>
      </c>
      <c r="S199" s="139">
        <v>1</v>
      </c>
      <c r="T199" s="140">
        <v>114.5</v>
      </c>
      <c r="U199" s="137">
        <v>55800.322</v>
      </c>
      <c r="W199" s="3" t="s">
        <v>17</v>
      </c>
      <c r="X199" s="138">
        <v>2.4120000000000001E-3</v>
      </c>
      <c r="Y199" s="138">
        <v>7.3731124140941795E-2</v>
      </c>
      <c r="Z199" s="138">
        <v>2.91087457182196E-2</v>
      </c>
    </row>
    <row r="200" spans="1:26" x14ac:dyDescent="0.2">
      <c r="A200" s="3">
        <v>559</v>
      </c>
      <c r="B200" s="3">
        <v>7205</v>
      </c>
      <c r="C200" s="3" t="s">
        <v>1251</v>
      </c>
      <c r="D200" s="3" t="s">
        <v>1309</v>
      </c>
      <c r="E200" s="3" t="s">
        <v>1310</v>
      </c>
      <c r="F200" s="3" t="s">
        <v>221</v>
      </c>
      <c r="G200" s="3" t="s">
        <v>53</v>
      </c>
      <c r="H200" s="3" t="s">
        <v>53</v>
      </c>
      <c r="I200" s="3" t="s">
        <v>311</v>
      </c>
      <c r="J200" s="3" t="s">
        <v>1228</v>
      </c>
      <c r="K200" s="3" t="s">
        <v>78</v>
      </c>
      <c r="L200" s="3" t="s">
        <v>1219</v>
      </c>
      <c r="M200" s="137">
        <v>3.2679999999999998</v>
      </c>
      <c r="N200" s="3" t="s">
        <v>1311</v>
      </c>
      <c r="O200" s="142">
        <v>1.0999999999999999E-2</v>
      </c>
      <c r="P200" s="138">
        <v>2.053E-2</v>
      </c>
      <c r="R200" s="137">
        <v>44814020</v>
      </c>
      <c r="S200" s="139">
        <v>1</v>
      </c>
      <c r="T200" s="140">
        <v>103.51</v>
      </c>
      <c r="U200" s="137">
        <v>46386.991999999998</v>
      </c>
      <c r="W200" s="3" t="s">
        <v>17</v>
      </c>
      <c r="X200" s="138">
        <v>1.428E-3</v>
      </c>
      <c r="Y200" s="138">
        <v>6.12929267777177E-2</v>
      </c>
      <c r="Z200" s="138">
        <v>2.4198196361247599E-2</v>
      </c>
    </row>
    <row r="201" spans="1:26" x14ac:dyDescent="0.2">
      <c r="A201" s="3">
        <v>559</v>
      </c>
      <c r="B201" s="3">
        <v>7205</v>
      </c>
      <c r="C201" s="3" t="s">
        <v>1251</v>
      </c>
      <c r="D201" s="3" t="s">
        <v>1312</v>
      </c>
      <c r="E201" s="3" t="s">
        <v>1313</v>
      </c>
      <c r="F201" s="3" t="s">
        <v>221</v>
      </c>
      <c r="G201" s="3" t="s">
        <v>53</v>
      </c>
      <c r="H201" s="3" t="s">
        <v>53</v>
      </c>
      <c r="I201" s="3" t="s">
        <v>1227</v>
      </c>
      <c r="J201" s="3" t="s">
        <v>1228</v>
      </c>
      <c r="K201" s="3" t="s">
        <v>78</v>
      </c>
      <c r="L201" s="3" t="s">
        <v>1219</v>
      </c>
      <c r="M201" s="137">
        <v>7.7789999999999999</v>
      </c>
      <c r="N201" s="3" t="s">
        <v>1314</v>
      </c>
      <c r="O201" s="142">
        <v>1.6E-2</v>
      </c>
      <c r="P201" s="138">
        <v>1.9709999999999998E-2</v>
      </c>
      <c r="R201" s="137">
        <v>7280000</v>
      </c>
      <c r="S201" s="139">
        <v>1</v>
      </c>
      <c r="T201" s="140">
        <v>103.3</v>
      </c>
      <c r="U201" s="137">
        <v>7520.24</v>
      </c>
      <c r="W201" s="3" t="s">
        <v>17</v>
      </c>
      <c r="X201" s="138">
        <v>3.0800000000000001E-4</v>
      </c>
      <c r="Y201" s="138">
        <v>9.9367839729144706E-3</v>
      </c>
      <c r="Z201" s="138">
        <v>3.9230015993182397E-3</v>
      </c>
    </row>
    <row r="202" spans="1:26" x14ac:dyDescent="0.2">
      <c r="A202" s="3">
        <v>559</v>
      </c>
      <c r="B202" s="3">
        <v>7205</v>
      </c>
      <c r="C202" s="3" t="s">
        <v>1274</v>
      </c>
      <c r="D202" s="3" t="s">
        <v>1315</v>
      </c>
      <c r="E202" s="3" t="s">
        <v>1316</v>
      </c>
      <c r="F202" s="3" t="s">
        <v>223</v>
      </c>
      <c r="G202" s="3" t="s">
        <v>53</v>
      </c>
      <c r="H202" s="3" t="s">
        <v>53</v>
      </c>
      <c r="I202" s="3" t="s">
        <v>311</v>
      </c>
      <c r="J202" s="3" t="s">
        <v>1228</v>
      </c>
      <c r="K202" s="3" t="s">
        <v>78</v>
      </c>
      <c r="L202" s="3" t="s">
        <v>1219</v>
      </c>
      <c r="M202" s="137">
        <v>10.803000000000001</v>
      </c>
      <c r="N202" s="3" t="s">
        <v>1317</v>
      </c>
      <c r="O202" s="142">
        <v>1.4999999999999999E-2</v>
      </c>
      <c r="P202" s="138">
        <v>4.2529999999999998E-2</v>
      </c>
      <c r="R202" s="137">
        <v>36936860</v>
      </c>
      <c r="S202" s="139">
        <v>1</v>
      </c>
      <c r="T202" s="140">
        <v>74.8</v>
      </c>
      <c r="U202" s="137">
        <v>27628.771000000001</v>
      </c>
      <c r="W202" s="3" t="s">
        <v>17</v>
      </c>
      <c r="X202" s="138">
        <v>9.7900000000000005E-4</v>
      </c>
      <c r="Y202" s="138">
        <v>3.6506964092425702E-2</v>
      </c>
      <c r="Z202" s="138">
        <v>1.4412799846632299E-2</v>
      </c>
    </row>
    <row r="203" spans="1:26" x14ac:dyDescent="0.2">
      <c r="A203" s="3">
        <v>559</v>
      </c>
      <c r="B203" s="3">
        <v>7205</v>
      </c>
      <c r="C203" s="3" t="s">
        <v>1274</v>
      </c>
      <c r="D203" s="3" t="s">
        <v>1318</v>
      </c>
      <c r="E203" s="3" t="s">
        <v>1319</v>
      </c>
      <c r="F203" s="3" t="s">
        <v>223</v>
      </c>
      <c r="G203" s="3" t="s">
        <v>53</v>
      </c>
      <c r="H203" s="3" t="s">
        <v>53</v>
      </c>
      <c r="I203" s="3" t="s">
        <v>311</v>
      </c>
      <c r="J203" s="3" t="s">
        <v>1228</v>
      </c>
      <c r="K203" s="3" t="s">
        <v>78</v>
      </c>
      <c r="L203" s="3" t="s">
        <v>1219</v>
      </c>
      <c r="M203" s="137">
        <v>4.641</v>
      </c>
      <c r="N203" s="3" t="s">
        <v>1320</v>
      </c>
      <c r="O203" s="142">
        <v>0.01</v>
      </c>
      <c r="P203" s="138">
        <v>3.9690000000000003E-2</v>
      </c>
      <c r="R203" s="137">
        <v>74994</v>
      </c>
      <c r="S203" s="139">
        <v>1</v>
      </c>
      <c r="T203" s="140">
        <v>87.63</v>
      </c>
      <c r="U203" s="137">
        <v>65.716999999999999</v>
      </c>
      <c r="W203" s="3" t="s">
        <v>17</v>
      </c>
      <c r="X203" s="138">
        <v>1.9999999999999999E-6</v>
      </c>
      <c r="Y203" s="138">
        <v>8.68347338698098E-5</v>
      </c>
      <c r="Z203" s="138">
        <v>3.4281997150806898E-5</v>
      </c>
    </row>
    <row r="204" spans="1:26" x14ac:dyDescent="0.2">
      <c r="A204" s="3">
        <v>559</v>
      </c>
      <c r="B204" s="3">
        <v>7205</v>
      </c>
      <c r="C204" s="3" t="s">
        <v>1274</v>
      </c>
      <c r="D204" s="3" t="s">
        <v>1321</v>
      </c>
      <c r="E204" s="3" t="s">
        <v>1322</v>
      </c>
      <c r="F204" s="3" t="s">
        <v>223</v>
      </c>
      <c r="G204" s="3" t="s">
        <v>53</v>
      </c>
      <c r="H204" s="3" t="s">
        <v>53</v>
      </c>
      <c r="I204" s="3" t="s">
        <v>311</v>
      </c>
      <c r="J204" s="3" t="s">
        <v>1228</v>
      </c>
      <c r="K204" s="3" t="s">
        <v>78</v>
      </c>
      <c r="L204" s="3" t="s">
        <v>1219</v>
      </c>
      <c r="M204" s="137">
        <v>6.5380000000000003</v>
      </c>
      <c r="N204" s="3" t="s">
        <v>1323</v>
      </c>
      <c r="O204" s="142">
        <v>1.2999999999999999E-2</v>
      </c>
      <c r="P204" s="138">
        <v>4.0480000000000002E-2</v>
      </c>
      <c r="R204" s="137">
        <v>15099000</v>
      </c>
      <c r="S204" s="139">
        <v>1</v>
      </c>
      <c r="T204" s="140">
        <v>84.1</v>
      </c>
      <c r="U204" s="137">
        <v>12698.259</v>
      </c>
      <c r="W204" s="3" t="s">
        <v>17</v>
      </c>
      <c r="X204" s="138">
        <v>4.2400000000000001E-4</v>
      </c>
      <c r="Y204" s="138">
        <v>1.67787007482629E-2</v>
      </c>
      <c r="Z204" s="138">
        <v>6.6241623093886998E-3</v>
      </c>
    </row>
    <row r="205" spans="1:26" x14ac:dyDescent="0.2">
      <c r="A205" s="3">
        <v>559</v>
      </c>
      <c r="B205" s="3">
        <v>7205</v>
      </c>
      <c r="C205" s="3" t="s">
        <v>1224</v>
      </c>
      <c r="D205" s="3" t="s">
        <v>1324</v>
      </c>
      <c r="E205" s="3" t="s">
        <v>1325</v>
      </c>
      <c r="F205" s="3" t="s">
        <v>227</v>
      </c>
      <c r="G205" s="3" t="s">
        <v>53</v>
      </c>
      <c r="H205" s="3" t="s">
        <v>53</v>
      </c>
      <c r="I205" s="3" t="s">
        <v>1227</v>
      </c>
      <c r="J205" s="3" t="s">
        <v>1228</v>
      </c>
      <c r="K205" s="3" t="s">
        <v>78</v>
      </c>
      <c r="L205" s="3" t="s">
        <v>1219</v>
      </c>
      <c r="M205" s="137">
        <v>0.59499999999999997</v>
      </c>
      <c r="N205" s="3" t="s">
        <v>1326</v>
      </c>
      <c r="O205" s="142">
        <v>0</v>
      </c>
      <c r="P205" s="138">
        <v>4.2790000000000002E-2</v>
      </c>
      <c r="R205" s="137">
        <v>3100518</v>
      </c>
      <c r="S205" s="139">
        <v>1</v>
      </c>
      <c r="T205" s="140">
        <v>97.54</v>
      </c>
      <c r="U205" s="137">
        <v>3024.2449999999999</v>
      </c>
      <c r="W205" s="3" t="s">
        <v>17</v>
      </c>
      <c r="X205" s="138">
        <v>1.7200000000000001E-4</v>
      </c>
      <c r="Y205" s="138">
        <v>3.99605222731024E-3</v>
      </c>
      <c r="Z205" s="138">
        <v>1.57762504663764E-3</v>
      </c>
    </row>
    <row r="206" spans="1:26" x14ac:dyDescent="0.2">
      <c r="A206" s="3">
        <v>559</v>
      </c>
      <c r="B206" s="3">
        <v>7205</v>
      </c>
      <c r="C206" s="3" t="s">
        <v>1224</v>
      </c>
      <c r="D206" s="3" t="s">
        <v>1327</v>
      </c>
      <c r="E206" s="3" t="s">
        <v>1328</v>
      </c>
      <c r="F206" s="3" t="s">
        <v>227</v>
      </c>
      <c r="G206" s="3" t="s">
        <v>53</v>
      </c>
      <c r="H206" s="3" t="s">
        <v>53</v>
      </c>
      <c r="I206" s="3" t="s">
        <v>1227</v>
      </c>
      <c r="J206" s="3" t="s">
        <v>1228</v>
      </c>
      <c r="K206" s="3" t="s">
        <v>78</v>
      </c>
      <c r="L206" s="3" t="s">
        <v>1219</v>
      </c>
      <c r="M206" s="137">
        <v>0.67100000000000004</v>
      </c>
      <c r="N206" s="3" t="s">
        <v>1329</v>
      </c>
      <c r="O206" s="142">
        <v>0</v>
      </c>
      <c r="P206" s="138">
        <v>4.2259999999999999E-2</v>
      </c>
      <c r="R206" s="137">
        <v>20594000</v>
      </c>
      <c r="S206" s="139">
        <v>1</v>
      </c>
      <c r="T206" s="140">
        <v>97.26</v>
      </c>
      <c r="U206" s="137">
        <v>20029.723999999998</v>
      </c>
      <c r="W206" s="3" t="s">
        <v>17</v>
      </c>
      <c r="X206" s="138">
        <v>1.1440000000000001E-3</v>
      </c>
      <c r="Y206" s="138">
        <v>2.6466049540947299E-2</v>
      </c>
      <c r="Z206" s="138">
        <v>1.0448687921542899E-2</v>
      </c>
    </row>
    <row r="207" spans="1:26" x14ac:dyDescent="0.2">
      <c r="A207" s="3">
        <v>559</v>
      </c>
      <c r="B207" s="3">
        <v>7205</v>
      </c>
      <c r="C207" s="3" t="s">
        <v>1224</v>
      </c>
      <c r="D207" s="3" t="s">
        <v>1330</v>
      </c>
      <c r="E207" s="3" t="s">
        <v>1331</v>
      </c>
      <c r="F207" s="3" t="s">
        <v>227</v>
      </c>
      <c r="G207" s="3" t="s">
        <v>53</v>
      </c>
      <c r="H207" s="3" t="s">
        <v>53</v>
      </c>
      <c r="I207" s="3" t="s">
        <v>1227</v>
      </c>
      <c r="J207" s="3" t="s">
        <v>1228</v>
      </c>
      <c r="K207" s="3" t="s">
        <v>78</v>
      </c>
      <c r="L207" s="3" t="s">
        <v>1219</v>
      </c>
      <c r="M207" s="137">
        <v>0.84399999999999997</v>
      </c>
      <c r="N207" s="3" t="s">
        <v>1332</v>
      </c>
      <c r="O207" s="142">
        <v>0</v>
      </c>
      <c r="P207" s="138">
        <v>4.1329999999999999E-2</v>
      </c>
      <c r="R207" s="137">
        <v>5151000</v>
      </c>
      <c r="S207" s="139">
        <v>1</v>
      </c>
      <c r="T207" s="140">
        <v>96.64</v>
      </c>
      <c r="U207" s="137">
        <v>4977.9260000000004</v>
      </c>
      <c r="W207" s="3" t="s">
        <v>17</v>
      </c>
      <c r="X207" s="138">
        <v>2.8600000000000001E-4</v>
      </c>
      <c r="Y207" s="138">
        <v>6.5775266839712297E-3</v>
      </c>
      <c r="Z207" s="138">
        <v>2.5967805852590499E-3</v>
      </c>
    </row>
    <row r="208" spans="1:26" x14ac:dyDescent="0.2">
      <c r="A208" s="3">
        <v>559</v>
      </c>
      <c r="B208" s="3">
        <v>7205</v>
      </c>
      <c r="C208" s="3" t="s">
        <v>1224</v>
      </c>
      <c r="D208" s="3" t="s">
        <v>1333</v>
      </c>
      <c r="E208" s="3" t="s">
        <v>1334</v>
      </c>
      <c r="F208" s="3" t="s">
        <v>227</v>
      </c>
      <c r="G208" s="3" t="s">
        <v>53</v>
      </c>
      <c r="H208" s="3" t="s">
        <v>53</v>
      </c>
      <c r="I208" s="3" t="s">
        <v>1227</v>
      </c>
      <c r="J208" s="3" t="s">
        <v>1228</v>
      </c>
      <c r="K208" s="3" t="s">
        <v>78</v>
      </c>
      <c r="L208" s="3" t="s">
        <v>1219</v>
      </c>
      <c r="M208" s="137">
        <v>9.6000000000000002E-2</v>
      </c>
      <c r="N208" s="3" t="s">
        <v>1335</v>
      </c>
      <c r="O208" s="142">
        <v>0</v>
      </c>
      <c r="P208" s="138">
        <v>4.3779999999999999E-2</v>
      </c>
      <c r="R208" s="137">
        <v>15215034</v>
      </c>
      <c r="S208" s="139">
        <v>1</v>
      </c>
      <c r="T208" s="140">
        <v>99.59</v>
      </c>
      <c r="U208" s="137">
        <v>15152.652</v>
      </c>
      <c r="W208" s="3" t="s">
        <v>17</v>
      </c>
      <c r="X208" s="138">
        <v>5.0699999999999996E-4</v>
      </c>
      <c r="Y208" s="138">
        <v>2.0021785624388899E-2</v>
      </c>
      <c r="Z208" s="138">
        <v>7.90451893085156E-3</v>
      </c>
    </row>
    <row r="209" spans="1:26" x14ac:dyDescent="0.2">
      <c r="A209" s="3">
        <v>559</v>
      </c>
      <c r="B209" s="3">
        <v>7205</v>
      </c>
      <c r="C209" s="3" t="s">
        <v>1251</v>
      </c>
      <c r="D209" s="3" t="s">
        <v>1252</v>
      </c>
      <c r="E209" s="3" t="s">
        <v>1253</v>
      </c>
      <c r="F209" s="3" t="s">
        <v>221</v>
      </c>
      <c r="G209" s="3" t="s">
        <v>53</v>
      </c>
      <c r="H209" s="3" t="s">
        <v>53</v>
      </c>
      <c r="I209" s="3" t="s">
        <v>311</v>
      </c>
      <c r="J209" s="3" t="s">
        <v>1228</v>
      </c>
      <c r="K209" s="3" t="s">
        <v>78</v>
      </c>
      <c r="L209" s="3" t="s">
        <v>1219</v>
      </c>
      <c r="M209" s="137">
        <v>1.905</v>
      </c>
      <c r="N209" s="3" t="s">
        <v>1254</v>
      </c>
      <c r="O209" s="142">
        <v>7.4999999999999997E-3</v>
      </c>
      <c r="P209" s="138">
        <v>2.0959999999999999E-2</v>
      </c>
      <c r="R209" s="137">
        <v>27000000</v>
      </c>
      <c r="S209" s="139">
        <v>1</v>
      </c>
      <c r="T209" s="140">
        <v>115.45</v>
      </c>
      <c r="U209" s="137">
        <v>31171.5</v>
      </c>
      <c r="W209" s="3" t="s">
        <v>17</v>
      </c>
      <c r="X209" s="138">
        <v>1.109E-3</v>
      </c>
      <c r="Y209" s="138">
        <v>4.11881085725593E-2</v>
      </c>
      <c r="Z209" s="138">
        <v>1.6260896507710999E-2</v>
      </c>
    </row>
    <row r="210" spans="1:26" x14ac:dyDescent="0.2">
      <c r="A210" s="3">
        <v>559</v>
      </c>
      <c r="B210" s="3">
        <v>7205</v>
      </c>
      <c r="C210" s="3" t="s">
        <v>1251</v>
      </c>
      <c r="D210" s="3" t="s">
        <v>1255</v>
      </c>
      <c r="E210" s="3" t="s">
        <v>1256</v>
      </c>
      <c r="F210" s="3" t="s">
        <v>221</v>
      </c>
      <c r="G210" s="3" t="s">
        <v>53</v>
      </c>
      <c r="H210" s="3" t="s">
        <v>53</v>
      </c>
      <c r="I210" s="3" t="s">
        <v>311</v>
      </c>
      <c r="J210" s="3" t="s">
        <v>1228</v>
      </c>
      <c r="K210" s="3" t="s">
        <v>78</v>
      </c>
      <c r="L210" s="3" t="s">
        <v>1219</v>
      </c>
      <c r="M210" s="137">
        <v>0.33200000000000002</v>
      </c>
      <c r="N210" s="3" t="s">
        <v>1257</v>
      </c>
      <c r="O210" s="142">
        <v>7.4999999999999997E-3</v>
      </c>
      <c r="P210" s="138">
        <v>5.9899999999999997E-3</v>
      </c>
      <c r="R210" s="137">
        <v>14000000</v>
      </c>
      <c r="S210" s="139">
        <v>1</v>
      </c>
      <c r="T210" s="140">
        <v>118.26</v>
      </c>
      <c r="U210" s="137">
        <v>16556.400000000001</v>
      </c>
      <c r="W210" s="3" t="s">
        <v>17</v>
      </c>
      <c r="X210" s="138">
        <v>1.1039999999999999E-3</v>
      </c>
      <c r="Y210" s="138">
        <v>2.1876611673186101E-2</v>
      </c>
      <c r="Z210" s="138">
        <v>8.6367966552866101E-3</v>
      </c>
    </row>
    <row r="211" spans="1:26" x14ac:dyDescent="0.2">
      <c r="A211" s="3">
        <v>559</v>
      </c>
      <c r="B211" s="3">
        <v>7205</v>
      </c>
      <c r="C211" s="3" t="s">
        <v>1274</v>
      </c>
      <c r="D211" s="3" t="s">
        <v>1275</v>
      </c>
      <c r="E211" s="3" t="s">
        <v>1276</v>
      </c>
      <c r="F211" s="3" t="s">
        <v>223</v>
      </c>
      <c r="G211" s="3" t="s">
        <v>53</v>
      </c>
      <c r="H211" s="3" t="s">
        <v>53</v>
      </c>
      <c r="I211" s="3" t="s">
        <v>311</v>
      </c>
      <c r="J211" s="3" t="s">
        <v>1228</v>
      </c>
      <c r="K211" s="3" t="s">
        <v>78</v>
      </c>
      <c r="L211" s="3" t="s">
        <v>1219</v>
      </c>
      <c r="M211" s="137">
        <v>3.109</v>
      </c>
      <c r="N211" s="3" t="s">
        <v>1277</v>
      </c>
      <c r="O211" s="142">
        <v>2.2499999999999999E-2</v>
      </c>
      <c r="P211" s="138">
        <v>3.952E-2</v>
      </c>
      <c r="R211" s="137">
        <v>13000000</v>
      </c>
      <c r="S211" s="139">
        <v>1</v>
      </c>
      <c r="T211" s="140">
        <v>96.6</v>
      </c>
      <c r="U211" s="137">
        <v>12558</v>
      </c>
      <c r="W211" s="3" t="s">
        <v>17</v>
      </c>
      <c r="X211" s="138">
        <v>3.7399999999999998E-4</v>
      </c>
      <c r="Y211" s="138">
        <v>1.6593371106754601E-2</v>
      </c>
      <c r="Z211" s="138">
        <v>6.5509949262574797E-3</v>
      </c>
    </row>
    <row r="212" spans="1:26" x14ac:dyDescent="0.2">
      <c r="A212" s="3">
        <v>559</v>
      </c>
      <c r="B212" s="3">
        <v>7205</v>
      </c>
      <c r="C212" s="3" t="s">
        <v>1274</v>
      </c>
      <c r="D212" s="3" t="s">
        <v>1283</v>
      </c>
      <c r="E212" s="3" t="s">
        <v>1284</v>
      </c>
      <c r="F212" s="3" t="s">
        <v>223</v>
      </c>
      <c r="G212" s="3" t="s">
        <v>53</v>
      </c>
      <c r="H212" s="3" t="s">
        <v>53</v>
      </c>
      <c r="I212" s="3" t="s">
        <v>311</v>
      </c>
      <c r="J212" s="3" t="s">
        <v>1228</v>
      </c>
      <c r="K212" s="3" t="s">
        <v>78</v>
      </c>
      <c r="L212" s="3" t="s">
        <v>1219</v>
      </c>
      <c r="M212" s="137">
        <v>1.7250000000000001</v>
      </c>
      <c r="N212" s="3" t="s">
        <v>1285</v>
      </c>
      <c r="O212" s="142">
        <v>0.02</v>
      </c>
      <c r="P212" s="138">
        <v>4.0030000000000003E-2</v>
      </c>
      <c r="R212" s="137">
        <v>19600000</v>
      </c>
      <c r="S212" s="139">
        <v>1</v>
      </c>
      <c r="T212" s="140">
        <v>97.19</v>
      </c>
      <c r="U212" s="137">
        <v>19049.240000000002</v>
      </c>
      <c r="W212" s="3" t="s">
        <v>17</v>
      </c>
      <c r="X212" s="138">
        <v>6.9399999999999996E-4</v>
      </c>
      <c r="Y212" s="138">
        <v>2.5170497580954999E-2</v>
      </c>
      <c r="Z212" s="138">
        <v>9.9372093158990992E-3</v>
      </c>
    </row>
    <row r="213" spans="1:26" x14ac:dyDescent="0.2">
      <c r="A213" s="3">
        <v>559</v>
      </c>
      <c r="B213" s="3">
        <v>7205</v>
      </c>
      <c r="C213" s="3" t="s">
        <v>1251</v>
      </c>
      <c r="D213" s="3" t="s">
        <v>1460</v>
      </c>
      <c r="E213" s="3" t="s">
        <v>1461</v>
      </c>
      <c r="F213" s="3" t="s">
        <v>221</v>
      </c>
      <c r="G213" s="3" t="s">
        <v>53</v>
      </c>
      <c r="H213" s="3" t="s">
        <v>53</v>
      </c>
      <c r="I213" s="3" t="s">
        <v>311</v>
      </c>
      <c r="J213" s="3" t="s">
        <v>1228</v>
      </c>
      <c r="K213" s="3" t="s">
        <v>78</v>
      </c>
      <c r="L213" s="3" t="s">
        <v>1219</v>
      </c>
      <c r="M213" s="137">
        <v>9.2189999999999994</v>
      </c>
      <c r="N213" s="3" t="s">
        <v>1462</v>
      </c>
      <c r="O213" s="142">
        <v>0.04</v>
      </c>
      <c r="P213" s="138">
        <v>1.9400000000000001E-2</v>
      </c>
      <c r="R213" s="137">
        <v>5000000</v>
      </c>
      <c r="S213" s="139">
        <v>1</v>
      </c>
      <c r="T213" s="140">
        <v>167.7</v>
      </c>
      <c r="U213" s="137">
        <v>8385</v>
      </c>
      <c r="W213" s="3" t="s">
        <v>17</v>
      </c>
      <c r="X213" s="138">
        <v>3.1399999999999999E-4</v>
      </c>
      <c r="Y213" s="138">
        <v>1.10794248073051E-2</v>
      </c>
      <c r="Z213" s="138">
        <v>4.3741115190849599E-3</v>
      </c>
    </row>
    <row r="214" spans="1:26" x14ac:dyDescent="0.2">
      <c r="A214" s="3">
        <v>559</v>
      </c>
      <c r="B214" s="3">
        <v>7205</v>
      </c>
      <c r="C214" s="3" t="s">
        <v>1274</v>
      </c>
      <c r="D214" s="3" t="s">
        <v>1321</v>
      </c>
      <c r="E214" s="3" t="s">
        <v>1322</v>
      </c>
      <c r="F214" s="3" t="s">
        <v>223</v>
      </c>
      <c r="G214" s="3" t="s">
        <v>53</v>
      </c>
      <c r="H214" s="3" t="s">
        <v>53</v>
      </c>
      <c r="I214" s="3" t="s">
        <v>311</v>
      </c>
      <c r="J214" s="3" t="s">
        <v>1228</v>
      </c>
      <c r="K214" s="3" t="s">
        <v>78</v>
      </c>
      <c r="L214" s="3" t="s">
        <v>1219</v>
      </c>
      <c r="M214" s="137">
        <v>6.5380000000000003</v>
      </c>
      <c r="N214" s="3" t="s">
        <v>1323</v>
      </c>
      <c r="O214" s="142">
        <v>1.2999999999999999E-2</v>
      </c>
      <c r="P214" s="138">
        <v>4.0480000000000002E-2</v>
      </c>
      <c r="R214" s="137">
        <v>4140000</v>
      </c>
      <c r="S214" s="139">
        <v>1</v>
      </c>
      <c r="T214" s="140">
        <v>84.1</v>
      </c>
      <c r="U214" s="137">
        <v>3481.74</v>
      </c>
      <c r="W214" s="3" t="s">
        <v>17</v>
      </c>
      <c r="X214" s="138">
        <v>1.16E-4</v>
      </c>
      <c r="Y214" s="138">
        <v>4.6005577255320597E-3</v>
      </c>
      <c r="Z214" s="138">
        <v>1.8162813405436899E-3</v>
      </c>
    </row>
    <row r="215" spans="1:26" x14ac:dyDescent="0.2">
      <c r="A215" s="3">
        <v>559</v>
      </c>
      <c r="B215" s="3">
        <v>7205</v>
      </c>
      <c r="C215" s="3" t="s">
        <v>1341</v>
      </c>
      <c r="D215" s="3" t="s">
        <v>1342</v>
      </c>
      <c r="E215" s="3" t="s">
        <v>1343</v>
      </c>
      <c r="F215" s="3" t="s">
        <v>225</v>
      </c>
      <c r="G215" s="3" t="s">
        <v>61</v>
      </c>
      <c r="H215" s="3" t="s">
        <v>314</v>
      </c>
      <c r="I215" s="3" t="s">
        <v>1150</v>
      </c>
      <c r="J215" s="3" t="s">
        <v>1339</v>
      </c>
      <c r="K215" s="3" t="s">
        <v>101</v>
      </c>
      <c r="L215" s="3" t="s">
        <v>1217</v>
      </c>
      <c r="M215" s="137">
        <v>14.308999999999999</v>
      </c>
      <c r="N215" s="3" t="s">
        <v>1344</v>
      </c>
      <c r="O215" s="142">
        <v>0.03</v>
      </c>
      <c r="P215" s="138">
        <v>4.87E-2</v>
      </c>
      <c r="Q215" s="137">
        <v>23.315000000000001</v>
      </c>
      <c r="R215" s="137">
        <v>0</v>
      </c>
      <c r="S215" s="139">
        <v>3.3719999999999999</v>
      </c>
      <c r="T215" s="140">
        <v>0</v>
      </c>
      <c r="U215" s="137">
        <v>78.617000000000004</v>
      </c>
      <c r="W215" s="3" t="s">
        <v>17</v>
      </c>
      <c r="X215" s="138">
        <v>0</v>
      </c>
      <c r="Y215" s="138">
        <v>1.0387994704363299E-4</v>
      </c>
      <c r="Z215" s="138">
        <v>4.1011377473846902E-5</v>
      </c>
    </row>
    <row r="216" spans="1:26" x14ac:dyDescent="0.2">
      <c r="A216" s="3">
        <v>559</v>
      </c>
      <c r="B216" s="3">
        <v>7205</v>
      </c>
      <c r="C216" s="3" t="s">
        <v>1345</v>
      </c>
      <c r="D216" s="3" t="s">
        <v>1346</v>
      </c>
      <c r="E216" s="3" t="s">
        <v>1347</v>
      </c>
      <c r="F216" s="3" t="s">
        <v>225</v>
      </c>
      <c r="G216" s="3" t="s">
        <v>61</v>
      </c>
      <c r="H216" s="3" t="s">
        <v>314</v>
      </c>
      <c r="I216" s="3" t="s">
        <v>1150</v>
      </c>
      <c r="J216" s="3" t="s">
        <v>1339</v>
      </c>
      <c r="K216" s="3" t="s">
        <v>101</v>
      </c>
      <c r="L216" s="3" t="s">
        <v>1217</v>
      </c>
      <c r="M216" s="137">
        <v>9.8000000000000004E-2</v>
      </c>
      <c r="N216" s="3" t="s">
        <v>1348</v>
      </c>
      <c r="O216" s="142">
        <v>0</v>
      </c>
      <c r="P216" s="138">
        <v>4.3479999999999998E-2</v>
      </c>
      <c r="R216" s="137">
        <v>370000</v>
      </c>
      <c r="S216" s="139">
        <v>3.3719999999999999</v>
      </c>
      <c r="T216" s="140">
        <v>99.596999999999994</v>
      </c>
      <c r="U216" s="137">
        <v>1242.615</v>
      </c>
      <c r="W216" s="3" t="s">
        <v>17</v>
      </c>
      <c r="X216" s="138">
        <v>3.0000000000000001E-6</v>
      </c>
      <c r="Y216" s="138">
        <v>1.6419146075825699E-3</v>
      </c>
      <c r="Z216" s="138">
        <v>6.48221159788503E-4</v>
      </c>
    </row>
    <row r="217" spans="1:26" x14ac:dyDescent="0.2">
      <c r="A217" s="3">
        <v>559</v>
      </c>
      <c r="B217" s="3">
        <v>7205</v>
      </c>
      <c r="C217" s="3" t="s">
        <v>1345</v>
      </c>
      <c r="D217" s="3" t="s">
        <v>1349</v>
      </c>
      <c r="E217" s="3" t="s">
        <v>1350</v>
      </c>
      <c r="F217" s="3" t="s">
        <v>225</v>
      </c>
      <c r="G217" s="3" t="s">
        <v>61</v>
      </c>
      <c r="H217" s="3" t="s">
        <v>314</v>
      </c>
      <c r="I217" s="3" t="s">
        <v>1150</v>
      </c>
      <c r="J217" s="3" t="s">
        <v>1339</v>
      </c>
      <c r="K217" s="3" t="s">
        <v>101</v>
      </c>
      <c r="L217" s="3" t="s">
        <v>1217</v>
      </c>
      <c r="M217" s="137">
        <v>0.219</v>
      </c>
      <c r="N217" s="3" t="s">
        <v>1351</v>
      </c>
      <c r="O217" s="142">
        <v>0</v>
      </c>
      <c r="P217" s="138">
        <v>4.3040000000000002E-2</v>
      </c>
      <c r="R217" s="137">
        <v>890000</v>
      </c>
      <c r="S217" s="139">
        <v>3.3719999999999999</v>
      </c>
      <c r="T217" s="140">
        <v>99.084999999999994</v>
      </c>
      <c r="U217" s="137">
        <v>2973.6080000000002</v>
      </c>
      <c r="W217" s="3" t="s">
        <v>17</v>
      </c>
      <c r="X217" s="138">
        <v>6.0000000000000002E-6</v>
      </c>
      <c r="Y217" s="138">
        <v>3.9291434110804799E-3</v>
      </c>
      <c r="Z217" s="138">
        <v>1.5512097201302599E-3</v>
      </c>
    </row>
    <row r="218" spans="1:26" x14ac:dyDescent="0.2">
      <c r="A218" s="3">
        <v>559</v>
      </c>
      <c r="B218" s="3">
        <v>7205</v>
      </c>
      <c r="C218" s="3" t="s">
        <v>1352</v>
      </c>
      <c r="D218" s="3" t="s">
        <v>1466</v>
      </c>
      <c r="E218" s="3" t="s">
        <v>1467</v>
      </c>
      <c r="F218" s="3" t="s">
        <v>225</v>
      </c>
      <c r="G218" s="3" t="s">
        <v>61</v>
      </c>
      <c r="H218" s="3" t="s">
        <v>53</v>
      </c>
      <c r="I218" s="3" t="s">
        <v>102</v>
      </c>
      <c r="J218" s="3" t="s">
        <v>1355</v>
      </c>
      <c r="K218" s="3" t="s">
        <v>84</v>
      </c>
      <c r="L218" s="3" t="s">
        <v>1217</v>
      </c>
      <c r="M218" s="137">
        <v>2.4239999999999999</v>
      </c>
      <c r="N218" s="3" t="s">
        <v>1468</v>
      </c>
      <c r="O218" s="142">
        <v>3.2500000000000001E-2</v>
      </c>
      <c r="P218" s="138">
        <v>4.8529999999999997E-2</v>
      </c>
      <c r="R218" s="137">
        <v>2100000</v>
      </c>
      <c r="S218" s="139">
        <v>3.3719999999999999</v>
      </c>
      <c r="T218" s="140">
        <v>97.757000000000005</v>
      </c>
      <c r="U218" s="137">
        <v>6922.3370000000004</v>
      </c>
      <c r="W218" s="3" t="s">
        <v>17</v>
      </c>
      <c r="X218" s="138">
        <v>2.0999999999999999E-3</v>
      </c>
      <c r="Y218" s="138">
        <v>9.1467518941453895E-3</v>
      </c>
      <c r="Z218" s="138">
        <v>3.6111001715553202E-3</v>
      </c>
    </row>
    <row r="219" spans="1:26" x14ac:dyDescent="0.2">
      <c r="A219" s="3">
        <v>559</v>
      </c>
      <c r="B219" s="3">
        <v>7205</v>
      </c>
      <c r="C219" s="3" t="s">
        <v>1352</v>
      </c>
      <c r="D219" s="3" t="s">
        <v>1353</v>
      </c>
      <c r="E219" s="3" t="s">
        <v>1354</v>
      </c>
      <c r="F219" s="3" t="s">
        <v>225</v>
      </c>
      <c r="G219" s="3" t="s">
        <v>61</v>
      </c>
      <c r="H219" s="3" t="s">
        <v>53</v>
      </c>
      <c r="I219" s="3" t="s">
        <v>102</v>
      </c>
      <c r="J219" s="3" t="s">
        <v>1355</v>
      </c>
      <c r="K219" s="3" t="s">
        <v>84</v>
      </c>
      <c r="L219" s="3" t="s">
        <v>1215</v>
      </c>
      <c r="M219" s="137">
        <v>1.282</v>
      </c>
      <c r="N219" s="3" t="s">
        <v>1356</v>
      </c>
      <c r="O219" s="142">
        <v>0.05</v>
      </c>
      <c r="P219" s="138">
        <v>2.9190000000000001E-2</v>
      </c>
      <c r="R219" s="137">
        <v>550000</v>
      </c>
      <c r="S219" s="139">
        <v>3.9552</v>
      </c>
      <c r="T219" s="140">
        <v>105.91</v>
      </c>
      <c r="U219" s="137">
        <v>2303.933</v>
      </c>
      <c r="W219" s="3" t="s">
        <v>17</v>
      </c>
      <c r="X219" s="138">
        <v>3.0600000000000001E-4</v>
      </c>
      <c r="Y219" s="138">
        <v>3.0442762948810101E-3</v>
      </c>
      <c r="Z219" s="138">
        <v>1.2018678081498E-3</v>
      </c>
    </row>
    <row r="220" spans="1:26" x14ac:dyDescent="0.2">
      <c r="A220" s="3">
        <v>559</v>
      </c>
      <c r="B220" s="3">
        <v>7205</v>
      </c>
      <c r="C220" s="3" t="s">
        <v>1352</v>
      </c>
      <c r="D220" s="3" t="s">
        <v>1357</v>
      </c>
      <c r="E220" s="3" t="s">
        <v>1358</v>
      </c>
      <c r="F220" s="3" t="s">
        <v>225</v>
      </c>
      <c r="G220" s="3" t="s">
        <v>61</v>
      </c>
      <c r="H220" s="3" t="s">
        <v>53</v>
      </c>
      <c r="I220" s="3" t="s">
        <v>102</v>
      </c>
      <c r="J220" s="3" t="s">
        <v>1355</v>
      </c>
      <c r="K220" s="3" t="s">
        <v>84</v>
      </c>
      <c r="L220" s="3" t="s">
        <v>1217</v>
      </c>
      <c r="M220" s="137">
        <v>7.4349999999999996</v>
      </c>
      <c r="N220" s="3" t="s">
        <v>1359</v>
      </c>
      <c r="O220" s="142">
        <v>5.6250000000000001E-2</v>
      </c>
      <c r="P220" s="138">
        <v>5.4850000000000003E-2</v>
      </c>
      <c r="R220" s="137">
        <v>265000</v>
      </c>
      <c r="S220" s="139">
        <v>3.3719999999999999</v>
      </c>
      <c r="T220" s="140">
        <v>103.77</v>
      </c>
      <c r="U220" s="137">
        <v>927.27</v>
      </c>
      <c r="W220" s="3" t="s">
        <v>17</v>
      </c>
      <c r="X220" s="138">
        <v>1.06E-4</v>
      </c>
      <c r="Y220" s="138">
        <v>1.22523797929645E-3</v>
      </c>
      <c r="Z220" s="138">
        <v>4.8371893415688803E-4</v>
      </c>
    </row>
    <row r="221" spans="1:26" x14ac:dyDescent="0.2">
      <c r="A221" s="3">
        <v>559</v>
      </c>
      <c r="B221" s="3">
        <v>7205</v>
      </c>
      <c r="C221" s="3" t="s">
        <v>1352</v>
      </c>
      <c r="D221" s="3" t="s">
        <v>1360</v>
      </c>
      <c r="E221" s="3" t="s">
        <v>1361</v>
      </c>
      <c r="F221" s="3" t="s">
        <v>225</v>
      </c>
      <c r="G221" s="3" t="s">
        <v>61</v>
      </c>
      <c r="H221" s="3" t="s">
        <v>53</v>
      </c>
      <c r="I221" s="3" t="s">
        <v>102</v>
      </c>
      <c r="J221" s="3" t="s">
        <v>1355</v>
      </c>
      <c r="K221" s="3" t="s">
        <v>84</v>
      </c>
      <c r="L221" s="3" t="s">
        <v>1217</v>
      </c>
      <c r="M221" s="137">
        <v>3.3530000000000002</v>
      </c>
      <c r="N221" s="3" t="s">
        <v>1362</v>
      </c>
      <c r="O221" s="142">
        <v>5.3749999999999999E-2</v>
      </c>
      <c r="P221" s="138">
        <v>4.9230000000000003E-2</v>
      </c>
      <c r="R221" s="137">
        <v>455000</v>
      </c>
      <c r="S221" s="139">
        <v>3.3719999999999999</v>
      </c>
      <c r="T221" s="140">
        <v>103.265</v>
      </c>
      <c r="U221" s="137">
        <v>1584.3610000000001</v>
      </c>
      <c r="W221" s="3" t="s">
        <v>17</v>
      </c>
      <c r="X221" s="138">
        <v>2.2800000000000001E-4</v>
      </c>
      <c r="Y221" s="138">
        <v>2.0934778116995698E-3</v>
      </c>
      <c r="Z221" s="138">
        <v>8.2649646262017797E-4</v>
      </c>
    </row>
    <row r="222" spans="1:26" x14ac:dyDescent="0.2">
      <c r="A222" s="3">
        <v>559</v>
      </c>
      <c r="B222" s="3">
        <v>7205</v>
      </c>
      <c r="C222" s="3" t="s">
        <v>1352</v>
      </c>
      <c r="D222" s="3" t="s">
        <v>1363</v>
      </c>
      <c r="E222" s="3" t="s">
        <v>1364</v>
      </c>
      <c r="F222" s="3" t="s">
        <v>225</v>
      </c>
      <c r="G222" s="3" t="s">
        <v>61</v>
      </c>
      <c r="H222" s="3" t="s">
        <v>53</v>
      </c>
      <c r="I222" s="3" t="s">
        <v>102</v>
      </c>
      <c r="J222" s="3" t="s">
        <v>1355</v>
      </c>
      <c r="K222" s="3" t="s">
        <v>84</v>
      </c>
      <c r="L222" s="3" t="s">
        <v>1217</v>
      </c>
      <c r="M222" s="137">
        <v>6.9240000000000004</v>
      </c>
      <c r="N222" s="3" t="s">
        <v>1365</v>
      </c>
      <c r="O222" s="142">
        <v>5.5E-2</v>
      </c>
      <c r="P222" s="138">
        <v>5.425E-2</v>
      </c>
      <c r="R222" s="137">
        <v>819000</v>
      </c>
      <c r="S222" s="139">
        <v>3.3719999999999999</v>
      </c>
      <c r="T222" s="140">
        <v>102.574</v>
      </c>
      <c r="U222" s="137">
        <v>2832.7530000000002</v>
      </c>
      <c r="W222" s="3" t="s">
        <v>17</v>
      </c>
      <c r="X222" s="138">
        <v>2.7300000000000002E-4</v>
      </c>
      <c r="Y222" s="138">
        <v>3.7430265432607198E-3</v>
      </c>
      <c r="Z222" s="138">
        <v>1.4777315432767399E-3</v>
      </c>
    </row>
    <row r="223" spans="1:26" x14ac:dyDescent="0.2">
      <c r="A223" s="3">
        <v>559</v>
      </c>
      <c r="B223" s="3">
        <v>7205</v>
      </c>
      <c r="C223" s="3" t="s">
        <v>1352</v>
      </c>
      <c r="D223" s="3" t="s">
        <v>1366</v>
      </c>
      <c r="E223" s="3" t="s">
        <v>1367</v>
      </c>
      <c r="F223" s="3" t="s">
        <v>225</v>
      </c>
      <c r="G223" s="3" t="s">
        <v>61</v>
      </c>
      <c r="H223" s="3" t="s">
        <v>53</v>
      </c>
      <c r="I223" s="3" t="s">
        <v>102</v>
      </c>
      <c r="J223" s="3" t="s">
        <v>1355</v>
      </c>
      <c r="K223" s="3" t="s">
        <v>84</v>
      </c>
      <c r="L223" s="3" t="s">
        <v>1217</v>
      </c>
      <c r="M223" s="137">
        <v>13.561999999999999</v>
      </c>
      <c r="N223" s="3" t="s">
        <v>1368</v>
      </c>
      <c r="O223" s="142">
        <v>5.7500000000000002E-2</v>
      </c>
      <c r="P223" s="138">
        <v>6.3950000000000007E-2</v>
      </c>
      <c r="R223" s="137">
        <v>610000</v>
      </c>
      <c r="S223" s="139">
        <v>3.3719999999999999</v>
      </c>
      <c r="T223" s="140">
        <v>94.016999999999996</v>
      </c>
      <c r="U223" s="137">
        <v>1933.854</v>
      </c>
      <c r="W223" s="3" t="s">
        <v>17</v>
      </c>
      <c r="X223" s="138">
        <v>2.03E-4</v>
      </c>
      <c r="Y223" s="138">
        <v>2.5552767155091402E-3</v>
      </c>
      <c r="Z223" s="138">
        <v>1.00881277775256E-3</v>
      </c>
    </row>
    <row r="224" spans="1:26" x14ac:dyDescent="0.2">
      <c r="A224" s="3">
        <v>559</v>
      </c>
      <c r="B224" s="3">
        <v>7205</v>
      </c>
      <c r="C224" s="3" t="s">
        <v>1369</v>
      </c>
      <c r="D224" s="3" t="s">
        <v>1370</v>
      </c>
      <c r="E224" s="3" t="s">
        <v>1371</v>
      </c>
      <c r="F224" s="3" t="s">
        <v>225</v>
      </c>
      <c r="G224" s="3" t="s">
        <v>61</v>
      </c>
      <c r="H224" s="3" t="s">
        <v>53</v>
      </c>
      <c r="I224" s="3" t="s">
        <v>102</v>
      </c>
      <c r="J224" s="3" t="s">
        <v>1355</v>
      </c>
      <c r="K224" s="3" t="s">
        <v>84</v>
      </c>
      <c r="L224" s="3" t="s">
        <v>1215</v>
      </c>
      <c r="M224" s="137">
        <v>1.5329999999999999</v>
      </c>
      <c r="N224" s="3" t="s">
        <v>1372</v>
      </c>
      <c r="O224" s="142">
        <v>1.4999999999999999E-2</v>
      </c>
      <c r="P224" s="138">
        <v>3.2050000000000002E-2</v>
      </c>
      <c r="R224" s="137">
        <v>1940000</v>
      </c>
      <c r="S224" s="139">
        <v>3.9552</v>
      </c>
      <c r="T224" s="140">
        <v>98.015000000000001</v>
      </c>
      <c r="U224" s="137">
        <v>7520.7669999999998</v>
      </c>
      <c r="W224" s="3" t="s">
        <v>17</v>
      </c>
      <c r="X224" s="138">
        <v>9.3899999999999995E-4</v>
      </c>
      <c r="Y224" s="138">
        <v>9.9374799117632404E-3</v>
      </c>
      <c r="Z224" s="138">
        <v>3.9232763531243204E-3</v>
      </c>
    </row>
    <row r="225" spans="1:26" x14ac:dyDescent="0.2">
      <c r="A225" s="3">
        <v>559</v>
      </c>
      <c r="B225" s="3">
        <v>7205</v>
      </c>
      <c r="C225" s="3" t="s">
        <v>1341</v>
      </c>
      <c r="D225" s="3" t="s">
        <v>1373</v>
      </c>
      <c r="E225" s="3" t="s">
        <v>1374</v>
      </c>
      <c r="F225" s="3" t="s">
        <v>225</v>
      </c>
      <c r="G225" s="3" t="s">
        <v>61</v>
      </c>
      <c r="H225" s="3" t="s">
        <v>314</v>
      </c>
      <c r="I225" s="3" t="s">
        <v>1150</v>
      </c>
      <c r="J225" s="3" t="s">
        <v>1339</v>
      </c>
      <c r="K225" s="3" t="s">
        <v>101</v>
      </c>
      <c r="L225" s="3" t="s">
        <v>1217</v>
      </c>
      <c r="M225" s="137">
        <v>13.294</v>
      </c>
      <c r="N225" s="3" t="s">
        <v>1375</v>
      </c>
      <c r="O225" s="142">
        <v>1.125E-2</v>
      </c>
      <c r="P225" s="138">
        <v>4.7600000000000003E-2</v>
      </c>
      <c r="R225" s="137">
        <v>1270000</v>
      </c>
      <c r="S225" s="139">
        <v>3.3719999999999999</v>
      </c>
      <c r="T225" s="140">
        <v>62.279000000000003</v>
      </c>
      <c r="U225" s="137">
        <v>2667.0740000000001</v>
      </c>
      <c r="W225" s="3" t="s">
        <v>17</v>
      </c>
      <c r="X225" s="138">
        <v>2.0999999999999999E-5</v>
      </c>
      <c r="Y225" s="138">
        <v>3.5241074973368599E-3</v>
      </c>
      <c r="Z225" s="138">
        <v>1.39130320090545E-3</v>
      </c>
    </row>
    <row r="226" spans="1:26" x14ac:dyDescent="0.2">
      <c r="A226" s="3">
        <v>559</v>
      </c>
      <c r="B226" s="3">
        <v>7205</v>
      </c>
      <c r="C226" s="3" t="s">
        <v>1341</v>
      </c>
      <c r="D226" s="3" t="s">
        <v>1376</v>
      </c>
      <c r="E226" s="3" t="s">
        <v>1377</v>
      </c>
      <c r="F226" s="3" t="s">
        <v>225</v>
      </c>
      <c r="G226" s="3" t="s">
        <v>61</v>
      </c>
      <c r="H226" s="3" t="s">
        <v>314</v>
      </c>
      <c r="I226" s="3" t="s">
        <v>1150</v>
      </c>
      <c r="J226" s="3" t="s">
        <v>1339</v>
      </c>
      <c r="K226" s="3" t="s">
        <v>101</v>
      </c>
      <c r="L226" s="3" t="s">
        <v>1217</v>
      </c>
      <c r="M226" s="137">
        <v>13.420999999999999</v>
      </c>
      <c r="N226" s="3" t="s">
        <v>1378</v>
      </c>
      <c r="O226" s="142">
        <v>1.125E-2</v>
      </c>
      <c r="P226" s="138">
        <v>4.786E-2</v>
      </c>
      <c r="R226" s="137">
        <v>2172000</v>
      </c>
      <c r="S226" s="139">
        <v>3.3719999999999999</v>
      </c>
      <c r="T226" s="140">
        <v>61.932000000000002</v>
      </c>
      <c r="U226" s="137">
        <v>4535.8670000000002</v>
      </c>
      <c r="W226" s="3" t="s">
        <v>17</v>
      </c>
      <c r="X226" s="138">
        <v>2.9E-5</v>
      </c>
      <c r="Y226" s="138">
        <v>5.9934171589585104E-3</v>
      </c>
      <c r="Z226" s="138">
        <v>2.36617653800916E-3</v>
      </c>
    </row>
    <row r="227" spans="1:26" x14ac:dyDescent="0.2">
      <c r="A227" s="3">
        <v>559</v>
      </c>
      <c r="B227" s="3">
        <v>7205</v>
      </c>
      <c r="C227" s="3" t="s">
        <v>1341</v>
      </c>
      <c r="D227" s="3" t="s">
        <v>1379</v>
      </c>
      <c r="E227" s="3" t="s">
        <v>1380</v>
      </c>
      <c r="F227" s="3" t="s">
        <v>225</v>
      </c>
      <c r="G227" s="3" t="s">
        <v>61</v>
      </c>
      <c r="H227" s="3" t="s">
        <v>314</v>
      </c>
      <c r="I227" s="3" t="s">
        <v>1150</v>
      </c>
      <c r="J227" s="3" t="s">
        <v>1339</v>
      </c>
      <c r="K227" s="3" t="s">
        <v>101</v>
      </c>
      <c r="L227" s="3" t="s">
        <v>1217</v>
      </c>
      <c r="M227" s="137">
        <v>5.5910000000000002</v>
      </c>
      <c r="N227" s="3" t="s">
        <v>1381</v>
      </c>
      <c r="O227" s="142">
        <v>1.6250000000000001E-2</v>
      </c>
      <c r="P227" s="138">
        <v>3.9399999999999998E-2</v>
      </c>
      <c r="R227" s="137">
        <v>458000</v>
      </c>
      <c r="S227" s="139">
        <v>3.3719999999999999</v>
      </c>
      <c r="T227" s="140">
        <v>88.349000000000004</v>
      </c>
      <c r="U227" s="137">
        <v>1364.4369999999999</v>
      </c>
      <c r="W227" s="3" t="s">
        <v>17</v>
      </c>
      <c r="X227" s="138">
        <v>3.0000000000000001E-6</v>
      </c>
      <c r="Y227" s="138">
        <v>1.8028830831911299E-3</v>
      </c>
      <c r="Z227" s="138">
        <v>7.1177085443552897E-4</v>
      </c>
    </row>
    <row r="228" spans="1:26" x14ac:dyDescent="0.2">
      <c r="A228" s="3">
        <v>559</v>
      </c>
      <c r="B228" s="3">
        <v>7205</v>
      </c>
      <c r="C228" s="3" t="s">
        <v>1336</v>
      </c>
      <c r="D228" s="3" t="s">
        <v>1382</v>
      </c>
      <c r="E228" s="3" t="s">
        <v>1383</v>
      </c>
      <c r="F228" s="3" t="s">
        <v>225</v>
      </c>
      <c r="G228" s="3" t="s">
        <v>61</v>
      </c>
      <c r="H228" s="3" t="s">
        <v>314</v>
      </c>
      <c r="I228" s="3" t="s">
        <v>1150</v>
      </c>
      <c r="J228" s="3" t="s">
        <v>1339</v>
      </c>
      <c r="K228" s="3" t="s">
        <v>101</v>
      </c>
      <c r="L228" s="3" t="s">
        <v>1217</v>
      </c>
      <c r="M228" s="137">
        <v>14.478999999999999</v>
      </c>
      <c r="N228" s="3" t="s">
        <v>1384</v>
      </c>
      <c r="O228" s="142">
        <v>2.5000000000000001E-2</v>
      </c>
      <c r="P228" s="138">
        <v>4.9209999999999997E-2</v>
      </c>
      <c r="R228" s="137">
        <v>315000</v>
      </c>
      <c r="S228" s="139">
        <v>3.3719999999999999</v>
      </c>
      <c r="T228" s="140">
        <v>71.421999999999997</v>
      </c>
      <c r="U228" s="137">
        <v>758.62900000000002</v>
      </c>
      <c r="W228" s="3" t="s">
        <v>17</v>
      </c>
      <c r="X228" s="138">
        <v>6.9999999999999999E-6</v>
      </c>
      <c r="Y228" s="138">
        <v>1.0024060208319099E-3</v>
      </c>
      <c r="Z228" s="138">
        <v>3.9574578994660799E-4</v>
      </c>
    </row>
    <row r="229" spans="1:26" x14ac:dyDescent="0.2">
      <c r="A229" s="3">
        <v>559</v>
      </c>
      <c r="B229" s="3">
        <v>7205</v>
      </c>
      <c r="C229" s="3" t="s">
        <v>1341</v>
      </c>
      <c r="D229" s="3" t="s">
        <v>1385</v>
      </c>
      <c r="E229" s="3" t="s">
        <v>1386</v>
      </c>
      <c r="F229" s="3" t="s">
        <v>225</v>
      </c>
      <c r="G229" s="3" t="s">
        <v>61</v>
      </c>
      <c r="H229" s="3" t="s">
        <v>314</v>
      </c>
      <c r="I229" s="3" t="s">
        <v>1150</v>
      </c>
      <c r="J229" s="3" t="s">
        <v>1339</v>
      </c>
      <c r="K229" s="3" t="s">
        <v>101</v>
      </c>
      <c r="L229" s="3" t="s">
        <v>1217</v>
      </c>
      <c r="M229" s="137">
        <v>13.372999999999999</v>
      </c>
      <c r="N229" s="3" t="s">
        <v>1387</v>
      </c>
      <c r="O229" s="142">
        <v>0.02</v>
      </c>
      <c r="P229" s="138">
        <v>4.8379999999999999E-2</v>
      </c>
      <c r="R229" s="137">
        <v>1500000</v>
      </c>
      <c r="S229" s="139">
        <v>3.3719999999999999</v>
      </c>
      <c r="T229" s="140">
        <v>69.028000000000006</v>
      </c>
      <c r="U229" s="137">
        <v>3491.43</v>
      </c>
      <c r="W229" s="3" t="s">
        <v>17</v>
      </c>
      <c r="X229" s="138">
        <v>2.0999999999999999E-5</v>
      </c>
      <c r="Y229" s="138">
        <v>4.61336141102584E-3</v>
      </c>
      <c r="Z229" s="138">
        <v>1.82133618311712E-3</v>
      </c>
    </row>
    <row r="230" spans="1:26" x14ac:dyDescent="0.2">
      <c r="A230" s="3">
        <v>559</v>
      </c>
      <c r="B230" s="3">
        <v>7205</v>
      </c>
      <c r="C230" s="3" t="s">
        <v>1341</v>
      </c>
      <c r="D230" s="3" t="s">
        <v>1388</v>
      </c>
      <c r="E230" s="3" t="s">
        <v>1389</v>
      </c>
      <c r="F230" s="3" t="s">
        <v>225</v>
      </c>
      <c r="G230" s="3" t="s">
        <v>61</v>
      </c>
      <c r="H230" s="3" t="s">
        <v>314</v>
      </c>
      <c r="I230" s="3" t="s">
        <v>1150</v>
      </c>
      <c r="J230" s="3" t="s">
        <v>1339</v>
      </c>
      <c r="K230" s="3" t="s">
        <v>101</v>
      </c>
      <c r="L230" s="3" t="s">
        <v>1217</v>
      </c>
      <c r="M230" s="137">
        <v>13.058</v>
      </c>
      <c r="N230" s="3" t="s">
        <v>1390</v>
      </c>
      <c r="O230" s="142">
        <v>2.375E-2</v>
      </c>
      <c r="P230" s="138">
        <v>4.8370000000000003E-2</v>
      </c>
      <c r="R230" s="137">
        <v>560000</v>
      </c>
      <c r="S230" s="139">
        <v>3.3719999999999999</v>
      </c>
      <c r="T230" s="140">
        <v>73.644000000000005</v>
      </c>
      <c r="U230" s="137">
        <v>1390.635</v>
      </c>
      <c r="W230" s="3" t="s">
        <v>17</v>
      </c>
      <c r="X230" s="138">
        <v>1.0000000000000001E-5</v>
      </c>
      <c r="Y230" s="138">
        <v>1.8374996083384699E-3</v>
      </c>
      <c r="Z230" s="138">
        <v>7.2543731673218497E-4</v>
      </c>
    </row>
    <row r="231" spans="1:26" x14ac:dyDescent="0.2">
      <c r="A231" s="3">
        <v>559</v>
      </c>
      <c r="B231" s="3">
        <v>7205</v>
      </c>
      <c r="C231" s="3" t="s">
        <v>1345</v>
      </c>
      <c r="D231" s="3" t="s">
        <v>1391</v>
      </c>
      <c r="E231" s="3" t="s">
        <v>1392</v>
      </c>
      <c r="F231" s="3" t="s">
        <v>225</v>
      </c>
      <c r="G231" s="3" t="s">
        <v>61</v>
      </c>
      <c r="H231" s="3" t="s">
        <v>314</v>
      </c>
      <c r="I231" s="3" t="s">
        <v>1150</v>
      </c>
      <c r="J231" s="3" t="s">
        <v>1339</v>
      </c>
      <c r="K231" s="3" t="s">
        <v>101</v>
      </c>
      <c r="L231" s="3" t="s">
        <v>1217</v>
      </c>
      <c r="M231" s="137">
        <v>12.6</v>
      </c>
      <c r="N231" s="3" t="s">
        <v>1393</v>
      </c>
      <c r="O231" s="142">
        <v>3.2500000000000001E-2</v>
      </c>
      <c r="P231" s="138">
        <v>4.8129999999999999E-2</v>
      </c>
      <c r="R231" s="137">
        <v>370000</v>
      </c>
      <c r="S231" s="139">
        <v>3.3719999999999999</v>
      </c>
      <c r="T231" s="140">
        <v>83.174999999999997</v>
      </c>
      <c r="U231" s="137">
        <v>1037.7270000000001</v>
      </c>
      <c r="W231" s="3" t="s">
        <v>17</v>
      </c>
      <c r="X231" s="138">
        <v>7.9999999999999996E-6</v>
      </c>
      <c r="Y231" s="138">
        <v>1.3711887271559201E-3</v>
      </c>
      <c r="Z231" s="138">
        <v>5.4133969141950699E-4</v>
      </c>
    </row>
    <row r="232" spans="1:26" x14ac:dyDescent="0.2">
      <c r="A232" s="3">
        <v>559</v>
      </c>
      <c r="B232" s="3">
        <v>7205</v>
      </c>
      <c r="C232" s="3" t="s">
        <v>1341</v>
      </c>
      <c r="D232" s="3" t="s">
        <v>1394</v>
      </c>
      <c r="E232" s="3" t="s">
        <v>1395</v>
      </c>
      <c r="F232" s="3" t="s">
        <v>225</v>
      </c>
      <c r="G232" s="3" t="s">
        <v>61</v>
      </c>
      <c r="H232" s="3" t="s">
        <v>314</v>
      </c>
      <c r="I232" s="3" t="s">
        <v>1150</v>
      </c>
      <c r="J232" s="3" t="s">
        <v>1339</v>
      </c>
      <c r="K232" s="3" t="s">
        <v>101</v>
      </c>
      <c r="L232" s="3" t="s">
        <v>1217</v>
      </c>
      <c r="M232" s="137">
        <v>13.45</v>
      </c>
      <c r="N232" s="3" t="s">
        <v>1396</v>
      </c>
      <c r="O232" s="142">
        <v>3.3750000000000002E-2</v>
      </c>
      <c r="P232" s="138">
        <v>4.8820000000000002E-2</v>
      </c>
      <c r="R232" s="137">
        <v>858000</v>
      </c>
      <c r="S232" s="139">
        <v>3.3719999999999999</v>
      </c>
      <c r="T232" s="140">
        <v>82.712999999999994</v>
      </c>
      <c r="U232" s="137">
        <v>2393.0329999999999</v>
      </c>
      <c r="W232" s="3" t="s">
        <v>17</v>
      </c>
      <c r="X232" s="138">
        <v>2.0000000000000002E-5</v>
      </c>
      <c r="Y232" s="138">
        <v>3.1620064583376402E-3</v>
      </c>
      <c r="Z232" s="138">
        <v>1.24834719431612E-3</v>
      </c>
    </row>
    <row r="233" spans="1:26" x14ac:dyDescent="0.2">
      <c r="A233" s="3">
        <v>559</v>
      </c>
      <c r="B233" s="3">
        <v>7205</v>
      </c>
      <c r="C233" s="3" t="s">
        <v>1341</v>
      </c>
      <c r="D233" s="3" t="s">
        <v>1397</v>
      </c>
      <c r="E233" s="3" t="s">
        <v>1398</v>
      </c>
      <c r="F233" s="3" t="s">
        <v>225</v>
      </c>
      <c r="G233" s="3" t="s">
        <v>61</v>
      </c>
      <c r="H233" s="3" t="s">
        <v>314</v>
      </c>
      <c r="I233" s="3" t="s">
        <v>1150</v>
      </c>
      <c r="J233" s="3" t="s">
        <v>1339</v>
      </c>
      <c r="K233" s="3" t="s">
        <v>101</v>
      </c>
      <c r="L233" s="3" t="s">
        <v>1217</v>
      </c>
      <c r="M233" s="137">
        <v>10.622</v>
      </c>
      <c r="N233" s="3" t="s">
        <v>1399</v>
      </c>
      <c r="O233" s="142">
        <v>3.5000000000000003E-2</v>
      </c>
      <c r="P233" s="138">
        <v>4.5350000000000001E-2</v>
      </c>
      <c r="R233" s="137">
        <v>885000</v>
      </c>
      <c r="S233" s="139">
        <v>3.3719999999999999</v>
      </c>
      <c r="T233" s="140">
        <v>91.56</v>
      </c>
      <c r="U233" s="137">
        <v>2732.355</v>
      </c>
      <c r="W233" s="3" t="s">
        <v>17</v>
      </c>
      <c r="X233" s="138">
        <v>3.4E-5</v>
      </c>
      <c r="Y233" s="138">
        <v>3.6103669081935198E-3</v>
      </c>
      <c r="Z233" s="138">
        <v>1.4253580628879E-3</v>
      </c>
    </row>
    <row r="234" spans="1:26" x14ac:dyDescent="0.2">
      <c r="A234" s="3">
        <v>559</v>
      </c>
      <c r="B234" s="3">
        <v>7205</v>
      </c>
      <c r="C234" s="3" t="s">
        <v>1341</v>
      </c>
      <c r="D234" s="3" t="s">
        <v>1400</v>
      </c>
      <c r="E234" s="3" t="s">
        <v>1401</v>
      </c>
      <c r="F234" s="3" t="s">
        <v>225</v>
      </c>
      <c r="G234" s="3" t="s">
        <v>61</v>
      </c>
      <c r="H234" s="3" t="s">
        <v>314</v>
      </c>
      <c r="I234" s="3" t="s">
        <v>1150</v>
      </c>
      <c r="J234" s="3" t="s">
        <v>1339</v>
      </c>
      <c r="K234" s="3" t="s">
        <v>101</v>
      </c>
      <c r="L234" s="3" t="s">
        <v>1217</v>
      </c>
      <c r="M234" s="137">
        <v>13.016999999999999</v>
      </c>
      <c r="N234" s="3" t="s">
        <v>1402</v>
      </c>
      <c r="O234" s="142">
        <v>3.6249999999999998E-2</v>
      </c>
      <c r="P234" s="138">
        <v>4.8680000000000001E-2</v>
      </c>
      <c r="R234" s="137">
        <v>780000</v>
      </c>
      <c r="S234" s="139">
        <v>3.3719999999999999</v>
      </c>
      <c r="T234" s="140">
        <v>86.997</v>
      </c>
      <c r="U234" s="137">
        <v>2288.1619999999998</v>
      </c>
      <c r="W234" s="3" t="s">
        <v>17</v>
      </c>
      <c r="X234" s="138">
        <v>1.9000000000000001E-5</v>
      </c>
      <c r="Y234" s="138">
        <v>3.0234365540329801E-3</v>
      </c>
      <c r="Z234" s="138">
        <v>1.1936403638480001E-3</v>
      </c>
    </row>
    <row r="235" spans="1:26" x14ac:dyDescent="0.2">
      <c r="A235" s="3">
        <v>559</v>
      </c>
      <c r="B235" s="3">
        <v>7205</v>
      </c>
      <c r="C235" s="3" t="s">
        <v>1341</v>
      </c>
      <c r="D235" s="3" t="s">
        <v>1403</v>
      </c>
      <c r="E235" s="3" t="s">
        <v>1404</v>
      </c>
      <c r="F235" s="3" t="s">
        <v>225</v>
      </c>
      <c r="G235" s="3" t="s">
        <v>61</v>
      </c>
      <c r="H235" s="3" t="s">
        <v>314</v>
      </c>
      <c r="I235" s="3" t="s">
        <v>1150</v>
      </c>
      <c r="J235" s="3" t="s">
        <v>1339</v>
      </c>
      <c r="K235" s="3" t="s">
        <v>101</v>
      </c>
      <c r="L235" s="3" t="s">
        <v>1217</v>
      </c>
      <c r="M235" s="137">
        <v>6.9340000000000002</v>
      </c>
      <c r="N235" s="3" t="s">
        <v>1405</v>
      </c>
      <c r="O235" s="142">
        <v>3.875E-2</v>
      </c>
      <c r="P235" s="138">
        <v>4.147E-2</v>
      </c>
      <c r="R235" s="137">
        <v>760000</v>
      </c>
      <c r="S235" s="139">
        <v>3.3719999999999999</v>
      </c>
      <c r="T235" s="140">
        <v>99.938000000000002</v>
      </c>
      <c r="U235" s="137">
        <v>2561.1190000000001</v>
      </c>
      <c r="W235" s="3" t="s">
        <v>17</v>
      </c>
      <c r="X235" s="138">
        <v>6.0000000000000002E-6</v>
      </c>
      <c r="Y235" s="138">
        <v>3.3841055129193599E-3</v>
      </c>
      <c r="Z235" s="138">
        <v>1.3360309910763299E-3</v>
      </c>
    </row>
    <row r="236" spans="1:26" x14ac:dyDescent="0.2">
      <c r="A236" s="3">
        <v>559</v>
      </c>
      <c r="B236" s="3">
        <v>7205</v>
      </c>
      <c r="C236" s="3" t="s">
        <v>1341</v>
      </c>
      <c r="D236" s="3" t="s">
        <v>1409</v>
      </c>
      <c r="E236" s="3" t="s">
        <v>1410</v>
      </c>
      <c r="F236" s="3" t="s">
        <v>225</v>
      </c>
      <c r="G236" s="3" t="s">
        <v>61</v>
      </c>
      <c r="H236" s="3" t="s">
        <v>314</v>
      </c>
      <c r="I236" s="3" t="s">
        <v>1150</v>
      </c>
      <c r="J236" s="3" t="s">
        <v>1339</v>
      </c>
      <c r="K236" s="3" t="s">
        <v>101</v>
      </c>
      <c r="L236" s="3" t="s">
        <v>1217</v>
      </c>
      <c r="M236" s="137">
        <v>0.19400000000000001</v>
      </c>
      <c r="N236" s="3" t="s">
        <v>1411</v>
      </c>
      <c r="O236" s="142">
        <v>0</v>
      </c>
      <c r="P236" s="138">
        <v>4.3150000000000001E-2</v>
      </c>
      <c r="R236" s="137">
        <v>900000</v>
      </c>
      <c r="S236" s="139">
        <v>3.3719999999999999</v>
      </c>
      <c r="T236" s="140">
        <v>99.188999999999993</v>
      </c>
      <c r="U236" s="137">
        <v>3010.1970000000001</v>
      </c>
      <c r="W236" s="3" t="s">
        <v>17</v>
      </c>
      <c r="X236" s="138">
        <v>1.5E-5</v>
      </c>
      <c r="Y236" s="138">
        <v>3.9774895584088702E-3</v>
      </c>
      <c r="Z236" s="138">
        <v>1.5702965810107099E-3</v>
      </c>
    </row>
    <row r="237" spans="1:26" x14ac:dyDescent="0.2">
      <c r="A237" s="3">
        <v>559</v>
      </c>
      <c r="B237" s="3">
        <v>7205</v>
      </c>
      <c r="C237" s="3" t="s">
        <v>1336</v>
      </c>
      <c r="D237" s="3" t="s">
        <v>1412</v>
      </c>
      <c r="E237" s="3" t="s">
        <v>1413</v>
      </c>
      <c r="F237" s="3" t="s">
        <v>225</v>
      </c>
      <c r="G237" s="3" t="s">
        <v>61</v>
      </c>
      <c r="H237" s="3" t="s">
        <v>314</v>
      </c>
      <c r="I237" s="3" t="s">
        <v>1150</v>
      </c>
      <c r="J237" s="3" t="s">
        <v>1339</v>
      </c>
      <c r="K237" s="3" t="s">
        <v>101</v>
      </c>
      <c r="L237" s="3" t="s">
        <v>1217</v>
      </c>
      <c r="M237" s="137">
        <v>0.41499999999999998</v>
      </c>
      <c r="N237" s="3" t="s">
        <v>1273</v>
      </c>
      <c r="O237" s="142">
        <v>3.7499999999999999E-3</v>
      </c>
      <c r="P237" s="138">
        <v>4.3389999999999998E-2</v>
      </c>
      <c r="R237" s="137">
        <v>1375000</v>
      </c>
      <c r="S237" s="139">
        <v>3.3719999999999999</v>
      </c>
      <c r="T237" s="140">
        <v>98.397999999999996</v>
      </c>
      <c r="U237" s="137">
        <v>4562.2240000000002</v>
      </c>
      <c r="W237" s="3" t="s">
        <v>17</v>
      </c>
      <c r="X237" s="138">
        <v>2.3E-5</v>
      </c>
      <c r="Y237" s="138">
        <v>6.0282434030235303E-3</v>
      </c>
      <c r="Z237" s="138">
        <v>2.3799257964752501E-3</v>
      </c>
    </row>
    <row r="238" spans="1:26" x14ac:dyDescent="0.2">
      <c r="A238" s="3">
        <v>559</v>
      </c>
      <c r="B238" s="3">
        <v>7205</v>
      </c>
      <c r="C238" s="3" t="s">
        <v>1414</v>
      </c>
      <c r="D238" s="3" t="s">
        <v>1415</v>
      </c>
      <c r="E238" s="3" t="s">
        <v>1416</v>
      </c>
      <c r="F238" s="3" t="s">
        <v>225</v>
      </c>
      <c r="G238" s="3" t="s">
        <v>61</v>
      </c>
      <c r="H238" s="3" t="s">
        <v>314</v>
      </c>
      <c r="I238" s="3" t="s">
        <v>1150</v>
      </c>
      <c r="J238" s="3" t="s">
        <v>1339</v>
      </c>
      <c r="K238" s="3" t="s">
        <v>101</v>
      </c>
      <c r="L238" s="3" t="s">
        <v>1217</v>
      </c>
      <c r="M238" s="137">
        <v>6.2350000000000003</v>
      </c>
      <c r="N238" s="3" t="s">
        <v>1417</v>
      </c>
      <c r="O238" s="142">
        <v>2.8750000000000001E-2</v>
      </c>
      <c r="P238" s="138">
        <v>4.0460000000000003E-2</v>
      </c>
      <c r="R238" s="137">
        <v>638000</v>
      </c>
      <c r="S238" s="139">
        <v>3.3719999999999999</v>
      </c>
      <c r="T238" s="140">
        <v>93.641000000000005</v>
      </c>
      <c r="U238" s="137">
        <v>2014.5260000000001</v>
      </c>
      <c r="W238" s="3" t="s">
        <v>17</v>
      </c>
      <c r="X238" s="138">
        <v>5.0000000000000004E-6</v>
      </c>
      <c r="Y238" s="138">
        <v>2.6618705277126099E-3</v>
      </c>
      <c r="Z238" s="138">
        <v>1.0508955780722099E-3</v>
      </c>
    </row>
    <row r="239" spans="1:26" x14ac:dyDescent="0.2">
      <c r="A239" s="3">
        <v>559</v>
      </c>
      <c r="B239" s="3">
        <v>7205</v>
      </c>
      <c r="C239" s="3" t="s">
        <v>1341</v>
      </c>
      <c r="D239" s="3" t="s">
        <v>1418</v>
      </c>
      <c r="E239" s="3" t="s">
        <v>1419</v>
      </c>
      <c r="F239" s="3" t="s">
        <v>225</v>
      </c>
      <c r="G239" s="3" t="s">
        <v>61</v>
      </c>
      <c r="H239" s="3" t="s">
        <v>314</v>
      </c>
      <c r="I239" s="3" t="s">
        <v>1150</v>
      </c>
      <c r="J239" s="3" t="s">
        <v>1339</v>
      </c>
      <c r="K239" s="3" t="s">
        <v>101</v>
      </c>
      <c r="L239" s="3" t="s">
        <v>1217</v>
      </c>
      <c r="M239" s="137">
        <v>7.6379999999999999</v>
      </c>
      <c r="N239" s="3" t="s">
        <v>1420</v>
      </c>
      <c r="O239" s="142">
        <v>3.875E-2</v>
      </c>
      <c r="P239" s="138">
        <v>4.24E-2</v>
      </c>
      <c r="R239" s="137">
        <v>1000000</v>
      </c>
      <c r="S239" s="139">
        <v>3.3719999999999999</v>
      </c>
      <c r="T239" s="140">
        <v>99.09</v>
      </c>
      <c r="U239" s="137">
        <v>3341.299</v>
      </c>
      <c r="W239" s="3" t="s">
        <v>17</v>
      </c>
      <c r="X239" s="138">
        <v>7.9999999999999996E-6</v>
      </c>
      <c r="Y239" s="138">
        <v>4.4149870543407103E-3</v>
      </c>
      <c r="Z239" s="138">
        <v>1.74301879988118E-3</v>
      </c>
    </row>
    <row r="240" spans="1:26" x14ac:dyDescent="0.2">
      <c r="A240" s="3">
        <v>559</v>
      </c>
      <c r="B240" s="3">
        <v>7205</v>
      </c>
      <c r="C240" s="3" t="s">
        <v>1341</v>
      </c>
      <c r="D240" s="3" t="s">
        <v>1421</v>
      </c>
      <c r="E240" s="3" t="s">
        <v>1422</v>
      </c>
      <c r="F240" s="3" t="s">
        <v>225</v>
      </c>
      <c r="G240" s="3" t="s">
        <v>61</v>
      </c>
      <c r="H240" s="3" t="s">
        <v>314</v>
      </c>
      <c r="I240" s="3" t="s">
        <v>1150</v>
      </c>
      <c r="J240" s="3" t="s">
        <v>1339</v>
      </c>
      <c r="K240" s="3" t="s">
        <v>101</v>
      </c>
      <c r="L240" s="3" t="s">
        <v>1217</v>
      </c>
      <c r="M240" s="137">
        <v>13.388</v>
      </c>
      <c r="N240" s="3" t="s">
        <v>1423</v>
      </c>
      <c r="O240" s="142">
        <v>2.8750000000000001E-2</v>
      </c>
      <c r="P240" s="138">
        <v>4.8660000000000002E-2</v>
      </c>
      <c r="R240" s="137">
        <v>1195000</v>
      </c>
      <c r="S240" s="139">
        <v>3.3719999999999999</v>
      </c>
      <c r="T240" s="140">
        <v>77.483999999999995</v>
      </c>
      <c r="U240" s="137">
        <v>3122.2640000000001</v>
      </c>
      <c r="W240" s="3" t="s">
        <v>17</v>
      </c>
      <c r="X240" s="138">
        <v>2.9E-5</v>
      </c>
      <c r="Y240" s="138">
        <v>4.1255680306935003E-3</v>
      </c>
      <c r="Z240" s="138">
        <v>1.6287573551586299E-3</v>
      </c>
    </row>
    <row r="241" spans="1:26" x14ac:dyDescent="0.2">
      <c r="A241" s="3">
        <v>559</v>
      </c>
      <c r="B241" s="3">
        <v>7205</v>
      </c>
      <c r="C241" s="3" t="s">
        <v>1341</v>
      </c>
      <c r="D241" s="3" t="s">
        <v>1424</v>
      </c>
      <c r="E241" s="3" t="s">
        <v>1425</v>
      </c>
      <c r="F241" s="3" t="s">
        <v>225</v>
      </c>
      <c r="G241" s="3" t="s">
        <v>61</v>
      </c>
      <c r="H241" s="3" t="s">
        <v>314</v>
      </c>
      <c r="I241" s="3" t="s">
        <v>1150</v>
      </c>
      <c r="J241" s="3" t="s">
        <v>1339</v>
      </c>
      <c r="K241" s="3" t="s">
        <v>101</v>
      </c>
      <c r="L241" s="3" t="s">
        <v>1217</v>
      </c>
      <c r="M241" s="137">
        <v>0.17499999999999999</v>
      </c>
      <c r="N241" s="3" t="s">
        <v>1426</v>
      </c>
      <c r="O241" s="142">
        <v>0</v>
      </c>
      <c r="P241" s="138">
        <v>4.3729999999999998E-2</v>
      </c>
      <c r="R241" s="137">
        <v>900000</v>
      </c>
      <c r="S241" s="139">
        <v>3.3719999999999999</v>
      </c>
      <c r="T241" s="140">
        <v>99.263000000000005</v>
      </c>
      <c r="U241" s="137">
        <v>3012.43</v>
      </c>
      <c r="W241" s="3" t="s">
        <v>17</v>
      </c>
      <c r="X241" s="138">
        <v>1.5E-5</v>
      </c>
      <c r="Y241" s="138">
        <v>3.9804409173911301E-3</v>
      </c>
      <c r="Z241" s="138">
        <v>1.5714617654445399E-3</v>
      </c>
    </row>
    <row r="242" spans="1:26" x14ac:dyDescent="0.2">
      <c r="A242" s="3">
        <v>559</v>
      </c>
      <c r="B242" s="3">
        <v>7205</v>
      </c>
      <c r="C242" s="3" t="s">
        <v>1341</v>
      </c>
      <c r="D242" s="3" t="s">
        <v>1427</v>
      </c>
      <c r="E242" s="3" t="s">
        <v>1428</v>
      </c>
      <c r="F242" s="3" t="s">
        <v>225</v>
      </c>
      <c r="G242" s="3" t="s">
        <v>61</v>
      </c>
      <c r="H242" s="3" t="s">
        <v>314</v>
      </c>
      <c r="I242" s="3" t="s">
        <v>1150</v>
      </c>
      <c r="J242" s="3" t="s">
        <v>1339</v>
      </c>
      <c r="K242" s="3" t="s">
        <v>101</v>
      </c>
      <c r="L242" s="3" t="s">
        <v>1217</v>
      </c>
      <c r="M242" s="137">
        <v>0.315</v>
      </c>
      <c r="N242" s="3" t="s">
        <v>1429</v>
      </c>
      <c r="O242" s="142">
        <v>0</v>
      </c>
      <c r="P242" s="138">
        <v>4.2849999999999999E-2</v>
      </c>
      <c r="R242" s="137">
        <v>900000</v>
      </c>
      <c r="S242" s="139">
        <v>3.3719999999999999</v>
      </c>
      <c r="T242" s="140">
        <v>98.683000000000007</v>
      </c>
      <c r="U242" s="137">
        <v>2994.8380000000002</v>
      </c>
      <c r="W242" s="3" t="s">
        <v>17</v>
      </c>
      <c r="X242" s="138">
        <v>1.2999999999999999E-5</v>
      </c>
      <c r="Y242" s="138">
        <v>3.9571949554072297E-3</v>
      </c>
      <c r="Z242" s="138">
        <v>1.5622843548971099E-3</v>
      </c>
    </row>
    <row r="243" spans="1:26" x14ac:dyDescent="0.2">
      <c r="A243" s="3">
        <v>559</v>
      </c>
      <c r="B243" s="3">
        <v>7205</v>
      </c>
      <c r="C243" s="3" t="s">
        <v>1341</v>
      </c>
      <c r="D243" s="3" t="s">
        <v>1430</v>
      </c>
      <c r="E243" s="3" t="s">
        <v>1431</v>
      </c>
      <c r="F243" s="3" t="s">
        <v>225</v>
      </c>
      <c r="G243" s="3" t="s">
        <v>61</v>
      </c>
      <c r="H243" s="3" t="s">
        <v>314</v>
      </c>
      <c r="I243" s="3" t="s">
        <v>1150</v>
      </c>
      <c r="J243" s="3" t="s">
        <v>1339</v>
      </c>
      <c r="K243" s="3" t="s">
        <v>101</v>
      </c>
      <c r="L243" s="3" t="s">
        <v>1217</v>
      </c>
      <c r="M243" s="137">
        <v>0.33200000000000002</v>
      </c>
      <c r="N243" s="3" t="s">
        <v>1257</v>
      </c>
      <c r="O243" s="142">
        <v>0.03</v>
      </c>
      <c r="P243" s="138">
        <v>4.3459999999999999E-2</v>
      </c>
      <c r="R243" s="137">
        <v>800000</v>
      </c>
      <c r="S243" s="139">
        <v>3.3719999999999999</v>
      </c>
      <c r="T243" s="140">
        <v>100.032</v>
      </c>
      <c r="U243" s="137">
        <v>2698.47</v>
      </c>
      <c r="W243" s="3" t="s">
        <v>17</v>
      </c>
      <c r="X243" s="138">
        <v>2.6999999999999999E-5</v>
      </c>
      <c r="Y243" s="138">
        <v>3.5655927727300299E-3</v>
      </c>
      <c r="Z243" s="138">
        <v>1.40768141765638E-3</v>
      </c>
    </row>
    <row r="244" spans="1:26" x14ac:dyDescent="0.2">
      <c r="A244" s="3">
        <v>559</v>
      </c>
      <c r="B244" s="3">
        <v>7205</v>
      </c>
      <c r="C244" s="3" t="s">
        <v>1341</v>
      </c>
      <c r="D244" s="3" t="s">
        <v>1469</v>
      </c>
      <c r="E244" s="3" t="s">
        <v>1470</v>
      </c>
      <c r="F244" s="3" t="s">
        <v>225</v>
      </c>
      <c r="G244" s="3" t="s">
        <v>61</v>
      </c>
      <c r="H244" s="3" t="s">
        <v>314</v>
      </c>
      <c r="I244" s="3" t="s">
        <v>1150</v>
      </c>
      <c r="J244" s="3" t="s">
        <v>1339</v>
      </c>
      <c r="K244" s="3" t="s">
        <v>101</v>
      </c>
      <c r="L244" s="3" t="s">
        <v>1217</v>
      </c>
      <c r="M244" s="137">
        <v>9.6679999999999993</v>
      </c>
      <c r="N244" s="3" t="s">
        <v>1471</v>
      </c>
      <c r="O244" s="142">
        <v>4.3749999999999997E-2</v>
      </c>
      <c r="P244" s="138">
        <v>4.453E-2</v>
      </c>
      <c r="R244" s="137">
        <v>450000</v>
      </c>
      <c r="S244" s="139">
        <v>3.3719999999999999</v>
      </c>
      <c r="T244" s="140">
        <v>101.47799999999999</v>
      </c>
      <c r="U244" s="137">
        <v>1539.82</v>
      </c>
      <c r="W244" s="3" t="s">
        <v>17</v>
      </c>
      <c r="X244" s="138">
        <v>2.0000000000000002E-5</v>
      </c>
      <c r="Y244" s="138">
        <v>2.0346241896956698E-3</v>
      </c>
      <c r="Z244" s="138">
        <v>8.0326129378926602E-4</v>
      </c>
    </row>
    <row r="245" spans="1:26" x14ac:dyDescent="0.2">
      <c r="A245" s="3">
        <v>559</v>
      </c>
      <c r="B245" s="3">
        <v>7205</v>
      </c>
      <c r="C245" s="3" t="s">
        <v>1341</v>
      </c>
      <c r="D245" s="3" t="s">
        <v>1432</v>
      </c>
      <c r="E245" s="3" t="s">
        <v>1433</v>
      </c>
      <c r="F245" s="3" t="s">
        <v>225</v>
      </c>
      <c r="G245" s="3" t="s">
        <v>61</v>
      </c>
      <c r="H245" s="3" t="s">
        <v>314</v>
      </c>
      <c r="I245" s="3" t="s">
        <v>1150</v>
      </c>
      <c r="J245" s="3" t="s">
        <v>1339</v>
      </c>
      <c r="K245" s="3" t="s">
        <v>101</v>
      </c>
      <c r="L245" s="3" t="s">
        <v>1217</v>
      </c>
      <c r="M245" s="137">
        <v>8.9689999999999994</v>
      </c>
      <c r="N245" s="3" t="s">
        <v>1434</v>
      </c>
      <c r="O245" s="142">
        <v>4.7500000000000001E-2</v>
      </c>
      <c r="P245" s="138">
        <v>4.3619999999999999E-2</v>
      </c>
      <c r="R245" s="137">
        <v>340000</v>
      </c>
      <c r="S245" s="139">
        <v>3.3719999999999999</v>
      </c>
      <c r="T245" s="140">
        <v>105.84399999999999</v>
      </c>
      <c r="U245" s="137">
        <v>1213.4770000000001</v>
      </c>
      <c r="W245" s="3" t="s">
        <v>17</v>
      </c>
      <c r="X245" s="138">
        <v>2.0000000000000002E-5</v>
      </c>
      <c r="Y245" s="138">
        <v>1.6034146554143899E-3</v>
      </c>
      <c r="Z245" s="138">
        <v>6.3302153641527201E-4</v>
      </c>
    </row>
    <row r="246" spans="1:26" x14ac:dyDescent="0.2">
      <c r="A246" s="3">
        <v>559</v>
      </c>
      <c r="B246" s="3">
        <v>7205</v>
      </c>
      <c r="C246" s="3" t="s">
        <v>1341</v>
      </c>
      <c r="D246" s="3" t="s">
        <v>1438</v>
      </c>
      <c r="E246" s="3" t="s">
        <v>1439</v>
      </c>
      <c r="F246" s="3" t="s">
        <v>225</v>
      </c>
      <c r="G246" s="3" t="s">
        <v>61</v>
      </c>
      <c r="H246" s="3" t="s">
        <v>314</v>
      </c>
      <c r="I246" s="3" t="s">
        <v>1150</v>
      </c>
      <c r="J246" s="3" t="s">
        <v>1339</v>
      </c>
      <c r="K246" s="3" t="s">
        <v>101</v>
      </c>
      <c r="L246" s="3" t="s">
        <v>1217</v>
      </c>
      <c r="M246" s="137">
        <v>6.18</v>
      </c>
      <c r="N246" s="3" t="s">
        <v>1440</v>
      </c>
      <c r="O246" s="142">
        <v>1.8749999999999999E-2</v>
      </c>
      <c r="P246" s="138">
        <v>4.0289999999999999E-2</v>
      </c>
      <c r="R246" s="137">
        <v>910000</v>
      </c>
      <c r="S246" s="139">
        <v>3.3719999999999999</v>
      </c>
      <c r="T246" s="140">
        <v>88.522000000000006</v>
      </c>
      <c r="U246" s="137">
        <v>2716.3029999999999</v>
      </c>
      <c r="W246" s="3" t="s">
        <v>17</v>
      </c>
      <c r="X246" s="138">
        <v>6.0000000000000002E-6</v>
      </c>
      <c r="Y246" s="138">
        <v>3.58915593540677E-3</v>
      </c>
      <c r="Z246" s="138">
        <v>1.4169840577377001E-3</v>
      </c>
    </row>
    <row r="247" spans="1:26" x14ac:dyDescent="0.2">
      <c r="A247" s="3">
        <v>559</v>
      </c>
      <c r="B247" s="3">
        <v>7205</v>
      </c>
      <c r="C247" s="3" t="s">
        <v>1341</v>
      </c>
      <c r="D247" s="3" t="s">
        <v>1441</v>
      </c>
      <c r="E247" s="3" t="s">
        <v>1442</v>
      </c>
      <c r="F247" s="3" t="s">
        <v>225</v>
      </c>
      <c r="G247" s="3" t="s">
        <v>61</v>
      </c>
      <c r="H247" s="3" t="s">
        <v>314</v>
      </c>
      <c r="I247" s="3" t="s">
        <v>1150</v>
      </c>
      <c r="J247" s="3" t="s">
        <v>1339</v>
      </c>
      <c r="K247" s="3" t="s">
        <v>101</v>
      </c>
      <c r="L247" s="3" t="s">
        <v>1217</v>
      </c>
      <c r="M247" s="137">
        <v>13.24</v>
      </c>
      <c r="N247" s="3" t="s">
        <v>1443</v>
      </c>
      <c r="O247" s="142">
        <v>2.75E-2</v>
      </c>
      <c r="P247" s="138">
        <v>4.8529999999999997E-2</v>
      </c>
      <c r="R247" s="137">
        <v>1101000</v>
      </c>
      <c r="S247" s="139">
        <v>3.3719999999999999</v>
      </c>
      <c r="T247" s="140">
        <v>76.542000000000002</v>
      </c>
      <c r="U247" s="137">
        <v>2841.6819999999998</v>
      </c>
      <c r="W247" s="3" t="s">
        <v>17</v>
      </c>
      <c r="X247" s="138">
        <v>2.5999999999999998E-5</v>
      </c>
      <c r="Y247" s="138">
        <v>3.7548244648979E-3</v>
      </c>
      <c r="Z247" s="138">
        <v>1.48238931440042E-3</v>
      </c>
    </row>
    <row r="248" spans="1:26" x14ac:dyDescent="0.2">
      <c r="A248" s="3">
        <v>559</v>
      </c>
      <c r="B248" s="3">
        <v>7205</v>
      </c>
      <c r="C248" s="3" t="s">
        <v>1341</v>
      </c>
      <c r="D248" s="3" t="s">
        <v>1444</v>
      </c>
      <c r="E248" s="3" t="s">
        <v>1445</v>
      </c>
      <c r="F248" s="3" t="s">
        <v>225</v>
      </c>
      <c r="G248" s="3" t="s">
        <v>61</v>
      </c>
      <c r="H248" s="3" t="s">
        <v>314</v>
      </c>
      <c r="I248" s="3" t="s">
        <v>1150</v>
      </c>
      <c r="J248" s="3" t="s">
        <v>1339</v>
      </c>
      <c r="K248" s="3" t="s">
        <v>101</v>
      </c>
      <c r="L248" s="3" t="s">
        <v>1217</v>
      </c>
      <c r="M248" s="137">
        <v>13.989000000000001</v>
      </c>
      <c r="N248" s="3" t="s">
        <v>1446</v>
      </c>
      <c r="O248" s="142">
        <v>0.03</v>
      </c>
      <c r="P248" s="138">
        <v>4.9070000000000003E-2</v>
      </c>
      <c r="R248" s="137">
        <v>900000</v>
      </c>
      <c r="S248" s="139">
        <v>3.3719999999999999</v>
      </c>
      <c r="T248" s="140">
        <v>77.453000000000003</v>
      </c>
      <c r="U248" s="137">
        <v>2350.547</v>
      </c>
      <c r="W248" s="3" t="s">
        <v>17</v>
      </c>
      <c r="X248" s="138">
        <v>2.1999999999999999E-5</v>
      </c>
      <c r="Y248" s="138">
        <v>3.1058682389773699E-3</v>
      </c>
      <c r="Z248" s="138">
        <v>1.2261840553233099E-3</v>
      </c>
    </row>
    <row r="249" spans="1:26" x14ac:dyDescent="0.2">
      <c r="A249" s="3">
        <v>559</v>
      </c>
      <c r="B249" s="3">
        <v>7205</v>
      </c>
      <c r="C249" s="3" t="s">
        <v>1341</v>
      </c>
      <c r="D249" s="3" t="s">
        <v>1447</v>
      </c>
      <c r="E249" s="3" t="s">
        <v>1448</v>
      </c>
      <c r="F249" s="3" t="s">
        <v>225</v>
      </c>
      <c r="G249" s="3" t="s">
        <v>61</v>
      </c>
      <c r="H249" s="3" t="s">
        <v>314</v>
      </c>
      <c r="I249" s="3" t="s">
        <v>1150</v>
      </c>
      <c r="J249" s="3" t="s">
        <v>1339</v>
      </c>
      <c r="K249" s="3" t="s">
        <v>101</v>
      </c>
      <c r="L249" s="3" t="s">
        <v>1217</v>
      </c>
      <c r="M249" s="137">
        <v>6.6470000000000002</v>
      </c>
      <c r="N249" s="3" t="s">
        <v>1449</v>
      </c>
      <c r="O249" s="142">
        <v>3.5000000000000003E-2</v>
      </c>
      <c r="P249" s="138">
        <v>4.1009999999999998E-2</v>
      </c>
      <c r="R249" s="137">
        <v>760000</v>
      </c>
      <c r="S249" s="139">
        <v>3.3719999999999999</v>
      </c>
      <c r="T249" s="140">
        <v>97.685000000000002</v>
      </c>
      <c r="U249" s="137">
        <v>2503.3960000000002</v>
      </c>
      <c r="W249" s="3" t="s">
        <v>17</v>
      </c>
      <c r="X249" s="138">
        <v>6.9999999999999999E-6</v>
      </c>
      <c r="Y249" s="138">
        <v>3.3078341192895599E-3</v>
      </c>
      <c r="Z249" s="138">
        <v>1.30591935737195E-3</v>
      </c>
    </row>
    <row r="250" spans="1:26" x14ac:dyDescent="0.2">
      <c r="A250" s="3">
        <v>559</v>
      </c>
      <c r="B250" s="3">
        <v>7205</v>
      </c>
      <c r="C250" s="3" t="s">
        <v>1341</v>
      </c>
      <c r="D250" s="3" t="s">
        <v>1450</v>
      </c>
      <c r="E250" s="3" t="s">
        <v>1451</v>
      </c>
      <c r="F250" s="3" t="s">
        <v>225</v>
      </c>
      <c r="G250" s="3" t="s">
        <v>61</v>
      </c>
      <c r="H250" s="3" t="s">
        <v>314</v>
      </c>
      <c r="I250" s="3" t="s">
        <v>1150</v>
      </c>
      <c r="J250" s="3" t="s">
        <v>1339</v>
      </c>
      <c r="K250" s="3" t="s">
        <v>101</v>
      </c>
      <c r="L250" s="3" t="s">
        <v>1217</v>
      </c>
      <c r="M250" s="137">
        <v>14.311999999999999</v>
      </c>
      <c r="N250" s="3" t="s">
        <v>1452</v>
      </c>
      <c r="O250" s="142">
        <v>2.8750000000000001E-2</v>
      </c>
      <c r="P250" s="138">
        <v>4.9169999999999998E-2</v>
      </c>
      <c r="R250" s="137">
        <v>370000</v>
      </c>
      <c r="S250" s="139">
        <v>3.3719999999999999</v>
      </c>
      <c r="T250" s="140">
        <v>75.906999999999996</v>
      </c>
      <c r="U250" s="137">
        <v>947.048</v>
      </c>
      <c r="W250" s="3" t="s">
        <v>17</v>
      </c>
      <c r="X250" s="138">
        <v>9.0000000000000002E-6</v>
      </c>
      <c r="Y250" s="138">
        <v>1.2513712084547099E-3</v>
      </c>
      <c r="Z250" s="138">
        <v>4.94036225954984E-4</v>
      </c>
    </row>
    <row r="251" spans="1:26" x14ac:dyDescent="0.2">
      <c r="A251" s="3">
        <v>559</v>
      </c>
      <c r="B251" s="3">
        <v>7206</v>
      </c>
      <c r="C251" s="3" t="s">
        <v>1224</v>
      </c>
      <c r="D251" s="3" t="s">
        <v>1225</v>
      </c>
      <c r="E251" s="3" t="s">
        <v>1226</v>
      </c>
      <c r="F251" s="3" t="s">
        <v>227</v>
      </c>
      <c r="G251" s="3" t="s">
        <v>53</v>
      </c>
      <c r="H251" s="3" t="s">
        <v>53</v>
      </c>
      <c r="I251" s="3" t="s">
        <v>1227</v>
      </c>
      <c r="J251" s="3" t="s">
        <v>1228</v>
      </c>
      <c r="K251" s="3" t="s">
        <v>78</v>
      </c>
      <c r="L251" s="3" t="s">
        <v>1219</v>
      </c>
      <c r="M251" s="137">
        <v>0.42199999999999999</v>
      </c>
      <c r="N251" s="3" t="s">
        <v>1229</v>
      </c>
      <c r="O251" s="142">
        <v>0</v>
      </c>
      <c r="P251" s="138">
        <v>4.3240000000000001E-2</v>
      </c>
      <c r="R251" s="137">
        <v>253000</v>
      </c>
      <c r="S251" s="139">
        <v>1</v>
      </c>
      <c r="T251" s="140">
        <v>98.23</v>
      </c>
      <c r="U251" s="137">
        <v>248.52199999999999</v>
      </c>
      <c r="W251" s="3" t="s">
        <v>17</v>
      </c>
      <c r="X251" s="138">
        <v>1.8E-5</v>
      </c>
      <c r="Y251" s="138">
        <v>6.98350973566517E-3</v>
      </c>
      <c r="Z251" s="138">
        <v>2.8469481683868298E-3</v>
      </c>
    </row>
    <row r="252" spans="1:26" x14ac:dyDescent="0.2">
      <c r="A252" s="3">
        <v>559</v>
      </c>
      <c r="B252" s="3">
        <v>7206</v>
      </c>
      <c r="C252" s="3" t="s">
        <v>1224</v>
      </c>
      <c r="D252" s="3" t="s">
        <v>1230</v>
      </c>
      <c r="E252" s="3" t="s">
        <v>1231</v>
      </c>
      <c r="F252" s="3" t="s">
        <v>227</v>
      </c>
      <c r="G252" s="3" t="s">
        <v>53</v>
      </c>
      <c r="H252" s="3" t="s">
        <v>53</v>
      </c>
      <c r="I252" s="3" t="s">
        <v>1227</v>
      </c>
      <c r="J252" s="3" t="s">
        <v>1228</v>
      </c>
      <c r="K252" s="3" t="s">
        <v>78</v>
      </c>
      <c r="L252" s="3" t="s">
        <v>1219</v>
      </c>
      <c r="M252" s="137">
        <v>0.17299999999999999</v>
      </c>
      <c r="N252" s="3" t="s">
        <v>1232</v>
      </c>
      <c r="O252" s="142">
        <v>0</v>
      </c>
      <c r="P252" s="138">
        <v>4.3970000000000002E-2</v>
      </c>
      <c r="R252" s="137">
        <v>1388000</v>
      </c>
      <c r="S252" s="139">
        <v>1</v>
      </c>
      <c r="T252" s="140">
        <v>99.26</v>
      </c>
      <c r="U252" s="137">
        <v>1377.729</v>
      </c>
      <c r="W252" s="3" t="s">
        <v>17</v>
      </c>
      <c r="X252" s="138">
        <v>5.0000000000000002E-5</v>
      </c>
      <c r="Y252" s="138">
        <v>3.8714425118697E-2</v>
      </c>
      <c r="Z252" s="138">
        <v>1.5782602996733001E-2</v>
      </c>
    </row>
    <row r="253" spans="1:26" x14ac:dyDescent="0.2">
      <c r="A253" s="3">
        <v>559</v>
      </c>
      <c r="B253" s="3">
        <v>7206</v>
      </c>
      <c r="C253" s="3" t="s">
        <v>1224</v>
      </c>
      <c r="D253" s="3" t="s">
        <v>1233</v>
      </c>
      <c r="E253" s="3" t="s">
        <v>1234</v>
      </c>
      <c r="F253" s="3" t="s">
        <v>227</v>
      </c>
      <c r="G253" s="3" t="s">
        <v>53</v>
      </c>
      <c r="H253" s="3" t="s">
        <v>53</v>
      </c>
      <c r="I253" s="3" t="s">
        <v>1227</v>
      </c>
      <c r="J253" s="3" t="s">
        <v>1228</v>
      </c>
      <c r="K253" s="3" t="s">
        <v>78</v>
      </c>
      <c r="L253" s="3" t="s">
        <v>1219</v>
      </c>
      <c r="M253" s="137">
        <v>0.255</v>
      </c>
      <c r="N253" s="3" t="s">
        <v>1235</v>
      </c>
      <c r="O253" s="142">
        <v>0</v>
      </c>
      <c r="P253" s="138">
        <v>4.3540000000000002E-2</v>
      </c>
      <c r="R253" s="137">
        <v>140000</v>
      </c>
      <c r="S253" s="139">
        <v>1</v>
      </c>
      <c r="T253" s="140">
        <v>98.92</v>
      </c>
      <c r="U253" s="137">
        <v>138.488</v>
      </c>
      <c r="W253" s="3" t="s">
        <v>17</v>
      </c>
      <c r="X253" s="138">
        <v>1.0000000000000001E-5</v>
      </c>
      <c r="Y253" s="138">
        <v>3.8915375114740298E-3</v>
      </c>
      <c r="Z253" s="138">
        <v>1.58645237278306E-3</v>
      </c>
    </row>
    <row r="254" spans="1:26" x14ac:dyDescent="0.2">
      <c r="A254" s="3">
        <v>559</v>
      </c>
      <c r="B254" s="3">
        <v>7206</v>
      </c>
      <c r="C254" s="3" t="s">
        <v>1224</v>
      </c>
      <c r="D254" s="3" t="s">
        <v>1236</v>
      </c>
      <c r="E254" s="3" t="s">
        <v>1237</v>
      </c>
      <c r="F254" s="3" t="s">
        <v>227</v>
      </c>
      <c r="G254" s="3" t="s">
        <v>53</v>
      </c>
      <c r="H254" s="3" t="s">
        <v>53</v>
      </c>
      <c r="I254" s="3" t="s">
        <v>1227</v>
      </c>
      <c r="J254" s="3" t="s">
        <v>1228</v>
      </c>
      <c r="K254" s="3" t="s">
        <v>78</v>
      </c>
      <c r="L254" s="3" t="s">
        <v>1219</v>
      </c>
      <c r="M254" s="137">
        <v>0.34499999999999997</v>
      </c>
      <c r="N254" s="3" t="s">
        <v>1238</v>
      </c>
      <c r="O254" s="142">
        <v>0</v>
      </c>
      <c r="P254" s="138">
        <v>4.3220000000000001E-2</v>
      </c>
      <c r="R254" s="137">
        <v>572000</v>
      </c>
      <c r="S254" s="139">
        <v>1</v>
      </c>
      <c r="T254" s="140">
        <v>98.55</v>
      </c>
      <c r="U254" s="137">
        <v>563.70600000000002</v>
      </c>
      <c r="W254" s="3" t="s">
        <v>17</v>
      </c>
      <c r="X254" s="138">
        <v>4.1E-5</v>
      </c>
      <c r="Y254" s="138">
        <v>1.5840239186377E-2</v>
      </c>
      <c r="Z254" s="138">
        <v>6.4575466556817196E-3</v>
      </c>
    </row>
    <row r="255" spans="1:26" x14ac:dyDescent="0.2">
      <c r="A255" s="3">
        <v>559</v>
      </c>
      <c r="B255" s="3">
        <v>7206</v>
      </c>
      <c r="C255" s="3" t="s">
        <v>1224</v>
      </c>
      <c r="D255" s="3" t="s">
        <v>1239</v>
      </c>
      <c r="E255" s="3" t="s">
        <v>1240</v>
      </c>
      <c r="F255" s="3" t="s">
        <v>227</v>
      </c>
      <c r="G255" s="3" t="s">
        <v>53</v>
      </c>
      <c r="H255" s="3" t="s">
        <v>53</v>
      </c>
      <c r="I255" s="3" t="s">
        <v>1227</v>
      </c>
      <c r="J255" s="3" t="s">
        <v>1228</v>
      </c>
      <c r="K255" s="3" t="s">
        <v>78</v>
      </c>
      <c r="L255" s="3" t="s">
        <v>1219</v>
      </c>
      <c r="M255" s="137">
        <v>0.51800000000000002</v>
      </c>
      <c r="N255" s="3" t="s">
        <v>1241</v>
      </c>
      <c r="O255" s="142">
        <v>0</v>
      </c>
      <c r="P255" s="138">
        <v>4.3279999999999999E-2</v>
      </c>
      <c r="R255" s="137">
        <v>318000</v>
      </c>
      <c r="S255" s="139">
        <v>1</v>
      </c>
      <c r="T255" s="140">
        <v>97.83</v>
      </c>
      <c r="U255" s="137">
        <v>311.09899999999999</v>
      </c>
      <c r="W255" s="3" t="s">
        <v>17</v>
      </c>
      <c r="X255" s="138">
        <v>2.0000000000000002E-5</v>
      </c>
      <c r="Y255" s="138">
        <v>8.7419486518475597E-3</v>
      </c>
      <c r="Z255" s="138">
        <v>3.5638061153413099E-3</v>
      </c>
    </row>
    <row r="256" spans="1:26" x14ac:dyDescent="0.2">
      <c r="A256" s="3">
        <v>559</v>
      </c>
      <c r="B256" s="3">
        <v>7206</v>
      </c>
      <c r="C256" s="3" t="s">
        <v>1224</v>
      </c>
      <c r="D256" s="3" t="s">
        <v>1242</v>
      </c>
      <c r="E256" s="3" t="s">
        <v>1243</v>
      </c>
      <c r="F256" s="3" t="s">
        <v>227</v>
      </c>
      <c r="G256" s="3" t="s">
        <v>53</v>
      </c>
      <c r="H256" s="3" t="s">
        <v>53</v>
      </c>
      <c r="I256" s="3" t="s">
        <v>1227</v>
      </c>
      <c r="J256" s="3" t="s">
        <v>1228</v>
      </c>
      <c r="K256" s="3" t="s">
        <v>78</v>
      </c>
      <c r="L256" s="3" t="s">
        <v>1219</v>
      </c>
      <c r="M256" s="137">
        <v>0.748</v>
      </c>
      <c r="N256" s="3" t="s">
        <v>1244</v>
      </c>
      <c r="O256" s="142">
        <v>0</v>
      </c>
      <c r="P256" s="138">
        <v>4.1849999999999998E-2</v>
      </c>
      <c r="R256" s="137">
        <v>368200</v>
      </c>
      <c r="S256" s="139">
        <v>1</v>
      </c>
      <c r="T256" s="140">
        <v>96.98</v>
      </c>
      <c r="U256" s="137">
        <v>357.08</v>
      </c>
      <c r="W256" s="3" t="s">
        <v>17</v>
      </c>
      <c r="X256" s="138">
        <v>2.0000000000000002E-5</v>
      </c>
      <c r="Y256" s="138">
        <v>1.0034021832582301E-2</v>
      </c>
      <c r="Z256" s="138">
        <v>4.0905420281629502E-3</v>
      </c>
    </row>
    <row r="257" spans="1:26" x14ac:dyDescent="0.2">
      <c r="A257" s="3">
        <v>559</v>
      </c>
      <c r="B257" s="3">
        <v>7206</v>
      </c>
      <c r="C257" s="3" t="s">
        <v>1224</v>
      </c>
      <c r="D257" s="3" t="s">
        <v>1245</v>
      </c>
      <c r="E257" s="3" t="s">
        <v>1246</v>
      </c>
      <c r="F257" s="3" t="s">
        <v>227</v>
      </c>
      <c r="G257" s="3" t="s">
        <v>53</v>
      </c>
      <c r="H257" s="3" t="s">
        <v>53</v>
      </c>
      <c r="I257" s="3" t="s">
        <v>1227</v>
      </c>
      <c r="J257" s="3" t="s">
        <v>1228</v>
      </c>
      <c r="K257" s="3" t="s">
        <v>78</v>
      </c>
      <c r="L257" s="3" t="s">
        <v>1219</v>
      </c>
      <c r="M257" s="137">
        <v>0.92100000000000004</v>
      </c>
      <c r="N257" s="3" t="s">
        <v>1247</v>
      </c>
      <c r="O257" s="142">
        <v>0</v>
      </c>
      <c r="P257" s="138">
        <v>4.1099999999999998E-2</v>
      </c>
      <c r="R257" s="137">
        <v>80000</v>
      </c>
      <c r="S257" s="139">
        <v>1</v>
      </c>
      <c r="T257" s="140">
        <v>96.36</v>
      </c>
      <c r="U257" s="137">
        <v>77.087999999999994</v>
      </c>
      <c r="W257" s="3" t="s">
        <v>17</v>
      </c>
      <c r="X257" s="138">
        <v>3.9999999999999998E-6</v>
      </c>
      <c r="Y257" s="138">
        <v>2.1661865554019901E-3</v>
      </c>
      <c r="Z257" s="138">
        <v>8.8308330334108999E-4</v>
      </c>
    </row>
    <row r="258" spans="1:26" x14ac:dyDescent="0.2">
      <c r="A258" s="3">
        <v>559</v>
      </c>
      <c r="B258" s="3">
        <v>7206</v>
      </c>
      <c r="C258" s="3" t="s">
        <v>1224</v>
      </c>
      <c r="D258" s="3" t="s">
        <v>1248</v>
      </c>
      <c r="E258" s="3" t="s">
        <v>1249</v>
      </c>
      <c r="F258" s="3" t="s">
        <v>227</v>
      </c>
      <c r="G258" s="3" t="s">
        <v>53</v>
      </c>
      <c r="H258" s="3" t="s">
        <v>53</v>
      </c>
      <c r="I258" s="3" t="s">
        <v>1227</v>
      </c>
      <c r="J258" s="3" t="s">
        <v>1228</v>
      </c>
      <c r="K258" s="3" t="s">
        <v>78</v>
      </c>
      <c r="L258" s="3" t="s">
        <v>1219</v>
      </c>
      <c r="M258" s="137">
        <v>3.0000000000000001E-3</v>
      </c>
      <c r="N258" s="3" t="s">
        <v>1250</v>
      </c>
      <c r="O258" s="142">
        <v>0</v>
      </c>
      <c r="P258" s="138">
        <v>0.11574</v>
      </c>
      <c r="R258" s="137">
        <v>712000</v>
      </c>
      <c r="S258" s="139">
        <v>1</v>
      </c>
      <c r="T258" s="140">
        <v>99.97</v>
      </c>
      <c r="U258" s="137">
        <v>711.78599999999994</v>
      </c>
      <c r="W258" s="3" t="s">
        <v>17</v>
      </c>
      <c r="X258" s="138">
        <v>2.4000000000000001E-5</v>
      </c>
      <c r="Y258" s="138">
        <v>2.0001324849496401E-2</v>
      </c>
      <c r="Z258" s="138">
        <v>8.1538849806099805E-3</v>
      </c>
    </row>
    <row r="259" spans="1:26" x14ac:dyDescent="0.2">
      <c r="A259" s="3">
        <v>559</v>
      </c>
      <c r="B259" s="3">
        <v>7206</v>
      </c>
      <c r="C259" s="3" t="s">
        <v>1251</v>
      </c>
      <c r="D259" s="3" t="s">
        <v>1252</v>
      </c>
      <c r="E259" s="3" t="s">
        <v>1253</v>
      </c>
      <c r="F259" s="3" t="s">
        <v>221</v>
      </c>
      <c r="G259" s="3" t="s">
        <v>53</v>
      </c>
      <c r="H259" s="3" t="s">
        <v>53</v>
      </c>
      <c r="I259" s="3" t="s">
        <v>311</v>
      </c>
      <c r="J259" s="3" t="s">
        <v>1228</v>
      </c>
      <c r="K259" s="3" t="s">
        <v>78</v>
      </c>
      <c r="L259" s="3" t="s">
        <v>1219</v>
      </c>
      <c r="M259" s="137">
        <v>1.905</v>
      </c>
      <c r="N259" s="3" t="s">
        <v>1254</v>
      </c>
      <c r="O259" s="142">
        <v>7.4999999999999997E-3</v>
      </c>
      <c r="P259" s="138">
        <v>2.0959999999999999E-2</v>
      </c>
      <c r="R259" s="137">
        <v>642000</v>
      </c>
      <c r="S259" s="139">
        <v>1</v>
      </c>
      <c r="T259" s="140">
        <v>115.45</v>
      </c>
      <c r="U259" s="137">
        <v>741.18899999999996</v>
      </c>
      <c r="W259" s="3" t="s">
        <v>17</v>
      </c>
      <c r="X259" s="138">
        <v>2.5999999999999998E-5</v>
      </c>
      <c r="Y259" s="138">
        <v>2.08275431560274E-2</v>
      </c>
      <c r="Z259" s="138">
        <v>8.4907071206942603E-3</v>
      </c>
    </row>
    <row r="260" spans="1:26" x14ac:dyDescent="0.2">
      <c r="A260" s="3">
        <v>559</v>
      </c>
      <c r="B260" s="3">
        <v>7206</v>
      </c>
      <c r="C260" s="3" t="s">
        <v>1251</v>
      </c>
      <c r="D260" s="3" t="s">
        <v>1255</v>
      </c>
      <c r="E260" s="3" t="s">
        <v>1256</v>
      </c>
      <c r="F260" s="3" t="s">
        <v>221</v>
      </c>
      <c r="G260" s="3" t="s">
        <v>53</v>
      </c>
      <c r="H260" s="3" t="s">
        <v>53</v>
      </c>
      <c r="I260" s="3" t="s">
        <v>311</v>
      </c>
      <c r="J260" s="3" t="s">
        <v>1228</v>
      </c>
      <c r="K260" s="3" t="s">
        <v>78</v>
      </c>
      <c r="L260" s="3" t="s">
        <v>1219</v>
      </c>
      <c r="M260" s="137">
        <v>0.33200000000000002</v>
      </c>
      <c r="N260" s="3" t="s">
        <v>1257</v>
      </c>
      <c r="O260" s="142">
        <v>7.4999999999999997E-3</v>
      </c>
      <c r="P260" s="138">
        <v>5.9899999999999997E-3</v>
      </c>
      <c r="R260" s="137">
        <v>1610100</v>
      </c>
      <c r="S260" s="139">
        <v>1</v>
      </c>
      <c r="T260" s="140">
        <v>118.26</v>
      </c>
      <c r="U260" s="137">
        <v>1904.104</v>
      </c>
      <c r="W260" s="3" t="s">
        <v>17</v>
      </c>
      <c r="X260" s="138">
        <v>1.27E-4</v>
      </c>
      <c r="Y260" s="138">
        <v>5.3505669469899902E-2</v>
      </c>
      <c r="Z260" s="138">
        <v>2.18125088188388E-2</v>
      </c>
    </row>
    <row r="261" spans="1:26" x14ac:dyDescent="0.2">
      <c r="A261" s="3">
        <v>559</v>
      </c>
      <c r="B261" s="3">
        <v>7206</v>
      </c>
      <c r="C261" s="3" t="s">
        <v>1251</v>
      </c>
      <c r="D261" s="3" t="s">
        <v>1258</v>
      </c>
      <c r="E261" s="3" t="s">
        <v>1259</v>
      </c>
      <c r="F261" s="3" t="s">
        <v>221</v>
      </c>
      <c r="G261" s="3" t="s">
        <v>53</v>
      </c>
      <c r="H261" s="3" t="s">
        <v>53</v>
      </c>
      <c r="I261" s="3" t="s">
        <v>311</v>
      </c>
      <c r="J261" s="3" t="s">
        <v>1228</v>
      </c>
      <c r="K261" s="3" t="s">
        <v>78</v>
      </c>
      <c r="L261" s="3" t="s">
        <v>1219</v>
      </c>
      <c r="M261" s="137">
        <v>6.3940000000000001</v>
      </c>
      <c r="N261" s="3" t="s">
        <v>1260</v>
      </c>
      <c r="O261" s="142">
        <v>1E-3</v>
      </c>
      <c r="P261" s="138">
        <v>1.9699999999999999E-2</v>
      </c>
      <c r="R261" s="137">
        <v>924000</v>
      </c>
      <c r="S261" s="139">
        <v>1</v>
      </c>
      <c r="T261" s="140">
        <v>104.14</v>
      </c>
      <c r="U261" s="137">
        <v>962.25400000000002</v>
      </c>
      <c r="W261" s="3" t="s">
        <v>17</v>
      </c>
      <c r="X261" s="138">
        <v>2.6999999999999999E-5</v>
      </c>
      <c r="Y261" s="138">
        <v>2.7039497862276399E-2</v>
      </c>
      <c r="Z261" s="138">
        <v>1.1023117576534E-2</v>
      </c>
    </row>
    <row r="262" spans="1:26" x14ac:dyDescent="0.2">
      <c r="A262" s="3">
        <v>559</v>
      </c>
      <c r="B262" s="3">
        <v>7206</v>
      </c>
      <c r="C262" s="3" t="s">
        <v>1251</v>
      </c>
      <c r="D262" s="3" t="s">
        <v>1261</v>
      </c>
      <c r="E262" s="3" t="s">
        <v>1262</v>
      </c>
      <c r="F262" s="3" t="s">
        <v>221</v>
      </c>
      <c r="G262" s="3" t="s">
        <v>53</v>
      </c>
      <c r="H262" s="3" t="s">
        <v>53</v>
      </c>
      <c r="I262" s="3" t="s">
        <v>1227</v>
      </c>
      <c r="J262" s="3" t="s">
        <v>1228</v>
      </c>
      <c r="K262" s="3" t="s">
        <v>78</v>
      </c>
      <c r="L262" s="3" t="s">
        <v>1219</v>
      </c>
      <c r="M262" s="137">
        <v>5.5449999999999999</v>
      </c>
      <c r="N262" s="3" t="s">
        <v>1263</v>
      </c>
      <c r="O262" s="142">
        <v>0.02</v>
      </c>
      <c r="P262" s="138">
        <v>2.0459999999999999E-2</v>
      </c>
      <c r="R262" s="137">
        <v>300000</v>
      </c>
      <c r="S262" s="139">
        <v>1</v>
      </c>
      <c r="T262" s="140">
        <v>100.84</v>
      </c>
      <c r="U262" s="137">
        <v>302.52</v>
      </c>
      <c r="W262" s="3" t="s">
        <v>17</v>
      </c>
      <c r="X262" s="138">
        <v>7.7000000000000001E-5</v>
      </c>
      <c r="Y262" s="138">
        <v>8.5008659809595408E-3</v>
      </c>
      <c r="Z262" s="138">
        <v>3.4655246072896801E-3</v>
      </c>
    </row>
    <row r="263" spans="1:26" x14ac:dyDescent="0.2">
      <c r="A263" s="3">
        <v>559</v>
      </c>
      <c r="B263" s="3">
        <v>7206</v>
      </c>
      <c r="C263" s="3" t="s">
        <v>1264</v>
      </c>
      <c r="D263" s="3" t="s">
        <v>1265</v>
      </c>
      <c r="E263" s="3" t="s">
        <v>1266</v>
      </c>
      <c r="F263" s="3" t="s">
        <v>227</v>
      </c>
      <c r="G263" s="3" t="s">
        <v>53</v>
      </c>
      <c r="H263" s="3" t="s">
        <v>53</v>
      </c>
      <c r="I263" s="3" t="s">
        <v>1227</v>
      </c>
      <c r="J263" s="3" t="s">
        <v>1228</v>
      </c>
      <c r="K263" s="3" t="s">
        <v>78</v>
      </c>
      <c r="L263" s="3" t="s">
        <v>1219</v>
      </c>
      <c r="M263" s="137">
        <v>0.65800000000000003</v>
      </c>
      <c r="N263" s="3" t="s">
        <v>1267</v>
      </c>
      <c r="O263" s="142">
        <v>0</v>
      </c>
      <c r="P263" s="138">
        <v>4.283E-2</v>
      </c>
      <c r="R263" s="137">
        <v>525000</v>
      </c>
      <c r="S263" s="139">
        <v>1</v>
      </c>
      <c r="T263" s="140">
        <v>97.28</v>
      </c>
      <c r="U263" s="137">
        <v>510.72</v>
      </c>
      <c r="W263" s="3" t="s">
        <v>17</v>
      </c>
      <c r="X263" s="138">
        <v>1E-4</v>
      </c>
      <c r="Y263" s="138">
        <v>1.4351323131679399E-2</v>
      </c>
      <c r="Z263" s="138">
        <v>5.8505643509023601E-3</v>
      </c>
    </row>
    <row r="264" spans="1:26" x14ac:dyDescent="0.2">
      <c r="A264" s="3">
        <v>559</v>
      </c>
      <c r="B264" s="3">
        <v>7206</v>
      </c>
      <c r="C264" s="3" t="s">
        <v>1264</v>
      </c>
      <c r="D264" s="3" t="s">
        <v>1268</v>
      </c>
      <c r="E264" s="3" t="s">
        <v>1269</v>
      </c>
      <c r="F264" s="3" t="s">
        <v>227</v>
      </c>
      <c r="G264" s="3" t="s">
        <v>53</v>
      </c>
      <c r="H264" s="3" t="s">
        <v>53</v>
      </c>
      <c r="I264" s="3" t="s">
        <v>1227</v>
      </c>
      <c r="J264" s="3" t="s">
        <v>1228</v>
      </c>
      <c r="K264" s="3" t="s">
        <v>78</v>
      </c>
      <c r="L264" s="3" t="s">
        <v>1219</v>
      </c>
      <c r="M264" s="137">
        <v>0.16400000000000001</v>
      </c>
      <c r="N264" s="3" t="s">
        <v>1270</v>
      </c>
      <c r="O264" s="142">
        <v>0</v>
      </c>
      <c r="P264" s="138">
        <v>4.4940000000000001E-2</v>
      </c>
      <c r="R264" s="137">
        <v>299000</v>
      </c>
      <c r="S264" s="139">
        <v>1</v>
      </c>
      <c r="T264" s="140">
        <v>99.28</v>
      </c>
      <c r="U264" s="137">
        <v>296.84699999999998</v>
      </c>
      <c r="W264" s="3" t="s">
        <v>17</v>
      </c>
      <c r="X264" s="138">
        <v>3.1999999999999999E-5</v>
      </c>
      <c r="Y264" s="138">
        <v>8.3414592887184006E-3</v>
      </c>
      <c r="Z264" s="138">
        <v>3.4005397203657299E-3</v>
      </c>
    </row>
    <row r="265" spans="1:26" x14ac:dyDescent="0.2">
      <c r="A265" s="3">
        <v>559</v>
      </c>
      <c r="B265" s="3">
        <v>7206</v>
      </c>
      <c r="C265" s="3" t="s">
        <v>1264</v>
      </c>
      <c r="D265" s="3" t="s">
        <v>1271</v>
      </c>
      <c r="E265" s="3" t="s">
        <v>1272</v>
      </c>
      <c r="F265" s="3" t="s">
        <v>227</v>
      </c>
      <c r="G265" s="3" t="s">
        <v>53</v>
      </c>
      <c r="H265" s="3" t="s">
        <v>53</v>
      </c>
      <c r="I265" s="3" t="s">
        <v>1227</v>
      </c>
      <c r="J265" s="3" t="s">
        <v>1228</v>
      </c>
      <c r="K265" s="3" t="s">
        <v>78</v>
      </c>
      <c r="L265" s="3" t="s">
        <v>1219</v>
      </c>
      <c r="M265" s="137">
        <v>0.41399999999999998</v>
      </c>
      <c r="N265" s="3" t="s">
        <v>1273</v>
      </c>
      <c r="O265" s="142">
        <v>0</v>
      </c>
      <c r="P265" s="138">
        <v>4.3860000000000003E-2</v>
      </c>
      <c r="R265" s="137">
        <v>859000</v>
      </c>
      <c r="S265" s="139">
        <v>1</v>
      </c>
      <c r="T265" s="140">
        <v>98.24</v>
      </c>
      <c r="U265" s="137">
        <v>843.88199999999995</v>
      </c>
      <c r="W265" s="3" t="s">
        <v>17</v>
      </c>
      <c r="X265" s="138">
        <v>1.35E-4</v>
      </c>
      <c r="Y265" s="138">
        <v>2.3713223540254201E-2</v>
      </c>
      <c r="Z265" s="138">
        <v>9.6671044904104893E-3</v>
      </c>
    </row>
    <row r="266" spans="1:26" x14ac:dyDescent="0.2">
      <c r="A266" s="3">
        <v>559</v>
      </c>
      <c r="B266" s="3">
        <v>7206</v>
      </c>
      <c r="C266" s="3" t="s">
        <v>1274</v>
      </c>
      <c r="D266" s="3" t="s">
        <v>1275</v>
      </c>
      <c r="E266" s="3" t="s">
        <v>1276</v>
      </c>
      <c r="F266" s="3" t="s">
        <v>223</v>
      </c>
      <c r="G266" s="3" t="s">
        <v>53</v>
      </c>
      <c r="H266" s="3" t="s">
        <v>53</v>
      </c>
      <c r="I266" s="3" t="s">
        <v>311</v>
      </c>
      <c r="J266" s="3" t="s">
        <v>1228</v>
      </c>
      <c r="K266" s="3" t="s">
        <v>78</v>
      </c>
      <c r="L266" s="3" t="s">
        <v>1219</v>
      </c>
      <c r="M266" s="137">
        <v>3.109</v>
      </c>
      <c r="N266" s="3" t="s">
        <v>1277</v>
      </c>
      <c r="O266" s="142">
        <v>2.2499999999999999E-2</v>
      </c>
      <c r="P266" s="138">
        <v>3.952E-2</v>
      </c>
      <c r="R266" s="137">
        <v>620000</v>
      </c>
      <c r="S266" s="139">
        <v>1</v>
      </c>
      <c r="T266" s="140">
        <v>96.6</v>
      </c>
      <c r="U266" s="137">
        <v>598.91999999999996</v>
      </c>
      <c r="W266" s="3" t="s">
        <v>17</v>
      </c>
      <c r="X266" s="138">
        <v>1.8E-5</v>
      </c>
      <c r="Y266" s="138">
        <v>1.6829758869880598E-2</v>
      </c>
      <c r="Z266" s="138">
        <v>6.86094141808123E-3</v>
      </c>
    </row>
    <row r="267" spans="1:26" x14ac:dyDescent="0.2">
      <c r="A267" s="3">
        <v>559</v>
      </c>
      <c r="B267" s="3">
        <v>7206</v>
      </c>
      <c r="C267" s="3" t="s">
        <v>1274</v>
      </c>
      <c r="D267" s="3" t="s">
        <v>1278</v>
      </c>
      <c r="E267" s="3" t="s">
        <v>1279</v>
      </c>
      <c r="F267" s="3" t="s">
        <v>223</v>
      </c>
      <c r="G267" s="3" t="s">
        <v>53</v>
      </c>
      <c r="H267" s="3" t="s">
        <v>53</v>
      </c>
      <c r="I267" s="3" t="s">
        <v>311</v>
      </c>
      <c r="J267" s="3" t="s">
        <v>1228</v>
      </c>
      <c r="K267" s="3" t="s">
        <v>78</v>
      </c>
      <c r="L267" s="3" t="s">
        <v>1219</v>
      </c>
      <c r="M267" s="137">
        <v>2.1389999999999998</v>
      </c>
      <c r="N267" s="3" t="s">
        <v>1280</v>
      </c>
      <c r="O267" s="142">
        <v>3.7499999999999999E-2</v>
      </c>
      <c r="P267" s="138">
        <v>3.9739999999999998E-2</v>
      </c>
      <c r="R267" s="137">
        <v>1050000</v>
      </c>
      <c r="S267" s="139">
        <v>1</v>
      </c>
      <c r="T267" s="140">
        <v>102.34</v>
      </c>
      <c r="U267" s="137">
        <v>1074.57</v>
      </c>
      <c r="W267" s="3" t="s">
        <v>17</v>
      </c>
      <c r="X267" s="138">
        <v>2.9E-5</v>
      </c>
      <c r="Y267" s="138">
        <v>3.01956087437514E-2</v>
      </c>
      <c r="Z267" s="138">
        <v>1.23097606017958E-2</v>
      </c>
    </row>
    <row r="268" spans="1:26" x14ac:dyDescent="0.2">
      <c r="A268" s="3">
        <v>559</v>
      </c>
      <c r="B268" s="3">
        <v>7206</v>
      </c>
      <c r="C268" s="3" t="s">
        <v>1274</v>
      </c>
      <c r="D268" s="3" t="s">
        <v>1281</v>
      </c>
      <c r="E268" s="3" t="s">
        <v>1282</v>
      </c>
      <c r="F268" s="3" t="s">
        <v>223</v>
      </c>
      <c r="G268" s="3" t="s">
        <v>53</v>
      </c>
      <c r="H268" s="3" t="s">
        <v>53</v>
      </c>
      <c r="I268" s="3" t="s">
        <v>311</v>
      </c>
      <c r="J268" s="3" t="s">
        <v>1228</v>
      </c>
      <c r="K268" s="3" t="s">
        <v>78</v>
      </c>
      <c r="L268" s="3" t="s">
        <v>1219</v>
      </c>
      <c r="M268" s="137">
        <v>0.65800000000000003</v>
      </c>
      <c r="N268" s="3" t="s">
        <v>1267</v>
      </c>
      <c r="O268" s="142">
        <v>5.0000000000000001E-3</v>
      </c>
      <c r="P268" s="138">
        <v>4.0480000000000002E-2</v>
      </c>
      <c r="R268" s="137">
        <v>1997371</v>
      </c>
      <c r="S268" s="139">
        <v>1</v>
      </c>
      <c r="T268" s="140">
        <v>97.91</v>
      </c>
      <c r="U268" s="137">
        <v>1955.626</v>
      </c>
      <c r="W268" s="3" t="s">
        <v>17</v>
      </c>
      <c r="X268" s="138">
        <v>7.2000000000000002E-5</v>
      </c>
      <c r="Y268" s="138">
        <v>5.4953438042718801E-2</v>
      </c>
      <c r="Z268" s="138">
        <v>2.2402716643077199E-2</v>
      </c>
    </row>
    <row r="269" spans="1:26" x14ac:dyDescent="0.2">
      <c r="A269" s="3">
        <v>559</v>
      </c>
      <c r="B269" s="3">
        <v>7206</v>
      </c>
      <c r="C269" s="3" t="s">
        <v>1274</v>
      </c>
      <c r="D269" s="3" t="s">
        <v>1283</v>
      </c>
      <c r="E269" s="3" t="s">
        <v>1284</v>
      </c>
      <c r="F269" s="3" t="s">
        <v>223</v>
      </c>
      <c r="G269" s="3" t="s">
        <v>53</v>
      </c>
      <c r="H269" s="3" t="s">
        <v>53</v>
      </c>
      <c r="I269" s="3" t="s">
        <v>311</v>
      </c>
      <c r="J269" s="3" t="s">
        <v>1228</v>
      </c>
      <c r="K269" s="3" t="s">
        <v>78</v>
      </c>
      <c r="L269" s="3" t="s">
        <v>1219</v>
      </c>
      <c r="M269" s="137">
        <v>1.7250000000000001</v>
      </c>
      <c r="N269" s="3" t="s">
        <v>1285</v>
      </c>
      <c r="O269" s="142">
        <v>0.02</v>
      </c>
      <c r="P269" s="138">
        <v>4.0030000000000003E-2</v>
      </c>
      <c r="R269" s="137">
        <v>1105000</v>
      </c>
      <c r="S269" s="139">
        <v>1</v>
      </c>
      <c r="T269" s="140">
        <v>97.19</v>
      </c>
      <c r="U269" s="137">
        <v>1073.9490000000001</v>
      </c>
      <c r="W269" s="3" t="s">
        <v>17</v>
      </c>
      <c r="X269" s="138">
        <v>3.8999999999999999E-5</v>
      </c>
      <c r="Y269" s="138">
        <v>3.0178172583030901E-2</v>
      </c>
      <c r="Z269" s="138">
        <v>1.2302652450206401E-2</v>
      </c>
    </row>
    <row r="270" spans="1:26" x14ac:dyDescent="0.2">
      <c r="A270" s="3">
        <v>559</v>
      </c>
      <c r="B270" s="3">
        <v>7206</v>
      </c>
      <c r="C270" s="3" t="s">
        <v>1274</v>
      </c>
      <c r="D270" s="3" t="s">
        <v>1286</v>
      </c>
      <c r="E270" s="3" t="s">
        <v>1287</v>
      </c>
      <c r="F270" s="3" t="s">
        <v>223</v>
      </c>
      <c r="G270" s="3" t="s">
        <v>53</v>
      </c>
      <c r="H270" s="3" t="s">
        <v>53</v>
      </c>
      <c r="I270" s="3" t="s">
        <v>311</v>
      </c>
      <c r="J270" s="3" t="s">
        <v>1228</v>
      </c>
      <c r="K270" s="3" t="s">
        <v>78</v>
      </c>
      <c r="L270" s="3" t="s">
        <v>1219</v>
      </c>
      <c r="M270" s="137">
        <v>8.1739999999999995</v>
      </c>
      <c r="N270" s="3" t="s">
        <v>1288</v>
      </c>
      <c r="O270" s="142">
        <v>0.04</v>
      </c>
      <c r="P270" s="138">
        <v>4.1140000000000003E-2</v>
      </c>
      <c r="R270" s="137">
        <v>690000</v>
      </c>
      <c r="S270" s="139">
        <v>1</v>
      </c>
      <c r="T270" s="140">
        <v>100.1</v>
      </c>
      <c r="U270" s="137">
        <v>690.69</v>
      </c>
      <c r="W270" s="3" t="s">
        <v>17</v>
      </c>
      <c r="X270" s="138">
        <v>2.0999999999999999E-5</v>
      </c>
      <c r="Y270" s="138">
        <v>1.9408512245104301E-2</v>
      </c>
      <c r="Z270" s="138">
        <v>7.9122146998840005E-3</v>
      </c>
    </row>
    <row r="271" spans="1:26" x14ac:dyDescent="0.2">
      <c r="A271" s="3">
        <v>559</v>
      </c>
      <c r="B271" s="3">
        <v>7206</v>
      </c>
      <c r="C271" s="3" t="s">
        <v>1274</v>
      </c>
      <c r="D271" s="3" t="s">
        <v>1289</v>
      </c>
      <c r="E271" s="3" t="s">
        <v>1290</v>
      </c>
      <c r="F271" s="3" t="s">
        <v>223</v>
      </c>
      <c r="G271" s="3" t="s">
        <v>53</v>
      </c>
      <c r="H271" s="3" t="s">
        <v>53</v>
      </c>
      <c r="I271" s="3" t="s">
        <v>311</v>
      </c>
      <c r="J271" s="3" t="s">
        <v>1228</v>
      </c>
      <c r="K271" s="3" t="s">
        <v>78</v>
      </c>
      <c r="L271" s="3" t="s">
        <v>1219</v>
      </c>
      <c r="M271" s="137">
        <v>14.709</v>
      </c>
      <c r="N271" s="3" t="s">
        <v>1291</v>
      </c>
      <c r="O271" s="142">
        <v>3.7499999999999999E-2</v>
      </c>
      <c r="P271" s="138">
        <v>4.4699999999999997E-2</v>
      </c>
      <c r="R271" s="137">
        <v>260000</v>
      </c>
      <c r="S271" s="139">
        <v>1</v>
      </c>
      <c r="T271" s="140">
        <v>91.05</v>
      </c>
      <c r="U271" s="137">
        <v>236.73</v>
      </c>
      <c r="W271" s="3" t="s">
        <v>17</v>
      </c>
      <c r="X271" s="138">
        <v>1.0000000000000001E-5</v>
      </c>
      <c r="Y271" s="138">
        <v>6.6521552415461796E-3</v>
      </c>
      <c r="Z271" s="138">
        <v>2.7118657949348301E-3</v>
      </c>
    </row>
    <row r="272" spans="1:26" x14ac:dyDescent="0.2">
      <c r="A272" s="3">
        <v>559</v>
      </c>
      <c r="B272" s="3">
        <v>7206</v>
      </c>
      <c r="C272" s="3" t="s">
        <v>1274</v>
      </c>
      <c r="D272" s="3" t="s">
        <v>1292</v>
      </c>
      <c r="E272" s="3" t="s">
        <v>1293</v>
      </c>
      <c r="F272" s="3" t="s">
        <v>223</v>
      </c>
      <c r="G272" s="3" t="s">
        <v>53</v>
      </c>
      <c r="H272" s="3" t="s">
        <v>53</v>
      </c>
      <c r="I272" s="3" t="s">
        <v>311</v>
      </c>
      <c r="J272" s="3" t="s">
        <v>1228</v>
      </c>
      <c r="K272" s="3" t="s">
        <v>78</v>
      </c>
      <c r="L272" s="3" t="s">
        <v>1219</v>
      </c>
      <c r="M272" s="137">
        <v>0.16400000000000001</v>
      </c>
      <c r="N272" s="3" t="s">
        <v>1270</v>
      </c>
      <c r="O272" s="142">
        <v>1.7500000000000002E-2</v>
      </c>
      <c r="P272" s="138">
        <v>4.5069999999999999E-2</v>
      </c>
      <c r="R272" s="137">
        <v>394558</v>
      </c>
      <c r="S272" s="139">
        <v>1</v>
      </c>
      <c r="T272" s="140">
        <v>101.02</v>
      </c>
      <c r="U272" s="137">
        <v>398.58199999999999</v>
      </c>
      <c r="W272" s="3" t="s">
        <v>17</v>
      </c>
      <c r="X272" s="138">
        <v>3.0000000000000001E-5</v>
      </c>
      <c r="Y272" s="138">
        <v>1.12002391360853E-2</v>
      </c>
      <c r="Z272" s="138">
        <v>4.5659706223543303E-3</v>
      </c>
    </row>
    <row r="273" spans="1:26" x14ac:dyDescent="0.2">
      <c r="A273" s="3">
        <v>559</v>
      </c>
      <c r="B273" s="3">
        <v>7206</v>
      </c>
      <c r="C273" s="3" t="s">
        <v>1274</v>
      </c>
      <c r="D273" s="3" t="s">
        <v>1294</v>
      </c>
      <c r="E273" s="3" t="s">
        <v>1295</v>
      </c>
      <c r="F273" s="3" t="s">
        <v>223</v>
      </c>
      <c r="G273" s="3" t="s">
        <v>53</v>
      </c>
      <c r="H273" s="3" t="s">
        <v>53</v>
      </c>
      <c r="I273" s="3" t="s">
        <v>311</v>
      </c>
      <c r="J273" s="3" t="s">
        <v>1228</v>
      </c>
      <c r="K273" s="3" t="s">
        <v>78</v>
      </c>
      <c r="L273" s="3" t="s">
        <v>1219</v>
      </c>
      <c r="M273" s="137">
        <v>17.515999999999998</v>
      </c>
      <c r="N273" s="3" t="s">
        <v>1296</v>
      </c>
      <c r="O273" s="142">
        <v>2.8000000000000001E-2</v>
      </c>
      <c r="P273" s="138">
        <v>4.5929999999999999E-2</v>
      </c>
      <c r="R273" s="137">
        <v>603000</v>
      </c>
      <c r="S273" s="139">
        <v>1</v>
      </c>
      <c r="T273" s="140">
        <v>73.98</v>
      </c>
      <c r="U273" s="137">
        <v>446.09899999999999</v>
      </c>
      <c r="W273" s="3" t="s">
        <v>17</v>
      </c>
      <c r="X273" s="138">
        <v>2.3E-5</v>
      </c>
      <c r="Y273" s="138">
        <v>1.2535472740930999E-2</v>
      </c>
      <c r="Z273" s="138">
        <v>5.1103016263293697E-3</v>
      </c>
    </row>
    <row r="274" spans="1:26" x14ac:dyDescent="0.2">
      <c r="A274" s="3">
        <v>559</v>
      </c>
      <c r="B274" s="3">
        <v>7206</v>
      </c>
      <c r="C274" s="3" t="s">
        <v>1274</v>
      </c>
      <c r="D274" s="3" t="s">
        <v>1297</v>
      </c>
      <c r="E274" s="3" t="s">
        <v>1298</v>
      </c>
      <c r="F274" s="3" t="s">
        <v>223</v>
      </c>
      <c r="G274" s="3" t="s">
        <v>53</v>
      </c>
      <c r="H274" s="3" t="s">
        <v>53</v>
      </c>
      <c r="I274" s="3" t="s">
        <v>1227</v>
      </c>
      <c r="J274" s="3" t="s">
        <v>1228</v>
      </c>
      <c r="K274" s="3" t="s">
        <v>78</v>
      </c>
      <c r="L274" s="3" t="s">
        <v>1219</v>
      </c>
      <c r="M274" s="137">
        <v>3.7810000000000001</v>
      </c>
      <c r="N274" s="3" t="s">
        <v>1299</v>
      </c>
      <c r="O274" s="142">
        <v>4.5999999999999999E-2</v>
      </c>
      <c r="P274" s="138">
        <v>3.9390000000000001E-2</v>
      </c>
      <c r="R274" s="137">
        <v>771000</v>
      </c>
      <c r="S274" s="139">
        <v>1</v>
      </c>
      <c r="T274" s="140">
        <v>105.5</v>
      </c>
      <c r="U274" s="137">
        <v>813.40499999999997</v>
      </c>
      <c r="W274" s="3" t="s">
        <v>17</v>
      </c>
      <c r="X274" s="138">
        <v>5.0000000000000002E-5</v>
      </c>
      <c r="Y274" s="138">
        <v>2.2856825642081201E-2</v>
      </c>
      <c r="Z274" s="138">
        <v>9.3179791193721394E-3</v>
      </c>
    </row>
    <row r="275" spans="1:26" x14ac:dyDescent="0.2">
      <c r="A275" s="3">
        <v>559</v>
      </c>
      <c r="B275" s="3">
        <v>7206</v>
      </c>
      <c r="C275" s="3" t="s">
        <v>1274</v>
      </c>
      <c r="D275" s="3" t="s">
        <v>1300</v>
      </c>
      <c r="E275" s="3" t="s">
        <v>1301</v>
      </c>
      <c r="F275" s="3" t="s">
        <v>223</v>
      </c>
      <c r="G275" s="3" t="s">
        <v>53</v>
      </c>
      <c r="H275" s="3" t="s">
        <v>53</v>
      </c>
      <c r="I275" s="3" t="s">
        <v>311</v>
      </c>
      <c r="J275" s="3" t="s">
        <v>1228</v>
      </c>
      <c r="K275" s="3" t="s">
        <v>78</v>
      </c>
      <c r="L275" s="3" t="s">
        <v>1219</v>
      </c>
      <c r="M275" s="137">
        <v>11.420999999999999</v>
      </c>
      <c r="N275" s="3" t="s">
        <v>1302</v>
      </c>
      <c r="O275" s="142">
        <v>5.5E-2</v>
      </c>
      <c r="P275" s="138">
        <v>4.3520000000000003E-2</v>
      </c>
      <c r="R275" s="137">
        <v>526000</v>
      </c>
      <c r="S275" s="139">
        <v>1</v>
      </c>
      <c r="T275" s="140">
        <v>115.63</v>
      </c>
      <c r="U275" s="137">
        <v>608.21400000000006</v>
      </c>
      <c r="W275" s="3" t="s">
        <v>17</v>
      </c>
      <c r="X275" s="138">
        <v>1.8E-5</v>
      </c>
      <c r="Y275" s="138">
        <v>1.7090916308244501E-2</v>
      </c>
      <c r="Z275" s="138">
        <v>6.96740675126656E-3</v>
      </c>
    </row>
    <row r="276" spans="1:26" x14ac:dyDescent="0.2">
      <c r="A276" s="3">
        <v>559</v>
      </c>
      <c r="B276" s="3">
        <v>7206</v>
      </c>
      <c r="C276" s="3" t="s">
        <v>1251</v>
      </c>
      <c r="D276" s="3" t="s">
        <v>1303</v>
      </c>
      <c r="E276" s="3" t="s">
        <v>1304</v>
      </c>
      <c r="F276" s="3" t="s">
        <v>221</v>
      </c>
      <c r="G276" s="3" t="s">
        <v>53</v>
      </c>
      <c r="H276" s="3" t="s">
        <v>53</v>
      </c>
      <c r="I276" s="3" t="s">
        <v>311</v>
      </c>
      <c r="J276" s="3" t="s">
        <v>1228</v>
      </c>
      <c r="K276" s="3" t="s">
        <v>78</v>
      </c>
      <c r="L276" s="3" t="s">
        <v>1219</v>
      </c>
      <c r="M276" s="137">
        <v>3.8839999999999999</v>
      </c>
      <c r="N276" s="3" t="s">
        <v>1305</v>
      </c>
      <c r="O276" s="142">
        <v>5.0000000000000001E-3</v>
      </c>
      <c r="P276" s="138">
        <v>2.0080000000000001E-2</v>
      </c>
      <c r="R276" s="137">
        <v>1283000</v>
      </c>
      <c r="S276" s="139">
        <v>1</v>
      </c>
      <c r="T276" s="140">
        <v>110.62</v>
      </c>
      <c r="U276" s="137">
        <v>1419.2550000000001</v>
      </c>
      <c r="W276" s="3" t="s">
        <v>17</v>
      </c>
      <c r="X276" s="138">
        <v>4.3999999999999999E-5</v>
      </c>
      <c r="Y276" s="138">
        <v>3.9881307508463401E-2</v>
      </c>
      <c r="Z276" s="138">
        <v>1.62583027248085E-2</v>
      </c>
    </row>
    <row r="277" spans="1:26" x14ac:dyDescent="0.2">
      <c r="A277" s="3">
        <v>559</v>
      </c>
      <c r="B277" s="3">
        <v>7206</v>
      </c>
      <c r="C277" s="3" t="s">
        <v>1251</v>
      </c>
      <c r="D277" s="3" t="s">
        <v>1306</v>
      </c>
      <c r="E277" s="3" t="s">
        <v>1307</v>
      </c>
      <c r="F277" s="3" t="s">
        <v>221</v>
      </c>
      <c r="G277" s="3" t="s">
        <v>53</v>
      </c>
      <c r="H277" s="3" t="s">
        <v>53</v>
      </c>
      <c r="I277" s="3" t="s">
        <v>311</v>
      </c>
      <c r="J277" s="3" t="s">
        <v>1228</v>
      </c>
      <c r="K277" s="3" t="s">
        <v>78</v>
      </c>
      <c r="L277" s="3" t="s">
        <v>1219</v>
      </c>
      <c r="M277" s="137">
        <v>1.0780000000000001</v>
      </c>
      <c r="N277" s="3" t="s">
        <v>1308</v>
      </c>
      <c r="O277" s="142">
        <v>1E-3</v>
      </c>
      <c r="P277" s="138">
        <v>2.3380000000000001E-2</v>
      </c>
      <c r="R277" s="137">
        <v>3009000</v>
      </c>
      <c r="S277" s="139">
        <v>1</v>
      </c>
      <c r="T277" s="140">
        <v>114.5</v>
      </c>
      <c r="U277" s="137">
        <v>3445.3049999999998</v>
      </c>
      <c r="W277" s="3" t="s">
        <v>17</v>
      </c>
      <c r="X277" s="138">
        <v>1.4899999999999999E-4</v>
      </c>
      <c r="Y277" s="138">
        <v>9.6813685272146593E-2</v>
      </c>
      <c r="Z277" s="138">
        <v>3.9467768270256998E-2</v>
      </c>
    </row>
    <row r="278" spans="1:26" x14ac:dyDescent="0.2">
      <c r="A278" s="3">
        <v>559</v>
      </c>
      <c r="B278" s="3">
        <v>7206</v>
      </c>
      <c r="C278" s="3" t="s">
        <v>1251</v>
      </c>
      <c r="D278" s="3" t="s">
        <v>1309</v>
      </c>
      <c r="E278" s="3" t="s">
        <v>1310</v>
      </c>
      <c r="F278" s="3" t="s">
        <v>221</v>
      </c>
      <c r="G278" s="3" t="s">
        <v>53</v>
      </c>
      <c r="H278" s="3" t="s">
        <v>53</v>
      </c>
      <c r="I278" s="3" t="s">
        <v>311</v>
      </c>
      <c r="J278" s="3" t="s">
        <v>1228</v>
      </c>
      <c r="K278" s="3" t="s">
        <v>78</v>
      </c>
      <c r="L278" s="3" t="s">
        <v>1219</v>
      </c>
      <c r="M278" s="137">
        <v>3.2679999999999998</v>
      </c>
      <c r="N278" s="3" t="s">
        <v>1311</v>
      </c>
      <c r="O278" s="142">
        <v>1.0999999999999999E-2</v>
      </c>
      <c r="P278" s="138">
        <v>2.053E-2</v>
      </c>
      <c r="R278" s="137">
        <v>3221000</v>
      </c>
      <c r="S278" s="139">
        <v>1</v>
      </c>
      <c r="T278" s="140">
        <v>103.51</v>
      </c>
      <c r="U278" s="137">
        <v>3334.0569999999998</v>
      </c>
      <c r="W278" s="3" t="s">
        <v>17</v>
      </c>
      <c r="X278" s="138">
        <v>1.03E-4</v>
      </c>
      <c r="Y278" s="138">
        <v>9.3687599431332202E-2</v>
      </c>
      <c r="Z278" s="138">
        <v>3.8193365470576703E-2</v>
      </c>
    </row>
    <row r="279" spans="1:26" x14ac:dyDescent="0.2">
      <c r="A279" s="3">
        <v>559</v>
      </c>
      <c r="B279" s="3">
        <v>7206</v>
      </c>
      <c r="C279" s="3" t="s">
        <v>1251</v>
      </c>
      <c r="D279" s="3" t="s">
        <v>1312</v>
      </c>
      <c r="E279" s="3" t="s">
        <v>1313</v>
      </c>
      <c r="F279" s="3" t="s">
        <v>221</v>
      </c>
      <c r="G279" s="3" t="s">
        <v>53</v>
      </c>
      <c r="H279" s="3" t="s">
        <v>53</v>
      </c>
      <c r="I279" s="3" t="s">
        <v>1227</v>
      </c>
      <c r="J279" s="3" t="s">
        <v>1228</v>
      </c>
      <c r="K279" s="3" t="s">
        <v>78</v>
      </c>
      <c r="L279" s="3" t="s">
        <v>1219</v>
      </c>
      <c r="M279" s="137">
        <v>7.7789999999999999</v>
      </c>
      <c r="N279" s="3" t="s">
        <v>1314</v>
      </c>
      <c r="O279" s="142">
        <v>1.6E-2</v>
      </c>
      <c r="P279" s="138">
        <v>1.9709999999999998E-2</v>
      </c>
      <c r="R279" s="137">
        <v>399000</v>
      </c>
      <c r="S279" s="139">
        <v>1</v>
      </c>
      <c r="T279" s="140">
        <v>103.3</v>
      </c>
      <c r="U279" s="137">
        <v>412.16699999999997</v>
      </c>
      <c r="W279" s="3" t="s">
        <v>17</v>
      </c>
      <c r="X279" s="138">
        <v>1.7E-5</v>
      </c>
      <c r="Y279" s="138">
        <v>1.1581966246113099E-2</v>
      </c>
      <c r="Z279" s="138">
        <v>4.7215882613141696E-3</v>
      </c>
    </row>
    <row r="280" spans="1:26" x14ac:dyDescent="0.2">
      <c r="A280" s="3">
        <v>559</v>
      </c>
      <c r="B280" s="3">
        <v>7206</v>
      </c>
      <c r="C280" s="3" t="s">
        <v>1274</v>
      </c>
      <c r="D280" s="3" t="s">
        <v>1315</v>
      </c>
      <c r="E280" s="3" t="s">
        <v>1316</v>
      </c>
      <c r="F280" s="3" t="s">
        <v>223</v>
      </c>
      <c r="G280" s="3" t="s">
        <v>53</v>
      </c>
      <c r="H280" s="3" t="s">
        <v>53</v>
      </c>
      <c r="I280" s="3" t="s">
        <v>311</v>
      </c>
      <c r="J280" s="3" t="s">
        <v>1228</v>
      </c>
      <c r="K280" s="3" t="s">
        <v>78</v>
      </c>
      <c r="L280" s="3" t="s">
        <v>1219</v>
      </c>
      <c r="M280" s="137">
        <v>10.803000000000001</v>
      </c>
      <c r="N280" s="3" t="s">
        <v>1317</v>
      </c>
      <c r="O280" s="142">
        <v>1.4999999999999999E-2</v>
      </c>
      <c r="P280" s="138">
        <v>4.2529999999999998E-2</v>
      </c>
      <c r="R280" s="137">
        <v>2257000</v>
      </c>
      <c r="S280" s="139">
        <v>1</v>
      </c>
      <c r="T280" s="140">
        <v>74.8</v>
      </c>
      <c r="U280" s="137">
        <v>1688.2360000000001</v>
      </c>
      <c r="W280" s="3" t="s">
        <v>17</v>
      </c>
      <c r="X280" s="138">
        <v>6.0000000000000002E-5</v>
      </c>
      <c r="Y280" s="138">
        <v>4.7439732844873697E-2</v>
      </c>
      <c r="Z280" s="138">
        <v>1.9339625151766099E-2</v>
      </c>
    </row>
    <row r="281" spans="1:26" x14ac:dyDescent="0.2">
      <c r="A281" s="3">
        <v>559</v>
      </c>
      <c r="B281" s="3">
        <v>7206</v>
      </c>
      <c r="C281" s="3" t="s">
        <v>1274</v>
      </c>
      <c r="D281" s="3" t="s">
        <v>1318</v>
      </c>
      <c r="E281" s="3" t="s">
        <v>1319</v>
      </c>
      <c r="F281" s="3" t="s">
        <v>223</v>
      </c>
      <c r="G281" s="3" t="s">
        <v>53</v>
      </c>
      <c r="H281" s="3" t="s">
        <v>53</v>
      </c>
      <c r="I281" s="3" t="s">
        <v>311</v>
      </c>
      <c r="J281" s="3" t="s">
        <v>1228</v>
      </c>
      <c r="K281" s="3" t="s">
        <v>78</v>
      </c>
      <c r="L281" s="3" t="s">
        <v>1219</v>
      </c>
      <c r="M281" s="137">
        <v>4.641</v>
      </c>
      <c r="N281" s="3" t="s">
        <v>1320</v>
      </c>
      <c r="O281" s="142">
        <v>0.01</v>
      </c>
      <c r="P281" s="138">
        <v>3.9690000000000003E-2</v>
      </c>
      <c r="R281" s="137">
        <v>206000</v>
      </c>
      <c r="S281" s="139">
        <v>1</v>
      </c>
      <c r="T281" s="140">
        <v>87.63</v>
      </c>
      <c r="U281" s="137">
        <v>180.518</v>
      </c>
      <c r="W281" s="3" t="s">
        <v>17</v>
      </c>
      <c r="X281" s="138">
        <v>5.0000000000000004E-6</v>
      </c>
      <c r="Y281" s="138">
        <v>5.0725823911730002E-3</v>
      </c>
      <c r="Z281" s="138">
        <v>2.06792568409955E-3</v>
      </c>
    </row>
    <row r="282" spans="1:26" x14ac:dyDescent="0.2">
      <c r="A282" s="3">
        <v>559</v>
      </c>
      <c r="B282" s="3">
        <v>7206</v>
      </c>
      <c r="C282" s="3" t="s">
        <v>1274</v>
      </c>
      <c r="D282" s="3" t="s">
        <v>1321</v>
      </c>
      <c r="E282" s="3" t="s">
        <v>1322</v>
      </c>
      <c r="F282" s="3" t="s">
        <v>223</v>
      </c>
      <c r="G282" s="3" t="s">
        <v>53</v>
      </c>
      <c r="H282" s="3" t="s">
        <v>53</v>
      </c>
      <c r="I282" s="3" t="s">
        <v>311</v>
      </c>
      <c r="J282" s="3" t="s">
        <v>1228</v>
      </c>
      <c r="K282" s="3" t="s">
        <v>78</v>
      </c>
      <c r="L282" s="3" t="s">
        <v>1219</v>
      </c>
      <c r="M282" s="137">
        <v>6.5380000000000003</v>
      </c>
      <c r="N282" s="3" t="s">
        <v>1323</v>
      </c>
      <c r="O282" s="142">
        <v>1.2999999999999999E-2</v>
      </c>
      <c r="P282" s="138">
        <v>4.0480000000000002E-2</v>
      </c>
      <c r="R282" s="137">
        <v>938000</v>
      </c>
      <c r="S282" s="139">
        <v>1</v>
      </c>
      <c r="T282" s="140">
        <v>84.1</v>
      </c>
      <c r="U282" s="137">
        <v>788.85799999999995</v>
      </c>
      <c r="W282" s="3" t="s">
        <v>17</v>
      </c>
      <c r="X282" s="138">
        <v>2.5999999999999998E-5</v>
      </c>
      <c r="Y282" s="138">
        <v>2.2167050561972001E-2</v>
      </c>
      <c r="Z282" s="138">
        <v>9.0367804133852907E-3</v>
      </c>
    </row>
    <row r="283" spans="1:26" x14ac:dyDescent="0.2">
      <c r="A283" s="3">
        <v>559</v>
      </c>
      <c r="B283" s="3">
        <v>7206</v>
      </c>
      <c r="C283" s="3" t="s">
        <v>1224</v>
      </c>
      <c r="D283" s="3" t="s">
        <v>1324</v>
      </c>
      <c r="E283" s="3" t="s">
        <v>1325</v>
      </c>
      <c r="F283" s="3" t="s">
        <v>227</v>
      </c>
      <c r="G283" s="3" t="s">
        <v>53</v>
      </c>
      <c r="H283" s="3" t="s">
        <v>53</v>
      </c>
      <c r="I283" s="3" t="s">
        <v>1227</v>
      </c>
      <c r="J283" s="3" t="s">
        <v>1228</v>
      </c>
      <c r="K283" s="3" t="s">
        <v>78</v>
      </c>
      <c r="L283" s="3" t="s">
        <v>1219</v>
      </c>
      <c r="M283" s="137">
        <v>0.59499999999999997</v>
      </c>
      <c r="N283" s="3" t="s">
        <v>1326</v>
      </c>
      <c r="O283" s="142">
        <v>0</v>
      </c>
      <c r="P283" s="138">
        <v>4.2790000000000002E-2</v>
      </c>
      <c r="R283" s="137">
        <v>188000</v>
      </c>
      <c r="S283" s="139">
        <v>1</v>
      </c>
      <c r="T283" s="140">
        <v>97.54</v>
      </c>
      <c r="U283" s="137">
        <v>183.375</v>
      </c>
      <c r="W283" s="3" t="s">
        <v>17</v>
      </c>
      <c r="X283" s="138">
        <v>1.0000000000000001E-5</v>
      </c>
      <c r="Y283" s="138">
        <v>5.1528758410407599E-3</v>
      </c>
      <c r="Z283" s="138">
        <v>2.1006586935299002E-3</v>
      </c>
    </row>
    <row r="284" spans="1:26" x14ac:dyDescent="0.2">
      <c r="A284" s="3">
        <v>559</v>
      </c>
      <c r="B284" s="3">
        <v>7206</v>
      </c>
      <c r="C284" s="3" t="s">
        <v>1224</v>
      </c>
      <c r="D284" s="3" t="s">
        <v>1327</v>
      </c>
      <c r="E284" s="3" t="s">
        <v>1328</v>
      </c>
      <c r="F284" s="3" t="s">
        <v>227</v>
      </c>
      <c r="G284" s="3" t="s">
        <v>53</v>
      </c>
      <c r="H284" s="3" t="s">
        <v>53</v>
      </c>
      <c r="I284" s="3" t="s">
        <v>1227</v>
      </c>
      <c r="J284" s="3" t="s">
        <v>1228</v>
      </c>
      <c r="K284" s="3" t="s">
        <v>78</v>
      </c>
      <c r="L284" s="3" t="s">
        <v>1219</v>
      </c>
      <c r="M284" s="137">
        <v>0.67100000000000004</v>
      </c>
      <c r="N284" s="3" t="s">
        <v>1329</v>
      </c>
      <c r="O284" s="142">
        <v>0</v>
      </c>
      <c r="P284" s="138">
        <v>4.2259999999999999E-2</v>
      </c>
      <c r="R284" s="137">
        <v>983000</v>
      </c>
      <c r="S284" s="139">
        <v>1</v>
      </c>
      <c r="T284" s="140">
        <v>97.26</v>
      </c>
      <c r="U284" s="137">
        <v>956.06600000000003</v>
      </c>
      <c r="W284" s="3" t="s">
        <v>17</v>
      </c>
      <c r="X284" s="138">
        <v>5.5000000000000002E-5</v>
      </c>
      <c r="Y284" s="138">
        <v>2.68656195781398E-2</v>
      </c>
      <c r="Z284" s="138">
        <v>1.09522330956237E-2</v>
      </c>
    </row>
    <row r="285" spans="1:26" x14ac:dyDescent="0.2">
      <c r="A285" s="3">
        <v>559</v>
      </c>
      <c r="B285" s="3">
        <v>7206</v>
      </c>
      <c r="C285" s="3" t="s">
        <v>1224</v>
      </c>
      <c r="D285" s="3" t="s">
        <v>1330</v>
      </c>
      <c r="E285" s="3" t="s">
        <v>1331</v>
      </c>
      <c r="F285" s="3" t="s">
        <v>227</v>
      </c>
      <c r="G285" s="3" t="s">
        <v>53</v>
      </c>
      <c r="H285" s="3" t="s">
        <v>53</v>
      </c>
      <c r="I285" s="3" t="s">
        <v>1227</v>
      </c>
      <c r="J285" s="3" t="s">
        <v>1228</v>
      </c>
      <c r="K285" s="3" t="s">
        <v>78</v>
      </c>
      <c r="L285" s="3" t="s">
        <v>1219</v>
      </c>
      <c r="M285" s="137">
        <v>0.84399999999999997</v>
      </c>
      <c r="N285" s="3" t="s">
        <v>1332</v>
      </c>
      <c r="O285" s="142">
        <v>0</v>
      </c>
      <c r="P285" s="138">
        <v>4.1329999999999999E-2</v>
      </c>
      <c r="R285" s="137">
        <v>269000</v>
      </c>
      <c r="S285" s="139">
        <v>1</v>
      </c>
      <c r="T285" s="140">
        <v>96.64</v>
      </c>
      <c r="U285" s="137">
        <v>259.96199999999999</v>
      </c>
      <c r="W285" s="3" t="s">
        <v>17</v>
      </c>
      <c r="X285" s="138">
        <v>1.5E-5</v>
      </c>
      <c r="Y285" s="138">
        <v>7.3049673469384197E-3</v>
      </c>
      <c r="Z285" s="138">
        <v>2.9779959068834999E-3</v>
      </c>
    </row>
    <row r="286" spans="1:26" x14ac:dyDescent="0.2">
      <c r="A286" s="3">
        <v>559</v>
      </c>
      <c r="B286" s="3">
        <v>7206</v>
      </c>
      <c r="C286" s="3" t="s">
        <v>1224</v>
      </c>
      <c r="D286" s="3" t="s">
        <v>1333</v>
      </c>
      <c r="E286" s="3" t="s">
        <v>1334</v>
      </c>
      <c r="F286" s="3" t="s">
        <v>227</v>
      </c>
      <c r="G286" s="3" t="s">
        <v>53</v>
      </c>
      <c r="H286" s="3" t="s">
        <v>53</v>
      </c>
      <c r="I286" s="3" t="s">
        <v>1227</v>
      </c>
      <c r="J286" s="3" t="s">
        <v>1228</v>
      </c>
      <c r="K286" s="3" t="s">
        <v>78</v>
      </c>
      <c r="L286" s="3" t="s">
        <v>1219</v>
      </c>
      <c r="M286" s="137">
        <v>9.6000000000000002E-2</v>
      </c>
      <c r="N286" s="3" t="s">
        <v>1335</v>
      </c>
      <c r="O286" s="142">
        <v>0</v>
      </c>
      <c r="P286" s="138">
        <v>4.3779999999999999E-2</v>
      </c>
      <c r="R286" s="137">
        <v>1344000</v>
      </c>
      <c r="S286" s="139">
        <v>1</v>
      </c>
      <c r="T286" s="140">
        <v>99.59</v>
      </c>
      <c r="U286" s="137">
        <v>1338.49</v>
      </c>
      <c r="W286" s="3" t="s">
        <v>17</v>
      </c>
      <c r="X286" s="138">
        <v>4.5000000000000003E-5</v>
      </c>
      <c r="Y286" s="138">
        <v>3.76117965969461E-2</v>
      </c>
      <c r="Z286" s="138">
        <v>1.5333097465957001E-2</v>
      </c>
    </row>
    <row r="287" spans="1:26" x14ac:dyDescent="0.2">
      <c r="A287" s="3">
        <v>559</v>
      </c>
      <c r="B287" s="3">
        <v>7206</v>
      </c>
      <c r="C287" s="3" t="s">
        <v>1336</v>
      </c>
      <c r="D287" s="3" t="s">
        <v>1337</v>
      </c>
      <c r="E287" s="3" t="s">
        <v>1338</v>
      </c>
      <c r="F287" s="3" t="s">
        <v>225</v>
      </c>
      <c r="G287" s="3" t="s">
        <v>61</v>
      </c>
      <c r="H287" s="3" t="s">
        <v>314</v>
      </c>
      <c r="I287" s="3" t="s">
        <v>1150</v>
      </c>
      <c r="J287" s="3" t="s">
        <v>1339</v>
      </c>
      <c r="K287" s="3" t="s">
        <v>101</v>
      </c>
      <c r="L287" s="3" t="s">
        <v>1217</v>
      </c>
      <c r="M287" s="137">
        <v>10.71</v>
      </c>
      <c r="N287" s="3" t="s">
        <v>1340</v>
      </c>
      <c r="O287" s="142">
        <v>4.3749999999999997E-2</v>
      </c>
      <c r="P287" s="138">
        <v>4.6359999999999998E-2</v>
      </c>
      <c r="R287" s="137">
        <v>30000</v>
      </c>
      <c r="S287" s="139">
        <v>3.3719999999999999</v>
      </c>
      <c r="T287" s="140">
        <v>98.578000000000003</v>
      </c>
      <c r="U287" s="137">
        <v>99.721999999999994</v>
      </c>
      <c r="W287" s="3" t="s">
        <v>17</v>
      </c>
      <c r="X287" s="138">
        <v>9.9999999999999995E-7</v>
      </c>
      <c r="Y287" s="138">
        <v>2.80219705352611E-3</v>
      </c>
      <c r="Z287" s="138">
        <v>1.1423639503575899E-3</v>
      </c>
    </row>
    <row r="288" spans="1:26" x14ac:dyDescent="0.2">
      <c r="A288" s="3">
        <v>559</v>
      </c>
      <c r="B288" s="3">
        <v>7206</v>
      </c>
      <c r="C288" s="3" t="s">
        <v>1341</v>
      </c>
      <c r="D288" s="3" t="s">
        <v>1342</v>
      </c>
      <c r="E288" s="3" t="s">
        <v>1343</v>
      </c>
      <c r="F288" s="3" t="s">
        <v>225</v>
      </c>
      <c r="G288" s="3" t="s">
        <v>61</v>
      </c>
      <c r="H288" s="3" t="s">
        <v>314</v>
      </c>
      <c r="I288" s="3" t="s">
        <v>1150</v>
      </c>
      <c r="J288" s="3" t="s">
        <v>1339</v>
      </c>
      <c r="K288" s="3" t="s">
        <v>101</v>
      </c>
      <c r="L288" s="3" t="s">
        <v>1217</v>
      </c>
      <c r="M288" s="137">
        <v>14.308999999999999</v>
      </c>
      <c r="N288" s="3" t="s">
        <v>1344</v>
      </c>
      <c r="O288" s="142">
        <v>0.03</v>
      </c>
      <c r="P288" s="138">
        <v>4.87E-2</v>
      </c>
      <c r="Q288" s="137">
        <v>1.099</v>
      </c>
      <c r="R288" s="137">
        <v>0</v>
      </c>
      <c r="S288" s="139">
        <v>3.3719999999999999</v>
      </c>
      <c r="T288" s="140">
        <v>0</v>
      </c>
      <c r="U288" s="137">
        <v>3.706</v>
      </c>
      <c r="W288" s="3" t="s">
        <v>17</v>
      </c>
      <c r="X288" s="138">
        <v>0</v>
      </c>
      <c r="Y288" s="138">
        <v>1.04134484259617E-4</v>
      </c>
      <c r="Z288" s="138">
        <v>4.2452218218406398E-5</v>
      </c>
    </row>
    <row r="289" spans="1:26" x14ac:dyDescent="0.2">
      <c r="A289" s="3">
        <v>559</v>
      </c>
      <c r="B289" s="3">
        <v>7206</v>
      </c>
      <c r="C289" s="3" t="s">
        <v>1345</v>
      </c>
      <c r="D289" s="3" t="s">
        <v>1346</v>
      </c>
      <c r="E289" s="3" t="s">
        <v>1347</v>
      </c>
      <c r="F289" s="3" t="s">
        <v>225</v>
      </c>
      <c r="G289" s="3" t="s">
        <v>61</v>
      </c>
      <c r="H289" s="3" t="s">
        <v>314</v>
      </c>
      <c r="I289" s="3" t="s">
        <v>1150</v>
      </c>
      <c r="J289" s="3" t="s">
        <v>1339</v>
      </c>
      <c r="K289" s="3" t="s">
        <v>101</v>
      </c>
      <c r="L289" s="3" t="s">
        <v>1217</v>
      </c>
      <c r="M289" s="137">
        <v>9.8000000000000004E-2</v>
      </c>
      <c r="N289" s="3" t="s">
        <v>1348</v>
      </c>
      <c r="O289" s="142">
        <v>0</v>
      </c>
      <c r="P289" s="138">
        <v>4.3479999999999998E-2</v>
      </c>
      <c r="R289" s="137">
        <v>20000</v>
      </c>
      <c r="S289" s="139">
        <v>3.3719999999999999</v>
      </c>
      <c r="T289" s="140">
        <v>99.596999999999994</v>
      </c>
      <c r="U289" s="137">
        <v>67.168000000000006</v>
      </c>
      <c r="W289" s="3" t="s">
        <v>17</v>
      </c>
      <c r="X289" s="138">
        <v>0</v>
      </c>
      <c r="Y289" s="138">
        <v>1.8874426675712E-3</v>
      </c>
      <c r="Z289" s="138">
        <v>7.6944855076730996E-4</v>
      </c>
    </row>
    <row r="290" spans="1:26" x14ac:dyDescent="0.2">
      <c r="A290" s="3">
        <v>559</v>
      </c>
      <c r="B290" s="3">
        <v>7206</v>
      </c>
      <c r="C290" s="3" t="s">
        <v>1345</v>
      </c>
      <c r="D290" s="3" t="s">
        <v>1349</v>
      </c>
      <c r="E290" s="3" t="s">
        <v>1350</v>
      </c>
      <c r="F290" s="3" t="s">
        <v>225</v>
      </c>
      <c r="G290" s="3" t="s">
        <v>61</v>
      </c>
      <c r="H290" s="3" t="s">
        <v>314</v>
      </c>
      <c r="I290" s="3" t="s">
        <v>1150</v>
      </c>
      <c r="J290" s="3" t="s">
        <v>1339</v>
      </c>
      <c r="K290" s="3" t="s">
        <v>101</v>
      </c>
      <c r="L290" s="3" t="s">
        <v>1217</v>
      </c>
      <c r="M290" s="137">
        <v>0.219</v>
      </c>
      <c r="N290" s="3" t="s">
        <v>1351</v>
      </c>
      <c r="O290" s="142">
        <v>0</v>
      </c>
      <c r="P290" s="138">
        <v>4.3040000000000002E-2</v>
      </c>
      <c r="R290" s="137">
        <v>30000</v>
      </c>
      <c r="S290" s="139">
        <v>3.3719999999999999</v>
      </c>
      <c r="T290" s="140">
        <v>99.084999999999994</v>
      </c>
      <c r="U290" s="137">
        <v>100.23399999999999</v>
      </c>
      <c r="W290" s="3" t="s">
        <v>17</v>
      </c>
      <c r="X290" s="138">
        <v>0</v>
      </c>
      <c r="Y290" s="138">
        <v>2.8165927617326298E-3</v>
      </c>
      <c r="Z290" s="138">
        <v>1.1482326090496301E-3</v>
      </c>
    </row>
    <row r="291" spans="1:26" x14ac:dyDescent="0.2">
      <c r="A291" s="3">
        <v>559</v>
      </c>
      <c r="B291" s="3">
        <v>7206</v>
      </c>
      <c r="C291" s="3" t="s">
        <v>1352</v>
      </c>
      <c r="D291" s="3" t="s">
        <v>1353</v>
      </c>
      <c r="E291" s="3" t="s">
        <v>1354</v>
      </c>
      <c r="F291" s="3" t="s">
        <v>225</v>
      </c>
      <c r="G291" s="3" t="s">
        <v>61</v>
      </c>
      <c r="H291" s="3" t="s">
        <v>53</v>
      </c>
      <c r="I291" s="3" t="s">
        <v>102</v>
      </c>
      <c r="J291" s="3" t="s">
        <v>1355</v>
      </c>
      <c r="K291" s="3" t="s">
        <v>84</v>
      </c>
      <c r="L291" s="3" t="s">
        <v>1215</v>
      </c>
      <c r="M291" s="137">
        <v>1.282</v>
      </c>
      <c r="N291" s="3" t="s">
        <v>1356</v>
      </c>
      <c r="O291" s="142">
        <v>0.05</v>
      </c>
      <c r="P291" s="138">
        <v>2.9190000000000001E-2</v>
      </c>
      <c r="R291" s="137">
        <v>15000</v>
      </c>
      <c r="S291" s="139">
        <v>3.9552</v>
      </c>
      <c r="T291" s="140">
        <v>105.91</v>
      </c>
      <c r="U291" s="137">
        <v>62.835000000000001</v>
      </c>
      <c r="W291" s="3" t="s">
        <v>17</v>
      </c>
      <c r="X291" s="138">
        <v>7.9999999999999996E-6</v>
      </c>
      <c r="Y291" s="138">
        <v>1.7656619835855101E-3</v>
      </c>
      <c r="Z291" s="138">
        <v>7.1980255493697503E-4</v>
      </c>
    </row>
    <row r="292" spans="1:26" x14ac:dyDescent="0.2">
      <c r="A292" s="3">
        <v>559</v>
      </c>
      <c r="B292" s="3">
        <v>7206</v>
      </c>
      <c r="C292" s="3" t="s">
        <v>1352</v>
      </c>
      <c r="D292" s="3" t="s">
        <v>1357</v>
      </c>
      <c r="E292" s="3" t="s">
        <v>1358</v>
      </c>
      <c r="F292" s="3" t="s">
        <v>225</v>
      </c>
      <c r="G292" s="3" t="s">
        <v>61</v>
      </c>
      <c r="H292" s="3" t="s">
        <v>53</v>
      </c>
      <c r="I292" s="3" t="s">
        <v>102</v>
      </c>
      <c r="J292" s="3" t="s">
        <v>1355</v>
      </c>
      <c r="K292" s="3" t="s">
        <v>84</v>
      </c>
      <c r="L292" s="3" t="s">
        <v>1217</v>
      </c>
      <c r="M292" s="137">
        <v>7.4349999999999996</v>
      </c>
      <c r="N292" s="3" t="s">
        <v>1359</v>
      </c>
      <c r="O292" s="142">
        <v>5.6250000000000001E-2</v>
      </c>
      <c r="P292" s="138">
        <v>5.4850000000000003E-2</v>
      </c>
      <c r="R292" s="137">
        <v>12000</v>
      </c>
      <c r="S292" s="139">
        <v>3.3719999999999999</v>
      </c>
      <c r="T292" s="140">
        <v>103.77</v>
      </c>
      <c r="U292" s="137">
        <v>41.99</v>
      </c>
      <c r="W292" s="3" t="s">
        <v>17</v>
      </c>
      <c r="X292" s="138">
        <v>5.0000000000000004E-6</v>
      </c>
      <c r="Y292" s="138">
        <v>1.1799150828007E-3</v>
      </c>
      <c r="Z292" s="138">
        <v>4.8101273012852698E-4</v>
      </c>
    </row>
    <row r="293" spans="1:26" x14ac:dyDescent="0.2">
      <c r="A293" s="3">
        <v>559</v>
      </c>
      <c r="B293" s="3">
        <v>7206</v>
      </c>
      <c r="C293" s="3" t="s">
        <v>1352</v>
      </c>
      <c r="D293" s="3" t="s">
        <v>1360</v>
      </c>
      <c r="E293" s="3" t="s">
        <v>1361</v>
      </c>
      <c r="F293" s="3" t="s">
        <v>225</v>
      </c>
      <c r="G293" s="3" t="s">
        <v>61</v>
      </c>
      <c r="H293" s="3" t="s">
        <v>53</v>
      </c>
      <c r="I293" s="3" t="s">
        <v>102</v>
      </c>
      <c r="J293" s="3" t="s">
        <v>1355</v>
      </c>
      <c r="K293" s="3" t="s">
        <v>84</v>
      </c>
      <c r="L293" s="3" t="s">
        <v>1217</v>
      </c>
      <c r="M293" s="137">
        <v>3.3530000000000002</v>
      </c>
      <c r="N293" s="3" t="s">
        <v>1362</v>
      </c>
      <c r="O293" s="142">
        <v>5.3749999999999999E-2</v>
      </c>
      <c r="P293" s="138">
        <v>4.9230000000000003E-2</v>
      </c>
      <c r="R293" s="137">
        <v>20000</v>
      </c>
      <c r="S293" s="139">
        <v>3.3719999999999999</v>
      </c>
      <c r="T293" s="140">
        <v>103.26600000000001</v>
      </c>
      <c r="U293" s="137">
        <v>69.641999999999996</v>
      </c>
      <c r="W293" s="3" t="s">
        <v>17</v>
      </c>
      <c r="X293" s="138">
        <v>1.0000000000000001E-5</v>
      </c>
      <c r="Y293" s="138">
        <v>1.9569597417203799E-3</v>
      </c>
      <c r="Z293" s="138">
        <v>7.9778838480661801E-4</v>
      </c>
    </row>
    <row r="294" spans="1:26" x14ac:dyDescent="0.2">
      <c r="A294" s="3">
        <v>559</v>
      </c>
      <c r="B294" s="3">
        <v>7206</v>
      </c>
      <c r="C294" s="3" t="s">
        <v>1352</v>
      </c>
      <c r="D294" s="3" t="s">
        <v>1363</v>
      </c>
      <c r="E294" s="3" t="s">
        <v>1364</v>
      </c>
      <c r="F294" s="3" t="s">
        <v>225</v>
      </c>
      <c r="G294" s="3" t="s">
        <v>61</v>
      </c>
      <c r="H294" s="3" t="s">
        <v>53</v>
      </c>
      <c r="I294" s="3" t="s">
        <v>102</v>
      </c>
      <c r="J294" s="3" t="s">
        <v>1355</v>
      </c>
      <c r="K294" s="3" t="s">
        <v>84</v>
      </c>
      <c r="L294" s="3" t="s">
        <v>1217</v>
      </c>
      <c r="M294" s="137">
        <v>6.9240000000000004</v>
      </c>
      <c r="N294" s="3" t="s">
        <v>1365</v>
      </c>
      <c r="O294" s="142">
        <v>5.5E-2</v>
      </c>
      <c r="P294" s="138">
        <v>5.425E-2</v>
      </c>
      <c r="R294" s="137">
        <v>20000</v>
      </c>
      <c r="S294" s="139">
        <v>3.3719999999999999</v>
      </c>
      <c r="T294" s="140">
        <v>102.574</v>
      </c>
      <c r="U294" s="137">
        <v>69.176000000000002</v>
      </c>
      <c r="W294" s="3" t="s">
        <v>17</v>
      </c>
      <c r="X294" s="138">
        <v>6.9999999999999999E-6</v>
      </c>
      <c r="Y294" s="138">
        <v>1.94385529094641E-3</v>
      </c>
      <c r="Z294" s="138">
        <v>7.9244612947358098E-4</v>
      </c>
    </row>
    <row r="295" spans="1:26" x14ac:dyDescent="0.2">
      <c r="A295" s="3">
        <v>559</v>
      </c>
      <c r="B295" s="3">
        <v>7206</v>
      </c>
      <c r="C295" s="3" t="s">
        <v>1352</v>
      </c>
      <c r="D295" s="3" t="s">
        <v>1366</v>
      </c>
      <c r="E295" s="3" t="s">
        <v>1367</v>
      </c>
      <c r="F295" s="3" t="s">
        <v>225</v>
      </c>
      <c r="G295" s="3" t="s">
        <v>61</v>
      </c>
      <c r="H295" s="3" t="s">
        <v>53</v>
      </c>
      <c r="I295" s="3" t="s">
        <v>102</v>
      </c>
      <c r="J295" s="3" t="s">
        <v>1355</v>
      </c>
      <c r="K295" s="3" t="s">
        <v>84</v>
      </c>
      <c r="L295" s="3" t="s">
        <v>1217</v>
      </c>
      <c r="M295" s="137">
        <v>13.561999999999999</v>
      </c>
      <c r="N295" s="3" t="s">
        <v>1368</v>
      </c>
      <c r="O295" s="142">
        <v>5.7500000000000002E-2</v>
      </c>
      <c r="P295" s="138">
        <v>6.3950000000000007E-2</v>
      </c>
      <c r="R295" s="137">
        <v>25000</v>
      </c>
      <c r="S295" s="139">
        <v>3.3719999999999999</v>
      </c>
      <c r="T295" s="140">
        <v>94.016999999999996</v>
      </c>
      <c r="U295" s="137">
        <v>79.256</v>
      </c>
      <c r="W295" s="3" t="s">
        <v>17</v>
      </c>
      <c r="X295" s="138">
        <v>7.9999999999999996E-6</v>
      </c>
      <c r="Y295" s="138">
        <v>2.2271170434138899E-3</v>
      </c>
      <c r="Z295" s="138">
        <v>9.0792266747320998E-4</v>
      </c>
    </row>
    <row r="296" spans="1:26" x14ac:dyDescent="0.2">
      <c r="A296" s="3">
        <v>559</v>
      </c>
      <c r="B296" s="3">
        <v>7206</v>
      </c>
      <c r="C296" s="3" t="s">
        <v>1369</v>
      </c>
      <c r="D296" s="3" t="s">
        <v>1370</v>
      </c>
      <c r="E296" s="3" t="s">
        <v>1371</v>
      </c>
      <c r="F296" s="3" t="s">
        <v>225</v>
      </c>
      <c r="G296" s="3" t="s">
        <v>61</v>
      </c>
      <c r="H296" s="3" t="s">
        <v>53</v>
      </c>
      <c r="I296" s="3" t="s">
        <v>102</v>
      </c>
      <c r="J296" s="3" t="s">
        <v>1355</v>
      </c>
      <c r="K296" s="3" t="s">
        <v>84</v>
      </c>
      <c r="L296" s="3" t="s">
        <v>1215</v>
      </c>
      <c r="M296" s="137">
        <v>1.5329999999999999</v>
      </c>
      <c r="N296" s="3" t="s">
        <v>1372</v>
      </c>
      <c r="O296" s="142">
        <v>1.4999999999999999E-2</v>
      </c>
      <c r="P296" s="138">
        <v>3.2050000000000002E-2</v>
      </c>
      <c r="R296" s="137">
        <v>60000</v>
      </c>
      <c r="S296" s="139">
        <v>3.9552</v>
      </c>
      <c r="T296" s="140">
        <v>98.015000000000001</v>
      </c>
      <c r="U296" s="137">
        <v>232.601</v>
      </c>
      <c r="W296" s="3" t="s">
        <v>17</v>
      </c>
      <c r="X296" s="138">
        <v>2.9E-5</v>
      </c>
      <c r="Y296" s="138">
        <v>6.5361304950626899E-3</v>
      </c>
      <c r="Z296" s="138">
        <v>2.6645663062834801E-3</v>
      </c>
    </row>
    <row r="297" spans="1:26" x14ac:dyDescent="0.2">
      <c r="A297" s="3">
        <v>559</v>
      </c>
      <c r="B297" s="3">
        <v>7206</v>
      </c>
      <c r="C297" s="3" t="s">
        <v>1341</v>
      </c>
      <c r="D297" s="3" t="s">
        <v>1373</v>
      </c>
      <c r="E297" s="3" t="s">
        <v>1374</v>
      </c>
      <c r="F297" s="3" t="s">
        <v>225</v>
      </c>
      <c r="G297" s="3" t="s">
        <v>61</v>
      </c>
      <c r="H297" s="3" t="s">
        <v>314</v>
      </c>
      <c r="I297" s="3" t="s">
        <v>1150</v>
      </c>
      <c r="J297" s="3" t="s">
        <v>1339</v>
      </c>
      <c r="K297" s="3" t="s">
        <v>101</v>
      </c>
      <c r="L297" s="3" t="s">
        <v>1217</v>
      </c>
      <c r="M297" s="137">
        <v>13.294</v>
      </c>
      <c r="N297" s="3" t="s">
        <v>1375</v>
      </c>
      <c r="O297" s="142">
        <v>1.125E-2</v>
      </c>
      <c r="P297" s="138">
        <v>4.7600000000000003E-2</v>
      </c>
      <c r="R297" s="137">
        <v>40000</v>
      </c>
      <c r="S297" s="139">
        <v>3.3719999999999999</v>
      </c>
      <c r="T297" s="140">
        <v>62.279000000000003</v>
      </c>
      <c r="U297" s="137">
        <v>84.001999999999995</v>
      </c>
      <c r="W297" s="3" t="s">
        <v>17</v>
      </c>
      <c r="X297" s="138">
        <v>9.9999999999999995E-7</v>
      </c>
      <c r="Y297" s="138">
        <v>2.3604801293041098E-3</v>
      </c>
      <c r="Z297" s="138">
        <v>9.6229042916852903E-4</v>
      </c>
    </row>
    <row r="298" spans="1:26" x14ac:dyDescent="0.2">
      <c r="A298" s="3">
        <v>559</v>
      </c>
      <c r="B298" s="3">
        <v>7206</v>
      </c>
      <c r="C298" s="3" t="s">
        <v>1341</v>
      </c>
      <c r="D298" s="3" t="s">
        <v>1376</v>
      </c>
      <c r="E298" s="3" t="s">
        <v>1377</v>
      </c>
      <c r="F298" s="3" t="s">
        <v>225</v>
      </c>
      <c r="G298" s="3" t="s">
        <v>61</v>
      </c>
      <c r="H298" s="3" t="s">
        <v>314</v>
      </c>
      <c r="I298" s="3" t="s">
        <v>1150</v>
      </c>
      <c r="J298" s="3" t="s">
        <v>1339</v>
      </c>
      <c r="K298" s="3" t="s">
        <v>101</v>
      </c>
      <c r="L298" s="3" t="s">
        <v>1217</v>
      </c>
      <c r="M298" s="137">
        <v>13.420999999999999</v>
      </c>
      <c r="N298" s="3" t="s">
        <v>1378</v>
      </c>
      <c r="O298" s="142">
        <v>1.125E-2</v>
      </c>
      <c r="P298" s="138">
        <v>4.786E-2</v>
      </c>
      <c r="R298" s="137">
        <v>68000</v>
      </c>
      <c r="S298" s="139">
        <v>3.3719999999999999</v>
      </c>
      <c r="T298" s="140">
        <v>61.932000000000002</v>
      </c>
      <c r="U298" s="137">
        <v>142.00700000000001</v>
      </c>
      <c r="W298" s="3" t="s">
        <v>17</v>
      </c>
      <c r="X298" s="138">
        <v>9.9999999999999995E-7</v>
      </c>
      <c r="Y298" s="138">
        <v>3.99041926844878E-3</v>
      </c>
      <c r="Z298" s="138">
        <v>1.6267632261450101E-3</v>
      </c>
    </row>
    <row r="299" spans="1:26" x14ac:dyDescent="0.2">
      <c r="A299" s="3">
        <v>559</v>
      </c>
      <c r="B299" s="3">
        <v>7206</v>
      </c>
      <c r="C299" s="3" t="s">
        <v>1341</v>
      </c>
      <c r="D299" s="3" t="s">
        <v>1379</v>
      </c>
      <c r="E299" s="3" t="s">
        <v>1380</v>
      </c>
      <c r="F299" s="3" t="s">
        <v>225</v>
      </c>
      <c r="G299" s="3" t="s">
        <v>61</v>
      </c>
      <c r="H299" s="3" t="s">
        <v>314</v>
      </c>
      <c r="I299" s="3" t="s">
        <v>1150</v>
      </c>
      <c r="J299" s="3" t="s">
        <v>1339</v>
      </c>
      <c r="K299" s="3" t="s">
        <v>101</v>
      </c>
      <c r="L299" s="3" t="s">
        <v>1217</v>
      </c>
      <c r="M299" s="137">
        <v>5.5910000000000002</v>
      </c>
      <c r="N299" s="3" t="s">
        <v>1381</v>
      </c>
      <c r="O299" s="142">
        <v>1.6250000000000001E-2</v>
      </c>
      <c r="P299" s="138">
        <v>3.9399999999999998E-2</v>
      </c>
      <c r="R299" s="137">
        <v>12000</v>
      </c>
      <c r="S299" s="139">
        <v>3.3719999999999999</v>
      </c>
      <c r="T299" s="140">
        <v>88.349000000000004</v>
      </c>
      <c r="U299" s="137">
        <v>35.749000000000002</v>
      </c>
      <c r="W299" s="3" t="s">
        <v>17</v>
      </c>
      <c r="X299" s="138">
        <v>0</v>
      </c>
      <c r="Y299" s="138">
        <v>1.0045655071875201E-3</v>
      </c>
      <c r="Z299" s="138">
        <v>4.0952845187659499E-4</v>
      </c>
    </row>
    <row r="300" spans="1:26" x14ac:dyDescent="0.2">
      <c r="A300" s="3">
        <v>559</v>
      </c>
      <c r="B300" s="3">
        <v>7206</v>
      </c>
      <c r="C300" s="3" t="s">
        <v>1336</v>
      </c>
      <c r="D300" s="3" t="s">
        <v>1382</v>
      </c>
      <c r="E300" s="3" t="s">
        <v>1383</v>
      </c>
      <c r="F300" s="3" t="s">
        <v>225</v>
      </c>
      <c r="G300" s="3" t="s">
        <v>61</v>
      </c>
      <c r="H300" s="3" t="s">
        <v>314</v>
      </c>
      <c r="I300" s="3" t="s">
        <v>1150</v>
      </c>
      <c r="J300" s="3" t="s">
        <v>1339</v>
      </c>
      <c r="K300" s="3" t="s">
        <v>101</v>
      </c>
      <c r="L300" s="3" t="s">
        <v>1217</v>
      </c>
      <c r="M300" s="137">
        <v>14.478999999999999</v>
      </c>
      <c r="N300" s="3" t="s">
        <v>1384</v>
      </c>
      <c r="O300" s="142">
        <v>2.5000000000000001E-2</v>
      </c>
      <c r="P300" s="138">
        <v>4.9209999999999997E-2</v>
      </c>
      <c r="R300" s="137">
        <v>15000</v>
      </c>
      <c r="S300" s="139">
        <v>3.3719999999999999</v>
      </c>
      <c r="T300" s="140">
        <v>71.421999999999997</v>
      </c>
      <c r="U300" s="137">
        <v>36.125</v>
      </c>
      <c r="W300" s="3" t="s">
        <v>17</v>
      </c>
      <c r="X300" s="138">
        <v>0</v>
      </c>
      <c r="Y300" s="138">
        <v>1.01512448235746E-3</v>
      </c>
      <c r="Z300" s="138">
        <v>4.13833000185104E-4</v>
      </c>
    </row>
    <row r="301" spans="1:26" x14ac:dyDescent="0.2">
      <c r="A301" s="3">
        <v>559</v>
      </c>
      <c r="B301" s="3">
        <v>7206</v>
      </c>
      <c r="C301" s="3" t="s">
        <v>1341</v>
      </c>
      <c r="D301" s="3" t="s">
        <v>1385</v>
      </c>
      <c r="E301" s="3" t="s">
        <v>1386</v>
      </c>
      <c r="F301" s="3" t="s">
        <v>225</v>
      </c>
      <c r="G301" s="3" t="s">
        <v>61</v>
      </c>
      <c r="H301" s="3" t="s">
        <v>314</v>
      </c>
      <c r="I301" s="3" t="s">
        <v>1150</v>
      </c>
      <c r="J301" s="3" t="s">
        <v>1339</v>
      </c>
      <c r="K301" s="3" t="s">
        <v>101</v>
      </c>
      <c r="L301" s="3" t="s">
        <v>1217</v>
      </c>
      <c r="M301" s="137">
        <v>13.372999999999999</v>
      </c>
      <c r="N301" s="3" t="s">
        <v>1387</v>
      </c>
      <c r="O301" s="142">
        <v>0.02</v>
      </c>
      <c r="P301" s="138">
        <v>4.8379999999999999E-2</v>
      </c>
      <c r="R301" s="137">
        <v>113000</v>
      </c>
      <c r="S301" s="139">
        <v>3.3719999999999999</v>
      </c>
      <c r="T301" s="140">
        <v>69.028000000000006</v>
      </c>
      <c r="U301" s="137">
        <v>263.02100000000002</v>
      </c>
      <c r="W301" s="3" t="s">
        <v>17</v>
      </c>
      <c r="X301" s="138">
        <v>1.9999999999999999E-6</v>
      </c>
      <c r="Y301" s="138">
        <v>7.3909385773825104E-3</v>
      </c>
      <c r="Z301" s="138">
        <v>3.0130435614742499E-3</v>
      </c>
    </row>
    <row r="302" spans="1:26" x14ac:dyDescent="0.2">
      <c r="A302" s="3">
        <v>559</v>
      </c>
      <c r="B302" s="3">
        <v>7206</v>
      </c>
      <c r="C302" s="3" t="s">
        <v>1341</v>
      </c>
      <c r="D302" s="3" t="s">
        <v>1388</v>
      </c>
      <c r="E302" s="3" t="s">
        <v>1389</v>
      </c>
      <c r="F302" s="3" t="s">
        <v>225</v>
      </c>
      <c r="G302" s="3" t="s">
        <v>61</v>
      </c>
      <c r="H302" s="3" t="s">
        <v>314</v>
      </c>
      <c r="I302" s="3" t="s">
        <v>1150</v>
      </c>
      <c r="J302" s="3" t="s">
        <v>1339</v>
      </c>
      <c r="K302" s="3" t="s">
        <v>101</v>
      </c>
      <c r="L302" s="3" t="s">
        <v>1217</v>
      </c>
      <c r="M302" s="137">
        <v>13.058</v>
      </c>
      <c r="N302" s="3" t="s">
        <v>1390</v>
      </c>
      <c r="O302" s="142">
        <v>2.375E-2</v>
      </c>
      <c r="P302" s="138">
        <v>4.8370000000000003E-2</v>
      </c>
      <c r="R302" s="137">
        <v>20000</v>
      </c>
      <c r="S302" s="139">
        <v>3.3719999999999999</v>
      </c>
      <c r="T302" s="140">
        <v>73.644000000000005</v>
      </c>
      <c r="U302" s="137">
        <v>49.665999999999997</v>
      </c>
      <c r="W302" s="3" t="s">
        <v>17</v>
      </c>
      <c r="X302" s="138">
        <v>0</v>
      </c>
      <c r="Y302" s="138">
        <v>1.39561025865143E-3</v>
      </c>
      <c r="Z302" s="138">
        <v>5.6894458804260901E-4</v>
      </c>
    </row>
    <row r="303" spans="1:26" x14ac:dyDescent="0.2">
      <c r="A303" s="3">
        <v>559</v>
      </c>
      <c r="B303" s="3">
        <v>7206</v>
      </c>
      <c r="C303" s="3" t="s">
        <v>1345</v>
      </c>
      <c r="D303" s="3" t="s">
        <v>1391</v>
      </c>
      <c r="E303" s="3" t="s">
        <v>1392</v>
      </c>
      <c r="F303" s="3" t="s">
        <v>225</v>
      </c>
      <c r="G303" s="3" t="s">
        <v>61</v>
      </c>
      <c r="H303" s="3" t="s">
        <v>314</v>
      </c>
      <c r="I303" s="3" t="s">
        <v>1150</v>
      </c>
      <c r="J303" s="3" t="s">
        <v>1339</v>
      </c>
      <c r="K303" s="3" t="s">
        <v>101</v>
      </c>
      <c r="L303" s="3" t="s">
        <v>1217</v>
      </c>
      <c r="M303" s="137">
        <v>12.6</v>
      </c>
      <c r="N303" s="3" t="s">
        <v>1393</v>
      </c>
      <c r="O303" s="142">
        <v>3.2500000000000001E-2</v>
      </c>
      <c r="P303" s="138">
        <v>4.8129999999999999E-2</v>
      </c>
      <c r="R303" s="137">
        <v>20000</v>
      </c>
      <c r="S303" s="139">
        <v>3.3719999999999999</v>
      </c>
      <c r="T303" s="140">
        <v>83.174999999999997</v>
      </c>
      <c r="U303" s="137">
        <v>56.093000000000004</v>
      </c>
      <c r="W303" s="3" t="s">
        <v>17</v>
      </c>
      <c r="X303" s="138">
        <v>0</v>
      </c>
      <c r="Y303" s="138">
        <v>1.57623307283637E-3</v>
      </c>
      <c r="Z303" s="138">
        <v>6.42578592930797E-4</v>
      </c>
    </row>
    <row r="304" spans="1:26" x14ac:dyDescent="0.2">
      <c r="A304" s="3">
        <v>559</v>
      </c>
      <c r="B304" s="3">
        <v>7206</v>
      </c>
      <c r="C304" s="3" t="s">
        <v>1341</v>
      </c>
      <c r="D304" s="3" t="s">
        <v>1394</v>
      </c>
      <c r="E304" s="3" t="s">
        <v>1395</v>
      </c>
      <c r="F304" s="3" t="s">
        <v>225</v>
      </c>
      <c r="G304" s="3" t="s">
        <v>61</v>
      </c>
      <c r="H304" s="3" t="s">
        <v>314</v>
      </c>
      <c r="I304" s="3" t="s">
        <v>1150</v>
      </c>
      <c r="J304" s="3" t="s">
        <v>1339</v>
      </c>
      <c r="K304" s="3" t="s">
        <v>101</v>
      </c>
      <c r="L304" s="3" t="s">
        <v>1217</v>
      </c>
      <c r="M304" s="137">
        <v>13.45</v>
      </c>
      <c r="N304" s="3" t="s">
        <v>1396</v>
      </c>
      <c r="O304" s="142">
        <v>3.3750000000000002E-2</v>
      </c>
      <c r="P304" s="138">
        <v>4.8820000000000002E-2</v>
      </c>
      <c r="R304" s="137">
        <v>30000</v>
      </c>
      <c r="S304" s="139">
        <v>3.3719999999999999</v>
      </c>
      <c r="T304" s="140">
        <v>82.712999999999994</v>
      </c>
      <c r="U304" s="137">
        <v>83.671999999999997</v>
      </c>
      <c r="W304" s="3" t="s">
        <v>17</v>
      </c>
      <c r="X304" s="138">
        <v>9.9999999999999995E-7</v>
      </c>
      <c r="Y304" s="138">
        <v>2.3512112460949601E-3</v>
      </c>
      <c r="Z304" s="138">
        <v>9.58511809094368E-4</v>
      </c>
    </row>
    <row r="305" spans="1:26" x14ac:dyDescent="0.2">
      <c r="A305" s="3">
        <v>559</v>
      </c>
      <c r="B305" s="3">
        <v>7206</v>
      </c>
      <c r="C305" s="3" t="s">
        <v>1341</v>
      </c>
      <c r="D305" s="3" t="s">
        <v>1397</v>
      </c>
      <c r="E305" s="3" t="s">
        <v>1398</v>
      </c>
      <c r="F305" s="3" t="s">
        <v>225</v>
      </c>
      <c r="G305" s="3" t="s">
        <v>61</v>
      </c>
      <c r="H305" s="3" t="s">
        <v>314</v>
      </c>
      <c r="I305" s="3" t="s">
        <v>1150</v>
      </c>
      <c r="J305" s="3" t="s">
        <v>1339</v>
      </c>
      <c r="K305" s="3" t="s">
        <v>101</v>
      </c>
      <c r="L305" s="3" t="s">
        <v>1217</v>
      </c>
      <c r="M305" s="137">
        <v>10.622</v>
      </c>
      <c r="N305" s="3" t="s">
        <v>1399</v>
      </c>
      <c r="O305" s="142">
        <v>3.5000000000000003E-2</v>
      </c>
      <c r="P305" s="138">
        <v>4.5350000000000001E-2</v>
      </c>
      <c r="R305" s="137">
        <v>35000</v>
      </c>
      <c r="S305" s="139">
        <v>3.3719999999999999</v>
      </c>
      <c r="T305" s="140">
        <v>91.56</v>
      </c>
      <c r="U305" s="137">
        <v>108.059</v>
      </c>
      <c r="W305" s="3" t="s">
        <v>17</v>
      </c>
      <c r="X305" s="138">
        <v>9.9999999999999995E-7</v>
      </c>
      <c r="Y305" s="138">
        <v>3.0364843276250299E-3</v>
      </c>
      <c r="Z305" s="138">
        <v>1.2378751977273499E-3</v>
      </c>
    </row>
    <row r="306" spans="1:26" x14ac:dyDescent="0.2">
      <c r="A306" s="3">
        <v>559</v>
      </c>
      <c r="B306" s="3">
        <v>7206</v>
      </c>
      <c r="C306" s="3" t="s">
        <v>1341</v>
      </c>
      <c r="D306" s="3" t="s">
        <v>1400</v>
      </c>
      <c r="E306" s="3" t="s">
        <v>1401</v>
      </c>
      <c r="F306" s="3" t="s">
        <v>225</v>
      </c>
      <c r="G306" s="3" t="s">
        <v>61</v>
      </c>
      <c r="H306" s="3" t="s">
        <v>314</v>
      </c>
      <c r="I306" s="3" t="s">
        <v>1150</v>
      </c>
      <c r="J306" s="3" t="s">
        <v>1339</v>
      </c>
      <c r="K306" s="3" t="s">
        <v>101</v>
      </c>
      <c r="L306" s="3" t="s">
        <v>1217</v>
      </c>
      <c r="M306" s="137">
        <v>13.016999999999999</v>
      </c>
      <c r="N306" s="3" t="s">
        <v>1402</v>
      </c>
      <c r="O306" s="142">
        <v>3.6249999999999998E-2</v>
      </c>
      <c r="P306" s="138">
        <v>4.8680000000000001E-2</v>
      </c>
      <c r="R306" s="137">
        <v>40000</v>
      </c>
      <c r="S306" s="139">
        <v>3.3719999999999999</v>
      </c>
      <c r="T306" s="140">
        <v>86.997</v>
      </c>
      <c r="U306" s="137">
        <v>117.342</v>
      </c>
      <c r="W306" s="3" t="s">
        <v>17</v>
      </c>
      <c r="X306" s="138">
        <v>9.9999999999999995E-7</v>
      </c>
      <c r="Y306" s="138">
        <v>3.2973206220430701E-3</v>
      </c>
      <c r="Z306" s="138">
        <v>1.3442096110453099E-3</v>
      </c>
    </row>
    <row r="307" spans="1:26" x14ac:dyDescent="0.2">
      <c r="A307" s="3">
        <v>559</v>
      </c>
      <c r="B307" s="3">
        <v>7206</v>
      </c>
      <c r="C307" s="3" t="s">
        <v>1341</v>
      </c>
      <c r="D307" s="3" t="s">
        <v>1403</v>
      </c>
      <c r="E307" s="3" t="s">
        <v>1404</v>
      </c>
      <c r="F307" s="3" t="s">
        <v>225</v>
      </c>
      <c r="G307" s="3" t="s">
        <v>61</v>
      </c>
      <c r="H307" s="3" t="s">
        <v>314</v>
      </c>
      <c r="I307" s="3" t="s">
        <v>1150</v>
      </c>
      <c r="J307" s="3" t="s">
        <v>1339</v>
      </c>
      <c r="K307" s="3" t="s">
        <v>101</v>
      </c>
      <c r="L307" s="3" t="s">
        <v>1217</v>
      </c>
      <c r="M307" s="137">
        <v>6.9340000000000002</v>
      </c>
      <c r="N307" s="3" t="s">
        <v>1405</v>
      </c>
      <c r="O307" s="142">
        <v>3.875E-2</v>
      </c>
      <c r="P307" s="138">
        <v>4.147E-2</v>
      </c>
      <c r="R307" s="137">
        <v>30000</v>
      </c>
      <c r="S307" s="139">
        <v>3.3719999999999999</v>
      </c>
      <c r="T307" s="140">
        <v>99.938000000000002</v>
      </c>
      <c r="U307" s="137">
        <v>101.09699999999999</v>
      </c>
      <c r="W307" s="3" t="s">
        <v>17</v>
      </c>
      <c r="X307" s="138">
        <v>0</v>
      </c>
      <c r="Y307" s="138">
        <v>2.84083812762502E-3</v>
      </c>
      <c r="Z307" s="138">
        <v>1.15811665054623E-3</v>
      </c>
    </row>
    <row r="308" spans="1:26" x14ac:dyDescent="0.2">
      <c r="A308" s="3">
        <v>559</v>
      </c>
      <c r="B308" s="3">
        <v>7206</v>
      </c>
      <c r="C308" s="3" t="s">
        <v>1345</v>
      </c>
      <c r="D308" s="3" t="s">
        <v>1406</v>
      </c>
      <c r="E308" s="3" t="s">
        <v>1407</v>
      </c>
      <c r="F308" s="3" t="s">
        <v>225</v>
      </c>
      <c r="G308" s="3" t="s">
        <v>61</v>
      </c>
      <c r="H308" s="3" t="s">
        <v>314</v>
      </c>
      <c r="I308" s="3" t="s">
        <v>1150</v>
      </c>
      <c r="J308" s="3" t="s">
        <v>1339</v>
      </c>
      <c r="K308" s="3" t="s">
        <v>101</v>
      </c>
      <c r="L308" s="3" t="s">
        <v>1217</v>
      </c>
      <c r="M308" s="137">
        <v>7.7880000000000003</v>
      </c>
      <c r="N308" s="3" t="s">
        <v>1408</v>
      </c>
      <c r="O308" s="142">
        <v>4.2500000000000003E-2</v>
      </c>
      <c r="P308" s="138">
        <v>4.2590000000000003E-2</v>
      </c>
      <c r="R308" s="137">
        <v>132000</v>
      </c>
      <c r="S308" s="139">
        <v>3.3719999999999999</v>
      </c>
      <c r="T308" s="140">
        <v>100.864</v>
      </c>
      <c r="U308" s="137">
        <v>448.94799999999998</v>
      </c>
      <c r="W308" s="3" t="s">
        <v>17</v>
      </c>
      <c r="X308" s="138">
        <v>9.9999999999999995E-7</v>
      </c>
      <c r="Y308" s="138">
        <v>1.2615531172719701E-2</v>
      </c>
      <c r="Z308" s="138">
        <v>5.1429388265870702E-3</v>
      </c>
    </row>
    <row r="309" spans="1:26" x14ac:dyDescent="0.2">
      <c r="A309" s="3">
        <v>559</v>
      </c>
      <c r="B309" s="3">
        <v>7206</v>
      </c>
      <c r="C309" s="3" t="s">
        <v>1341</v>
      </c>
      <c r="D309" s="3" t="s">
        <v>1409</v>
      </c>
      <c r="E309" s="3" t="s">
        <v>1410</v>
      </c>
      <c r="F309" s="3" t="s">
        <v>225</v>
      </c>
      <c r="G309" s="3" t="s">
        <v>61</v>
      </c>
      <c r="H309" s="3" t="s">
        <v>314</v>
      </c>
      <c r="I309" s="3" t="s">
        <v>1150</v>
      </c>
      <c r="J309" s="3" t="s">
        <v>1339</v>
      </c>
      <c r="K309" s="3" t="s">
        <v>101</v>
      </c>
      <c r="L309" s="3" t="s">
        <v>1217</v>
      </c>
      <c r="M309" s="137">
        <v>0.19400000000000001</v>
      </c>
      <c r="N309" s="3" t="s">
        <v>1411</v>
      </c>
      <c r="O309" s="142">
        <v>0</v>
      </c>
      <c r="P309" s="138">
        <v>4.3150000000000001E-2</v>
      </c>
      <c r="R309" s="137">
        <v>30000</v>
      </c>
      <c r="S309" s="139">
        <v>3.3719999999999999</v>
      </c>
      <c r="T309" s="140">
        <v>99.188999999999993</v>
      </c>
      <c r="U309" s="137">
        <v>100.34</v>
      </c>
      <c r="W309" s="3" t="s">
        <v>17</v>
      </c>
      <c r="X309" s="138">
        <v>0</v>
      </c>
      <c r="Y309" s="138">
        <v>2.8195689786437699E-3</v>
      </c>
      <c r="Z309" s="138">
        <v>1.1494459151957701E-3</v>
      </c>
    </row>
    <row r="310" spans="1:26" x14ac:dyDescent="0.2">
      <c r="A310" s="3">
        <v>559</v>
      </c>
      <c r="B310" s="3">
        <v>7206</v>
      </c>
      <c r="C310" s="3" t="s">
        <v>1336</v>
      </c>
      <c r="D310" s="3" t="s">
        <v>1412</v>
      </c>
      <c r="E310" s="3" t="s">
        <v>1413</v>
      </c>
      <c r="F310" s="3" t="s">
        <v>225</v>
      </c>
      <c r="G310" s="3" t="s">
        <v>61</v>
      </c>
      <c r="H310" s="3" t="s">
        <v>314</v>
      </c>
      <c r="I310" s="3" t="s">
        <v>1150</v>
      </c>
      <c r="J310" s="3" t="s">
        <v>1339</v>
      </c>
      <c r="K310" s="3" t="s">
        <v>101</v>
      </c>
      <c r="L310" s="3" t="s">
        <v>1217</v>
      </c>
      <c r="M310" s="137">
        <v>0.41499999999999998</v>
      </c>
      <c r="N310" s="3" t="s">
        <v>1273</v>
      </c>
      <c r="O310" s="142">
        <v>3.7499999999999999E-3</v>
      </c>
      <c r="P310" s="138">
        <v>4.3389999999999998E-2</v>
      </c>
      <c r="R310" s="137">
        <v>50000</v>
      </c>
      <c r="S310" s="139">
        <v>3.3719999999999999</v>
      </c>
      <c r="T310" s="140">
        <v>98.397999999999996</v>
      </c>
      <c r="U310" s="137">
        <v>165.899</v>
      </c>
      <c r="W310" s="3" t="s">
        <v>17</v>
      </c>
      <c r="X310" s="138">
        <v>9.9999999999999995E-7</v>
      </c>
      <c r="Y310" s="138">
        <v>4.6617933317254197E-3</v>
      </c>
      <c r="Z310" s="138">
        <v>1.90046044031032E-3</v>
      </c>
    </row>
    <row r="311" spans="1:26" x14ac:dyDescent="0.2">
      <c r="A311" s="3">
        <v>559</v>
      </c>
      <c r="B311" s="3">
        <v>7206</v>
      </c>
      <c r="C311" s="3" t="s">
        <v>1414</v>
      </c>
      <c r="D311" s="3" t="s">
        <v>1415</v>
      </c>
      <c r="E311" s="3" t="s">
        <v>1416</v>
      </c>
      <c r="F311" s="3" t="s">
        <v>225</v>
      </c>
      <c r="G311" s="3" t="s">
        <v>61</v>
      </c>
      <c r="H311" s="3" t="s">
        <v>314</v>
      </c>
      <c r="I311" s="3" t="s">
        <v>1150</v>
      </c>
      <c r="J311" s="3" t="s">
        <v>1339</v>
      </c>
      <c r="K311" s="3" t="s">
        <v>101</v>
      </c>
      <c r="L311" s="3" t="s">
        <v>1217</v>
      </c>
      <c r="M311" s="137">
        <v>6.2350000000000003</v>
      </c>
      <c r="N311" s="3" t="s">
        <v>1417</v>
      </c>
      <c r="O311" s="142">
        <v>2.8750000000000001E-2</v>
      </c>
      <c r="P311" s="138">
        <v>4.0460000000000003E-2</v>
      </c>
      <c r="R311" s="137">
        <v>33000</v>
      </c>
      <c r="S311" s="139">
        <v>3.3719999999999999</v>
      </c>
      <c r="T311" s="140">
        <v>93.641000000000005</v>
      </c>
      <c r="U311" s="137">
        <v>104.2</v>
      </c>
      <c r="W311" s="3" t="s">
        <v>17</v>
      </c>
      <c r="X311" s="138">
        <v>0</v>
      </c>
      <c r="Y311" s="138">
        <v>2.92802728798487E-3</v>
      </c>
      <c r="Z311" s="138">
        <v>1.1936608152693E-3</v>
      </c>
    </row>
    <row r="312" spans="1:26" x14ac:dyDescent="0.2">
      <c r="A312" s="3">
        <v>559</v>
      </c>
      <c r="B312" s="3">
        <v>7206</v>
      </c>
      <c r="C312" s="3" t="s">
        <v>1341</v>
      </c>
      <c r="D312" s="3" t="s">
        <v>1418</v>
      </c>
      <c r="E312" s="3" t="s">
        <v>1419</v>
      </c>
      <c r="F312" s="3" t="s">
        <v>225</v>
      </c>
      <c r="G312" s="3" t="s">
        <v>61</v>
      </c>
      <c r="H312" s="3" t="s">
        <v>314</v>
      </c>
      <c r="I312" s="3" t="s">
        <v>1150</v>
      </c>
      <c r="J312" s="3" t="s">
        <v>1339</v>
      </c>
      <c r="K312" s="3" t="s">
        <v>101</v>
      </c>
      <c r="L312" s="3" t="s">
        <v>1217</v>
      </c>
      <c r="M312" s="137">
        <v>7.6379999999999999</v>
      </c>
      <c r="N312" s="3" t="s">
        <v>1420</v>
      </c>
      <c r="O312" s="142">
        <v>3.875E-2</v>
      </c>
      <c r="P312" s="138">
        <v>4.24E-2</v>
      </c>
      <c r="R312" s="137">
        <v>50000</v>
      </c>
      <c r="S312" s="139">
        <v>3.3719999999999999</v>
      </c>
      <c r="T312" s="140">
        <v>99.09</v>
      </c>
      <c r="U312" s="137">
        <v>167.065</v>
      </c>
      <c r="W312" s="3" t="s">
        <v>17</v>
      </c>
      <c r="X312" s="138">
        <v>0</v>
      </c>
      <c r="Y312" s="138">
        <v>4.6945543260050304E-3</v>
      </c>
      <c r="Z312" s="138">
        <v>1.9138160245636799E-3</v>
      </c>
    </row>
    <row r="313" spans="1:26" x14ac:dyDescent="0.2">
      <c r="A313" s="3">
        <v>559</v>
      </c>
      <c r="B313" s="3">
        <v>7206</v>
      </c>
      <c r="C313" s="3" t="s">
        <v>1341</v>
      </c>
      <c r="D313" s="3" t="s">
        <v>1421</v>
      </c>
      <c r="E313" s="3" t="s">
        <v>1422</v>
      </c>
      <c r="F313" s="3" t="s">
        <v>225</v>
      </c>
      <c r="G313" s="3" t="s">
        <v>61</v>
      </c>
      <c r="H313" s="3" t="s">
        <v>314</v>
      </c>
      <c r="I313" s="3" t="s">
        <v>1150</v>
      </c>
      <c r="J313" s="3" t="s">
        <v>1339</v>
      </c>
      <c r="K313" s="3" t="s">
        <v>101</v>
      </c>
      <c r="L313" s="3" t="s">
        <v>1217</v>
      </c>
      <c r="M313" s="137">
        <v>13.388</v>
      </c>
      <c r="N313" s="3" t="s">
        <v>1423</v>
      </c>
      <c r="O313" s="142">
        <v>2.8750000000000001E-2</v>
      </c>
      <c r="P313" s="138">
        <v>4.8660000000000002E-2</v>
      </c>
      <c r="R313" s="137">
        <v>25000</v>
      </c>
      <c r="S313" s="139">
        <v>3.3719999999999999</v>
      </c>
      <c r="T313" s="140">
        <v>77.483999999999995</v>
      </c>
      <c r="U313" s="137">
        <v>65.319000000000003</v>
      </c>
      <c r="W313" s="3" t="s">
        <v>17</v>
      </c>
      <c r="X313" s="138">
        <v>9.9999999999999995E-7</v>
      </c>
      <c r="Y313" s="138">
        <v>1.8354847804779599E-3</v>
      </c>
      <c r="Z313" s="138">
        <v>7.4826702212449998E-4</v>
      </c>
    </row>
    <row r="314" spans="1:26" x14ac:dyDescent="0.2">
      <c r="A314" s="3">
        <v>559</v>
      </c>
      <c r="B314" s="3">
        <v>7206</v>
      </c>
      <c r="C314" s="3" t="s">
        <v>1341</v>
      </c>
      <c r="D314" s="3" t="s">
        <v>1424</v>
      </c>
      <c r="E314" s="3" t="s">
        <v>1425</v>
      </c>
      <c r="F314" s="3" t="s">
        <v>225</v>
      </c>
      <c r="G314" s="3" t="s">
        <v>61</v>
      </c>
      <c r="H314" s="3" t="s">
        <v>314</v>
      </c>
      <c r="I314" s="3" t="s">
        <v>1150</v>
      </c>
      <c r="J314" s="3" t="s">
        <v>1339</v>
      </c>
      <c r="K314" s="3" t="s">
        <v>101</v>
      </c>
      <c r="L314" s="3" t="s">
        <v>1217</v>
      </c>
      <c r="M314" s="137">
        <v>0.17499999999999999</v>
      </c>
      <c r="N314" s="3" t="s">
        <v>1426</v>
      </c>
      <c r="O314" s="142">
        <v>0</v>
      </c>
      <c r="P314" s="138">
        <v>4.3729999999999998E-2</v>
      </c>
      <c r="R314" s="137">
        <v>30000</v>
      </c>
      <c r="S314" s="139">
        <v>3.3719999999999999</v>
      </c>
      <c r="T314" s="140">
        <v>99.263000000000005</v>
      </c>
      <c r="U314" s="137">
        <v>100.414</v>
      </c>
      <c r="W314" s="3" t="s">
        <v>17</v>
      </c>
      <c r="X314" s="138">
        <v>0</v>
      </c>
      <c r="Y314" s="138">
        <v>2.8216611425851299E-3</v>
      </c>
      <c r="Z314" s="138">
        <v>1.15029882190404E-3</v>
      </c>
    </row>
    <row r="315" spans="1:26" x14ac:dyDescent="0.2">
      <c r="A315" s="3">
        <v>559</v>
      </c>
      <c r="B315" s="3">
        <v>7206</v>
      </c>
      <c r="C315" s="3" t="s">
        <v>1341</v>
      </c>
      <c r="D315" s="3" t="s">
        <v>1427</v>
      </c>
      <c r="E315" s="3" t="s">
        <v>1428</v>
      </c>
      <c r="F315" s="3" t="s">
        <v>225</v>
      </c>
      <c r="G315" s="3" t="s">
        <v>61</v>
      </c>
      <c r="H315" s="3" t="s">
        <v>314</v>
      </c>
      <c r="I315" s="3" t="s">
        <v>1150</v>
      </c>
      <c r="J315" s="3" t="s">
        <v>1339</v>
      </c>
      <c r="K315" s="3" t="s">
        <v>101</v>
      </c>
      <c r="L315" s="3" t="s">
        <v>1217</v>
      </c>
      <c r="M315" s="137">
        <v>0.315</v>
      </c>
      <c r="N315" s="3" t="s">
        <v>1429</v>
      </c>
      <c r="O315" s="142">
        <v>0</v>
      </c>
      <c r="P315" s="138">
        <v>4.2849999999999999E-2</v>
      </c>
      <c r="R315" s="137">
        <v>30000</v>
      </c>
      <c r="S315" s="139">
        <v>3.3719999999999999</v>
      </c>
      <c r="T315" s="140">
        <v>98.683000000000007</v>
      </c>
      <c r="U315" s="137">
        <v>99.828000000000003</v>
      </c>
      <c r="W315" s="3" t="s">
        <v>17</v>
      </c>
      <c r="X315" s="138">
        <v>0</v>
      </c>
      <c r="Y315" s="138">
        <v>2.80518250893291E-3</v>
      </c>
      <c r="Z315" s="138">
        <v>1.1435810227357901E-3</v>
      </c>
    </row>
    <row r="316" spans="1:26" x14ac:dyDescent="0.2">
      <c r="A316" s="3">
        <v>559</v>
      </c>
      <c r="B316" s="3">
        <v>7206</v>
      </c>
      <c r="C316" s="3" t="s">
        <v>1341</v>
      </c>
      <c r="D316" s="3" t="s">
        <v>1430</v>
      </c>
      <c r="E316" s="3" t="s">
        <v>1431</v>
      </c>
      <c r="F316" s="3" t="s">
        <v>225</v>
      </c>
      <c r="G316" s="3" t="s">
        <v>61</v>
      </c>
      <c r="H316" s="3" t="s">
        <v>314</v>
      </c>
      <c r="I316" s="3" t="s">
        <v>1150</v>
      </c>
      <c r="J316" s="3" t="s">
        <v>1339</v>
      </c>
      <c r="K316" s="3" t="s">
        <v>101</v>
      </c>
      <c r="L316" s="3" t="s">
        <v>1217</v>
      </c>
      <c r="M316" s="137">
        <v>0.33200000000000002</v>
      </c>
      <c r="N316" s="3" t="s">
        <v>1257</v>
      </c>
      <c r="O316" s="142">
        <v>0.03</v>
      </c>
      <c r="P316" s="138">
        <v>4.3459999999999999E-2</v>
      </c>
      <c r="R316" s="137">
        <v>30000</v>
      </c>
      <c r="S316" s="139">
        <v>3.3719999999999999</v>
      </c>
      <c r="T316" s="140">
        <v>100.032</v>
      </c>
      <c r="U316" s="137">
        <v>101.193</v>
      </c>
      <c r="W316" s="3" t="s">
        <v>17</v>
      </c>
      <c r="X316" s="138">
        <v>9.9999999999999995E-7</v>
      </c>
      <c r="Y316" s="138">
        <v>2.8435308127353598E-3</v>
      </c>
      <c r="Z316" s="138">
        <v>1.1592143700645001E-3</v>
      </c>
    </row>
    <row r="317" spans="1:26" x14ac:dyDescent="0.2">
      <c r="A317" s="3">
        <v>559</v>
      </c>
      <c r="B317" s="3">
        <v>7206</v>
      </c>
      <c r="C317" s="3" t="s">
        <v>1341</v>
      </c>
      <c r="D317" s="3" t="s">
        <v>1432</v>
      </c>
      <c r="E317" s="3" t="s">
        <v>1433</v>
      </c>
      <c r="F317" s="3" t="s">
        <v>225</v>
      </c>
      <c r="G317" s="3" t="s">
        <v>61</v>
      </c>
      <c r="H317" s="3" t="s">
        <v>314</v>
      </c>
      <c r="I317" s="3" t="s">
        <v>1150</v>
      </c>
      <c r="J317" s="3" t="s">
        <v>1339</v>
      </c>
      <c r="K317" s="3" t="s">
        <v>101</v>
      </c>
      <c r="L317" s="3" t="s">
        <v>1217</v>
      </c>
      <c r="M317" s="137">
        <v>8.9689999999999994</v>
      </c>
      <c r="N317" s="3" t="s">
        <v>1434</v>
      </c>
      <c r="O317" s="142">
        <v>4.7500000000000001E-2</v>
      </c>
      <c r="P317" s="138">
        <v>4.3619999999999999E-2</v>
      </c>
      <c r="R317" s="137">
        <v>23000</v>
      </c>
      <c r="S317" s="139">
        <v>3.3719999999999999</v>
      </c>
      <c r="T317" s="140">
        <v>105.84399999999999</v>
      </c>
      <c r="U317" s="137">
        <v>82.087999999999994</v>
      </c>
      <c r="W317" s="3" t="s">
        <v>17</v>
      </c>
      <c r="X317" s="138">
        <v>9.9999999999999995E-7</v>
      </c>
      <c r="Y317" s="138">
        <v>2.3066924704971598E-3</v>
      </c>
      <c r="Z317" s="138">
        <v>9.4036296253377798E-4</v>
      </c>
    </row>
    <row r="318" spans="1:26" x14ac:dyDescent="0.2">
      <c r="A318" s="3">
        <v>559</v>
      </c>
      <c r="B318" s="3">
        <v>7206</v>
      </c>
      <c r="C318" s="3" t="s">
        <v>1341</v>
      </c>
      <c r="D318" s="3" t="s">
        <v>1435</v>
      </c>
      <c r="E318" s="3" t="s">
        <v>1436</v>
      </c>
      <c r="F318" s="3" t="s">
        <v>225</v>
      </c>
      <c r="G318" s="3" t="s">
        <v>61</v>
      </c>
      <c r="H318" s="3" t="s">
        <v>314</v>
      </c>
      <c r="I318" s="3" t="s">
        <v>1150</v>
      </c>
      <c r="J318" s="3" t="s">
        <v>1339</v>
      </c>
      <c r="K318" s="3" t="s">
        <v>101</v>
      </c>
      <c r="L318" s="3" t="s">
        <v>1217</v>
      </c>
      <c r="M318" s="137">
        <v>18.983000000000001</v>
      </c>
      <c r="N318" s="3" t="s">
        <v>1437</v>
      </c>
      <c r="O318" s="142">
        <v>1.375E-2</v>
      </c>
      <c r="P318" s="138">
        <v>4.9709999999999997E-2</v>
      </c>
      <c r="R318" s="137">
        <v>105000</v>
      </c>
      <c r="S318" s="139">
        <v>3.3719999999999999</v>
      </c>
      <c r="T318" s="140">
        <v>49.899000000000001</v>
      </c>
      <c r="U318" s="137">
        <v>176.673</v>
      </c>
      <c r="W318" s="3" t="s">
        <v>17</v>
      </c>
      <c r="X318" s="138">
        <v>9.9999999999999995E-7</v>
      </c>
      <c r="Y318" s="138">
        <v>4.9645420278688797E-3</v>
      </c>
      <c r="Z318" s="138">
        <v>2.0238811669351102E-3</v>
      </c>
    </row>
    <row r="319" spans="1:26" x14ac:dyDescent="0.2">
      <c r="A319" s="3">
        <v>559</v>
      </c>
      <c r="B319" s="3">
        <v>7206</v>
      </c>
      <c r="C319" s="3" t="s">
        <v>1341</v>
      </c>
      <c r="D319" s="3" t="s">
        <v>1438</v>
      </c>
      <c r="E319" s="3" t="s">
        <v>1439</v>
      </c>
      <c r="F319" s="3" t="s">
        <v>225</v>
      </c>
      <c r="G319" s="3" t="s">
        <v>61</v>
      </c>
      <c r="H319" s="3" t="s">
        <v>314</v>
      </c>
      <c r="I319" s="3" t="s">
        <v>1150</v>
      </c>
      <c r="J319" s="3" t="s">
        <v>1339</v>
      </c>
      <c r="K319" s="3" t="s">
        <v>101</v>
      </c>
      <c r="L319" s="3" t="s">
        <v>1217</v>
      </c>
      <c r="M319" s="137">
        <v>6.18</v>
      </c>
      <c r="N319" s="3" t="s">
        <v>1440</v>
      </c>
      <c r="O319" s="142">
        <v>1.8749999999999999E-2</v>
      </c>
      <c r="P319" s="138">
        <v>4.0289999999999999E-2</v>
      </c>
      <c r="R319" s="137">
        <v>40000</v>
      </c>
      <c r="S319" s="139">
        <v>3.3719999999999999</v>
      </c>
      <c r="T319" s="140">
        <v>88.522000000000006</v>
      </c>
      <c r="U319" s="137">
        <v>119.398</v>
      </c>
      <c r="W319" s="3" t="s">
        <v>17</v>
      </c>
      <c r="X319" s="138">
        <v>0</v>
      </c>
      <c r="Y319" s="138">
        <v>3.3551029969001601E-3</v>
      </c>
      <c r="Z319" s="138">
        <v>1.3677655925633601E-3</v>
      </c>
    </row>
    <row r="320" spans="1:26" x14ac:dyDescent="0.2">
      <c r="A320" s="3">
        <v>559</v>
      </c>
      <c r="B320" s="3">
        <v>7206</v>
      </c>
      <c r="C320" s="3" t="s">
        <v>1341</v>
      </c>
      <c r="D320" s="3" t="s">
        <v>1441</v>
      </c>
      <c r="E320" s="3" t="s">
        <v>1442</v>
      </c>
      <c r="F320" s="3" t="s">
        <v>225</v>
      </c>
      <c r="G320" s="3" t="s">
        <v>61</v>
      </c>
      <c r="H320" s="3" t="s">
        <v>314</v>
      </c>
      <c r="I320" s="3" t="s">
        <v>1150</v>
      </c>
      <c r="J320" s="3" t="s">
        <v>1339</v>
      </c>
      <c r="K320" s="3" t="s">
        <v>101</v>
      </c>
      <c r="L320" s="3" t="s">
        <v>1217</v>
      </c>
      <c r="M320" s="137">
        <v>13.24</v>
      </c>
      <c r="N320" s="3" t="s">
        <v>1443</v>
      </c>
      <c r="O320" s="142">
        <v>2.75E-2</v>
      </c>
      <c r="P320" s="138">
        <v>4.8529999999999997E-2</v>
      </c>
      <c r="R320" s="137">
        <v>36000</v>
      </c>
      <c r="S320" s="139">
        <v>3.3719999999999999</v>
      </c>
      <c r="T320" s="140">
        <v>76.542000000000002</v>
      </c>
      <c r="U320" s="137">
        <v>92.915999999999997</v>
      </c>
      <c r="W320" s="3" t="s">
        <v>17</v>
      </c>
      <c r="X320" s="138">
        <v>9.9999999999999995E-7</v>
      </c>
      <c r="Y320" s="138">
        <v>2.6109571895661702E-3</v>
      </c>
      <c r="Z320" s="138">
        <v>1.06440172204669E-3</v>
      </c>
    </row>
    <row r="321" spans="1:26" x14ac:dyDescent="0.2">
      <c r="A321" s="3">
        <v>559</v>
      </c>
      <c r="B321" s="3">
        <v>7206</v>
      </c>
      <c r="C321" s="3" t="s">
        <v>1341</v>
      </c>
      <c r="D321" s="3" t="s">
        <v>1444</v>
      </c>
      <c r="E321" s="3" t="s">
        <v>1445</v>
      </c>
      <c r="F321" s="3" t="s">
        <v>225</v>
      </c>
      <c r="G321" s="3" t="s">
        <v>61</v>
      </c>
      <c r="H321" s="3" t="s">
        <v>314</v>
      </c>
      <c r="I321" s="3" t="s">
        <v>1150</v>
      </c>
      <c r="J321" s="3" t="s">
        <v>1339</v>
      </c>
      <c r="K321" s="3" t="s">
        <v>101</v>
      </c>
      <c r="L321" s="3" t="s">
        <v>1217</v>
      </c>
      <c r="M321" s="137">
        <v>13.989000000000001</v>
      </c>
      <c r="N321" s="3" t="s">
        <v>1446</v>
      </c>
      <c r="O321" s="142">
        <v>0.03</v>
      </c>
      <c r="P321" s="138">
        <v>4.9070000000000003E-2</v>
      </c>
      <c r="R321" s="137">
        <v>95000</v>
      </c>
      <c r="S321" s="139">
        <v>3.3719999999999999</v>
      </c>
      <c r="T321" s="140">
        <v>77.453000000000003</v>
      </c>
      <c r="U321" s="137">
        <v>248.113</v>
      </c>
      <c r="W321" s="3" t="s">
        <v>17</v>
      </c>
      <c r="X321" s="138">
        <v>1.9999999999999999E-6</v>
      </c>
      <c r="Y321" s="138">
        <v>6.9720268939225003E-3</v>
      </c>
      <c r="Z321" s="138">
        <v>2.8422669899386601E-3</v>
      </c>
    </row>
    <row r="322" spans="1:26" x14ac:dyDescent="0.2">
      <c r="A322" s="3">
        <v>559</v>
      </c>
      <c r="B322" s="3">
        <v>7206</v>
      </c>
      <c r="C322" s="3" t="s">
        <v>1341</v>
      </c>
      <c r="D322" s="3" t="s">
        <v>1447</v>
      </c>
      <c r="E322" s="3" t="s">
        <v>1448</v>
      </c>
      <c r="F322" s="3" t="s">
        <v>225</v>
      </c>
      <c r="G322" s="3" t="s">
        <v>61</v>
      </c>
      <c r="H322" s="3" t="s">
        <v>314</v>
      </c>
      <c r="I322" s="3" t="s">
        <v>1150</v>
      </c>
      <c r="J322" s="3" t="s">
        <v>1339</v>
      </c>
      <c r="K322" s="3" t="s">
        <v>101</v>
      </c>
      <c r="L322" s="3" t="s">
        <v>1217</v>
      </c>
      <c r="M322" s="137">
        <v>6.6470000000000002</v>
      </c>
      <c r="N322" s="3" t="s">
        <v>1449</v>
      </c>
      <c r="O322" s="142">
        <v>3.5000000000000003E-2</v>
      </c>
      <c r="P322" s="138">
        <v>4.1009999999999998E-2</v>
      </c>
      <c r="R322" s="137">
        <v>30000</v>
      </c>
      <c r="S322" s="139">
        <v>3.3719999999999999</v>
      </c>
      <c r="T322" s="140">
        <v>97.685000000000002</v>
      </c>
      <c r="U322" s="137">
        <v>98.817999999999998</v>
      </c>
      <c r="W322" s="3" t="s">
        <v>17</v>
      </c>
      <c r="X322" s="138">
        <v>0</v>
      </c>
      <c r="Y322" s="138">
        <v>2.77681096556591E-3</v>
      </c>
      <c r="Z322" s="138">
        <v>1.13201487383927E-3</v>
      </c>
    </row>
    <row r="323" spans="1:26" x14ac:dyDescent="0.2">
      <c r="A323" s="3">
        <v>559</v>
      </c>
      <c r="B323" s="3">
        <v>7206</v>
      </c>
      <c r="C323" s="3" t="s">
        <v>1341</v>
      </c>
      <c r="D323" s="3" t="s">
        <v>1450</v>
      </c>
      <c r="E323" s="3" t="s">
        <v>1451</v>
      </c>
      <c r="F323" s="3" t="s">
        <v>225</v>
      </c>
      <c r="G323" s="3" t="s">
        <v>61</v>
      </c>
      <c r="H323" s="3" t="s">
        <v>314</v>
      </c>
      <c r="I323" s="3" t="s">
        <v>1150</v>
      </c>
      <c r="J323" s="3" t="s">
        <v>1339</v>
      </c>
      <c r="K323" s="3" t="s">
        <v>101</v>
      </c>
      <c r="L323" s="3" t="s">
        <v>1217</v>
      </c>
      <c r="M323" s="137">
        <v>14.311999999999999</v>
      </c>
      <c r="N323" s="3" t="s">
        <v>1452</v>
      </c>
      <c r="O323" s="142">
        <v>2.8750000000000001E-2</v>
      </c>
      <c r="P323" s="138">
        <v>4.9169999999999998E-2</v>
      </c>
      <c r="R323" s="137">
        <v>35000</v>
      </c>
      <c r="S323" s="139">
        <v>3.3719999999999999</v>
      </c>
      <c r="T323" s="140">
        <v>75.906999999999996</v>
      </c>
      <c r="U323" s="137">
        <v>89.585999999999999</v>
      </c>
      <c r="W323" s="3" t="s">
        <v>17</v>
      </c>
      <c r="X323" s="138">
        <v>9.9999999999999995E-7</v>
      </c>
      <c r="Y323" s="138">
        <v>2.5173720717890798E-3</v>
      </c>
      <c r="Z323" s="138">
        <v>1.0262501349896701E-3</v>
      </c>
    </row>
    <row r="324" spans="1:26" x14ac:dyDescent="0.2">
      <c r="A324" s="3">
        <v>559</v>
      </c>
      <c r="B324" s="3">
        <v>7206</v>
      </c>
      <c r="C324" s="3" t="s">
        <v>1336</v>
      </c>
      <c r="D324" s="3" t="s">
        <v>1453</v>
      </c>
      <c r="E324" s="3" t="s">
        <v>1454</v>
      </c>
      <c r="F324" s="3" t="s">
        <v>225</v>
      </c>
      <c r="G324" s="3" t="s">
        <v>61</v>
      </c>
      <c r="H324" s="3" t="s">
        <v>314</v>
      </c>
      <c r="I324" s="3" t="s">
        <v>1150</v>
      </c>
      <c r="J324" s="3" t="s">
        <v>1339</v>
      </c>
      <c r="K324" s="3" t="s">
        <v>101</v>
      </c>
      <c r="L324" s="3" t="s">
        <v>1217</v>
      </c>
      <c r="M324" s="137">
        <v>13.632999999999999</v>
      </c>
      <c r="N324" s="3" t="s">
        <v>1455</v>
      </c>
      <c r="O324" s="142">
        <v>3.125E-2</v>
      </c>
      <c r="P324" s="138">
        <v>4.897E-2</v>
      </c>
      <c r="R324" s="137">
        <v>65000</v>
      </c>
      <c r="S324" s="139">
        <v>3.3719999999999999</v>
      </c>
      <c r="T324" s="140">
        <v>78.891000000000005</v>
      </c>
      <c r="U324" s="137">
        <v>172.91200000000001</v>
      </c>
      <c r="W324" s="3" t="s">
        <v>17</v>
      </c>
      <c r="X324" s="138">
        <v>1.9999999999999999E-6</v>
      </c>
      <c r="Y324" s="138">
        <v>4.8588697740343098E-3</v>
      </c>
      <c r="Z324" s="138">
        <v>1.9808020504319601E-3</v>
      </c>
    </row>
    <row r="325" spans="1:26" x14ac:dyDescent="0.2">
      <c r="A325" s="3">
        <v>559</v>
      </c>
      <c r="B325" s="3">
        <v>7207</v>
      </c>
      <c r="C325" s="3" t="s">
        <v>1224</v>
      </c>
      <c r="D325" s="3" t="s">
        <v>1225</v>
      </c>
      <c r="E325" s="3" t="s">
        <v>1226</v>
      </c>
      <c r="F325" s="3" t="s">
        <v>227</v>
      </c>
      <c r="G325" s="3" t="s">
        <v>53</v>
      </c>
      <c r="H325" s="3" t="s">
        <v>53</v>
      </c>
      <c r="I325" s="3" t="s">
        <v>1227</v>
      </c>
      <c r="J325" s="3" t="s">
        <v>1228</v>
      </c>
      <c r="K325" s="3" t="s">
        <v>78</v>
      </c>
      <c r="L325" s="3" t="s">
        <v>1219</v>
      </c>
      <c r="M325" s="137">
        <v>0.42199999999999999</v>
      </c>
      <c r="N325" s="3" t="s">
        <v>1229</v>
      </c>
      <c r="O325" s="142">
        <v>0</v>
      </c>
      <c r="P325" s="138">
        <v>4.3240000000000001E-2</v>
      </c>
      <c r="R325" s="137">
        <v>307000</v>
      </c>
      <c r="S325" s="139">
        <v>1</v>
      </c>
      <c r="T325" s="140">
        <v>98.23</v>
      </c>
      <c r="U325" s="137">
        <v>301.56599999999997</v>
      </c>
      <c r="W325" s="3" t="s">
        <v>17</v>
      </c>
      <c r="X325" s="138">
        <v>2.1999999999999999E-5</v>
      </c>
      <c r="Y325" s="138">
        <v>5.0483634957568298E-3</v>
      </c>
      <c r="Z325" s="138">
        <v>2.4812471656575998E-3</v>
      </c>
    </row>
    <row r="326" spans="1:26" x14ac:dyDescent="0.2">
      <c r="A326" s="3">
        <v>559</v>
      </c>
      <c r="B326" s="3">
        <v>7207</v>
      </c>
      <c r="C326" s="3" t="s">
        <v>1224</v>
      </c>
      <c r="D326" s="3" t="s">
        <v>1230</v>
      </c>
      <c r="E326" s="3" t="s">
        <v>1231</v>
      </c>
      <c r="F326" s="3" t="s">
        <v>227</v>
      </c>
      <c r="G326" s="3" t="s">
        <v>53</v>
      </c>
      <c r="H326" s="3" t="s">
        <v>53</v>
      </c>
      <c r="I326" s="3" t="s">
        <v>1227</v>
      </c>
      <c r="J326" s="3" t="s">
        <v>1228</v>
      </c>
      <c r="K326" s="3" t="s">
        <v>78</v>
      </c>
      <c r="L326" s="3" t="s">
        <v>1219</v>
      </c>
      <c r="M326" s="137">
        <v>0.17299999999999999</v>
      </c>
      <c r="N326" s="3" t="s">
        <v>1232</v>
      </c>
      <c r="O326" s="142">
        <v>0</v>
      </c>
      <c r="P326" s="138">
        <v>4.3970000000000002E-2</v>
      </c>
      <c r="R326" s="137">
        <v>2090000</v>
      </c>
      <c r="S326" s="139">
        <v>1</v>
      </c>
      <c r="T326" s="140">
        <v>99.26</v>
      </c>
      <c r="U326" s="137">
        <v>2074.5340000000001</v>
      </c>
      <c r="W326" s="3" t="s">
        <v>17</v>
      </c>
      <c r="X326" s="138">
        <v>7.4999999999999993E-5</v>
      </c>
      <c r="Y326" s="138">
        <v>3.4728710277137899E-2</v>
      </c>
      <c r="Z326" s="138">
        <v>1.7068999491522199E-2</v>
      </c>
    </row>
    <row r="327" spans="1:26" x14ac:dyDescent="0.2">
      <c r="A327" s="3">
        <v>559</v>
      </c>
      <c r="B327" s="3">
        <v>7207</v>
      </c>
      <c r="C327" s="3" t="s">
        <v>1224</v>
      </c>
      <c r="D327" s="3" t="s">
        <v>1233</v>
      </c>
      <c r="E327" s="3" t="s">
        <v>1234</v>
      </c>
      <c r="F327" s="3" t="s">
        <v>227</v>
      </c>
      <c r="G327" s="3" t="s">
        <v>53</v>
      </c>
      <c r="H327" s="3" t="s">
        <v>53</v>
      </c>
      <c r="I327" s="3" t="s">
        <v>1227</v>
      </c>
      <c r="J327" s="3" t="s">
        <v>1228</v>
      </c>
      <c r="K327" s="3" t="s">
        <v>78</v>
      </c>
      <c r="L327" s="3" t="s">
        <v>1219</v>
      </c>
      <c r="M327" s="137">
        <v>0.255</v>
      </c>
      <c r="N327" s="3" t="s">
        <v>1235</v>
      </c>
      <c r="O327" s="142">
        <v>0</v>
      </c>
      <c r="P327" s="138">
        <v>4.3540000000000002E-2</v>
      </c>
      <c r="R327" s="137">
        <v>254000</v>
      </c>
      <c r="S327" s="139">
        <v>1</v>
      </c>
      <c r="T327" s="140">
        <v>98.92</v>
      </c>
      <c r="U327" s="137">
        <v>251.25700000000001</v>
      </c>
      <c r="W327" s="3" t="s">
        <v>17</v>
      </c>
      <c r="X327" s="138">
        <v>1.8E-5</v>
      </c>
      <c r="Y327" s="138">
        <v>4.2061612932643103E-3</v>
      </c>
      <c r="Z327" s="138">
        <v>2.0673087023117E-3</v>
      </c>
    </row>
    <row r="328" spans="1:26" x14ac:dyDescent="0.2">
      <c r="A328" s="3">
        <v>559</v>
      </c>
      <c r="B328" s="3">
        <v>7207</v>
      </c>
      <c r="C328" s="3" t="s">
        <v>1224</v>
      </c>
      <c r="D328" s="3" t="s">
        <v>1236</v>
      </c>
      <c r="E328" s="3" t="s">
        <v>1237</v>
      </c>
      <c r="F328" s="3" t="s">
        <v>227</v>
      </c>
      <c r="G328" s="3" t="s">
        <v>53</v>
      </c>
      <c r="H328" s="3" t="s">
        <v>53</v>
      </c>
      <c r="I328" s="3" t="s">
        <v>1227</v>
      </c>
      <c r="J328" s="3" t="s">
        <v>1228</v>
      </c>
      <c r="K328" s="3" t="s">
        <v>78</v>
      </c>
      <c r="L328" s="3" t="s">
        <v>1219</v>
      </c>
      <c r="M328" s="137">
        <v>0.34499999999999997</v>
      </c>
      <c r="N328" s="3" t="s">
        <v>1238</v>
      </c>
      <c r="O328" s="142">
        <v>0</v>
      </c>
      <c r="P328" s="138">
        <v>4.3220000000000001E-2</v>
      </c>
      <c r="R328" s="137">
        <v>1333000</v>
      </c>
      <c r="S328" s="139">
        <v>1</v>
      </c>
      <c r="T328" s="140">
        <v>98.55</v>
      </c>
      <c r="U328" s="137">
        <v>1313.671</v>
      </c>
      <c r="W328" s="3" t="s">
        <v>17</v>
      </c>
      <c r="X328" s="138">
        <v>9.5000000000000005E-5</v>
      </c>
      <c r="Y328" s="138">
        <v>2.1991501186692099E-2</v>
      </c>
      <c r="Z328" s="138">
        <v>1.08087204960378E-2</v>
      </c>
    </row>
    <row r="329" spans="1:26" x14ac:dyDescent="0.2">
      <c r="A329" s="3">
        <v>559</v>
      </c>
      <c r="B329" s="3">
        <v>7207</v>
      </c>
      <c r="C329" s="3" t="s">
        <v>1224</v>
      </c>
      <c r="D329" s="3" t="s">
        <v>1239</v>
      </c>
      <c r="E329" s="3" t="s">
        <v>1240</v>
      </c>
      <c r="F329" s="3" t="s">
        <v>227</v>
      </c>
      <c r="G329" s="3" t="s">
        <v>53</v>
      </c>
      <c r="H329" s="3" t="s">
        <v>53</v>
      </c>
      <c r="I329" s="3" t="s">
        <v>1227</v>
      </c>
      <c r="J329" s="3" t="s">
        <v>1228</v>
      </c>
      <c r="K329" s="3" t="s">
        <v>78</v>
      </c>
      <c r="L329" s="3" t="s">
        <v>1219</v>
      </c>
      <c r="M329" s="137">
        <v>0.51800000000000002</v>
      </c>
      <c r="N329" s="3" t="s">
        <v>1241</v>
      </c>
      <c r="O329" s="142">
        <v>0</v>
      </c>
      <c r="P329" s="138">
        <v>4.3279999999999999E-2</v>
      </c>
      <c r="R329" s="137">
        <v>291000</v>
      </c>
      <c r="S329" s="139">
        <v>1</v>
      </c>
      <c r="T329" s="140">
        <v>97.83</v>
      </c>
      <c r="U329" s="137">
        <v>284.685</v>
      </c>
      <c r="W329" s="3" t="s">
        <v>17</v>
      </c>
      <c r="X329" s="138">
        <v>1.8E-5</v>
      </c>
      <c r="Y329" s="138">
        <v>4.7657706761422497E-3</v>
      </c>
      <c r="Z329" s="138">
        <v>2.3423541098597802E-3</v>
      </c>
    </row>
    <row r="330" spans="1:26" x14ac:dyDescent="0.2">
      <c r="A330" s="3">
        <v>559</v>
      </c>
      <c r="B330" s="3">
        <v>7207</v>
      </c>
      <c r="C330" s="3" t="s">
        <v>1224</v>
      </c>
      <c r="D330" s="3" t="s">
        <v>1242</v>
      </c>
      <c r="E330" s="3" t="s">
        <v>1243</v>
      </c>
      <c r="F330" s="3" t="s">
        <v>227</v>
      </c>
      <c r="G330" s="3" t="s">
        <v>53</v>
      </c>
      <c r="H330" s="3" t="s">
        <v>53</v>
      </c>
      <c r="I330" s="3" t="s">
        <v>1227</v>
      </c>
      <c r="J330" s="3" t="s">
        <v>1228</v>
      </c>
      <c r="K330" s="3" t="s">
        <v>78</v>
      </c>
      <c r="L330" s="3" t="s">
        <v>1219</v>
      </c>
      <c r="M330" s="137">
        <v>0.748</v>
      </c>
      <c r="N330" s="3" t="s">
        <v>1244</v>
      </c>
      <c r="O330" s="142">
        <v>0</v>
      </c>
      <c r="P330" s="138">
        <v>4.1849999999999998E-2</v>
      </c>
      <c r="R330" s="137">
        <v>416400</v>
      </c>
      <c r="S330" s="139">
        <v>1</v>
      </c>
      <c r="T330" s="140">
        <v>96.98</v>
      </c>
      <c r="U330" s="137">
        <v>403.82499999999999</v>
      </c>
      <c r="W330" s="3" t="s">
        <v>17</v>
      </c>
      <c r="X330" s="138">
        <v>2.3E-5</v>
      </c>
      <c r="Y330" s="138">
        <v>6.7602226348791204E-3</v>
      </c>
      <c r="Z330" s="138">
        <v>3.3226179664175601E-3</v>
      </c>
    </row>
    <row r="331" spans="1:26" x14ac:dyDescent="0.2">
      <c r="A331" s="3">
        <v>559</v>
      </c>
      <c r="B331" s="3">
        <v>7207</v>
      </c>
      <c r="C331" s="3" t="s">
        <v>1224</v>
      </c>
      <c r="D331" s="3" t="s">
        <v>1245</v>
      </c>
      <c r="E331" s="3" t="s">
        <v>1246</v>
      </c>
      <c r="F331" s="3" t="s">
        <v>227</v>
      </c>
      <c r="G331" s="3" t="s">
        <v>53</v>
      </c>
      <c r="H331" s="3" t="s">
        <v>53</v>
      </c>
      <c r="I331" s="3" t="s">
        <v>1227</v>
      </c>
      <c r="J331" s="3" t="s">
        <v>1228</v>
      </c>
      <c r="K331" s="3" t="s">
        <v>78</v>
      </c>
      <c r="L331" s="3" t="s">
        <v>1219</v>
      </c>
      <c r="M331" s="137">
        <v>0.92100000000000004</v>
      </c>
      <c r="N331" s="3" t="s">
        <v>1247</v>
      </c>
      <c r="O331" s="142">
        <v>0</v>
      </c>
      <c r="P331" s="138">
        <v>4.1099999999999998E-2</v>
      </c>
      <c r="R331" s="137">
        <v>70000</v>
      </c>
      <c r="S331" s="139">
        <v>1</v>
      </c>
      <c r="T331" s="140">
        <v>96.36</v>
      </c>
      <c r="U331" s="137">
        <v>67.451999999999998</v>
      </c>
      <c r="W331" s="3" t="s">
        <v>17</v>
      </c>
      <c r="X331" s="138">
        <v>3.9999999999999998E-6</v>
      </c>
      <c r="Y331" s="138">
        <v>1.1291793557557999E-3</v>
      </c>
      <c r="Z331" s="138">
        <v>5.5498639872962098E-4</v>
      </c>
    </row>
    <row r="332" spans="1:26" x14ac:dyDescent="0.2">
      <c r="A332" s="3">
        <v>559</v>
      </c>
      <c r="B332" s="3">
        <v>7207</v>
      </c>
      <c r="C332" s="3" t="s">
        <v>1224</v>
      </c>
      <c r="D332" s="3" t="s">
        <v>1248</v>
      </c>
      <c r="E332" s="3" t="s">
        <v>1249</v>
      </c>
      <c r="F332" s="3" t="s">
        <v>227</v>
      </c>
      <c r="G332" s="3" t="s">
        <v>53</v>
      </c>
      <c r="H332" s="3" t="s">
        <v>53</v>
      </c>
      <c r="I332" s="3" t="s">
        <v>1227</v>
      </c>
      <c r="J332" s="3" t="s">
        <v>1228</v>
      </c>
      <c r="K332" s="3" t="s">
        <v>78</v>
      </c>
      <c r="L332" s="3" t="s">
        <v>1219</v>
      </c>
      <c r="M332" s="137">
        <v>3.0000000000000001E-3</v>
      </c>
      <c r="N332" s="3" t="s">
        <v>1250</v>
      </c>
      <c r="O332" s="142">
        <v>0</v>
      </c>
      <c r="P332" s="138">
        <v>0.11574</v>
      </c>
      <c r="R332" s="137">
        <v>1179000</v>
      </c>
      <c r="S332" s="139">
        <v>1</v>
      </c>
      <c r="T332" s="140">
        <v>99.97</v>
      </c>
      <c r="U332" s="137">
        <v>1178.646</v>
      </c>
      <c r="W332" s="3" t="s">
        <v>17</v>
      </c>
      <c r="X332" s="138">
        <v>3.8999999999999999E-5</v>
      </c>
      <c r="Y332" s="138">
        <v>1.9731113528108302E-2</v>
      </c>
      <c r="Z332" s="138">
        <v>9.6977504805342007E-3</v>
      </c>
    </row>
    <row r="333" spans="1:26" x14ac:dyDescent="0.2">
      <c r="A333" s="3">
        <v>559</v>
      </c>
      <c r="B333" s="3">
        <v>7207</v>
      </c>
      <c r="C333" s="3" t="s">
        <v>1251</v>
      </c>
      <c r="D333" s="3" t="s">
        <v>1252</v>
      </c>
      <c r="E333" s="3" t="s">
        <v>1253</v>
      </c>
      <c r="F333" s="3" t="s">
        <v>221</v>
      </c>
      <c r="G333" s="3" t="s">
        <v>53</v>
      </c>
      <c r="H333" s="3" t="s">
        <v>53</v>
      </c>
      <c r="I333" s="3" t="s">
        <v>311</v>
      </c>
      <c r="J333" s="3" t="s">
        <v>1228</v>
      </c>
      <c r="K333" s="3" t="s">
        <v>78</v>
      </c>
      <c r="L333" s="3" t="s">
        <v>1219</v>
      </c>
      <c r="M333" s="137">
        <v>1.905</v>
      </c>
      <c r="N333" s="3" t="s">
        <v>1254</v>
      </c>
      <c r="O333" s="142">
        <v>7.4999999999999997E-3</v>
      </c>
      <c r="P333" s="138">
        <v>2.0959999999999999E-2</v>
      </c>
      <c r="R333" s="137">
        <v>1003000</v>
      </c>
      <c r="S333" s="139">
        <v>1</v>
      </c>
      <c r="T333" s="140">
        <v>115.45</v>
      </c>
      <c r="U333" s="137">
        <v>1157.9639999999999</v>
      </c>
      <c r="W333" s="3" t="s">
        <v>17</v>
      </c>
      <c r="X333" s="138">
        <v>4.1E-5</v>
      </c>
      <c r="Y333" s="138">
        <v>1.9384873375418599E-2</v>
      </c>
      <c r="Z333" s="138">
        <v>9.5275750567121401E-3</v>
      </c>
    </row>
    <row r="334" spans="1:26" x14ac:dyDescent="0.2">
      <c r="A334" s="3">
        <v>559</v>
      </c>
      <c r="B334" s="3">
        <v>7207</v>
      </c>
      <c r="C334" s="3" t="s">
        <v>1251</v>
      </c>
      <c r="D334" s="3" t="s">
        <v>1255</v>
      </c>
      <c r="E334" s="3" t="s">
        <v>1256</v>
      </c>
      <c r="F334" s="3" t="s">
        <v>221</v>
      </c>
      <c r="G334" s="3" t="s">
        <v>53</v>
      </c>
      <c r="H334" s="3" t="s">
        <v>53</v>
      </c>
      <c r="I334" s="3" t="s">
        <v>311</v>
      </c>
      <c r="J334" s="3" t="s">
        <v>1228</v>
      </c>
      <c r="K334" s="3" t="s">
        <v>78</v>
      </c>
      <c r="L334" s="3" t="s">
        <v>1219</v>
      </c>
      <c r="M334" s="137">
        <v>0.33200000000000002</v>
      </c>
      <c r="N334" s="3" t="s">
        <v>1257</v>
      </c>
      <c r="O334" s="142">
        <v>7.4999999999999997E-3</v>
      </c>
      <c r="P334" s="138">
        <v>5.9899999999999997E-3</v>
      </c>
      <c r="R334" s="137">
        <v>4660476</v>
      </c>
      <c r="S334" s="139">
        <v>1</v>
      </c>
      <c r="T334" s="140">
        <v>118.26</v>
      </c>
      <c r="U334" s="137">
        <v>5511.4790000000003</v>
      </c>
      <c r="W334" s="3" t="s">
        <v>17</v>
      </c>
      <c r="X334" s="138">
        <v>3.6699999999999998E-4</v>
      </c>
      <c r="Y334" s="138">
        <v>9.2264843346931802E-2</v>
      </c>
      <c r="Z334" s="138">
        <v>4.5347741151530799E-2</v>
      </c>
    </row>
    <row r="335" spans="1:26" x14ac:dyDescent="0.2">
      <c r="A335" s="3">
        <v>559</v>
      </c>
      <c r="B335" s="3">
        <v>7207</v>
      </c>
      <c r="C335" s="3" t="s">
        <v>1251</v>
      </c>
      <c r="D335" s="3" t="s">
        <v>1258</v>
      </c>
      <c r="E335" s="3" t="s">
        <v>1259</v>
      </c>
      <c r="F335" s="3" t="s">
        <v>221</v>
      </c>
      <c r="G335" s="3" t="s">
        <v>53</v>
      </c>
      <c r="H335" s="3" t="s">
        <v>53</v>
      </c>
      <c r="I335" s="3" t="s">
        <v>311</v>
      </c>
      <c r="J335" s="3" t="s">
        <v>1228</v>
      </c>
      <c r="K335" s="3" t="s">
        <v>78</v>
      </c>
      <c r="L335" s="3" t="s">
        <v>1219</v>
      </c>
      <c r="M335" s="137">
        <v>6.3940000000000001</v>
      </c>
      <c r="N335" s="3" t="s">
        <v>1260</v>
      </c>
      <c r="O335" s="142">
        <v>1E-3</v>
      </c>
      <c r="P335" s="138">
        <v>1.9699999999999999E-2</v>
      </c>
      <c r="R335" s="137">
        <v>1169000</v>
      </c>
      <c r="S335" s="139">
        <v>1</v>
      </c>
      <c r="T335" s="140">
        <v>104.14</v>
      </c>
      <c r="U335" s="137">
        <v>1217.3969999999999</v>
      </c>
      <c r="W335" s="3" t="s">
        <v>17</v>
      </c>
      <c r="X335" s="138">
        <v>3.4E-5</v>
      </c>
      <c r="Y335" s="138">
        <v>2.0379812436804E-2</v>
      </c>
      <c r="Z335" s="138">
        <v>1.0016582975444501E-2</v>
      </c>
    </row>
    <row r="336" spans="1:26" x14ac:dyDescent="0.2">
      <c r="A336" s="3">
        <v>559</v>
      </c>
      <c r="B336" s="3">
        <v>7207</v>
      </c>
      <c r="C336" s="3" t="s">
        <v>1251</v>
      </c>
      <c r="D336" s="3" t="s">
        <v>1261</v>
      </c>
      <c r="E336" s="3" t="s">
        <v>1262</v>
      </c>
      <c r="F336" s="3" t="s">
        <v>221</v>
      </c>
      <c r="G336" s="3" t="s">
        <v>53</v>
      </c>
      <c r="H336" s="3" t="s">
        <v>53</v>
      </c>
      <c r="I336" s="3" t="s">
        <v>1227</v>
      </c>
      <c r="J336" s="3" t="s">
        <v>1228</v>
      </c>
      <c r="K336" s="3" t="s">
        <v>78</v>
      </c>
      <c r="L336" s="3" t="s">
        <v>1219</v>
      </c>
      <c r="M336" s="137">
        <v>5.5449999999999999</v>
      </c>
      <c r="N336" s="3" t="s">
        <v>1263</v>
      </c>
      <c r="O336" s="142">
        <v>0.02</v>
      </c>
      <c r="P336" s="138">
        <v>2.0459999999999999E-2</v>
      </c>
      <c r="R336" s="137">
        <v>410000</v>
      </c>
      <c r="S336" s="139">
        <v>1</v>
      </c>
      <c r="T336" s="140">
        <v>100.84</v>
      </c>
      <c r="U336" s="137">
        <v>413.44400000000002</v>
      </c>
      <c r="W336" s="3" t="s">
        <v>17</v>
      </c>
      <c r="X336" s="138">
        <v>1.06E-4</v>
      </c>
      <c r="Y336" s="138">
        <v>6.92125407046642E-3</v>
      </c>
      <c r="Z336" s="138">
        <v>3.4017641676506202E-3</v>
      </c>
    </row>
    <row r="337" spans="1:26" x14ac:dyDescent="0.2">
      <c r="A337" s="3">
        <v>559</v>
      </c>
      <c r="B337" s="3">
        <v>7207</v>
      </c>
      <c r="C337" s="3" t="s">
        <v>1264</v>
      </c>
      <c r="D337" s="3" t="s">
        <v>1265</v>
      </c>
      <c r="E337" s="3" t="s">
        <v>1266</v>
      </c>
      <c r="F337" s="3" t="s">
        <v>227</v>
      </c>
      <c r="G337" s="3" t="s">
        <v>53</v>
      </c>
      <c r="H337" s="3" t="s">
        <v>53</v>
      </c>
      <c r="I337" s="3" t="s">
        <v>1227</v>
      </c>
      <c r="J337" s="3" t="s">
        <v>1228</v>
      </c>
      <c r="K337" s="3" t="s">
        <v>78</v>
      </c>
      <c r="L337" s="3" t="s">
        <v>1219</v>
      </c>
      <c r="M337" s="137">
        <v>0.65800000000000003</v>
      </c>
      <c r="N337" s="3" t="s">
        <v>1267</v>
      </c>
      <c r="O337" s="142">
        <v>0</v>
      </c>
      <c r="P337" s="138">
        <v>4.283E-2</v>
      </c>
      <c r="R337" s="137">
        <v>370000</v>
      </c>
      <c r="S337" s="139">
        <v>1</v>
      </c>
      <c r="T337" s="140">
        <v>97.28</v>
      </c>
      <c r="U337" s="137">
        <v>359.93599999999998</v>
      </c>
      <c r="W337" s="3" t="s">
        <v>17</v>
      </c>
      <c r="X337" s="138">
        <v>7.1000000000000005E-5</v>
      </c>
      <c r="Y337" s="138">
        <v>6.0255040709440797E-3</v>
      </c>
      <c r="Z337" s="138">
        <v>2.96150721124866E-3</v>
      </c>
    </row>
    <row r="338" spans="1:26" x14ac:dyDescent="0.2">
      <c r="A338" s="3">
        <v>559</v>
      </c>
      <c r="B338" s="3">
        <v>7207</v>
      </c>
      <c r="C338" s="3" t="s">
        <v>1264</v>
      </c>
      <c r="D338" s="3" t="s">
        <v>1268</v>
      </c>
      <c r="E338" s="3" t="s">
        <v>1269</v>
      </c>
      <c r="F338" s="3" t="s">
        <v>227</v>
      </c>
      <c r="G338" s="3" t="s">
        <v>53</v>
      </c>
      <c r="H338" s="3" t="s">
        <v>53</v>
      </c>
      <c r="I338" s="3" t="s">
        <v>1227</v>
      </c>
      <c r="J338" s="3" t="s">
        <v>1228</v>
      </c>
      <c r="K338" s="3" t="s">
        <v>78</v>
      </c>
      <c r="L338" s="3" t="s">
        <v>1219</v>
      </c>
      <c r="M338" s="137">
        <v>0.16400000000000001</v>
      </c>
      <c r="N338" s="3" t="s">
        <v>1270</v>
      </c>
      <c r="O338" s="142">
        <v>0</v>
      </c>
      <c r="P338" s="138">
        <v>4.4940000000000001E-2</v>
      </c>
      <c r="R338" s="137">
        <v>371712</v>
      </c>
      <c r="S338" s="139">
        <v>1</v>
      </c>
      <c r="T338" s="140">
        <v>99.28</v>
      </c>
      <c r="U338" s="137">
        <v>369.036</v>
      </c>
      <c r="W338" s="3" t="s">
        <v>17</v>
      </c>
      <c r="X338" s="138">
        <v>4.0000000000000003E-5</v>
      </c>
      <c r="Y338" s="138">
        <v>6.17783704214191E-3</v>
      </c>
      <c r="Z338" s="138">
        <v>3.0363781577124999E-3</v>
      </c>
    </row>
    <row r="339" spans="1:26" x14ac:dyDescent="0.2">
      <c r="A339" s="3">
        <v>559</v>
      </c>
      <c r="B339" s="3">
        <v>7207</v>
      </c>
      <c r="C339" s="3" t="s">
        <v>1264</v>
      </c>
      <c r="D339" s="3" t="s">
        <v>1271</v>
      </c>
      <c r="E339" s="3" t="s">
        <v>1272</v>
      </c>
      <c r="F339" s="3" t="s">
        <v>227</v>
      </c>
      <c r="G339" s="3" t="s">
        <v>53</v>
      </c>
      <c r="H339" s="3" t="s">
        <v>53</v>
      </c>
      <c r="I339" s="3" t="s">
        <v>1227</v>
      </c>
      <c r="J339" s="3" t="s">
        <v>1228</v>
      </c>
      <c r="K339" s="3" t="s">
        <v>78</v>
      </c>
      <c r="L339" s="3" t="s">
        <v>1219</v>
      </c>
      <c r="M339" s="137">
        <v>0.41399999999999998</v>
      </c>
      <c r="N339" s="3" t="s">
        <v>1273</v>
      </c>
      <c r="O339" s="142">
        <v>0</v>
      </c>
      <c r="P339" s="138">
        <v>4.3860000000000003E-2</v>
      </c>
      <c r="R339" s="137">
        <v>763000</v>
      </c>
      <c r="S339" s="139">
        <v>1</v>
      </c>
      <c r="T339" s="140">
        <v>98.24</v>
      </c>
      <c r="U339" s="137">
        <v>749.57100000000003</v>
      </c>
      <c r="W339" s="3" t="s">
        <v>17</v>
      </c>
      <c r="X339" s="138">
        <v>1.2E-4</v>
      </c>
      <c r="Y339" s="138">
        <v>1.25481872251246E-2</v>
      </c>
      <c r="Z339" s="138">
        <v>6.1673756282903504E-3</v>
      </c>
    </row>
    <row r="340" spans="1:26" x14ac:dyDescent="0.2">
      <c r="A340" s="3">
        <v>559</v>
      </c>
      <c r="B340" s="3">
        <v>7207</v>
      </c>
      <c r="C340" s="3" t="s">
        <v>1274</v>
      </c>
      <c r="D340" s="3" t="s">
        <v>1275</v>
      </c>
      <c r="E340" s="3" t="s">
        <v>1276</v>
      </c>
      <c r="F340" s="3" t="s">
        <v>223</v>
      </c>
      <c r="G340" s="3" t="s">
        <v>53</v>
      </c>
      <c r="H340" s="3" t="s">
        <v>53</v>
      </c>
      <c r="I340" s="3" t="s">
        <v>311</v>
      </c>
      <c r="J340" s="3" t="s">
        <v>1228</v>
      </c>
      <c r="K340" s="3" t="s">
        <v>78</v>
      </c>
      <c r="L340" s="3" t="s">
        <v>1219</v>
      </c>
      <c r="M340" s="137">
        <v>3.109</v>
      </c>
      <c r="N340" s="3" t="s">
        <v>1277</v>
      </c>
      <c r="O340" s="142">
        <v>2.2499999999999999E-2</v>
      </c>
      <c r="P340" s="138">
        <v>3.952E-2</v>
      </c>
      <c r="R340" s="137">
        <v>1655000</v>
      </c>
      <c r="S340" s="139">
        <v>1</v>
      </c>
      <c r="T340" s="140">
        <v>96.6</v>
      </c>
      <c r="U340" s="137">
        <v>1598.73</v>
      </c>
      <c r="W340" s="3" t="s">
        <v>17</v>
      </c>
      <c r="X340" s="138">
        <v>4.8000000000000001E-5</v>
      </c>
      <c r="Y340" s="138">
        <v>2.67635194127301E-2</v>
      </c>
      <c r="Z340" s="138">
        <v>1.3154145247598399E-2</v>
      </c>
    </row>
    <row r="341" spans="1:26" x14ac:dyDescent="0.2">
      <c r="A341" s="3">
        <v>559</v>
      </c>
      <c r="B341" s="3">
        <v>7207</v>
      </c>
      <c r="C341" s="3" t="s">
        <v>1274</v>
      </c>
      <c r="D341" s="3" t="s">
        <v>1278</v>
      </c>
      <c r="E341" s="3" t="s">
        <v>1279</v>
      </c>
      <c r="F341" s="3" t="s">
        <v>223</v>
      </c>
      <c r="G341" s="3" t="s">
        <v>53</v>
      </c>
      <c r="H341" s="3" t="s">
        <v>53</v>
      </c>
      <c r="I341" s="3" t="s">
        <v>311</v>
      </c>
      <c r="J341" s="3" t="s">
        <v>1228</v>
      </c>
      <c r="K341" s="3" t="s">
        <v>78</v>
      </c>
      <c r="L341" s="3" t="s">
        <v>1219</v>
      </c>
      <c r="M341" s="137">
        <v>2.1389999999999998</v>
      </c>
      <c r="N341" s="3" t="s">
        <v>1280</v>
      </c>
      <c r="O341" s="142">
        <v>3.7499999999999999E-2</v>
      </c>
      <c r="P341" s="138">
        <v>3.9739999999999998E-2</v>
      </c>
      <c r="R341" s="137">
        <v>1186000</v>
      </c>
      <c r="S341" s="139">
        <v>1</v>
      </c>
      <c r="T341" s="140">
        <v>102.34</v>
      </c>
      <c r="U341" s="137">
        <v>1213.752</v>
      </c>
      <c r="W341" s="3" t="s">
        <v>17</v>
      </c>
      <c r="X341" s="138">
        <v>3.3000000000000003E-5</v>
      </c>
      <c r="Y341" s="138">
        <v>2.0318806752639799E-2</v>
      </c>
      <c r="Z341" s="138">
        <v>9.9865989655671394E-3</v>
      </c>
    </row>
    <row r="342" spans="1:26" x14ac:dyDescent="0.2">
      <c r="A342" s="3">
        <v>559</v>
      </c>
      <c r="B342" s="3">
        <v>7207</v>
      </c>
      <c r="C342" s="3" t="s">
        <v>1274</v>
      </c>
      <c r="D342" s="3" t="s">
        <v>1281</v>
      </c>
      <c r="E342" s="3" t="s">
        <v>1282</v>
      </c>
      <c r="F342" s="3" t="s">
        <v>223</v>
      </c>
      <c r="G342" s="3" t="s">
        <v>53</v>
      </c>
      <c r="H342" s="3" t="s">
        <v>53</v>
      </c>
      <c r="I342" s="3" t="s">
        <v>311</v>
      </c>
      <c r="J342" s="3" t="s">
        <v>1228</v>
      </c>
      <c r="K342" s="3" t="s">
        <v>78</v>
      </c>
      <c r="L342" s="3" t="s">
        <v>1219</v>
      </c>
      <c r="M342" s="137">
        <v>0.65800000000000003</v>
      </c>
      <c r="N342" s="3" t="s">
        <v>1267</v>
      </c>
      <c r="O342" s="142">
        <v>5.0000000000000001E-3</v>
      </c>
      <c r="P342" s="138">
        <v>4.0480000000000002E-2</v>
      </c>
      <c r="R342" s="137">
        <v>3056380</v>
      </c>
      <c r="S342" s="139">
        <v>1</v>
      </c>
      <c r="T342" s="140">
        <v>97.91</v>
      </c>
      <c r="U342" s="137">
        <v>2992.502</v>
      </c>
      <c r="W342" s="3" t="s">
        <v>17</v>
      </c>
      <c r="X342" s="138">
        <v>1.1E-4</v>
      </c>
      <c r="Y342" s="138">
        <v>5.0095936284744798E-2</v>
      </c>
      <c r="Z342" s="138">
        <v>2.4621919563035E-2</v>
      </c>
    </row>
    <row r="343" spans="1:26" x14ac:dyDescent="0.2">
      <c r="A343" s="3">
        <v>559</v>
      </c>
      <c r="B343" s="3">
        <v>7207</v>
      </c>
      <c r="C343" s="3" t="s">
        <v>1274</v>
      </c>
      <c r="D343" s="3" t="s">
        <v>1283</v>
      </c>
      <c r="E343" s="3" t="s">
        <v>1284</v>
      </c>
      <c r="F343" s="3" t="s">
        <v>223</v>
      </c>
      <c r="G343" s="3" t="s">
        <v>53</v>
      </c>
      <c r="H343" s="3" t="s">
        <v>53</v>
      </c>
      <c r="I343" s="3" t="s">
        <v>311</v>
      </c>
      <c r="J343" s="3" t="s">
        <v>1228</v>
      </c>
      <c r="K343" s="3" t="s">
        <v>78</v>
      </c>
      <c r="L343" s="3" t="s">
        <v>1219</v>
      </c>
      <c r="M343" s="137">
        <v>1.7250000000000001</v>
      </c>
      <c r="N343" s="3" t="s">
        <v>1285</v>
      </c>
      <c r="O343" s="142">
        <v>0.02</v>
      </c>
      <c r="P343" s="138">
        <v>4.0030000000000003E-2</v>
      </c>
      <c r="R343" s="137">
        <v>1829000</v>
      </c>
      <c r="S343" s="139">
        <v>1</v>
      </c>
      <c r="T343" s="140">
        <v>97.19</v>
      </c>
      <c r="U343" s="137">
        <v>1777.605</v>
      </c>
      <c r="W343" s="3" t="s">
        <v>17</v>
      </c>
      <c r="X343" s="138">
        <v>6.4999999999999994E-5</v>
      </c>
      <c r="Y343" s="138">
        <v>2.9757975769528301E-2</v>
      </c>
      <c r="Z343" s="138">
        <v>1.46259066122933E-2</v>
      </c>
    </row>
    <row r="344" spans="1:26" x14ac:dyDescent="0.2">
      <c r="A344" s="3">
        <v>559</v>
      </c>
      <c r="B344" s="3">
        <v>7207</v>
      </c>
      <c r="C344" s="3" t="s">
        <v>1274</v>
      </c>
      <c r="D344" s="3" t="s">
        <v>1286</v>
      </c>
      <c r="E344" s="3" t="s">
        <v>1287</v>
      </c>
      <c r="F344" s="3" t="s">
        <v>223</v>
      </c>
      <c r="G344" s="3" t="s">
        <v>53</v>
      </c>
      <c r="H344" s="3" t="s">
        <v>53</v>
      </c>
      <c r="I344" s="3" t="s">
        <v>311</v>
      </c>
      <c r="J344" s="3" t="s">
        <v>1228</v>
      </c>
      <c r="K344" s="3" t="s">
        <v>78</v>
      </c>
      <c r="L344" s="3" t="s">
        <v>1219</v>
      </c>
      <c r="M344" s="137">
        <v>8.1739999999999995</v>
      </c>
      <c r="N344" s="3" t="s">
        <v>1288</v>
      </c>
      <c r="O344" s="142">
        <v>0.04</v>
      </c>
      <c r="P344" s="138">
        <v>4.1140000000000003E-2</v>
      </c>
      <c r="R344" s="137">
        <v>763000</v>
      </c>
      <c r="S344" s="139">
        <v>1</v>
      </c>
      <c r="T344" s="140">
        <v>100.1</v>
      </c>
      <c r="U344" s="137">
        <v>763.76300000000003</v>
      </c>
      <c r="W344" s="3" t="s">
        <v>17</v>
      </c>
      <c r="X344" s="138">
        <v>2.3E-5</v>
      </c>
      <c r="Y344" s="138">
        <v>1.2785764874134501E-2</v>
      </c>
      <c r="Z344" s="138">
        <v>6.2841439372136E-3</v>
      </c>
    </row>
    <row r="345" spans="1:26" x14ac:dyDescent="0.2">
      <c r="A345" s="3">
        <v>559</v>
      </c>
      <c r="B345" s="3">
        <v>7207</v>
      </c>
      <c r="C345" s="3" t="s">
        <v>1274</v>
      </c>
      <c r="D345" s="3" t="s">
        <v>1289</v>
      </c>
      <c r="E345" s="3" t="s">
        <v>1290</v>
      </c>
      <c r="F345" s="3" t="s">
        <v>223</v>
      </c>
      <c r="G345" s="3" t="s">
        <v>53</v>
      </c>
      <c r="H345" s="3" t="s">
        <v>53</v>
      </c>
      <c r="I345" s="3" t="s">
        <v>311</v>
      </c>
      <c r="J345" s="3" t="s">
        <v>1228</v>
      </c>
      <c r="K345" s="3" t="s">
        <v>78</v>
      </c>
      <c r="L345" s="3" t="s">
        <v>1219</v>
      </c>
      <c r="M345" s="137">
        <v>14.709</v>
      </c>
      <c r="N345" s="3" t="s">
        <v>1291</v>
      </c>
      <c r="O345" s="142">
        <v>3.7499999999999999E-2</v>
      </c>
      <c r="P345" s="138">
        <v>4.4699999999999997E-2</v>
      </c>
      <c r="R345" s="137">
        <v>640959</v>
      </c>
      <c r="S345" s="139">
        <v>1</v>
      </c>
      <c r="T345" s="140">
        <v>91.05</v>
      </c>
      <c r="U345" s="137">
        <v>583.59299999999996</v>
      </c>
      <c r="W345" s="3" t="s">
        <v>17</v>
      </c>
      <c r="X345" s="138">
        <v>2.4000000000000001E-5</v>
      </c>
      <c r="Y345" s="138">
        <v>9.76963409772128E-3</v>
      </c>
      <c r="Z345" s="138">
        <v>4.8017296961396297E-3</v>
      </c>
    </row>
    <row r="346" spans="1:26" x14ac:dyDescent="0.2">
      <c r="A346" s="3">
        <v>559</v>
      </c>
      <c r="B346" s="3">
        <v>7207</v>
      </c>
      <c r="C346" s="3" t="s">
        <v>1274</v>
      </c>
      <c r="D346" s="3" t="s">
        <v>1292</v>
      </c>
      <c r="E346" s="3" t="s">
        <v>1293</v>
      </c>
      <c r="F346" s="3" t="s">
        <v>223</v>
      </c>
      <c r="G346" s="3" t="s">
        <v>53</v>
      </c>
      <c r="H346" s="3" t="s">
        <v>53</v>
      </c>
      <c r="I346" s="3" t="s">
        <v>311</v>
      </c>
      <c r="J346" s="3" t="s">
        <v>1228</v>
      </c>
      <c r="K346" s="3" t="s">
        <v>78</v>
      </c>
      <c r="L346" s="3" t="s">
        <v>1219</v>
      </c>
      <c r="M346" s="137">
        <v>0.16400000000000001</v>
      </c>
      <c r="N346" s="3" t="s">
        <v>1270</v>
      </c>
      <c r="O346" s="142">
        <v>1.7500000000000002E-2</v>
      </c>
      <c r="P346" s="138">
        <v>4.5069999999999999E-2</v>
      </c>
      <c r="R346" s="137">
        <v>1326980.5</v>
      </c>
      <c r="S346" s="139">
        <v>1</v>
      </c>
      <c r="T346" s="140">
        <v>101.02</v>
      </c>
      <c r="U346" s="137">
        <v>1340.5160000000001</v>
      </c>
      <c r="W346" s="3" t="s">
        <v>17</v>
      </c>
      <c r="X346" s="138">
        <v>1.01E-4</v>
      </c>
      <c r="Y346" s="138">
        <v>2.2440886196830798E-2</v>
      </c>
      <c r="Z346" s="138">
        <v>1.10295911373125E-2</v>
      </c>
    </row>
    <row r="347" spans="1:26" x14ac:dyDescent="0.2">
      <c r="A347" s="3">
        <v>559</v>
      </c>
      <c r="B347" s="3">
        <v>7207</v>
      </c>
      <c r="C347" s="3" t="s">
        <v>1274</v>
      </c>
      <c r="D347" s="3" t="s">
        <v>1294</v>
      </c>
      <c r="E347" s="3" t="s">
        <v>1295</v>
      </c>
      <c r="F347" s="3" t="s">
        <v>223</v>
      </c>
      <c r="G347" s="3" t="s">
        <v>53</v>
      </c>
      <c r="H347" s="3" t="s">
        <v>53</v>
      </c>
      <c r="I347" s="3" t="s">
        <v>311</v>
      </c>
      <c r="J347" s="3" t="s">
        <v>1228</v>
      </c>
      <c r="K347" s="3" t="s">
        <v>78</v>
      </c>
      <c r="L347" s="3" t="s">
        <v>1219</v>
      </c>
      <c r="M347" s="137">
        <v>17.515999999999998</v>
      </c>
      <c r="N347" s="3" t="s">
        <v>1296</v>
      </c>
      <c r="O347" s="142">
        <v>2.8000000000000001E-2</v>
      </c>
      <c r="P347" s="138">
        <v>4.5929999999999999E-2</v>
      </c>
      <c r="R347" s="137">
        <v>1416000</v>
      </c>
      <c r="S347" s="139">
        <v>1</v>
      </c>
      <c r="T347" s="140">
        <v>73.98</v>
      </c>
      <c r="U347" s="137">
        <v>1047.557</v>
      </c>
      <c r="W347" s="3" t="s">
        <v>17</v>
      </c>
      <c r="X347" s="138">
        <v>5.5000000000000002E-5</v>
      </c>
      <c r="Y347" s="138">
        <v>1.7536611405764201E-2</v>
      </c>
      <c r="Z347" s="138">
        <v>8.6191628994948394E-3</v>
      </c>
    </row>
    <row r="348" spans="1:26" x14ac:dyDescent="0.2">
      <c r="A348" s="3">
        <v>559</v>
      </c>
      <c r="B348" s="3">
        <v>7207</v>
      </c>
      <c r="C348" s="3" t="s">
        <v>1274</v>
      </c>
      <c r="D348" s="3" t="s">
        <v>1297</v>
      </c>
      <c r="E348" s="3" t="s">
        <v>1298</v>
      </c>
      <c r="F348" s="3" t="s">
        <v>223</v>
      </c>
      <c r="G348" s="3" t="s">
        <v>53</v>
      </c>
      <c r="H348" s="3" t="s">
        <v>53</v>
      </c>
      <c r="I348" s="3" t="s">
        <v>1227</v>
      </c>
      <c r="J348" s="3" t="s">
        <v>1228</v>
      </c>
      <c r="K348" s="3" t="s">
        <v>78</v>
      </c>
      <c r="L348" s="3" t="s">
        <v>1219</v>
      </c>
      <c r="M348" s="137">
        <v>3.7810000000000001</v>
      </c>
      <c r="N348" s="3" t="s">
        <v>1299</v>
      </c>
      <c r="O348" s="142">
        <v>4.5999999999999999E-2</v>
      </c>
      <c r="P348" s="138">
        <v>3.9390000000000001E-2</v>
      </c>
      <c r="R348" s="137">
        <v>1961000</v>
      </c>
      <c r="S348" s="139">
        <v>1</v>
      </c>
      <c r="T348" s="140">
        <v>105.5</v>
      </c>
      <c r="U348" s="137">
        <v>2068.855</v>
      </c>
      <c r="W348" s="3" t="s">
        <v>17</v>
      </c>
      <c r="X348" s="138">
        <v>1.27E-4</v>
      </c>
      <c r="Y348" s="138">
        <v>3.4633641049222702E-2</v>
      </c>
      <c r="Z348" s="138">
        <v>1.7022273408405501E-2</v>
      </c>
    </row>
    <row r="349" spans="1:26" x14ac:dyDescent="0.2">
      <c r="A349" s="3">
        <v>559</v>
      </c>
      <c r="B349" s="3">
        <v>7207</v>
      </c>
      <c r="C349" s="3" t="s">
        <v>1274</v>
      </c>
      <c r="D349" s="3" t="s">
        <v>1300</v>
      </c>
      <c r="E349" s="3" t="s">
        <v>1301</v>
      </c>
      <c r="F349" s="3" t="s">
        <v>223</v>
      </c>
      <c r="G349" s="3" t="s">
        <v>53</v>
      </c>
      <c r="H349" s="3" t="s">
        <v>53</v>
      </c>
      <c r="I349" s="3" t="s">
        <v>311</v>
      </c>
      <c r="J349" s="3" t="s">
        <v>1228</v>
      </c>
      <c r="K349" s="3" t="s">
        <v>78</v>
      </c>
      <c r="L349" s="3" t="s">
        <v>1219</v>
      </c>
      <c r="M349" s="137">
        <v>11.420999999999999</v>
      </c>
      <c r="N349" s="3" t="s">
        <v>1302</v>
      </c>
      <c r="O349" s="142">
        <v>5.5E-2</v>
      </c>
      <c r="P349" s="138">
        <v>4.3520000000000003E-2</v>
      </c>
      <c r="R349" s="137">
        <v>916000</v>
      </c>
      <c r="S349" s="139">
        <v>1</v>
      </c>
      <c r="T349" s="140">
        <v>115.63</v>
      </c>
      <c r="U349" s="137">
        <v>1059.171</v>
      </c>
      <c r="W349" s="3" t="s">
        <v>17</v>
      </c>
      <c r="X349" s="138">
        <v>3.1999999999999999E-5</v>
      </c>
      <c r="Y349" s="138">
        <v>1.7731035426367701E-2</v>
      </c>
      <c r="Z349" s="138">
        <v>8.71472140087131E-3</v>
      </c>
    </row>
    <row r="350" spans="1:26" x14ac:dyDescent="0.2">
      <c r="A350" s="3">
        <v>559</v>
      </c>
      <c r="B350" s="3">
        <v>7207</v>
      </c>
      <c r="C350" s="3" t="s">
        <v>1251</v>
      </c>
      <c r="D350" s="3" t="s">
        <v>1303</v>
      </c>
      <c r="E350" s="3" t="s">
        <v>1304</v>
      </c>
      <c r="F350" s="3" t="s">
        <v>221</v>
      </c>
      <c r="G350" s="3" t="s">
        <v>53</v>
      </c>
      <c r="H350" s="3" t="s">
        <v>53</v>
      </c>
      <c r="I350" s="3" t="s">
        <v>311</v>
      </c>
      <c r="J350" s="3" t="s">
        <v>1228</v>
      </c>
      <c r="K350" s="3" t="s">
        <v>78</v>
      </c>
      <c r="L350" s="3" t="s">
        <v>1219</v>
      </c>
      <c r="M350" s="137">
        <v>3.8839999999999999</v>
      </c>
      <c r="N350" s="3" t="s">
        <v>1305</v>
      </c>
      <c r="O350" s="142">
        <v>5.0000000000000001E-3</v>
      </c>
      <c r="P350" s="138">
        <v>2.0080000000000001E-2</v>
      </c>
      <c r="R350" s="137">
        <v>4294459</v>
      </c>
      <c r="S350" s="139">
        <v>1</v>
      </c>
      <c r="T350" s="140">
        <v>110.62</v>
      </c>
      <c r="U350" s="137">
        <v>4750.5309999999999</v>
      </c>
      <c r="W350" s="3" t="s">
        <v>17</v>
      </c>
      <c r="X350" s="138">
        <v>1.46E-4</v>
      </c>
      <c r="Y350" s="138">
        <v>7.9526196720700604E-2</v>
      </c>
      <c r="Z350" s="138">
        <v>3.9086755613897302E-2</v>
      </c>
    </row>
    <row r="351" spans="1:26" x14ac:dyDescent="0.2">
      <c r="A351" s="3">
        <v>559</v>
      </c>
      <c r="B351" s="3">
        <v>7207</v>
      </c>
      <c r="C351" s="3" t="s">
        <v>1251</v>
      </c>
      <c r="D351" s="3" t="s">
        <v>1306</v>
      </c>
      <c r="E351" s="3" t="s">
        <v>1307</v>
      </c>
      <c r="F351" s="3" t="s">
        <v>221</v>
      </c>
      <c r="G351" s="3" t="s">
        <v>53</v>
      </c>
      <c r="H351" s="3" t="s">
        <v>53</v>
      </c>
      <c r="I351" s="3" t="s">
        <v>311</v>
      </c>
      <c r="J351" s="3" t="s">
        <v>1228</v>
      </c>
      <c r="K351" s="3" t="s">
        <v>78</v>
      </c>
      <c r="L351" s="3" t="s">
        <v>1219</v>
      </c>
      <c r="M351" s="137">
        <v>1.0780000000000001</v>
      </c>
      <c r="N351" s="3" t="s">
        <v>1308</v>
      </c>
      <c r="O351" s="142">
        <v>1E-3</v>
      </c>
      <c r="P351" s="138">
        <v>2.3380000000000001E-2</v>
      </c>
      <c r="R351" s="137">
        <v>3741000</v>
      </c>
      <c r="S351" s="139">
        <v>1</v>
      </c>
      <c r="T351" s="140">
        <v>114.5</v>
      </c>
      <c r="U351" s="137">
        <v>4283.4449999999997</v>
      </c>
      <c r="W351" s="3" t="s">
        <v>17</v>
      </c>
      <c r="X351" s="138">
        <v>1.85E-4</v>
      </c>
      <c r="Y351" s="138">
        <v>7.1706957028930304E-2</v>
      </c>
      <c r="Z351" s="138">
        <v>3.5243635692142603E-2</v>
      </c>
    </row>
    <row r="352" spans="1:26" x14ac:dyDescent="0.2">
      <c r="A352" s="3">
        <v>559</v>
      </c>
      <c r="B352" s="3">
        <v>7207</v>
      </c>
      <c r="C352" s="3" t="s">
        <v>1251</v>
      </c>
      <c r="D352" s="3" t="s">
        <v>1309</v>
      </c>
      <c r="E352" s="3" t="s">
        <v>1310</v>
      </c>
      <c r="F352" s="3" t="s">
        <v>221</v>
      </c>
      <c r="G352" s="3" t="s">
        <v>53</v>
      </c>
      <c r="H352" s="3" t="s">
        <v>53</v>
      </c>
      <c r="I352" s="3" t="s">
        <v>311</v>
      </c>
      <c r="J352" s="3" t="s">
        <v>1228</v>
      </c>
      <c r="K352" s="3" t="s">
        <v>78</v>
      </c>
      <c r="L352" s="3" t="s">
        <v>1219</v>
      </c>
      <c r="M352" s="137">
        <v>3.2679999999999998</v>
      </c>
      <c r="N352" s="3" t="s">
        <v>1311</v>
      </c>
      <c r="O352" s="142">
        <v>1.0999999999999999E-2</v>
      </c>
      <c r="P352" s="138">
        <v>2.053E-2</v>
      </c>
      <c r="R352" s="137">
        <v>4223000</v>
      </c>
      <c r="S352" s="139">
        <v>1</v>
      </c>
      <c r="T352" s="140">
        <v>103.51</v>
      </c>
      <c r="U352" s="137">
        <v>4371.2269999999999</v>
      </c>
      <c r="W352" s="3" t="s">
        <v>17</v>
      </c>
      <c r="X352" s="138">
        <v>1.35E-4</v>
      </c>
      <c r="Y352" s="138">
        <v>7.3176475515569106E-2</v>
      </c>
      <c r="Z352" s="138">
        <v>3.5965897189936598E-2</v>
      </c>
    </row>
    <row r="353" spans="1:26" x14ac:dyDescent="0.2">
      <c r="A353" s="3">
        <v>559</v>
      </c>
      <c r="B353" s="3">
        <v>7207</v>
      </c>
      <c r="C353" s="3" t="s">
        <v>1251</v>
      </c>
      <c r="D353" s="3" t="s">
        <v>1312</v>
      </c>
      <c r="E353" s="3" t="s">
        <v>1313</v>
      </c>
      <c r="F353" s="3" t="s">
        <v>221</v>
      </c>
      <c r="G353" s="3" t="s">
        <v>53</v>
      </c>
      <c r="H353" s="3" t="s">
        <v>53</v>
      </c>
      <c r="I353" s="3" t="s">
        <v>1227</v>
      </c>
      <c r="J353" s="3" t="s">
        <v>1228</v>
      </c>
      <c r="K353" s="3" t="s">
        <v>78</v>
      </c>
      <c r="L353" s="3" t="s">
        <v>1219</v>
      </c>
      <c r="M353" s="137">
        <v>7.7789999999999999</v>
      </c>
      <c r="N353" s="3" t="s">
        <v>1314</v>
      </c>
      <c r="O353" s="142">
        <v>1.6E-2</v>
      </c>
      <c r="P353" s="138">
        <v>1.9709999999999998E-2</v>
      </c>
      <c r="R353" s="137">
        <v>596000</v>
      </c>
      <c r="S353" s="139">
        <v>1</v>
      </c>
      <c r="T353" s="140">
        <v>103.3</v>
      </c>
      <c r="U353" s="137">
        <v>615.66800000000001</v>
      </c>
      <c r="W353" s="3" t="s">
        <v>17</v>
      </c>
      <c r="X353" s="138">
        <v>2.5000000000000001E-5</v>
      </c>
      <c r="Y353" s="138">
        <v>1.03065823933977E-2</v>
      </c>
      <c r="Z353" s="138">
        <v>5.0656372847812997E-3</v>
      </c>
    </row>
    <row r="354" spans="1:26" x14ac:dyDescent="0.2">
      <c r="A354" s="3">
        <v>559</v>
      </c>
      <c r="B354" s="3">
        <v>7207</v>
      </c>
      <c r="C354" s="3" t="s">
        <v>1274</v>
      </c>
      <c r="D354" s="3" t="s">
        <v>1315</v>
      </c>
      <c r="E354" s="3" t="s">
        <v>1316</v>
      </c>
      <c r="F354" s="3" t="s">
        <v>223</v>
      </c>
      <c r="G354" s="3" t="s">
        <v>53</v>
      </c>
      <c r="H354" s="3" t="s">
        <v>53</v>
      </c>
      <c r="I354" s="3" t="s">
        <v>311</v>
      </c>
      <c r="J354" s="3" t="s">
        <v>1228</v>
      </c>
      <c r="K354" s="3" t="s">
        <v>78</v>
      </c>
      <c r="L354" s="3" t="s">
        <v>1219</v>
      </c>
      <c r="M354" s="137">
        <v>10.803000000000001</v>
      </c>
      <c r="N354" s="3" t="s">
        <v>1317</v>
      </c>
      <c r="O354" s="142">
        <v>1.4999999999999999E-2</v>
      </c>
      <c r="P354" s="138">
        <v>4.2529999999999998E-2</v>
      </c>
      <c r="R354" s="137">
        <v>3333051</v>
      </c>
      <c r="S354" s="139">
        <v>1</v>
      </c>
      <c r="T354" s="140">
        <v>74.8</v>
      </c>
      <c r="U354" s="137">
        <v>2493.1219999999998</v>
      </c>
      <c r="W354" s="3" t="s">
        <v>17</v>
      </c>
      <c r="X354" s="138">
        <v>8.7999999999999998E-5</v>
      </c>
      <c r="Y354" s="138">
        <v>4.17360798923554E-2</v>
      </c>
      <c r="Z354" s="138">
        <v>2.05130890486802E-2</v>
      </c>
    </row>
    <row r="355" spans="1:26" x14ac:dyDescent="0.2">
      <c r="A355" s="3">
        <v>559</v>
      </c>
      <c r="B355" s="3">
        <v>7207</v>
      </c>
      <c r="C355" s="3" t="s">
        <v>1274</v>
      </c>
      <c r="D355" s="3" t="s">
        <v>1318</v>
      </c>
      <c r="E355" s="3" t="s">
        <v>1319</v>
      </c>
      <c r="F355" s="3" t="s">
        <v>223</v>
      </c>
      <c r="G355" s="3" t="s">
        <v>53</v>
      </c>
      <c r="H355" s="3" t="s">
        <v>53</v>
      </c>
      <c r="I355" s="3" t="s">
        <v>311</v>
      </c>
      <c r="J355" s="3" t="s">
        <v>1228</v>
      </c>
      <c r="K355" s="3" t="s">
        <v>78</v>
      </c>
      <c r="L355" s="3" t="s">
        <v>1219</v>
      </c>
      <c r="M355" s="137">
        <v>4.641</v>
      </c>
      <c r="N355" s="3" t="s">
        <v>1320</v>
      </c>
      <c r="O355" s="142">
        <v>0.01</v>
      </c>
      <c r="P355" s="138">
        <v>3.9690000000000003E-2</v>
      </c>
      <c r="R355" s="137">
        <v>489000</v>
      </c>
      <c r="S355" s="139">
        <v>1</v>
      </c>
      <c r="T355" s="140">
        <v>87.63</v>
      </c>
      <c r="U355" s="137">
        <v>428.51100000000002</v>
      </c>
      <c r="W355" s="3" t="s">
        <v>17</v>
      </c>
      <c r="X355" s="138">
        <v>1.2999999999999999E-5</v>
      </c>
      <c r="Y355" s="138">
        <v>7.17347797189805E-3</v>
      </c>
      <c r="Z355" s="138">
        <v>3.5257310414829601E-3</v>
      </c>
    </row>
    <row r="356" spans="1:26" x14ac:dyDescent="0.2">
      <c r="A356" s="3">
        <v>559</v>
      </c>
      <c r="B356" s="3">
        <v>7207</v>
      </c>
      <c r="C356" s="3" t="s">
        <v>1274</v>
      </c>
      <c r="D356" s="3" t="s">
        <v>1321</v>
      </c>
      <c r="E356" s="3" t="s">
        <v>1322</v>
      </c>
      <c r="F356" s="3" t="s">
        <v>223</v>
      </c>
      <c r="G356" s="3" t="s">
        <v>53</v>
      </c>
      <c r="H356" s="3" t="s">
        <v>53</v>
      </c>
      <c r="I356" s="3" t="s">
        <v>311</v>
      </c>
      <c r="J356" s="3" t="s">
        <v>1228</v>
      </c>
      <c r="K356" s="3" t="s">
        <v>78</v>
      </c>
      <c r="L356" s="3" t="s">
        <v>1219</v>
      </c>
      <c r="M356" s="137">
        <v>6.5380000000000003</v>
      </c>
      <c r="N356" s="3" t="s">
        <v>1323</v>
      </c>
      <c r="O356" s="142">
        <v>1.2999999999999999E-2</v>
      </c>
      <c r="P356" s="138">
        <v>4.0480000000000002E-2</v>
      </c>
      <c r="R356" s="137">
        <v>3041000</v>
      </c>
      <c r="S356" s="139">
        <v>1</v>
      </c>
      <c r="T356" s="140">
        <v>84.1</v>
      </c>
      <c r="U356" s="137">
        <v>2557.4810000000002</v>
      </c>
      <c r="W356" s="3" t="s">
        <v>17</v>
      </c>
      <c r="X356" s="138">
        <v>8.5000000000000006E-5</v>
      </c>
      <c r="Y356" s="138">
        <v>4.2813478443006897E-2</v>
      </c>
      <c r="Z356" s="138">
        <v>2.1042625422662501E-2</v>
      </c>
    </row>
    <row r="357" spans="1:26" x14ac:dyDescent="0.2">
      <c r="A357" s="3">
        <v>559</v>
      </c>
      <c r="B357" s="3">
        <v>7207</v>
      </c>
      <c r="C357" s="3" t="s">
        <v>1224</v>
      </c>
      <c r="D357" s="3" t="s">
        <v>1324</v>
      </c>
      <c r="E357" s="3" t="s">
        <v>1325</v>
      </c>
      <c r="F357" s="3" t="s">
        <v>227</v>
      </c>
      <c r="G357" s="3" t="s">
        <v>53</v>
      </c>
      <c r="H357" s="3" t="s">
        <v>53</v>
      </c>
      <c r="I357" s="3" t="s">
        <v>1227</v>
      </c>
      <c r="J357" s="3" t="s">
        <v>1228</v>
      </c>
      <c r="K357" s="3" t="s">
        <v>78</v>
      </c>
      <c r="L357" s="3" t="s">
        <v>1219</v>
      </c>
      <c r="M357" s="137">
        <v>0.59499999999999997</v>
      </c>
      <c r="N357" s="3" t="s">
        <v>1326</v>
      </c>
      <c r="O357" s="142">
        <v>0</v>
      </c>
      <c r="P357" s="138">
        <v>4.2790000000000002E-2</v>
      </c>
      <c r="R357" s="137">
        <v>281000</v>
      </c>
      <c r="S357" s="139">
        <v>1</v>
      </c>
      <c r="T357" s="140">
        <v>97.54</v>
      </c>
      <c r="U357" s="137">
        <v>274.08699999999999</v>
      </c>
      <c r="W357" s="3" t="s">
        <v>17</v>
      </c>
      <c r="X357" s="138">
        <v>1.5999999999999999E-5</v>
      </c>
      <c r="Y357" s="138">
        <v>4.5883566647806203E-3</v>
      </c>
      <c r="Z357" s="138">
        <v>2.25515594886979E-3</v>
      </c>
    </row>
    <row r="358" spans="1:26" x14ac:dyDescent="0.2">
      <c r="A358" s="3">
        <v>559</v>
      </c>
      <c r="B358" s="3">
        <v>7207</v>
      </c>
      <c r="C358" s="3" t="s">
        <v>1224</v>
      </c>
      <c r="D358" s="3" t="s">
        <v>1327</v>
      </c>
      <c r="E358" s="3" t="s">
        <v>1328</v>
      </c>
      <c r="F358" s="3" t="s">
        <v>227</v>
      </c>
      <c r="G358" s="3" t="s">
        <v>53</v>
      </c>
      <c r="H358" s="3" t="s">
        <v>53</v>
      </c>
      <c r="I358" s="3" t="s">
        <v>1227</v>
      </c>
      <c r="J358" s="3" t="s">
        <v>1228</v>
      </c>
      <c r="K358" s="3" t="s">
        <v>78</v>
      </c>
      <c r="L358" s="3" t="s">
        <v>1219</v>
      </c>
      <c r="M358" s="137">
        <v>0.67100000000000004</v>
      </c>
      <c r="N358" s="3" t="s">
        <v>1329</v>
      </c>
      <c r="O358" s="142">
        <v>0</v>
      </c>
      <c r="P358" s="138">
        <v>4.2259999999999999E-2</v>
      </c>
      <c r="R358" s="137">
        <v>1303000</v>
      </c>
      <c r="S358" s="139">
        <v>1</v>
      </c>
      <c r="T358" s="140">
        <v>97.26</v>
      </c>
      <c r="U358" s="137">
        <v>1267.298</v>
      </c>
      <c r="W358" s="3" t="s">
        <v>17</v>
      </c>
      <c r="X358" s="138">
        <v>7.2000000000000002E-5</v>
      </c>
      <c r="Y358" s="138">
        <v>2.12151828463907E-2</v>
      </c>
      <c r="Z358" s="138">
        <v>1.04271636443689E-2</v>
      </c>
    </row>
    <row r="359" spans="1:26" x14ac:dyDescent="0.2">
      <c r="A359" s="3">
        <v>559</v>
      </c>
      <c r="B359" s="3">
        <v>7207</v>
      </c>
      <c r="C359" s="3" t="s">
        <v>1224</v>
      </c>
      <c r="D359" s="3" t="s">
        <v>1330</v>
      </c>
      <c r="E359" s="3" t="s">
        <v>1331</v>
      </c>
      <c r="F359" s="3" t="s">
        <v>227</v>
      </c>
      <c r="G359" s="3" t="s">
        <v>53</v>
      </c>
      <c r="H359" s="3" t="s">
        <v>53</v>
      </c>
      <c r="I359" s="3" t="s">
        <v>1227</v>
      </c>
      <c r="J359" s="3" t="s">
        <v>1228</v>
      </c>
      <c r="K359" s="3" t="s">
        <v>78</v>
      </c>
      <c r="L359" s="3" t="s">
        <v>1219</v>
      </c>
      <c r="M359" s="137">
        <v>0.84399999999999997</v>
      </c>
      <c r="N359" s="3" t="s">
        <v>1332</v>
      </c>
      <c r="O359" s="142">
        <v>0</v>
      </c>
      <c r="P359" s="138">
        <v>4.1329999999999999E-2</v>
      </c>
      <c r="R359" s="137">
        <v>358000</v>
      </c>
      <c r="S359" s="139">
        <v>1</v>
      </c>
      <c r="T359" s="140">
        <v>96.64</v>
      </c>
      <c r="U359" s="137">
        <v>345.971</v>
      </c>
      <c r="W359" s="3" t="s">
        <v>17</v>
      </c>
      <c r="X359" s="138">
        <v>2.0000000000000002E-5</v>
      </c>
      <c r="Y359" s="138">
        <v>5.7917265125728102E-3</v>
      </c>
      <c r="Z359" s="138">
        <v>2.84660662919062E-3</v>
      </c>
    </row>
    <row r="360" spans="1:26" x14ac:dyDescent="0.2">
      <c r="A360" s="3">
        <v>559</v>
      </c>
      <c r="B360" s="3">
        <v>7207</v>
      </c>
      <c r="C360" s="3" t="s">
        <v>1224</v>
      </c>
      <c r="D360" s="3" t="s">
        <v>1333</v>
      </c>
      <c r="E360" s="3" t="s">
        <v>1334</v>
      </c>
      <c r="F360" s="3" t="s">
        <v>227</v>
      </c>
      <c r="G360" s="3" t="s">
        <v>53</v>
      </c>
      <c r="H360" s="3" t="s">
        <v>53</v>
      </c>
      <c r="I360" s="3" t="s">
        <v>1227</v>
      </c>
      <c r="J360" s="3" t="s">
        <v>1228</v>
      </c>
      <c r="K360" s="3" t="s">
        <v>78</v>
      </c>
      <c r="L360" s="3" t="s">
        <v>1219</v>
      </c>
      <c r="M360" s="137">
        <v>9.6000000000000002E-2</v>
      </c>
      <c r="N360" s="3" t="s">
        <v>1335</v>
      </c>
      <c r="O360" s="142">
        <v>0</v>
      </c>
      <c r="P360" s="138">
        <v>4.3779999999999999E-2</v>
      </c>
      <c r="R360" s="137">
        <v>2457000</v>
      </c>
      <c r="S360" s="139">
        <v>1</v>
      </c>
      <c r="T360" s="140">
        <v>99.59</v>
      </c>
      <c r="U360" s="137">
        <v>2446.9259999999999</v>
      </c>
      <c r="W360" s="3" t="s">
        <v>17</v>
      </c>
      <c r="X360" s="138">
        <v>8.2000000000000001E-5</v>
      </c>
      <c r="Y360" s="138">
        <v>4.0962738881218097E-2</v>
      </c>
      <c r="Z360" s="138">
        <v>2.0132995540440599E-2</v>
      </c>
    </row>
    <row r="361" spans="1:26" x14ac:dyDescent="0.2">
      <c r="A361" s="3">
        <v>559</v>
      </c>
      <c r="B361" s="3">
        <v>7207</v>
      </c>
      <c r="C361" s="3" t="s">
        <v>1336</v>
      </c>
      <c r="D361" s="3" t="s">
        <v>1337</v>
      </c>
      <c r="E361" s="3" t="s">
        <v>1338</v>
      </c>
      <c r="F361" s="3" t="s">
        <v>225</v>
      </c>
      <c r="G361" s="3" t="s">
        <v>61</v>
      </c>
      <c r="H361" s="3" t="s">
        <v>314</v>
      </c>
      <c r="I361" s="3" t="s">
        <v>1150</v>
      </c>
      <c r="J361" s="3" t="s">
        <v>1339</v>
      </c>
      <c r="K361" s="3" t="s">
        <v>101</v>
      </c>
      <c r="L361" s="3" t="s">
        <v>1217</v>
      </c>
      <c r="M361" s="137">
        <v>10.71</v>
      </c>
      <c r="N361" s="3" t="s">
        <v>1340</v>
      </c>
      <c r="O361" s="142">
        <v>4.3749999999999997E-2</v>
      </c>
      <c r="P361" s="138">
        <v>4.6359999999999998E-2</v>
      </c>
      <c r="R361" s="137">
        <v>50000</v>
      </c>
      <c r="S361" s="139">
        <v>3.3719999999999999</v>
      </c>
      <c r="T361" s="140">
        <v>98.578000000000003</v>
      </c>
      <c r="U361" s="137">
        <v>166.203</v>
      </c>
      <c r="W361" s="3" t="s">
        <v>17</v>
      </c>
      <c r="X361" s="138">
        <v>9.9999999999999995E-7</v>
      </c>
      <c r="Y361" s="138">
        <v>2.7823159294432698E-3</v>
      </c>
      <c r="Z361" s="138">
        <v>1.3674953318432101E-3</v>
      </c>
    </row>
    <row r="362" spans="1:26" x14ac:dyDescent="0.2">
      <c r="A362" s="3">
        <v>559</v>
      </c>
      <c r="B362" s="3">
        <v>7207</v>
      </c>
      <c r="C362" s="3" t="s">
        <v>1341</v>
      </c>
      <c r="D362" s="3" t="s">
        <v>1342</v>
      </c>
      <c r="E362" s="3" t="s">
        <v>1343</v>
      </c>
      <c r="F362" s="3" t="s">
        <v>225</v>
      </c>
      <c r="G362" s="3" t="s">
        <v>61</v>
      </c>
      <c r="H362" s="3" t="s">
        <v>314</v>
      </c>
      <c r="I362" s="3" t="s">
        <v>1150</v>
      </c>
      <c r="J362" s="3" t="s">
        <v>1339</v>
      </c>
      <c r="K362" s="3" t="s">
        <v>101</v>
      </c>
      <c r="L362" s="3" t="s">
        <v>1217</v>
      </c>
      <c r="M362" s="137">
        <v>14.308999999999999</v>
      </c>
      <c r="N362" s="3" t="s">
        <v>1344</v>
      </c>
      <c r="O362" s="142">
        <v>0.03</v>
      </c>
      <c r="P362" s="138">
        <v>4.87E-2</v>
      </c>
      <c r="Q362" s="137">
        <v>1.649</v>
      </c>
      <c r="R362" s="137">
        <v>0</v>
      </c>
      <c r="S362" s="139">
        <v>3.3719999999999999</v>
      </c>
      <c r="T362" s="140">
        <v>0</v>
      </c>
      <c r="U362" s="137">
        <v>5.5590000000000002</v>
      </c>
      <c r="W362" s="3" t="s">
        <v>17</v>
      </c>
      <c r="X362" s="138">
        <v>0</v>
      </c>
      <c r="Y362" s="138">
        <v>9.3056351710862797E-5</v>
      </c>
      <c r="Z362" s="138">
        <v>4.5736763829126899E-5</v>
      </c>
    </row>
    <row r="363" spans="1:26" x14ac:dyDescent="0.2">
      <c r="A363" s="3">
        <v>559</v>
      </c>
      <c r="B363" s="3">
        <v>7207</v>
      </c>
      <c r="C363" s="3" t="s">
        <v>1345</v>
      </c>
      <c r="D363" s="3" t="s">
        <v>1346</v>
      </c>
      <c r="E363" s="3" t="s">
        <v>1347</v>
      </c>
      <c r="F363" s="3" t="s">
        <v>225</v>
      </c>
      <c r="G363" s="3" t="s">
        <v>61</v>
      </c>
      <c r="H363" s="3" t="s">
        <v>314</v>
      </c>
      <c r="I363" s="3" t="s">
        <v>1150</v>
      </c>
      <c r="J363" s="3" t="s">
        <v>1339</v>
      </c>
      <c r="K363" s="3" t="s">
        <v>101</v>
      </c>
      <c r="L363" s="3" t="s">
        <v>1217</v>
      </c>
      <c r="M363" s="137">
        <v>9.8000000000000004E-2</v>
      </c>
      <c r="N363" s="3" t="s">
        <v>1348</v>
      </c>
      <c r="O363" s="142">
        <v>0</v>
      </c>
      <c r="P363" s="138">
        <v>4.3479999999999998E-2</v>
      </c>
      <c r="R363" s="137">
        <v>30000</v>
      </c>
      <c r="S363" s="139">
        <v>3.3719999999999999</v>
      </c>
      <c r="T363" s="140">
        <v>99.596999999999994</v>
      </c>
      <c r="U363" s="137">
        <v>100.753</v>
      </c>
      <c r="W363" s="3" t="s">
        <v>17</v>
      </c>
      <c r="X363" s="138">
        <v>0</v>
      </c>
      <c r="Y363" s="138">
        <v>1.68664641694542E-3</v>
      </c>
      <c r="Z363" s="138">
        <v>8.2897886513716196E-4</v>
      </c>
    </row>
    <row r="364" spans="1:26" x14ac:dyDescent="0.2">
      <c r="A364" s="3">
        <v>559</v>
      </c>
      <c r="B364" s="3">
        <v>7207</v>
      </c>
      <c r="C364" s="3" t="s">
        <v>1345</v>
      </c>
      <c r="D364" s="3" t="s">
        <v>1349</v>
      </c>
      <c r="E364" s="3" t="s">
        <v>1350</v>
      </c>
      <c r="F364" s="3" t="s">
        <v>225</v>
      </c>
      <c r="G364" s="3" t="s">
        <v>61</v>
      </c>
      <c r="H364" s="3" t="s">
        <v>314</v>
      </c>
      <c r="I364" s="3" t="s">
        <v>1150</v>
      </c>
      <c r="J364" s="3" t="s">
        <v>1339</v>
      </c>
      <c r="K364" s="3" t="s">
        <v>101</v>
      </c>
      <c r="L364" s="3" t="s">
        <v>1217</v>
      </c>
      <c r="M364" s="137">
        <v>0.219</v>
      </c>
      <c r="N364" s="3" t="s">
        <v>1351</v>
      </c>
      <c r="O364" s="142">
        <v>0</v>
      </c>
      <c r="P364" s="138">
        <v>4.3040000000000002E-2</v>
      </c>
      <c r="R364" s="137">
        <v>20000</v>
      </c>
      <c r="S364" s="139">
        <v>3.3719999999999999</v>
      </c>
      <c r="T364" s="140">
        <v>99.084999999999994</v>
      </c>
      <c r="U364" s="137">
        <v>66.822999999999993</v>
      </c>
      <c r="W364" s="3" t="s">
        <v>17</v>
      </c>
      <c r="X364" s="138">
        <v>0</v>
      </c>
      <c r="Y364" s="138">
        <v>1.1186438009935301E-3</v>
      </c>
      <c r="Z364" s="138">
        <v>5.4980822259106097E-4</v>
      </c>
    </row>
    <row r="365" spans="1:26" x14ac:dyDescent="0.2">
      <c r="A365" s="3">
        <v>559</v>
      </c>
      <c r="B365" s="3">
        <v>7207</v>
      </c>
      <c r="C365" s="3" t="s">
        <v>1352</v>
      </c>
      <c r="D365" s="3" t="s">
        <v>1353</v>
      </c>
      <c r="E365" s="3" t="s">
        <v>1354</v>
      </c>
      <c r="F365" s="3" t="s">
        <v>225</v>
      </c>
      <c r="G365" s="3" t="s">
        <v>61</v>
      </c>
      <c r="H365" s="3" t="s">
        <v>53</v>
      </c>
      <c r="I365" s="3" t="s">
        <v>102</v>
      </c>
      <c r="J365" s="3" t="s">
        <v>1355</v>
      </c>
      <c r="K365" s="3" t="s">
        <v>84</v>
      </c>
      <c r="L365" s="3" t="s">
        <v>1215</v>
      </c>
      <c r="M365" s="137">
        <v>1.282</v>
      </c>
      <c r="N365" s="3" t="s">
        <v>1356</v>
      </c>
      <c r="O365" s="142">
        <v>0.05</v>
      </c>
      <c r="P365" s="138">
        <v>2.9190000000000001E-2</v>
      </c>
      <c r="R365" s="137">
        <v>30000</v>
      </c>
      <c r="S365" s="139">
        <v>3.9552</v>
      </c>
      <c r="T365" s="140">
        <v>105.91</v>
      </c>
      <c r="U365" s="137">
        <v>125.669</v>
      </c>
      <c r="W365" s="3" t="s">
        <v>17</v>
      </c>
      <c r="X365" s="138">
        <v>1.7E-5</v>
      </c>
      <c r="Y365" s="138">
        <v>2.1037618850225899E-3</v>
      </c>
      <c r="Z365" s="138">
        <v>1.0339891766546099E-3</v>
      </c>
    </row>
    <row r="366" spans="1:26" x14ac:dyDescent="0.2">
      <c r="A366" s="3">
        <v>559</v>
      </c>
      <c r="B366" s="3">
        <v>7207</v>
      </c>
      <c r="C366" s="3" t="s">
        <v>1352</v>
      </c>
      <c r="D366" s="3" t="s">
        <v>1357</v>
      </c>
      <c r="E366" s="3" t="s">
        <v>1358</v>
      </c>
      <c r="F366" s="3" t="s">
        <v>225</v>
      </c>
      <c r="G366" s="3" t="s">
        <v>61</v>
      </c>
      <c r="H366" s="3" t="s">
        <v>53</v>
      </c>
      <c r="I366" s="3" t="s">
        <v>102</v>
      </c>
      <c r="J366" s="3" t="s">
        <v>1355</v>
      </c>
      <c r="K366" s="3" t="s">
        <v>84</v>
      </c>
      <c r="L366" s="3" t="s">
        <v>1217</v>
      </c>
      <c r="M366" s="137">
        <v>7.4349999999999996</v>
      </c>
      <c r="N366" s="3" t="s">
        <v>1359</v>
      </c>
      <c r="O366" s="142">
        <v>5.6250000000000001E-2</v>
      </c>
      <c r="P366" s="138">
        <v>5.4850000000000003E-2</v>
      </c>
      <c r="R366" s="137">
        <v>18000</v>
      </c>
      <c r="S366" s="139">
        <v>3.3719999999999999</v>
      </c>
      <c r="T366" s="140">
        <v>103.77</v>
      </c>
      <c r="U366" s="137">
        <v>62.984000000000002</v>
      </c>
      <c r="W366" s="3" t="s">
        <v>17</v>
      </c>
      <c r="X366" s="138">
        <v>6.9999999999999999E-6</v>
      </c>
      <c r="Y366" s="138">
        <v>1.05438940260186E-3</v>
      </c>
      <c r="Z366" s="138">
        <v>5.1822748478872599E-4</v>
      </c>
    </row>
    <row r="367" spans="1:26" x14ac:dyDescent="0.2">
      <c r="A367" s="3">
        <v>559</v>
      </c>
      <c r="B367" s="3">
        <v>7207</v>
      </c>
      <c r="C367" s="3" t="s">
        <v>1352</v>
      </c>
      <c r="D367" s="3" t="s">
        <v>1360</v>
      </c>
      <c r="E367" s="3" t="s">
        <v>1361</v>
      </c>
      <c r="F367" s="3" t="s">
        <v>225</v>
      </c>
      <c r="G367" s="3" t="s">
        <v>61</v>
      </c>
      <c r="H367" s="3" t="s">
        <v>53</v>
      </c>
      <c r="I367" s="3" t="s">
        <v>102</v>
      </c>
      <c r="J367" s="3" t="s">
        <v>1355</v>
      </c>
      <c r="K367" s="3" t="s">
        <v>84</v>
      </c>
      <c r="L367" s="3" t="s">
        <v>1217</v>
      </c>
      <c r="M367" s="137">
        <v>3.3530000000000002</v>
      </c>
      <c r="N367" s="3" t="s">
        <v>1362</v>
      </c>
      <c r="O367" s="142">
        <v>5.3749999999999999E-2</v>
      </c>
      <c r="P367" s="138">
        <v>4.9230000000000003E-2</v>
      </c>
      <c r="R367" s="137">
        <v>35000</v>
      </c>
      <c r="S367" s="139">
        <v>3.3719999999999999</v>
      </c>
      <c r="T367" s="140">
        <v>103.26600000000001</v>
      </c>
      <c r="U367" s="137">
        <v>121.874</v>
      </c>
      <c r="W367" s="3" t="s">
        <v>17</v>
      </c>
      <c r="X367" s="138">
        <v>1.7E-5</v>
      </c>
      <c r="Y367" s="138">
        <v>2.0402292082232899E-3</v>
      </c>
      <c r="Z367" s="138">
        <v>1.0027631616563999E-3</v>
      </c>
    </row>
    <row r="368" spans="1:26" x14ac:dyDescent="0.2">
      <c r="A368" s="3">
        <v>559</v>
      </c>
      <c r="B368" s="3">
        <v>7207</v>
      </c>
      <c r="C368" s="3" t="s">
        <v>1352</v>
      </c>
      <c r="D368" s="3" t="s">
        <v>1363</v>
      </c>
      <c r="E368" s="3" t="s">
        <v>1364</v>
      </c>
      <c r="F368" s="3" t="s">
        <v>225</v>
      </c>
      <c r="G368" s="3" t="s">
        <v>61</v>
      </c>
      <c r="H368" s="3" t="s">
        <v>53</v>
      </c>
      <c r="I368" s="3" t="s">
        <v>102</v>
      </c>
      <c r="J368" s="3" t="s">
        <v>1355</v>
      </c>
      <c r="K368" s="3" t="s">
        <v>84</v>
      </c>
      <c r="L368" s="3" t="s">
        <v>1217</v>
      </c>
      <c r="M368" s="137">
        <v>6.9240000000000004</v>
      </c>
      <c r="N368" s="3" t="s">
        <v>1365</v>
      </c>
      <c r="O368" s="142">
        <v>5.5E-2</v>
      </c>
      <c r="P368" s="138">
        <v>5.425E-2</v>
      </c>
      <c r="R368" s="137">
        <v>38000</v>
      </c>
      <c r="S368" s="139">
        <v>3.3719999999999999</v>
      </c>
      <c r="T368" s="140">
        <v>102.574</v>
      </c>
      <c r="U368" s="137">
        <v>131.434</v>
      </c>
      <c r="W368" s="3" t="s">
        <v>17</v>
      </c>
      <c r="X368" s="138">
        <v>1.2999999999999999E-5</v>
      </c>
      <c r="Y368" s="138">
        <v>2.2002729138726898E-3</v>
      </c>
      <c r="Z368" s="138">
        <v>1.0814238982213701E-3</v>
      </c>
    </row>
    <row r="369" spans="1:26" x14ac:dyDescent="0.2">
      <c r="A369" s="3">
        <v>559</v>
      </c>
      <c r="B369" s="3">
        <v>7207</v>
      </c>
      <c r="C369" s="3" t="s">
        <v>1352</v>
      </c>
      <c r="D369" s="3" t="s">
        <v>1366</v>
      </c>
      <c r="E369" s="3" t="s">
        <v>1367</v>
      </c>
      <c r="F369" s="3" t="s">
        <v>225</v>
      </c>
      <c r="G369" s="3" t="s">
        <v>61</v>
      </c>
      <c r="H369" s="3" t="s">
        <v>53</v>
      </c>
      <c r="I369" s="3" t="s">
        <v>102</v>
      </c>
      <c r="J369" s="3" t="s">
        <v>1355</v>
      </c>
      <c r="K369" s="3" t="s">
        <v>84</v>
      </c>
      <c r="L369" s="3" t="s">
        <v>1217</v>
      </c>
      <c r="M369" s="137">
        <v>13.561999999999999</v>
      </c>
      <c r="N369" s="3" t="s">
        <v>1368</v>
      </c>
      <c r="O369" s="142">
        <v>5.7500000000000002E-2</v>
      </c>
      <c r="P369" s="138">
        <v>6.3950000000000007E-2</v>
      </c>
      <c r="R369" s="137">
        <v>45000</v>
      </c>
      <c r="S369" s="139">
        <v>3.3719999999999999</v>
      </c>
      <c r="T369" s="140">
        <v>94.016999999999996</v>
      </c>
      <c r="U369" s="137">
        <v>142.661</v>
      </c>
      <c r="W369" s="3" t="s">
        <v>17</v>
      </c>
      <c r="X369" s="138">
        <v>1.5E-5</v>
      </c>
      <c r="Y369" s="138">
        <v>2.3882212981181801E-3</v>
      </c>
      <c r="Z369" s="138">
        <v>1.1737996544621801E-3</v>
      </c>
    </row>
    <row r="370" spans="1:26" x14ac:dyDescent="0.2">
      <c r="A370" s="3">
        <v>559</v>
      </c>
      <c r="B370" s="3">
        <v>7207</v>
      </c>
      <c r="C370" s="3" t="s">
        <v>1369</v>
      </c>
      <c r="D370" s="3" t="s">
        <v>1370</v>
      </c>
      <c r="E370" s="3" t="s">
        <v>1371</v>
      </c>
      <c r="F370" s="3" t="s">
        <v>225</v>
      </c>
      <c r="G370" s="3" t="s">
        <v>61</v>
      </c>
      <c r="H370" s="3" t="s">
        <v>53</v>
      </c>
      <c r="I370" s="3" t="s">
        <v>102</v>
      </c>
      <c r="J370" s="3" t="s">
        <v>1355</v>
      </c>
      <c r="K370" s="3" t="s">
        <v>84</v>
      </c>
      <c r="L370" s="3" t="s">
        <v>1215</v>
      </c>
      <c r="M370" s="137">
        <v>1.5329999999999999</v>
      </c>
      <c r="N370" s="3" t="s">
        <v>1372</v>
      </c>
      <c r="O370" s="142">
        <v>1.4999999999999999E-2</v>
      </c>
      <c r="P370" s="138">
        <v>3.2050000000000002E-2</v>
      </c>
      <c r="R370" s="137">
        <v>130000</v>
      </c>
      <c r="S370" s="139">
        <v>3.9552</v>
      </c>
      <c r="T370" s="140">
        <v>98.015000000000001</v>
      </c>
      <c r="U370" s="137">
        <v>503.96899999999999</v>
      </c>
      <c r="W370" s="3" t="s">
        <v>17</v>
      </c>
      <c r="X370" s="138">
        <v>6.3E-5</v>
      </c>
      <c r="Y370" s="138">
        <v>8.4366850509617203E-3</v>
      </c>
      <c r="Z370" s="138">
        <v>4.1465914425217899E-3</v>
      </c>
    </row>
    <row r="371" spans="1:26" x14ac:dyDescent="0.2">
      <c r="A371" s="3">
        <v>559</v>
      </c>
      <c r="B371" s="3">
        <v>7207</v>
      </c>
      <c r="C371" s="3" t="s">
        <v>1341</v>
      </c>
      <c r="D371" s="3" t="s">
        <v>1373</v>
      </c>
      <c r="E371" s="3" t="s">
        <v>1374</v>
      </c>
      <c r="F371" s="3" t="s">
        <v>225</v>
      </c>
      <c r="G371" s="3" t="s">
        <v>61</v>
      </c>
      <c r="H371" s="3" t="s">
        <v>314</v>
      </c>
      <c r="I371" s="3" t="s">
        <v>1150</v>
      </c>
      <c r="J371" s="3" t="s">
        <v>1339</v>
      </c>
      <c r="K371" s="3" t="s">
        <v>101</v>
      </c>
      <c r="L371" s="3" t="s">
        <v>1217</v>
      </c>
      <c r="M371" s="137">
        <v>13.294</v>
      </c>
      <c r="N371" s="3" t="s">
        <v>1375</v>
      </c>
      <c r="O371" s="142">
        <v>1.125E-2</v>
      </c>
      <c r="P371" s="138">
        <v>4.7600000000000003E-2</v>
      </c>
      <c r="R371" s="137">
        <v>65000</v>
      </c>
      <c r="S371" s="139">
        <v>3.3719999999999999</v>
      </c>
      <c r="T371" s="140">
        <v>62.279000000000003</v>
      </c>
      <c r="U371" s="137">
        <v>136.50399999999999</v>
      </c>
      <c r="W371" s="3" t="s">
        <v>17</v>
      </c>
      <c r="X371" s="138">
        <v>9.9999999999999995E-7</v>
      </c>
      <c r="Y371" s="138">
        <v>2.2851395858746598E-3</v>
      </c>
      <c r="Z371" s="138">
        <v>1.1231354725841701E-3</v>
      </c>
    </row>
    <row r="372" spans="1:26" x14ac:dyDescent="0.2">
      <c r="A372" s="3">
        <v>559</v>
      </c>
      <c r="B372" s="3">
        <v>7207</v>
      </c>
      <c r="C372" s="3" t="s">
        <v>1341</v>
      </c>
      <c r="D372" s="3" t="s">
        <v>1376</v>
      </c>
      <c r="E372" s="3" t="s">
        <v>1377</v>
      </c>
      <c r="F372" s="3" t="s">
        <v>225</v>
      </c>
      <c r="G372" s="3" t="s">
        <v>61</v>
      </c>
      <c r="H372" s="3" t="s">
        <v>314</v>
      </c>
      <c r="I372" s="3" t="s">
        <v>1150</v>
      </c>
      <c r="J372" s="3" t="s">
        <v>1339</v>
      </c>
      <c r="K372" s="3" t="s">
        <v>101</v>
      </c>
      <c r="L372" s="3" t="s">
        <v>1217</v>
      </c>
      <c r="M372" s="137">
        <v>13.420999999999999</v>
      </c>
      <c r="N372" s="3" t="s">
        <v>1378</v>
      </c>
      <c r="O372" s="142">
        <v>1.125E-2</v>
      </c>
      <c r="P372" s="138">
        <v>4.786E-2</v>
      </c>
      <c r="R372" s="137">
        <v>119000</v>
      </c>
      <c r="S372" s="139">
        <v>3.3719999999999999</v>
      </c>
      <c r="T372" s="140">
        <v>61.932000000000002</v>
      </c>
      <c r="U372" s="137">
        <v>248.512</v>
      </c>
      <c r="W372" s="3" t="s">
        <v>17</v>
      </c>
      <c r="X372" s="138">
        <v>1.9999999999999999E-6</v>
      </c>
      <c r="Y372" s="138">
        <v>4.1602132997325004E-3</v>
      </c>
      <c r="Z372" s="138">
        <v>2.0447254773093199E-3</v>
      </c>
    </row>
    <row r="373" spans="1:26" x14ac:dyDescent="0.2">
      <c r="A373" s="3">
        <v>559</v>
      </c>
      <c r="B373" s="3">
        <v>7207</v>
      </c>
      <c r="C373" s="3" t="s">
        <v>1341</v>
      </c>
      <c r="D373" s="3" t="s">
        <v>1379</v>
      </c>
      <c r="E373" s="3" t="s">
        <v>1380</v>
      </c>
      <c r="F373" s="3" t="s">
        <v>225</v>
      </c>
      <c r="G373" s="3" t="s">
        <v>61</v>
      </c>
      <c r="H373" s="3" t="s">
        <v>314</v>
      </c>
      <c r="I373" s="3" t="s">
        <v>1150</v>
      </c>
      <c r="J373" s="3" t="s">
        <v>1339</v>
      </c>
      <c r="K373" s="3" t="s">
        <v>101</v>
      </c>
      <c r="L373" s="3" t="s">
        <v>1217</v>
      </c>
      <c r="M373" s="137">
        <v>5.5910000000000002</v>
      </c>
      <c r="N373" s="3" t="s">
        <v>1381</v>
      </c>
      <c r="O373" s="142">
        <v>1.6250000000000001E-2</v>
      </c>
      <c r="P373" s="138">
        <v>3.9399999999999998E-2</v>
      </c>
      <c r="R373" s="137">
        <v>12000</v>
      </c>
      <c r="S373" s="139">
        <v>3.3719999999999999</v>
      </c>
      <c r="T373" s="140">
        <v>88.349000000000004</v>
      </c>
      <c r="U373" s="137">
        <v>35.749000000000002</v>
      </c>
      <c r="W373" s="3" t="s">
        <v>17</v>
      </c>
      <c r="X373" s="138">
        <v>0</v>
      </c>
      <c r="Y373" s="138">
        <v>5.9846296875517798E-4</v>
      </c>
      <c r="Z373" s="138">
        <v>2.94141764201987E-4</v>
      </c>
    </row>
    <row r="374" spans="1:26" x14ac:dyDescent="0.2">
      <c r="A374" s="3">
        <v>559</v>
      </c>
      <c r="B374" s="3">
        <v>7207</v>
      </c>
      <c r="C374" s="3" t="s">
        <v>1336</v>
      </c>
      <c r="D374" s="3" t="s">
        <v>1382</v>
      </c>
      <c r="E374" s="3" t="s">
        <v>1383</v>
      </c>
      <c r="F374" s="3" t="s">
        <v>225</v>
      </c>
      <c r="G374" s="3" t="s">
        <v>61</v>
      </c>
      <c r="H374" s="3" t="s">
        <v>314</v>
      </c>
      <c r="I374" s="3" t="s">
        <v>1150</v>
      </c>
      <c r="J374" s="3" t="s">
        <v>1339</v>
      </c>
      <c r="K374" s="3" t="s">
        <v>101</v>
      </c>
      <c r="L374" s="3" t="s">
        <v>1217</v>
      </c>
      <c r="M374" s="137">
        <v>14.478999999999999</v>
      </c>
      <c r="N374" s="3" t="s">
        <v>1384</v>
      </c>
      <c r="O374" s="142">
        <v>2.5000000000000001E-2</v>
      </c>
      <c r="P374" s="138">
        <v>4.9209999999999997E-2</v>
      </c>
      <c r="R374" s="137">
        <v>20000</v>
      </c>
      <c r="S374" s="139">
        <v>3.3719999999999999</v>
      </c>
      <c r="T374" s="140">
        <v>71.421999999999997</v>
      </c>
      <c r="U374" s="137">
        <v>48.167000000000002</v>
      </c>
      <c r="W374" s="3" t="s">
        <v>17</v>
      </c>
      <c r="X374" s="138">
        <v>0</v>
      </c>
      <c r="Y374" s="138">
        <v>8.0633787379855203E-4</v>
      </c>
      <c r="Z374" s="138">
        <v>3.9631131268710298E-4</v>
      </c>
    </row>
    <row r="375" spans="1:26" x14ac:dyDescent="0.2">
      <c r="A375" s="3">
        <v>559</v>
      </c>
      <c r="B375" s="3">
        <v>7207</v>
      </c>
      <c r="C375" s="3" t="s">
        <v>1341</v>
      </c>
      <c r="D375" s="3" t="s">
        <v>1385</v>
      </c>
      <c r="E375" s="3" t="s">
        <v>1386</v>
      </c>
      <c r="F375" s="3" t="s">
        <v>225</v>
      </c>
      <c r="G375" s="3" t="s">
        <v>61</v>
      </c>
      <c r="H375" s="3" t="s">
        <v>314</v>
      </c>
      <c r="I375" s="3" t="s">
        <v>1150</v>
      </c>
      <c r="J375" s="3" t="s">
        <v>1339</v>
      </c>
      <c r="K375" s="3" t="s">
        <v>101</v>
      </c>
      <c r="L375" s="3" t="s">
        <v>1217</v>
      </c>
      <c r="M375" s="137">
        <v>13.372999999999999</v>
      </c>
      <c r="N375" s="3" t="s">
        <v>1387</v>
      </c>
      <c r="O375" s="142">
        <v>0.02</v>
      </c>
      <c r="P375" s="138">
        <v>4.8379999999999999E-2</v>
      </c>
      <c r="R375" s="137">
        <v>310000</v>
      </c>
      <c r="S375" s="139">
        <v>3.3719999999999999</v>
      </c>
      <c r="T375" s="140">
        <v>69.028000000000006</v>
      </c>
      <c r="U375" s="137">
        <v>721.56200000000001</v>
      </c>
      <c r="W375" s="3" t="s">
        <v>17</v>
      </c>
      <c r="X375" s="138">
        <v>3.9999999999999998E-6</v>
      </c>
      <c r="Y375" s="138">
        <v>1.2079302690351399E-2</v>
      </c>
      <c r="Z375" s="138">
        <v>5.9369210613986201E-3</v>
      </c>
    </row>
    <row r="376" spans="1:26" x14ac:dyDescent="0.2">
      <c r="A376" s="3">
        <v>559</v>
      </c>
      <c r="B376" s="3">
        <v>7207</v>
      </c>
      <c r="C376" s="3" t="s">
        <v>1341</v>
      </c>
      <c r="D376" s="3" t="s">
        <v>1388</v>
      </c>
      <c r="E376" s="3" t="s">
        <v>1389</v>
      </c>
      <c r="F376" s="3" t="s">
        <v>225</v>
      </c>
      <c r="G376" s="3" t="s">
        <v>61</v>
      </c>
      <c r="H376" s="3" t="s">
        <v>314</v>
      </c>
      <c r="I376" s="3" t="s">
        <v>1150</v>
      </c>
      <c r="J376" s="3" t="s">
        <v>1339</v>
      </c>
      <c r="K376" s="3" t="s">
        <v>101</v>
      </c>
      <c r="L376" s="3" t="s">
        <v>1217</v>
      </c>
      <c r="M376" s="137">
        <v>13.058</v>
      </c>
      <c r="N376" s="3" t="s">
        <v>1390</v>
      </c>
      <c r="O376" s="142">
        <v>2.375E-2</v>
      </c>
      <c r="P376" s="138">
        <v>4.8370000000000003E-2</v>
      </c>
      <c r="R376" s="137">
        <v>14000</v>
      </c>
      <c r="S376" s="139">
        <v>3.3719999999999999</v>
      </c>
      <c r="T376" s="140">
        <v>73.644000000000005</v>
      </c>
      <c r="U376" s="137">
        <v>34.765999999999998</v>
      </c>
      <c r="W376" s="3" t="s">
        <v>17</v>
      </c>
      <c r="X376" s="138">
        <v>0</v>
      </c>
      <c r="Y376" s="138">
        <v>5.8199763063608199E-4</v>
      </c>
      <c r="Z376" s="138">
        <v>2.8604912713773E-4</v>
      </c>
    </row>
    <row r="377" spans="1:26" x14ac:dyDescent="0.2">
      <c r="A377" s="3">
        <v>559</v>
      </c>
      <c r="B377" s="3">
        <v>7207</v>
      </c>
      <c r="C377" s="3" t="s">
        <v>1345</v>
      </c>
      <c r="D377" s="3" t="s">
        <v>1391</v>
      </c>
      <c r="E377" s="3" t="s">
        <v>1392</v>
      </c>
      <c r="F377" s="3" t="s">
        <v>225</v>
      </c>
      <c r="G377" s="3" t="s">
        <v>61</v>
      </c>
      <c r="H377" s="3" t="s">
        <v>314</v>
      </c>
      <c r="I377" s="3" t="s">
        <v>1150</v>
      </c>
      <c r="J377" s="3" t="s">
        <v>1339</v>
      </c>
      <c r="K377" s="3" t="s">
        <v>101</v>
      </c>
      <c r="L377" s="3" t="s">
        <v>1217</v>
      </c>
      <c r="M377" s="137">
        <v>12.6</v>
      </c>
      <c r="N377" s="3" t="s">
        <v>1393</v>
      </c>
      <c r="O377" s="142">
        <v>3.2500000000000001E-2</v>
      </c>
      <c r="P377" s="138">
        <v>4.8129999999999999E-2</v>
      </c>
      <c r="R377" s="137">
        <v>30000</v>
      </c>
      <c r="S377" s="139">
        <v>3.3719999999999999</v>
      </c>
      <c r="T377" s="140">
        <v>83.174999999999997</v>
      </c>
      <c r="U377" s="137">
        <v>84.14</v>
      </c>
      <c r="W377" s="3" t="s">
        <v>17</v>
      </c>
      <c r="X377" s="138">
        <v>9.9999999999999995E-7</v>
      </c>
      <c r="Y377" s="138">
        <v>1.4085449641717601E-3</v>
      </c>
      <c r="Z377" s="138">
        <v>6.9229329524112101E-4</v>
      </c>
    </row>
    <row r="378" spans="1:26" x14ac:dyDescent="0.2">
      <c r="A378" s="3">
        <v>559</v>
      </c>
      <c r="B378" s="3">
        <v>7207</v>
      </c>
      <c r="C378" s="3" t="s">
        <v>1341</v>
      </c>
      <c r="D378" s="3" t="s">
        <v>1394</v>
      </c>
      <c r="E378" s="3" t="s">
        <v>1395</v>
      </c>
      <c r="F378" s="3" t="s">
        <v>225</v>
      </c>
      <c r="G378" s="3" t="s">
        <v>61</v>
      </c>
      <c r="H378" s="3" t="s">
        <v>314</v>
      </c>
      <c r="I378" s="3" t="s">
        <v>1150</v>
      </c>
      <c r="J378" s="3" t="s">
        <v>1339</v>
      </c>
      <c r="K378" s="3" t="s">
        <v>101</v>
      </c>
      <c r="L378" s="3" t="s">
        <v>1217</v>
      </c>
      <c r="M378" s="137">
        <v>13.45</v>
      </c>
      <c r="N378" s="3" t="s">
        <v>1396</v>
      </c>
      <c r="O378" s="142">
        <v>3.3750000000000002E-2</v>
      </c>
      <c r="P378" s="138">
        <v>4.8820000000000002E-2</v>
      </c>
      <c r="R378" s="137">
        <v>41000</v>
      </c>
      <c r="S378" s="139">
        <v>3.3719999999999999</v>
      </c>
      <c r="T378" s="140">
        <v>82.712999999999994</v>
      </c>
      <c r="U378" s="137">
        <v>114.352</v>
      </c>
      <c r="W378" s="3" t="s">
        <v>17</v>
      </c>
      <c r="X378" s="138">
        <v>9.9999999999999995E-7</v>
      </c>
      <c r="Y378" s="138">
        <v>1.914314425756E-3</v>
      </c>
      <c r="Z378" s="138">
        <v>9.4087663201685898E-4</v>
      </c>
    </row>
    <row r="379" spans="1:26" x14ac:dyDescent="0.2">
      <c r="A379" s="3">
        <v>559</v>
      </c>
      <c r="B379" s="3">
        <v>7207</v>
      </c>
      <c r="C379" s="3" t="s">
        <v>1341</v>
      </c>
      <c r="D379" s="3" t="s">
        <v>1397</v>
      </c>
      <c r="E379" s="3" t="s">
        <v>1398</v>
      </c>
      <c r="F379" s="3" t="s">
        <v>225</v>
      </c>
      <c r="G379" s="3" t="s">
        <v>61</v>
      </c>
      <c r="H379" s="3" t="s">
        <v>314</v>
      </c>
      <c r="I379" s="3" t="s">
        <v>1150</v>
      </c>
      <c r="J379" s="3" t="s">
        <v>1339</v>
      </c>
      <c r="K379" s="3" t="s">
        <v>101</v>
      </c>
      <c r="L379" s="3" t="s">
        <v>1217</v>
      </c>
      <c r="M379" s="137">
        <v>10.622</v>
      </c>
      <c r="N379" s="3" t="s">
        <v>1399</v>
      </c>
      <c r="O379" s="142">
        <v>3.5000000000000003E-2</v>
      </c>
      <c r="P379" s="138">
        <v>4.5350000000000001E-2</v>
      </c>
      <c r="R379" s="137">
        <v>57000</v>
      </c>
      <c r="S379" s="139">
        <v>3.3719999999999999</v>
      </c>
      <c r="T379" s="140">
        <v>91.56</v>
      </c>
      <c r="U379" s="137">
        <v>175.982</v>
      </c>
      <c r="W379" s="3" t="s">
        <v>17</v>
      </c>
      <c r="X379" s="138">
        <v>1.9999999999999999E-6</v>
      </c>
      <c r="Y379" s="138">
        <v>2.9460280361247298E-3</v>
      </c>
      <c r="Z379" s="138">
        <v>1.4479590704445601E-3</v>
      </c>
    </row>
    <row r="380" spans="1:26" x14ac:dyDescent="0.2">
      <c r="A380" s="3">
        <v>559</v>
      </c>
      <c r="B380" s="3">
        <v>7207</v>
      </c>
      <c r="C380" s="3" t="s">
        <v>1341</v>
      </c>
      <c r="D380" s="3" t="s">
        <v>1400</v>
      </c>
      <c r="E380" s="3" t="s">
        <v>1401</v>
      </c>
      <c r="F380" s="3" t="s">
        <v>225</v>
      </c>
      <c r="G380" s="3" t="s">
        <v>61</v>
      </c>
      <c r="H380" s="3" t="s">
        <v>314</v>
      </c>
      <c r="I380" s="3" t="s">
        <v>1150</v>
      </c>
      <c r="J380" s="3" t="s">
        <v>1339</v>
      </c>
      <c r="K380" s="3" t="s">
        <v>101</v>
      </c>
      <c r="L380" s="3" t="s">
        <v>1217</v>
      </c>
      <c r="M380" s="137">
        <v>13.016999999999999</v>
      </c>
      <c r="N380" s="3" t="s">
        <v>1402</v>
      </c>
      <c r="O380" s="142">
        <v>3.6249999999999998E-2</v>
      </c>
      <c r="P380" s="138">
        <v>4.8680000000000001E-2</v>
      </c>
      <c r="R380" s="137">
        <v>40000</v>
      </c>
      <c r="S380" s="139">
        <v>3.3719999999999999</v>
      </c>
      <c r="T380" s="140">
        <v>86.997</v>
      </c>
      <c r="U380" s="137">
        <v>117.342</v>
      </c>
      <c r="W380" s="3" t="s">
        <v>17</v>
      </c>
      <c r="X380" s="138">
        <v>9.9999999999999995E-7</v>
      </c>
      <c r="Y380" s="138">
        <v>1.9643560069370599E-3</v>
      </c>
      <c r="Z380" s="138">
        <v>9.6547183629937304E-4</v>
      </c>
    </row>
    <row r="381" spans="1:26" x14ac:dyDescent="0.2">
      <c r="A381" s="3">
        <v>559</v>
      </c>
      <c r="B381" s="3">
        <v>7207</v>
      </c>
      <c r="C381" s="3" t="s">
        <v>1341</v>
      </c>
      <c r="D381" s="3" t="s">
        <v>1403</v>
      </c>
      <c r="E381" s="3" t="s">
        <v>1404</v>
      </c>
      <c r="F381" s="3" t="s">
        <v>225</v>
      </c>
      <c r="G381" s="3" t="s">
        <v>61</v>
      </c>
      <c r="H381" s="3" t="s">
        <v>314</v>
      </c>
      <c r="I381" s="3" t="s">
        <v>1150</v>
      </c>
      <c r="J381" s="3" t="s">
        <v>1339</v>
      </c>
      <c r="K381" s="3" t="s">
        <v>101</v>
      </c>
      <c r="L381" s="3" t="s">
        <v>1217</v>
      </c>
      <c r="M381" s="137">
        <v>6.9340000000000002</v>
      </c>
      <c r="N381" s="3" t="s">
        <v>1405</v>
      </c>
      <c r="O381" s="142">
        <v>3.875E-2</v>
      </c>
      <c r="P381" s="138">
        <v>4.147E-2</v>
      </c>
      <c r="R381" s="137">
        <v>50000</v>
      </c>
      <c r="S381" s="139">
        <v>3.3719999999999999</v>
      </c>
      <c r="T381" s="140">
        <v>99.938000000000002</v>
      </c>
      <c r="U381" s="137">
        <v>168.495</v>
      </c>
      <c r="W381" s="3" t="s">
        <v>17</v>
      </c>
      <c r="X381" s="138">
        <v>0</v>
      </c>
      <c r="Y381" s="138">
        <v>2.8206828515199701E-3</v>
      </c>
      <c r="Z381" s="138">
        <v>1.38635249550383E-3</v>
      </c>
    </row>
    <row r="382" spans="1:26" x14ac:dyDescent="0.2">
      <c r="A382" s="3">
        <v>559</v>
      </c>
      <c r="B382" s="3">
        <v>7207</v>
      </c>
      <c r="C382" s="3" t="s">
        <v>1345</v>
      </c>
      <c r="D382" s="3" t="s">
        <v>1406</v>
      </c>
      <c r="E382" s="3" t="s">
        <v>1407</v>
      </c>
      <c r="F382" s="3" t="s">
        <v>225</v>
      </c>
      <c r="G382" s="3" t="s">
        <v>61</v>
      </c>
      <c r="H382" s="3" t="s">
        <v>314</v>
      </c>
      <c r="I382" s="3" t="s">
        <v>1150</v>
      </c>
      <c r="J382" s="3" t="s">
        <v>1339</v>
      </c>
      <c r="K382" s="3" t="s">
        <v>101</v>
      </c>
      <c r="L382" s="3" t="s">
        <v>1217</v>
      </c>
      <c r="M382" s="137">
        <v>7.7880000000000003</v>
      </c>
      <c r="N382" s="3" t="s">
        <v>1408</v>
      </c>
      <c r="O382" s="142">
        <v>4.2500000000000003E-2</v>
      </c>
      <c r="P382" s="138">
        <v>4.2590000000000003E-2</v>
      </c>
      <c r="R382" s="137">
        <v>102000</v>
      </c>
      <c r="S382" s="139">
        <v>3.3719999999999999</v>
      </c>
      <c r="T382" s="140">
        <v>100.864</v>
      </c>
      <c r="U382" s="137">
        <v>346.91500000000002</v>
      </c>
      <c r="W382" s="3" t="s">
        <v>17</v>
      </c>
      <c r="X382" s="138">
        <v>9.9999999999999995E-7</v>
      </c>
      <c r="Y382" s="138">
        <v>5.8075211787953296E-3</v>
      </c>
      <c r="Z382" s="138">
        <v>2.8543696341386698E-3</v>
      </c>
    </row>
    <row r="383" spans="1:26" x14ac:dyDescent="0.2">
      <c r="A383" s="3">
        <v>559</v>
      </c>
      <c r="B383" s="3">
        <v>7207</v>
      </c>
      <c r="C383" s="3" t="s">
        <v>1341</v>
      </c>
      <c r="D383" s="3" t="s">
        <v>1409</v>
      </c>
      <c r="E383" s="3" t="s">
        <v>1410</v>
      </c>
      <c r="F383" s="3" t="s">
        <v>225</v>
      </c>
      <c r="G383" s="3" t="s">
        <v>61</v>
      </c>
      <c r="H383" s="3" t="s">
        <v>314</v>
      </c>
      <c r="I383" s="3" t="s">
        <v>1150</v>
      </c>
      <c r="J383" s="3" t="s">
        <v>1339</v>
      </c>
      <c r="K383" s="3" t="s">
        <v>101</v>
      </c>
      <c r="L383" s="3" t="s">
        <v>1217</v>
      </c>
      <c r="M383" s="137">
        <v>0.19400000000000001</v>
      </c>
      <c r="N383" s="3" t="s">
        <v>1411</v>
      </c>
      <c r="O383" s="142">
        <v>0</v>
      </c>
      <c r="P383" s="138">
        <v>4.3150000000000001E-2</v>
      </c>
      <c r="R383" s="137">
        <v>25000</v>
      </c>
      <c r="S383" s="139">
        <v>3.3719999999999999</v>
      </c>
      <c r="T383" s="140">
        <v>99.188999999999993</v>
      </c>
      <c r="U383" s="137">
        <v>83.617000000000004</v>
      </c>
      <c r="W383" s="3" t="s">
        <v>17</v>
      </c>
      <c r="X383" s="138">
        <v>0</v>
      </c>
      <c r="Y383" s="138">
        <v>1.3997823018144101E-3</v>
      </c>
      <c r="Z383" s="138">
        <v>6.8798648746943897E-4</v>
      </c>
    </row>
    <row r="384" spans="1:26" x14ac:dyDescent="0.2">
      <c r="A384" s="3">
        <v>559</v>
      </c>
      <c r="B384" s="3">
        <v>7207</v>
      </c>
      <c r="C384" s="3" t="s">
        <v>1336</v>
      </c>
      <c r="D384" s="3" t="s">
        <v>1412</v>
      </c>
      <c r="E384" s="3" t="s">
        <v>1413</v>
      </c>
      <c r="F384" s="3" t="s">
        <v>225</v>
      </c>
      <c r="G384" s="3" t="s">
        <v>61</v>
      </c>
      <c r="H384" s="3" t="s">
        <v>314</v>
      </c>
      <c r="I384" s="3" t="s">
        <v>1150</v>
      </c>
      <c r="J384" s="3" t="s">
        <v>1339</v>
      </c>
      <c r="K384" s="3" t="s">
        <v>101</v>
      </c>
      <c r="L384" s="3" t="s">
        <v>1217</v>
      </c>
      <c r="M384" s="137">
        <v>0.41499999999999998</v>
      </c>
      <c r="N384" s="3" t="s">
        <v>1273</v>
      </c>
      <c r="O384" s="142">
        <v>3.7499999999999999E-3</v>
      </c>
      <c r="P384" s="138">
        <v>4.3389999999999998E-2</v>
      </c>
      <c r="R384" s="137">
        <v>55000</v>
      </c>
      <c r="S384" s="139">
        <v>3.3719999999999999</v>
      </c>
      <c r="T384" s="140">
        <v>98.397999999999996</v>
      </c>
      <c r="U384" s="137">
        <v>182.489</v>
      </c>
      <c r="W384" s="3" t="s">
        <v>17</v>
      </c>
      <c r="X384" s="138">
        <v>9.9999999999999995E-7</v>
      </c>
      <c r="Y384" s="138">
        <v>3.0549543287846401E-3</v>
      </c>
      <c r="Z384" s="138">
        <v>1.5014958363995399E-3</v>
      </c>
    </row>
    <row r="385" spans="1:26" x14ac:dyDescent="0.2">
      <c r="A385" s="3">
        <v>559</v>
      </c>
      <c r="B385" s="3">
        <v>7207</v>
      </c>
      <c r="C385" s="3" t="s">
        <v>1414</v>
      </c>
      <c r="D385" s="3" t="s">
        <v>1415</v>
      </c>
      <c r="E385" s="3" t="s">
        <v>1416</v>
      </c>
      <c r="F385" s="3" t="s">
        <v>225</v>
      </c>
      <c r="G385" s="3" t="s">
        <v>61</v>
      </c>
      <c r="H385" s="3" t="s">
        <v>314</v>
      </c>
      <c r="I385" s="3" t="s">
        <v>1150</v>
      </c>
      <c r="J385" s="3" t="s">
        <v>1339</v>
      </c>
      <c r="K385" s="3" t="s">
        <v>101</v>
      </c>
      <c r="L385" s="3" t="s">
        <v>1217</v>
      </c>
      <c r="M385" s="137">
        <v>6.2350000000000003</v>
      </c>
      <c r="N385" s="3" t="s">
        <v>1417</v>
      </c>
      <c r="O385" s="142">
        <v>2.8750000000000001E-2</v>
      </c>
      <c r="P385" s="138">
        <v>4.0460000000000003E-2</v>
      </c>
      <c r="R385" s="137">
        <v>54000</v>
      </c>
      <c r="S385" s="139">
        <v>3.3719999999999999</v>
      </c>
      <c r="T385" s="140">
        <v>93.641000000000005</v>
      </c>
      <c r="U385" s="137">
        <v>170.50800000000001</v>
      </c>
      <c r="W385" s="3" t="s">
        <v>17</v>
      </c>
      <c r="X385" s="138">
        <v>0</v>
      </c>
      <c r="Y385" s="138">
        <v>2.8543942615292398E-3</v>
      </c>
      <c r="Z385" s="138">
        <v>1.4029214966477001E-3</v>
      </c>
    </row>
    <row r="386" spans="1:26" x14ac:dyDescent="0.2">
      <c r="A386" s="3">
        <v>559</v>
      </c>
      <c r="B386" s="3">
        <v>7207</v>
      </c>
      <c r="C386" s="3" t="s">
        <v>1341</v>
      </c>
      <c r="D386" s="3" t="s">
        <v>1418</v>
      </c>
      <c r="E386" s="3" t="s">
        <v>1419</v>
      </c>
      <c r="F386" s="3" t="s">
        <v>225</v>
      </c>
      <c r="G386" s="3" t="s">
        <v>61</v>
      </c>
      <c r="H386" s="3" t="s">
        <v>314</v>
      </c>
      <c r="I386" s="3" t="s">
        <v>1150</v>
      </c>
      <c r="J386" s="3" t="s">
        <v>1339</v>
      </c>
      <c r="K386" s="3" t="s">
        <v>101</v>
      </c>
      <c r="L386" s="3" t="s">
        <v>1217</v>
      </c>
      <c r="M386" s="137">
        <v>7.6379999999999999</v>
      </c>
      <c r="N386" s="3" t="s">
        <v>1420</v>
      </c>
      <c r="O386" s="142">
        <v>3.875E-2</v>
      </c>
      <c r="P386" s="138">
        <v>4.24E-2</v>
      </c>
      <c r="R386" s="137">
        <v>50000</v>
      </c>
      <c r="S386" s="139">
        <v>3.3719999999999999</v>
      </c>
      <c r="T386" s="140">
        <v>99.09</v>
      </c>
      <c r="U386" s="137">
        <v>167.065</v>
      </c>
      <c r="W386" s="3" t="s">
        <v>17</v>
      </c>
      <c r="X386" s="138">
        <v>0</v>
      </c>
      <c r="Y386" s="138">
        <v>2.7967483442560598E-3</v>
      </c>
      <c r="Z386" s="138">
        <v>1.3745887965626001E-3</v>
      </c>
    </row>
    <row r="387" spans="1:26" x14ac:dyDescent="0.2">
      <c r="A387" s="3">
        <v>559</v>
      </c>
      <c r="B387" s="3">
        <v>7207</v>
      </c>
      <c r="C387" s="3" t="s">
        <v>1341</v>
      </c>
      <c r="D387" s="3" t="s">
        <v>1421</v>
      </c>
      <c r="E387" s="3" t="s">
        <v>1422</v>
      </c>
      <c r="F387" s="3" t="s">
        <v>225</v>
      </c>
      <c r="G387" s="3" t="s">
        <v>61</v>
      </c>
      <c r="H387" s="3" t="s">
        <v>314</v>
      </c>
      <c r="I387" s="3" t="s">
        <v>1150</v>
      </c>
      <c r="J387" s="3" t="s">
        <v>1339</v>
      </c>
      <c r="K387" s="3" t="s">
        <v>101</v>
      </c>
      <c r="L387" s="3" t="s">
        <v>1217</v>
      </c>
      <c r="M387" s="137">
        <v>13.388</v>
      </c>
      <c r="N387" s="3" t="s">
        <v>1423</v>
      </c>
      <c r="O387" s="142">
        <v>2.8750000000000001E-2</v>
      </c>
      <c r="P387" s="138">
        <v>4.8660000000000002E-2</v>
      </c>
      <c r="R387" s="137">
        <v>60000</v>
      </c>
      <c r="S387" s="139">
        <v>3.3719999999999999</v>
      </c>
      <c r="T387" s="140">
        <v>77.483999999999995</v>
      </c>
      <c r="U387" s="137">
        <v>156.76599999999999</v>
      </c>
      <c r="W387" s="3" t="s">
        <v>17</v>
      </c>
      <c r="X387" s="138">
        <v>9.9999999999999995E-7</v>
      </c>
      <c r="Y387" s="138">
        <v>2.6243457338761501E-3</v>
      </c>
      <c r="Z387" s="138">
        <v>1.2898537158346299E-3</v>
      </c>
    </row>
    <row r="388" spans="1:26" x14ac:dyDescent="0.2">
      <c r="A388" s="3">
        <v>559</v>
      </c>
      <c r="B388" s="3">
        <v>7207</v>
      </c>
      <c r="C388" s="3" t="s">
        <v>1341</v>
      </c>
      <c r="D388" s="3" t="s">
        <v>1424</v>
      </c>
      <c r="E388" s="3" t="s">
        <v>1425</v>
      </c>
      <c r="F388" s="3" t="s">
        <v>225</v>
      </c>
      <c r="G388" s="3" t="s">
        <v>61</v>
      </c>
      <c r="H388" s="3" t="s">
        <v>314</v>
      </c>
      <c r="I388" s="3" t="s">
        <v>1150</v>
      </c>
      <c r="J388" s="3" t="s">
        <v>1339</v>
      </c>
      <c r="K388" s="3" t="s">
        <v>101</v>
      </c>
      <c r="L388" s="3" t="s">
        <v>1217</v>
      </c>
      <c r="M388" s="137">
        <v>0.17499999999999999</v>
      </c>
      <c r="N388" s="3" t="s">
        <v>1426</v>
      </c>
      <c r="O388" s="142">
        <v>0</v>
      </c>
      <c r="P388" s="138">
        <v>4.3729999999999998E-2</v>
      </c>
      <c r="R388" s="137">
        <v>25000</v>
      </c>
      <c r="S388" s="139">
        <v>3.3719999999999999</v>
      </c>
      <c r="T388" s="140">
        <v>99.263000000000005</v>
      </c>
      <c r="U388" s="137">
        <v>83.679000000000002</v>
      </c>
      <c r="W388" s="3" t="s">
        <v>17</v>
      </c>
      <c r="X388" s="138">
        <v>0</v>
      </c>
      <c r="Y388" s="138">
        <v>1.40082096200672E-3</v>
      </c>
      <c r="Z388" s="138">
        <v>6.8849698412056697E-4</v>
      </c>
    </row>
    <row r="389" spans="1:26" x14ac:dyDescent="0.2">
      <c r="A389" s="3">
        <v>559</v>
      </c>
      <c r="B389" s="3">
        <v>7207</v>
      </c>
      <c r="C389" s="3" t="s">
        <v>1341</v>
      </c>
      <c r="D389" s="3" t="s">
        <v>1427</v>
      </c>
      <c r="E389" s="3" t="s">
        <v>1428</v>
      </c>
      <c r="F389" s="3" t="s">
        <v>225</v>
      </c>
      <c r="G389" s="3" t="s">
        <v>61</v>
      </c>
      <c r="H389" s="3" t="s">
        <v>314</v>
      </c>
      <c r="I389" s="3" t="s">
        <v>1150</v>
      </c>
      <c r="J389" s="3" t="s">
        <v>1339</v>
      </c>
      <c r="K389" s="3" t="s">
        <v>101</v>
      </c>
      <c r="L389" s="3" t="s">
        <v>1217</v>
      </c>
      <c r="M389" s="137">
        <v>0.315</v>
      </c>
      <c r="N389" s="3" t="s">
        <v>1429</v>
      </c>
      <c r="O389" s="142">
        <v>0</v>
      </c>
      <c r="P389" s="138">
        <v>4.2849999999999999E-2</v>
      </c>
      <c r="R389" s="137">
        <v>25000</v>
      </c>
      <c r="S389" s="139">
        <v>3.3719999999999999</v>
      </c>
      <c r="T389" s="140">
        <v>98.683000000000007</v>
      </c>
      <c r="U389" s="137">
        <v>83.19</v>
      </c>
      <c r="W389" s="3" t="s">
        <v>17</v>
      </c>
      <c r="X389" s="138">
        <v>0</v>
      </c>
      <c r="Y389" s="138">
        <v>1.39264010176916E-3</v>
      </c>
      <c r="Z389" s="138">
        <v>6.8447612938335196E-4</v>
      </c>
    </row>
    <row r="390" spans="1:26" x14ac:dyDescent="0.2">
      <c r="A390" s="3">
        <v>559</v>
      </c>
      <c r="B390" s="3">
        <v>7207</v>
      </c>
      <c r="C390" s="3" t="s">
        <v>1341</v>
      </c>
      <c r="D390" s="3" t="s">
        <v>1430</v>
      </c>
      <c r="E390" s="3" t="s">
        <v>1431</v>
      </c>
      <c r="F390" s="3" t="s">
        <v>225</v>
      </c>
      <c r="G390" s="3" t="s">
        <v>61</v>
      </c>
      <c r="H390" s="3" t="s">
        <v>314</v>
      </c>
      <c r="I390" s="3" t="s">
        <v>1150</v>
      </c>
      <c r="J390" s="3" t="s">
        <v>1339</v>
      </c>
      <c r="K390" s="3" t="s">
        <v>101</v>
      </c>
      <c r="L390" s="3" t="s">
        <v>1217</v>
      </c>
      <c r="M390" s="137">
        <v>0.33200000000000002</v>
      </c>
      <c r="N390" s="3" t="s">
        <v>1257</v>
      </c>
      <c r="O390" s="142">
        <v>0.03</v>
      </c>
      <c r="P390" s="138">
        <v>4.3459999999999999E-2</v>
      </c>
      <c r="R390" s="137">
        <v>25000</v>
      </c>
      <c r="S390" s="139">
        <v>3.3719999999999999</v>
      </c>
      <c r="T390" s="140">
        <v>100.032</v>
      </c>
      <c r="U390" s="137">
        <v>84.326999999999998</v>
      </c>
      <c r="W390" s="3" t="s">
        <v>17</v>
      </c>
      <c r="X390" s="138">
        <v>9.9999999999999995E-7</v>
      </c>
      <c r="Y390" s="138">
        <v>1.41167821811929E-3</v>
      </c>
      <c r="Z390" s="138">
        <v>6.9383327497576799E-4</v>
      </c>
    </row>
    <row r="391" spans="1:26" x14ac:dyDescent="0.2">
      <c r="A391" s="3">
        <v>559</v>
      </c>
      <c r="B391" s="3">
        <v>7207</v>
      </c>
      <c r="C391" s="3" t="s">
        <v>1341</v>
      </c>
      <c r="D391" s="3" t="s">
        <v>1432</v>
      </c>
      <c r="E391" s="3" t="s">
        <v>1433</v>
      </c>
      <c r="F391" s="3" t="s">
        <v>225</v>
      </c>
      <c r="G391" s="3" t="s">
        <v>61</v>
      </c>
      <c r="H391" s="3" t="s">
        <v>314</v>
      </c>
      <c r="I391" s="3" t="s">
        <v>1150</v>
      </c>
      <c r="J391" s="3" t="s">
        <v>1339</v>
      </c>
      <c r="K391" s="3" t="s">
        <v>101</v>
      </c>
      <c r="L391" s="3" t="s">
        <v>1217</v>
      </c>
      <c r="M391" s="137">
        <v>8.9689999999999994</v>
      </c>
      <c r="N391" s="3" t="s">
        <v>1434</v>
      </c>
      <c r="O391" s="142">
        <v>4.7500000000000001E-2</v>
      </c>
      <c r="P391" s="138">
        <v>4.3619999999999999E-2</v>
      </c>
      <c r="R391" s="137">
        <v>23000</v>
      </c>
      <c r="S391" s="139">
        <v>3.3719999999999999</v>
      </c>
      <c r="T391" s="140">
        <v>105.84399999999999</v>
      </c>
      <c r="U391" s="137">
        <v>82.087999999999994</v>
      </c>
      <c r="W391" s="3" t="s">
        <v>17</v>
      </c>
      <c r="X391" s="138">
        <v>9.9999999999999995E-7</v>
      </c>
      <c r="Y391" s="138">
        <v>1.3741961216286E-3</v>
      </c>
      <c r="Z391" s="138">
        <v>6.7541099897313499E-4</v>
      </c>
    </row>
    <row r="392" spans="1:26" x14ac:dyDescent="0.2">
      <c r="A392" s="3">
        <v>559</v>
      </c>
      <c r="B392" s="3">
        <v>7207</v>
      </c>
      <c r="C392" s="3" t="s">
        <v>1341</v>
      </c>
      <c r="D392" s="3" t="s">
        <v>1435</v>
      </c>
      <c r="E392" s="3" t="s">
        <v>1436</v>
      </c>
      <c r="F392" s="3" t="s">
        <v>225</v>
      </c>
      <c r="G392" s="3" t="s">
        <v>61</v>
      </c>
      <c r="H392" s="3" t="s">
        <v>314</v>
      </c>
      <c r="I392" s="3" t="s">
        <v>1150</v>
      </c>
      <c r="J392" s="3" t="s">
        <v>1339</v>
      </c>
      <c r="K392" s="3" t="s">
        <v>101</v>
      </c>
      <c r="L392" s="3" t="s">
        <v>1217</v>
      </c>
      <c r="M392" s="137">
        <v>18.983000000000001</v>
      </c>
      <c r="N392" s="3" t="s">
        <v>1437</v>
      </c>
      <c r="O392" s="142">
        <v>1.375E-2</v>
      </c>
      <c r="P392" s="138">
        <v>4.9709999999999997E-2</v>
      </c>
      <c r="R392" s="137">
        <v>105000</v>
      </c>
      <c r="S392" s="139">
        <v>3.3719999999999999</v>
      </c>
      <c r="T392" s="140">
        <v>49.899000000000001</v>
      </c>
      <c r="U392" s="137">
        <v>176.673</v>
      </c>
      <c r="W392" s="3" t="s">
        <v>17</v>
      </c>
      <c r="X392" s="138">
        <v>9.9999999999999995E-7</v>
      </c>
      <c r="Y392" s="138">
        <v>2.9575916545516701E-3</v>
      </c>
      <c r="Z392" s="138">
        <v>1.4536425350902299E-3</v>
      </c>
    </row>
    <row r="393" spans="1:26" x14ac:dyDescent="0.2">
      <c r="A393" s="3">
        <v>559</v>
      </c>
      <c r="B393" s="3">
        <v>7207</v>
      </c>
      <c r="C393" s="3" t="s">
        <v>1341</v>
      </c>
      <c r="D393" s="3" t="s">
        <v>1438</v>
      </c>
      <c r="E393" s="3" t="s">
        <v>1439</v>
      </c>
      <c r="F393" s="3" t="s">
        <v>225</v>
      </c>
      <c r="G393" s="3" t="s">
        <v>61</v>
      </c>
      <c r="H393" s="3" t="s">
        <v>314</v>
      </c>
      <c r="I393" s="3" t="s">
        <v>1150</v>
      </c>
      <c r="J393" s="3" t="s">
        <v>1339</v>
      </c>
      <c r="K393" s="3" t="s">
        <v>101</v>
      </c>
      <c r="L393" s="3" t="s">
        <v>1217</v>
      </c>
      <c r="M393" s="137">
        <v>6.18</v>
      </c>
      <c r="N393" s="3" t="s">
        <v>1440</v>
      </c>
      <c r="O393" s="142">
        <v>1.8749999999999999E-2</v>
      </c>
      <c r="P393" s="138">
        <v>4.0289999999999999E-2</v>
      </c>
      <c r="R393" s="137">
        <v>60000</v>
      </c>
      <c r="S393" s="139">
        <v>3.3719999999999999</v>
      </c>
      <c r="T393" s="140">
        <v>88.522000000000006</v>
      </c>
      <c r="U393" s="137">
        <v>179.09700000000001</v>
      </c>
      <c r="W393" s="3" t="s">
        <v>17</v>
      </c>
      <c r="X393" s="138">
        <v>0</v>
      </c>
      <c r="Y393" s="138">
        <v>2.99816918421116E-3</v>
      </c>
      <c r="Z393" s="138">
        <v>1.47358620209076E-3</v>
      </c>
    </row>
    <row r="394" spans="1:26" x14ac:dyDescent="0.2">
      <c r="A394" s="3">
        <v>559</v>
      </c>
      <c r="B394" s="3">
        <v>7207</v>
      </c>
      <c r="C394" s="3" t="s">
        <v>1341</v>
      </c>
      <c r="D394" s="3" t="s">
        <v>1441</v>
      </c>
      <c r="E394" s="3" t="s">
        <v>1442</v>
      </c>
      <c r="F394" s="3" t="s">
        <v>225</v>
      </c>
      <c r="G394" s="3" t="s">
        <v>61</v>
      </c>
      <c r="H394" s="3" t="s">
        <v>314</v>
      </c>
      <c r="I394" s="3" t="s">
        <v>1150</v>
      </c>
      <c r="J394" s="3" t="s">
        <v>1339</v>
      </c>
      <c r="K394" s="3" t="s">
        <v>101</v>
      </c>
      <c r="L394" s="3" t="s">
        <v>1217</v>
      </c>
      <c r="M394" s="137">
        <v>13.24</v>
      </c>
      <c r="N394" s="3" t="s">
        <v>1443</v>
      </c>
      <c r="O394" s="142">
        <v>2.75E-2</v>
      </c>
      <c r="P394" s="138">
        <v>4.8529999999999997E-2</v>
      </c>
      <c r="R394" s="137">
        <v>59000</v>
      </c>
      <c r="S394" s="139">
        <v>3.3719999999999999</v>
      </c>
      <c r="T394" s="140">
        <v>76.542000000000002</v>
      </c>
      <c r="U394" s="137">
        <v>152.279</v>
      </c>
      <c r="W394" s="3" t="s">
        <v>17</v>
      </c>
      <c r="X394" s="138">
        <v>9.9999999999999995E-7</v>
      </c>
      <c r="Y394" s="138">
        <v>2.54922566283741E-3</v>
      </c>
      <c r="Z394" s="138">
        <v>1.25293255048955E-3</v>
      </c>
    </row>
    <row r="395" spans="1:26" x14ac:dyDescent="0.2">
      <c r="A395" s="3">
        <v>559</v>
      </c>
      <c r="B395" s="3">
        <v>7207</v>
      </c>
      <c r="C395" s="3" t="s">
        <v>1341</v>
      </c>
      <c r="D395" s="3" t="s">
        <v>1444</v>
      </c>
      <c r="E395" s="3" t="s">
        <v>1445</v>
      </c>
      <c r="F395" s="3" t="s">
        <v>225</v>
      </c>
      <c r="G395" s="3" t="s">
        <v>61</v>
      </c>
      <c r="H395" s="3" t="s">
        <v>314</v>
      </c>
      <c r="I395" s="3" t="s">
        <v>1150</v>
      </c>
      <c r="J395" s="3" t="s">
        <v>1339</v>
      </c>
      <c r="K395" s="3" t="s">
        <v>101</v>
      </c>
      <c r="L395" s="3" t="s">
        <v>1217</v>
      </c>
      <c r="M395" s="137">
        <v>13.989000000000001</v>
      </c>
      <c r="N395" s="3" t="s">
        <v>1446</v>
      </c>
      <c r="O395" s="142">
        <v>0.03</v>
      </c>
      <c r="P395" s="138">
        <v>4.9070000000000003E-2</v>
      </c>
      <c r="R395" s="137">
        <v>75000</v>
      </c>
      <c r="S395" s="139">
        <v>3.3719999999999999</v>
      </c>
      <c r="T395" s="140">
        <v>77.453000000000003</v>
      </c>
      <c r="U395" s="137">
        <v>195.87899999999999</v>
      </c>
      <c r="W395" s="3" t="s">
        <v>17</v>
      </c>
      <c r="X395" s="138">
        <v>1.9999999999999999E-6</v>
      </c>
      <c r="Y395" s="138">
        <v>3.2791080872834502E-3</v>
      </c>
      <c r="Z395" s="138">
        <v>1.61166636560453E-3</v>
      </c>
    </row>
    <row r="396" spans="1:26" x14ac:dyDescent="0.2">
      <c r="A396" s="3">
        <v>559</v>
      </c>
      <c r="B396" s="3">
        <v>7207</v>
      </c>
      <c r="C396" s="3" t="s">
        <v>1341</v>
      </c>
      <c r="D396" s="3" t="s">
        <v>1447</v>
      </c>
      <c r="E396" s="3" t="s">
        <v>1448</v>
      </c>
      <c r="F396" s="3" t="s">
        <v>225</v>
      </c>
      <c r="G396" s="3" t="s">
        <v>61</v>
      </c>
      <c r="H396" s="3" t="s">
        <v>314</v>
      </c>
      <c r="I396" s="3" t="s">
        <v>1150</v>
      </c>
      <c r="J396" s="3" t="s">
        <v>1339</v>
      </c>
      <c r="K396" s="3" t="s">
        <v>101</v>
      </c>
      <c r="L396" s="3" t="s">
        <v>1217</v>
      </c>
      <c r="M396" s="137">
        <v>6.6470000000000002</v>
      </c>
      <c r="N396" s="3" t="s">
        <v>1449</v>
      </c>
      <c r="O396" s="142">
        <v>3.5000000000000003E-2</v>
      </c>
      <c r="P396" s="138">
        <v>4.1009999999999998E-2</v>
      </c>
      <c r="R396" s="137">
        <v>50000</v>
      </c>
      <c r="S396" s="139">
        <v>3.3719999999999999</v>
      </c>
      <c r="T396" s="140">
        <v>97.685000000000002</v>
      </c>
      <c r="U396" s="137">
        <v>164.697</v>
      </c>
      <c r="W396" s="3" t="s">
        <v>17</v>
      </c>
      <c r="X396" s="138">
        <v>0</v>
      </c>
      <c r="Y396" s="138">
        <v>2.7571099496918701E-3</v>
      </c>
      <c r="Z396" s="138">
        <v>1.3551067100911599E-3</v>
      </c>
    </row>
    <row r="397" spans="1:26" x14ac:dyDescent="0.2">
      <c r="A397" s="3">
        <v>559</v>
      </c>
      <c r="B397" s="3">
        <v>7207</v>
      </c>
      <c r="C397" s="3" t="s">
        <v>1341</v>
      </c>
      <c r="D397" s="3" t="s">
        <v>1450</v>
      </c>
      <c r="E397" s="3" t="s">
        <v>1451</v>
      </c>
      <c r="F397" s="3" t="s">
        <v>225</v>
      </c>
      <c r="G397" s="3" t="s">
        <v>61</v>
      </c>
      <c r="H397" s="3" t="s">
        <v>314</v>
      </c>
      <c r="I397" s="3" t="s">
        <v>1150</v>
      </c>
      <c r="J397" s="3" t="s">
        <v>1339</v>
      </c>
      <c r="K397" s="3" t="s">
        <v>101</v>
      </c>
      <c r="L397" s="3" t="s">
        <v>1217</v>
      </c>
      <c r="M397" s="137">
        <v>14.311999999999999</v>
      </c>
      <c r="N397" s="3" t="s">
        <v>1452</v>
      </c>
      <c r="O397" s="142">
        <v>2.8750000000000001E-2</v>
      </c>
      <c r="P397" s="138">
        <v>4.9169999999999998E-2</v>
      </c>
      <c r="R397" s="137">
        <v>30000</v>
      </c>
      <c r="S397" s="139">
        <v>3.3719999999999999</v>
      </c>
      <c r="T397" s="140">
        <v>75.906999999999996</v>
      </c>
      <c r="U397" s="137">
        <v>76.787999999999997</v>
      </c>
      <c r="W397" s="3" t="s">
        <v>17</v>
      </c>
      <c r="X397" s="138">
        <v>9.9999999999999995E-7</v>
      </c>
      <c r="Y397" s="138">
        <v>1.2854631725381499E-3</v>
      </c>
      <c r="Z397" s="138">
        <v>6.3179916741303401E-4</v>
      </c>
    </row>
    <row r="398" spans="1:26" x14ac:dyDescent="0.2">
      <c r="A398" s="3">
        <v>559</v>
      </c>
      <c r="B398" s="3">
        <v>7207</v>
      </c>
      <c r="C398" s="3" t="s">
        <v>1336</v>
      </c>
      <c r="D398" s="3" t="s">
        <v>1453</v>
      </c>
      <c r="E398" s="3" t="s">
        <v>1454</v>
      </c>
      <c r="F398" s="3" t="s">
        <v>225</v>
      </c>
      <c r="G398" s="3" t="s">
        <v>61</v>
      </c>
      <c r="H398" s="3" t="s">
        <v>314</v>
      </c>
      <c r="I398" s="3" t="s">
        <v>1150</v>
      </c>
      <c r="J398" s="3" t="s">
        <v>1339</v>
      </c>
      <c r="K398" s="3" t="s">
        <v>101</v>
      </c>
      <c r="L398" s="3" t="s">
        <v>1217</v>
      </c>
      <c r="M398" s="137">
        <v>13.632999999999999</v>
      </c>
      <c r="N398" s="3" t="s">
        <v>1455</v>
      </c>
      <c r="O398" s="142">
        <v>3.125E-2</v>
      </c>
      <c r="P398" s="138">
        <v>4.897E-2</v>
      </c>
      <c r="R398" s="137">
        <v>38000</v>
      </c>
      <c r="S398" s="139">
        <v>3.3719999999999999</v>
      </c>
      <c r="T398" s="140">
        <v>78.891000000000005</v>
      </c>
      <c r="U398" s="137">
        <v>101.087</v>
      </c>
      <c r="W398" s="3" t="s">
        <v>17</v>
      </c>
      <c r="X398" s="138">
        <v>9.9999999999999995E-7</v>
      </c>
      <c r="Y398" s="138">
        <v>1.69224998868295E-3</v>
      </c>
      <c r="Z398" s="138">
        <v>8.3173299456999804E-4</v>
      </c>
    </row>
    <row r="399" spans="1:26" x14ac:dyDescent="0.2">
      <c r="X399" s="144"/>
    </row>
    <row r="400" spans="1:26" x14ac:dyDescent="0.2">
      <c r="X400" s="144"/>
    </row>
    <row r="401" spans="24:24" x14ac:dyDescent="0.2">
      <c r="X401" s="144"/>
    </row>
    <row r="402" spans="24:24" x14ac:dyDescent="0.2">
      <c r="X402" s="144"/>
    </row>
    <row r="403" spans="24:24" x14ac:dyDescent="0.2">
      <c r="X403" s="144"/>
    </row>
    <row r="404" spans="24:24" x14ac:dyDescent="0.2">
      <c r="X404" s="144"/>
    </row>
    <row r="405" spans="24:24" x14ac:dyDescent="0.2">
      <c r="X405" s="144"/>
    </row>
    <row r="406" spans="24:24" x14ac:dyDescent="0.2">
      <c r="X406" s="144"/>
    </row>
    <row r="407" spans="24:24" x14ac:dyDescent="0.2">
      <c r="X407" s="144"/>
    </row>
    <row r="408" spans="24:24" x14ac:dyDescent="0.2">
      <c r="X408" s="144"/>
    </row>
    <row r="409" spans="24:24" x14ac:dyDescent="0.2">
      <c r="X409" s="144"/>
    </row>
    <row r="410" spans="24:24" x14ac:dyDescent="0.2">
      <c r="X410" s="144"/>
    </row>
    <row r="411" spans="24:24" x14ac:dyDescent="0.2">
      <c r="X411" s="144"/>
    </row>
    <row r="412" spans="24:24" x14ac:dyDescent="0.2">
      <c r="X412" s="144"/>
    </row>
    <row r="413" spans="24:24" x14ac:dyDescent="0.2">
      <c r="X413" s="144"/>
    </row>
    <row r="414" spans="24:24" x14ac:dyDescent="0.2">
      <c r="X414" s="144"/>
    </row>
    <row r="415" spans="24:24" x14ac:dyDescent="0.2">
      <c r="X415" s="144"/>
    </row>
    <row r="416" spans="24:24" x14ac:dyDescent="0.2">
      <c r="X416" s="144"/>
    </row>
    <row r="417" spans="24:24" x14ac:dyDescent="0.2">
      <c r="X417" s="144"/>
    </row>
    <row r="418" spans="24:24" x14ac:dyDescent="0.2">
      <c r="X418" s="144"/>
    </row>
    <row r="419" spans="24:24" x14ac:dyDescent="0.2">
      <c r="X419" s="144"/>
    </row>
    <row r="420" spans="24:24" x14ac:dyDescent="0.2">
      <c r="X420" s="144"/>
    </row>
    <row r="421" spans="24:24" x14ac:dyDescent="0.2">
      <c r="X421" s="144"/>
    </row>
    <row r="422" spans="24:24" x14ac:dyDescent="0.2">
      <c r="X422" s="144"/>
    </row>
    <row r="423" spans="24:24" x14ac:dyDescent="0.2">
      <c r="X423" s="144"/>
    </row>
    <row r="424" spans="24:24" x14ac:dyDescent="0.2">
      <c r="X424" s="144"/>
    </row>
    <row r="425" spans="24:24" x14ac:dyDescent="0.2">
      <c r="X425" s="144"/>
    </row>
    <row r="426" spans="24:24" x14ac:dyDescent="0.2">
      <c r="X426" s="144"/>
    </row>
    <row r="427" spans="24:24" x14ac:dyDescent="0.2">
      <c r="X427" s="144"/>
    </row>
    <row r="428" spans="24:24" x14ac:dyDescent="0.2">
      <c r="X428" s="144"/>
    </row>
    <row r="429" spans="24:24" x14ac:dyDescent="0.2">
      <c r="X429" s="144"/>
    </row>
    <row r="430" spans="24:24" x14ac:dyDescent="0.2">
      <c r="X430" s="144"/>
    </row>
    <row r="431" spans="24:24" x14ac:dyDescent="0.2">
      <c r="X431" s="144"/>
    </row>
    <row r="432" spans="24:24" x14ac:dyDescent="0.2">
      <c r="X432" s="144"/>
    </row>
    <row r="433" spans="24:24" x14ac:dyDescent="0.2">
      <c r="X433" s="144"/>
    </row>
    <row r="434" spans="24:24" x14ac:dyDescent="0.2">
      <c r="X434" s="144"/>
    </row>
    <row r="435" spans="24:24" x14ac:dyDescent="0.2">
      <c r="X435" s="144"/>
    </row>
    <row r="436" spans="24:24" x14ac:dyDescent="0.2">
      <c r="X436" s="144"/>
    </row>
    <row r="437" spans="24:24" x14ac:dyDescent="0.2">
      <c r="X437" s="144"/>
    </row>
    <row r="438" spans="24:24" x14ac:dyDescent="0.2">
      <c r="X438" s="144"/>
    </row>
    <row r="439" spans="24:24" x14ac:dyDescent="0.2">
      <c r="X439" s="144"/>
    </row>
    <row r="440" spans="24:24" x14ac:dyDescent="0.2">
      <c r="X440" s="144"/>
    </row>
    <row r="441" spans="24:24" x14ac:dyDescent="0.2">
      <c r="X441" s="144"/>
    </row>
    <row r="442" spans="24:24" x14ac:dyDescent="0.2">
      <c r="X442" s="144"/>
    </row>
    <row r="443" spans="24:24" x14ac:dyDescent="0.2">
      <c r="X443" s="144"/>
    </row>
    <row r="444" spans="24:24" x14ac:dyDescent="0.2">
      <c r="X444" s="144"/>
    </row>
    <row r="445" spans="24:24" x14ac:dyDescent="0.2">
      <c r="X445" s="144"/>
    </row>
    <row r="446" spans="24:24" x14ac:dyDescent="0.2">
      <c r="X446" s="144"/>
    </row>
    <row r="447" spans="24:24" x14ac:dyDescent="0.2">
      <c r="X447" s="144"/>
    </row>
    <row r="448" spans="24:24" x14ac:dyDescent="0.2">
      <c r="X448" s="144"/>
    </row>
    <row r="449" spans="24:24" x14ac:dyDescent="0.2">
      <c r="X449" s="144"/>
    </row>
    <row r="450" spans="24:24" x14ac:dyDescent="0.2">
      <c r="X450" s="144"/>
    </row>
    <row r="451" spans="24:24" x14ac:dyDescent="0.2">
      <c r="X451" s="144"/>
    </row>
    <row r="452" spans="24:24" x14ac:dyDescent="0.2">
      <c r="X452" s="144"/>
    </row>
    <row r="453" spans="24:24" x14ac:dyDescent="0.2">
      <c r="X453" s="144"/>
    </row>
    <row r="454" spans="24:24" x14ac:dyDescent="0.2">
      <c r="X454" s="144"/>
    </row>
    <row r="455" spans="24:24" x14ac:dyDescent="0.2">
      <c r="X455" s="144"/>
    </row>
    <row r="456" spans="24:24" x14ac:dyDescent="0.2">
      <c r="X456" s="144"/>
    </row>
    <row r="457" spans="24:24" x14ac:dyDescent="0.2">
      <c r="X457" s="144"/>
    </row>
    <row r="458" spans="24:24" x14ac:dyDescent="0.2">
      <c r="X458" s="144"/>
    </row>
    <row r="459" spans="24:24" x14ac:dyDescent="0.2">
      <c r="X459" s="144"/>
    </row>
    <row r="460" spans="24:24" x14ac:dyDescent="0.2">
      <c r="X460" s="144"/>
    </row>
    <row r="461" spans="24:24" x14ac:dyDescent="0.2">
      <c r="X461" s="144"/>
    </row>
    <row r="462" spans="24:24" x14ac:dyDescent="0.2">
      <c r="X462" s="144"/>
    </row>
    <row r="463" spans="24:24" x14ac:dyDescent="0.2">
      <c r="X463" s="144"/>
    </row>
    <row r="464" spans="24:24" x14ac:dyDescent="0.2">
      <c r="X464" s="144"/>
    </row>
    <row r="465" spans="24:24" x14ac:dyDescent="0.2">
      <c r="X465" s="144"/>
    </row>
    <row r="466" spans="24:24" x14ac:dyDescent="0.2">
      <c r="X466" s="144"/>
    </row>
    <row r="467" spans="24:24" x14ac:dyDescent="0.2">
      <c r="X467" s="144"/>
    </row>
    <row r="468" spans="24:24" x14ac:dyDescent="0.2">
      <c r="X468" s="144"/>
    </row>
    <row r="469" spans="24:24" x14ac:dyDescent="0.2">
      <c r="X469" s="144"/>
    </row>
    <row r="470" spans="24:24" x14ac:dyDescent="0.2">
      <c r="X470" s="144"/>
    </row>
    <row r="471" spans="24:24" x14ac:dyDescent="0.2">
      <c r="X471" s="144"/>
    </row>
    <row r="472" spans="24:24" x14ac:dyDescent="0.2">
      <c r="X472" s="144"/>
    </row>
    <row r="473" spans="24:24" x14ac:dyDescent="0.2">
      <c r="X473" s="144"/>
    </row>
    <row r="474" spans="24:24" x14ac:dyDescent="0.2">
      <c r="X474" s="144"/>
    </row>
    <row r="475" spans="24:24" x14ac:dyDescent="0.2">
      <c r="X475" s="144"/>
    </row>
    <row r="476" spans="24:24" x14ac:dyDescent="0.2">
      <c r="X476" s="144"/>
    </row>
    <row r="477" spans="24:24" x14ac:dyDescent="0.2">
      <c r="X477" s="144"/>
    </row>
    <row r="478" spans="24:24" x14ac:dyDescent="0.2">
      <c r="X478" s="144"/>
    </row>
    <row r="479" spans="24:24" x14ac:dyDescent="0.2">
      <c r="X479" s="144"/>
    </row>
    <row r="480" spans="24:24" x14ac:dyDescent="0.2">
      <c r="X480" s="144"/>
    </row>
    <row r="481" spans="24:24" x14ac:dyDescent="0.2">
      <c r="X481" s="144"/>
    </row>
    <row r="482" spans="24:24" x14ac:dyDescent="0.2">
      <c r="X482" s="144"/>
    </row>
    <row r="483" spans="24:24" x14ac:dyDescent="0.2">
      <c r="X483" s="144"/>
    </row>
    <row r="484" spans="24:24" x14ac:dyDescent="0.2">
      <c r="X484" s="144"/>
    </row>
    <row r="485" spans="24:24" x14ac:dyDescent="0.2">
      <c r="X485" s="144"/>
    </row>
    <row r="486" spans="24:24" x14ac:dyDescent="0.2">
      <c r="X486" s="144"/>
    </row>
    <row r="487" spans="24:24" x14ac:dyDescent="0.2">
      <c r="X487" s="144"/>
    </row>
    <row r="488" spans="24:24" x14ac:dyDescent="0.2">
      <c r="X488" s="144"/>
    </row>
    <row r="489" spans="24:24" x14ac:dyDescent="0.2">
      <c r="X489" s="144"/>
    </row>
    <row r="490" spans="24:24" x14ac:dyDescent="0.2">
      <c r="X490" s="144"/>
    </row>
    <row r="491" spans="24:24" x14ac:dyDescent="0.2">
      <c r="X491" s="144"/>
    </row>
    <row r="492" spans="24:24" x14ac:dyDescent="0.2">
      <c r="X492" s="144"/>
    </row>
    <row r="493" spans="24:24" x14ac:dyDescent="0.2">
      <c r="X493" s="144"/>
    </row>
    <row r="494" spans="24:24" x14ac:dyDescent="0.2">
      <c r="X494" s="144"/>
    </row>
    <row r="495" spans="24:24" x14ac:dyDescent="0.2">
      <c r="X495" s="144"/>
    </row>
    <row r="496" spans="24:24" x14ac:dyDescent="0.2">
      <c r="X496" s="144"/>
    </row>
    <row r="497" spans="24:24" x14ac:dyDescent="0.2">
      <c r="X497" s="144"/>
    </row>
    <row r="498" spans="24:24" x14ac:dyDescent="0.2">
      <c r="X498" s="144"/>
    </row>
    <row r="499" spans="24:24" x14ac:dyDescent="0.2">
      <c r="X499" s="144"/>
    </row>
    <row r="500" spans="24:24" x14ac:dyDescent="0.2">
      <c r="X500" s="144"/>
    </row>
    <row r="501" spans="24:24" x14ac:dyDescent="0.2">
      <c r="X501" s="144"/>
    </row>
    <row r="502" spans="24:24" x14ac:dyDescent="0.2">
      <c r="X502" s="144"/>
    </row>
    <row r="503" spans="24:24" x14ac:dyDescent="0.2">
      <c r="X503" s="144"/>
    </row>
    <row r="504" spans="24:24" x14ac:dyDescent="0.2">
      <c r="X504" s="144"/>
    </row>
    <row r="505" spans="24:24" x14ac:dyDescent="0.2">
      <c r="X505" s="144"/>
    </row>
    <row r="506" spans="24:24" x14ac:dyDescent="0.2">
      <c r="X506" s="144"/>
    </row>
    <row r="507" spans="24:24" x14ac:dyDescent="0.2">
      <c r="X507" s="144"/>
    </row>
    <row r="508" spans="24:24" x14ac:dyDescent="0.2">
      <c r="X508" s="144"/>
    </row>
    <row r="509" spans="24:24" x14ac:dyDescent="0.2">
      <c r="X509" s="144"/>
    </row>
    <row r="510" spans="24:24" x14ac:dyDescent="0.2">
      <c r="X510" s="144"/>
    </row>
    <row r="511" spans="24:24" x14ac:dyDescent="0.2">
      <c r="X511" s="144"/>
    </row>
    <row r="512" spans="24:24" x14ac:dyDescent="0.2">
      <c r="X512" s="144"/>
    </row>
    <row r="513" spans="24:24" x14ac:dyDescent="0.2">
      <c r="X513" s="144"/>
    </row>
    <row r="514" spans="24:24" x14ac:dyDescent="0.2">
      <c r="X514" s="144"/>
    </row>
    <row r="515" spans="24:24" x14ac:dyDescent="0.2">
      <c r="X515" s="144"/>
    </row>
    <row r="516" spans="24:24" x14ac:dyDescent="0.2">
      <c r="X516" s="144"/>
    </row>
    <row r="517" spans="24:24" x14ac:dyDescent="0.2">
      <c r="X517" s="144"/>
    </row>
    <row r="518" spans="24:24" x14ac:dyDescent="0.2">
      <c r="X518" s="144"/>
    </row>
    <row r="519" spans="24:24" x14ac:dyDescent="0.2">
      <c r="X519" s="144"/>
    </row>
    <row r="520" spans="24:24" x14ac:dyDescent="0.2">
      <c r="X520" s="144"/>
    </row>
    <row r="521" spans="24:24" x14ac:dyDescent="0.2">
      <c r="X521" s="144"/>
    </row>
    <row r="522" spans="24:24" x14ac:dyDescent="0.2">
      <c r="X522" s="144"/>
    </row>
    <row r="523" spans="24:24" x14ac:dyDescent="0.2">
      <c r="X523" s="144"/>
    </row>
    <row r="524" spans="24:24" x14ac:dyDescent="0.2">
      <c r="X524" s="144"/>
    </row>
    <row r="525" spans="24:24" x14ac:dyDescent="0.2">
      <c r="X525" s="144"/>
    </row>
    <row r="526" spans="24:24" x14ac:dyDescent="0.2">
      <c r="X526" s="144"/>
    </row>
    <row r="527" spans="24:24" x14ac:dyDescent="0.2">
      <c r="X527" s="144"/>
    </row>
    <row r="528" spans="24:24" x14ac:dyDescent="0.2">
      <c r="X528" s="144"/>
    </row>
    <row r="529" spans="24:24" x14ac:dyDescent="0.2">
      <c r="X529" s="144"/>
    </row>
    <row r="530" spans="24:24" x14ac:dyDescent="0.2">
      <c r="X530" s="144"/>
    </row>
    <row r="531" spans="24:24" x14ac:dyDescent="0.2">
      <c r="X531" s="144"/>
    </row>
    <row r="532" spans="24:24" x14ac:dyDescent="0.2">
      <c r="X532" s="144"/>
    </row>
    <row r="533" spans="24:24" x14ac:dyDescent="0.2">
      <c r="X533" s="144"/>
    </row>
    <row r="534" spans="24:24" x14ac:dyDescent="0.2">
      <c r="X534" s="144"/>
    </row>
    <row r="535" spans="24:24" x14ac:dyDescent="0.2">
      <c r="X535" s="144"/>
    </row>
    <row r="536" spans="24:24" x14ac:dyDescent="0.2">
      <c r="X536" s="144"/>
    </row>
    <row r="537" spans="24:24" x14ac:dyDescent="0.2">
      <c r="X537" s="144"/>
    </row>
    <row r="538" spans="24:24" x14ac:dyDescent="0.2">
      <c r="X538" s="144"/>
    </row>
    <row r="539" spans="24:24" x14ac:dyDescent="0.2">
      <c r="X539" s="144"/>
    </row>
    <row r="540" spans="24:24" x14ac:dyDescent="0.2">
      <c r="X540" s="144"/>
    </row>
    <row r="541" spans="24:24" x14ac:dyDescent="0.2">
      <c r="X541" s="144"/>
    </row>
    <row r="542" spans="24:24" x14ac:dyDescent="0.2">
      <c r="X542" s="144"/>
    </row>
    <row r="543" spans="24:24" x14ac:dyDescent="0.2">
      <c r="X543" s="144"/>
    </row>
    <row r="544" spans="24:24" x14ac:dyDescent="0.2">
      <c r="X544" s="144"/>
    </row>
    <row r="545" spans="24:24" x14ac:dyDescent="0.2">
      <c r="X545" s="144"/>
    </row>
    <row r="546" spans="24:24" x14ac:dyDescent="0.2">
      <c r="X546" s="144"/>
    </row>
    <row r="547" spans="24:24" x14ac:dyDescent="0.2">
      <c r="X547" s="144"/>
    </row>
    <row r="548" spans="24:24" x14ac:dyDescent="0.2">
      <c r="X548" s="144"/>
    </row>
    <row r="549" spans="24:24" x14ac:dyDescent="0.2">
      <c r="X549" s="144"/>
    </row>
    <row r="550" spans="24:24" x14ac:dyDescent="0.2">
      <c r="X550" s="144"/>
    </row>
    <row r="551" spans="24:24" x14ac:dyDescent="0.2">
      <c r="X551" s="144"/>
    </row>
    <row r="552" spans="24:24" x14ac:dyDescent="0.2">
      <c r="X552" s="144"/>
    </row>
    <row r="553" spans="24:24" x14ac:dyDescent="0.2">
      <c r="X553" s="144"/>
    </row>
    <row r="554" spans="24:24" x14ac:dyDescent="0.2">
      <c r="X554" s="144"/>
    </row>
    <row r="555" spans="24:24" x14ac:dyDescent="0.2">
      <c r="X555" s="144"/>
    </row>
    <row r="556" spans="24:24" x14ac:dyDescent="0.2">
      <c r="X556" s="144"/>
    </row>
    <row r="557" spans="24:24" x14ac:dyDescent="0.2">
      <c r="X557" s="144"/>
    </row>
    <row r="558" spans="24:24" x14ac:dyDescent="0.2">
      <c r="X558" s="144"/>
    </row>
    <row r="559" spans="24:24" x14ac:dyDescent="0.2">
      <c r="X559" s="144"/>
    </row>
    <row r="560" spans="24:24" x14ac:dyDescent="0.2">
      <c r="X560" s="144"/>
    </row>
    <row r="561" spans="24:24" x14ac:dyDescent="0.2">
      <c r="X561" s="144"/>
    </row>
    <row r="562" spans="24:24" x14ac:dyDescent="0.2">
      <c r="X562" s="144"/>
    </row>
    <row r="563" spans="24:24" x14ac:dyDescent="0.2">
      <c r="X563" s="144"/>
    </row>
    <row r="564" spans="24:24" x14ac:dyDescent="0.2">
      <c r="X564" s="144"/>
    </row>
    <row r="565" spans="24:24" x14ac:dyDescent="0.2">
      <c r="X565" s="144"/>
    </row>
    <row r="566" spans="24:24" x14ac:dyDescent="0.2">
      <c r="X566" s="144"/>
    </row>
    <row r="567" spans="24:24" x14ac:dyDescent="0.2">
      <c r="X567" s="144"/>
    </row>
    <row r="568" spans="24:24" x14ac:dyDescent="0.2">
      <c r="X568" s="144"/>
    </row>
    <row r="569" spans="24:24" x14ac:dyDescent="0.2">
      <c r="X569" s="144"/>
    </row>
    <row r="570" spans="24:24" x14ac:dyDescent="0.2">
      <c r="X570" s="144"/>
    </row>
    <row r="571" spans="24:24" x14ac:dyDescent="0.2">
      <c r="X571" s="144"/>
    </row>
    <row r="572" spans="24:24" x14ac:dyDescent="0.2">
      <c r="X572" s="144"/>
    </row>
    <row r="573" spans="24:24" x14ac:dyDescent="0.2">
      <c r="X573" s="144"/>
    </row>
    <row r="574" spans="24:24" x14ac:dyDescent="0.2">
      <c r="X574" s="144"/>
    </row>
    <row r="575" spans="24:24" x14ac:dyDescent="0.2">
      <c r="X575" s="144"/>
    </row>
    <row r="576" spans="24:24" x14ac:dyDescent="0.2">
      <c r="X576" s="144"/>
    </row>
    <row r="577" spans="24:24" x14ac:dyDescent="0.2">
      <c r="X577" s="144"/>
    </row>
    <row r="578" spans="24:24" x14ac:dyDescent="0.2">
      <c r="X578" s="144"/>
    </row>
    <row r="579" spans="24:24" x14ac:dyDescent="0.2">
      <c r="X579" s="144"/>
    </row>
    <row r="580" spans="24:24" x14ac:dyDescent="0.2">
      <c r="X580" s="144"/>
    </row>
    <row r="581" spans="24:24" x14ac:dyDescent="0.2">
      <c r="X581" s="144"/>
    </row>
    <row r="582" spans="24:24" x14ac:dyDescent="0.2">
      <c r="X582" s="144"/>
    </row>
    <row r="583" spans="24:24" x14ac:dyDescent="0.2">
      <c r="X583" s="144"/>
    </row>
    <row r="584" spans="24:24" x14ac:dyDescent="0.2">
      <c r="X584" s="144"/>
    </row>
    <row r="585" spans="24:24" x14ac:dyDescent="0.2">
      <c r="X585" s="144"/>
    </row>
    <row r="586" spans="24:24" x14ac:dyDescent="0.2">
      <c r="X586" s="144"/>
    </row>
    <row r="587" spans="24:24" x14ac:dyDescent="0.2">
      <c r="X587" s="144"/>
    </row>
    <row r="588" spans="24:24" x14ac:dyDescent="0.2">
      <c r="X588" s="144"/>
    </row>
    <row r="589" spans="24:24" x14ac:dyDescent="0.2">
      <c r="X589" s="144"/>
    </row>
    <row r="590" spans="24:24" x14ac:dyDescent="0.2">
      <c r="X590" s="144"/>
    </row>
    <row r="591" spans="24:24" x14ac:dyDescent="0.2">
      <c r="X591" s="144"/>
    </row>
    <row r="592" spans="24:24" x14ac:dyDescent="0.2">
      <c r="X592" s="144"/>
    </row>
    <row r="593" spans="24:24" x14ac:dyDescent="0.2">
      <c r="X593" s="144"/>
    </row>
    <row r="594" spans="24:24" x14ac:dyDescent="0.2">
      <c r="X594" s="144"/>
    </row>
    <row r="595" spans="24:24" x14ac:dyDescent="0.2">
      <c r="X595" s="144"/>
    </row>
    <row r="596" spans="24:24" x14ac:dyDescent="0.2">
      <c r="X596" s="144"/>
    </row>
    <row r="597" spans="24:24" x14ac:dyDescent="0.2">
      <c r="X597" s="144"/>
    </row>
    <row r="598" spans="24:24" x14ac:dyDescent="0.2">
      <c r="X598" s="144"/>
    </row>
    <row r="599" spans="24:24" x14ac:dyDescent="0.2">
      <c r="X599" s="144"/>
    </row>
    <row r="600" spans="24:24" x14ac:dyDescent="0.2">
      <c r="X600" s="144"/>
    </row>
    <row r="601" spans="24:24" x14ac:dyDescent="0.2">
      <c r="X601" s="144"/>
    </row>
    <row r="602" spans="24:24" x14ac:dyDescent="0.2">
      <c r="X602" s="144"/>
    </row>
    <row r="603" spans="24:24" x14ac:dyDescent="0.2">
      <c r="X603" s="144"/>
    </row>
    <row r="604" spans="24:24" x14ac:dyDescent="0.2">
      <c r="X604" s="144"/>
    </row>
    <row r="605" spans="24:24" x14ac:dyDescent="0.2">
      <c r="X605" s="144"/>
    </row>
    <row r="606" spans="24:24" x14ac:dyDescent="0.2">
      <c r="X606" s="144"/>
    </row>
    <row r="607" spans="24:24" x14ac:dyDescent="0.2">
      <c r="X607" s="144"/>
    </row>
    <row r="608" spans="24:24" x14ac:dyDescent="0.2">
      <c r="X608" s="144"/>
    </row>
    <row r="609" spans="24:24" x14ac:dyDescent="0.2">
      <c r="X609" s="144"/>
    </row>
    <row r="610" spans="24:24" x14ac:dyDescent="0.2">
      <c r="X610" s="144"/>
    </row>
    <row r="611" spans="24:24" x14ac:dyDescent="0.2">
      <c r="X611" s="144"/>
    </row>
    <row r="612" spans="24:24" x14ac:dyDescent="0.2">
      <c r="X612" s="144"/>
    </row>
    <row r="613" spans="24:24" x14ac:dyDescent="0.2">
      <c r="X613" s="144"/>
    </row>
    <row r="614" spans="24:24" x14ac:dyDescent="0.2">
      <c r="X614" s="144"/>
    </row>
    <row r="615" spans="24:24" x14ac:dyDescent="0.2">
      <c r="X615" s="144"/>
    </row>
    <row r="616" spans="24:24" x14ac:dyDescent="0.2">
      <c r="X616" s="144"/>
    </row>
    <row r="617" spans="24:24" x14ac:dyDescent="0.2">
      <c r="X617" s="144"/>
    </row>
    <row r="618" spans="24:24" x14ac:dyDescent="0.2">
      <c r="X618" s="144"/>
    </row>
    <row r="619" spans="24:24" x14ac:dyDescent="0.2">
      <c r="X619" s="144"/>
    </row>
    <row r="620" spans="24:24" x14ac:dyDescent="0.2">
      <c r="X620" s="144"/>
    </row>
    <row r="621" spans="24:24" x14ac:dyDescent="0.2">
      <c r="X621" s="144"/>
    </row>
    <row r="622" spans="24:24" x14ac:dyDescent="0.2">
      <c r="X622" s="144"/>
    </row>
    <row r="623" spans="24:24" x14ac:dyDescent="0.2">
      <c r="X623" s="144"/>
    </row>
    <row r="624" spans="24:24" x14ac:dyDescent="0.2">
      <c r="X624" s="144"/>
    </row>
    <row r="625" spans="24:24" x14ac:dyDescent="0.2">
      <c r="X625" s="144"/>
    </row>
    <row r="626" spans="24:24" x14ac:dyDescent="0.2">
      <c r="X626" s="144"/>
    </row>
    <row r="627" spans="24:24" x14ac:dyDescent="0.2">
      <c r="X627" s="144"/>
    </row>
    <row r="628" spans="24:24" x14ac:dyDescent="0.2">
      <c r="X628" s="144"/>
    </row>
    <row r="629" spans="24:24" x14ac:dyDescent="0.2">
      <c r="X629" s="144"/>
    </row>
    <row r="630" spans="24:24" x14ac:dyDescent="0.2">
      <c r="X630" s="144"/>
    </row>
    <row r="631" spans="24:24" x14ac:dyDescent="0.2">
      <c r="X631" s="144"/>
    </row>
    <row r="632" spans="24:24" x14ac:dyDescent="0.2">
      <c r="X632" s="144"/>
    </row>
    <row r="633" spans="24:24" x14ac:dyDescent="0.2">
      <c r="X633" s="144"/>
    </row>
    <row r="634" spans="24:24" x14ac:dyDescent="0.2">
      <c r="X634" s="144"/>
    </row>
    <row r="635" spans="24:24" x14ac:dyDescent="0.2">
      <c r="X635" s="144"/>
    </row>
    <row r="636" spans="24:24" x14ac:dyDescent="0.2">
      <c r="X636" s="144"/>
    </row>
    <row r="637" spans="24:24" x14ac:dyDescent="0.2">
      <c r="X637" s="144"/>
    </row>
    <row r="638" spans="24:24" x14ac:dyDescent="0.2">
      <c r="X638" s="144"/>
    </row>
    <row r="639" spans="24:24" x14ac:dyDescent="0.2">
      <c r="X639" s="144"/>
    </row>
    <row r="640" spans="24:24" x14ac:dyDescent="0.2">
      <c r="X640" s="144"/>
    </row>
    <row r="641" spans="24:24" x14ac:dyDescent="0.2">
      <c r="X641" s="144"/>
    </row>
    <row r="642" spans="24:24" x14ac:dyDescent="0.2">
      <c r="X642" s="144"/>
    </row>
    <row r="643" spans="24:24" x14ac:dyDescent="0.2">
      <c r="X643" s="144"/>
    </row>
    <row r="644" spans="24:24" x14ac:dyDescent="0.2">
      <c r="X644" s="144"/>
    </row>
    <row r="645" spans="24:24" x14ac:dyDescent="0.2">
      <c r="X645" s="144"/>
    </row>
    <row r="646" spans="24:24" x14ac:dyDescent="0.2">
      <c r="X646" s="144"/>
    </row>
    <row r="647" spans="24:24" x14ac:dyDescent="0.2">
      <c r="X647" s="144"/>
    </row>
    <row r="648" spans="24:24" x14ac:dyDescent="0.2">
      <c r="X648" s="144"/>
    </row>
    <row r="649" spans="24:24" x14ac:dyDescent="0.2">
      <c r="X649" s="144"/>
    </row>
    <row r="650" spans="24:24" x14ac:dyDescent="0.2">
      <c r="X650" s="144"/>
    </row>
    <row r="651" spans="24:24" x14ac:dyDescent="0.2">
      <c r="X651" s="144"/>
    </row>
    <row r="652" spans="24:24" x14ac:dyDescent="0.2">
      <c r="X652" s="144"/>
    </row>
    <row r="653" spans="24:24" x14ac:dyDescent="0.2">
      <c r="X653" s="144"/>
    </row>
    <row r="654" spans="24:24" x14ac:dyDescent="0.2">
      <c r="X654" s="144"/>
    </row>
    <row r="655" spans="24:24" x14ac:dyDescent="0.2">
      <c r="X655" s="144"/>
    </row>
    <row r="656" spans="24:24" x14ac:dyDescent="0.2">
      <c r="X656" s="144"/>
    </row>
    <row r="657" spans="24:24" x14ac:dyDescent="0.2">
      <c r="X657" s="144"/>
    </row>
    <row r="658" spans="24:24" x14ac:dyDescent="0.2">
      <c r="X658" s="144"/>
    </row>
    <row r="659" spans="24:24" x14ac:dyDescent="0.2">
      <c r="X659" s="144"/>
    </row>
    <row r="660" spans="24:24" x14ac:dyDescent="0.2">
      <c r="X660" s="144"/>
    </row>
    <row r="661" spans="24:24" x14ac:dyDescent="0.2">
      <c r="X661" s="144"/>
    </row>
    <row r="662" spans="24:24" x14ac:dyDescent="0.2">
      <c r="X662" s="144"/>
    </row>
    <row r="663" spans="24:24" x14ac:dyDescent="0.2">
      <c r="X663" s="144"/>
    </row>
    <row r="664" spans="24:24" x14ac:dyDescent="0.2">
      <c r="X664" s="144"/>
    </row>
    <row r="665" spans="24:24" x14ac:dyDescent="0.2">
      <c r="X665" s="144"/>
    </row>
    <row r="666" spans="24:24" x14ac:dyDescent="0.2">
      <c r="X666" s="144"/>
    </row>
    <row r="667" spans="24:24" x14ac:dyDescent="0.2">
      <c r="X667" s="144"/>
    </row>
    <row r="668" spans="24:24" x14ac:dyDescent="0.2">
      <c r="X668" s="144"/>
    </row>
    <row r="669" spans="24:24" x14ac:dyDescent="0.2">
      <c r="X669" s="144"/>
    </row>
    <row r="670" spans="24:24" x14ac:dyDescent="0.2">
      <c r="X670" s="144"/>
    </row>
    <row r="671" spans="24:24" x14ac:dyDescent="0.2">
      <c r="X671" s="144"/>
    </row>
    <row r="672" spans="24:24" x14ac:dyDescent="0.2">
      <c r="X672" s="144"/>
    </row>
    <row r="673" spans="24:24" x14ac:dyDescent="0.2">
      <c r="X673" s="144"/>
    </row>
    <row r="674" spans="24:24" x14ac:dyDescent="0.2">
      <c r="X674" s="144"/>
    </row>
    <row r="675" spans="24:24" x14ac:dyDescent="0.2">
      <c r="X675" s="144"/>
    </row>
    <row r="676" spans="24:24" x14ac:dyDescent="0.2">
      <c r="X676" s="144"/>
    </row>
    <row r="677" spans="24:24" x14ac:dyDescent="0.2">
      <c r="X677" s="144"/>
    </row>
    <row r="678" spans="24:24" x14ac:dyDescent="0.2">
      <c r="X678" s="144"/>
    </row>
    <row r="679" spans="24:24" x14ac:dyDescent="0.2">
      <c r="X679" s="144"/>
    </row>
    <row r="680" spans="24:24" x14ac:dyDescent="0.2">
      <c r="X680" s="144"/>
    </row>
    <row r="681" spans="24:24" x14ac:dyDescent="0.2">
      <c r="X681" s="144"/>
    </row>
    <row r="682" spans="24:24" x14ac:dyDescent="0.2">
      <c r="X682" s="144"/>
    </row>
    <row r="683" spans="24:24" x14ac:dyDescent="0.2">
      <c r="X683" s="144"/>
    </row>
    <row r="684" spans="24:24" x14ac:dyDescent="0.2">
      <c r="X684" s="144"/>
    </row>
    <row r="685" spans="24:24" x14ac:dyDescent="0.2">
      <c r="X685" s="144"/>
    </row>
    <row r="686" spans="24:24" x14ac:dyDescent="0.2">
      <c r="X686" s="144"/>
    </row>
    <row r="687" spans="24:24" x14ac:dyDescent="0.2">
      <c r="X687" s="144"/>
    </row>
    <row r="688" spans="24:24" x14ac:dyDescent="0.2">
      <c r="X688" s="144"/>
    </row>
    <row r="689" spans="24:24" x14ac:dyDescent="0.2">
      <c r="X689" s="144"/>
    </row>
    <row r="690" spans="24:24" x14ac:dyDescent="0.2">
      <c r="X690" s="144"/>
    </row>
    <row r="691" spans="24:24" x14ac:dyDescent="0.2">
      <c r="X691" s="144"/>
    </row>
    <row r="692" spans="24:24" x14ac:dyDescent="0.2">
      <c r="X692" s="144"/>
    </row>
    <row r="693" spans="24:24" x14ac:dyDescent="0.2">
      <c r="X693" s="144"/>
    </row>
    <row r="694" spans="24:24" x14ac:dyDescent="0.2">
      <c r="X694" s="144"/>
    </row>
    <row r="695" spans="24:24" x14ac:dyDescent="0.2">
      <c r="X695" s="144"/>
    </row>
    <row r="696" spans="24:24" x14ac:dyDescent="0.2">
      <c r="X696" s="144"/>
    </row>
    <row r="697" spans="24:24" x14ac:dyDescent="0.2">
      <c r="X697" s="144"/>
    </row>
    <row r="698" spans="24:24" x14ac:dyDescent="0.2">
      <c r="X698" s="144"/>
    </row>
    <row r="699" spans="24:24" x14ac:dyDescent="0.2">
      <c r="X699" s="144"/>
    </row>
    <row r="700" spans="24:24" x14ac:dyDescent="0.2">
      <c r="X700" s="144"/>
    </row>
    <row r="701" spans="24:24" x14ac:dyDescent="0.2">
      <c r="X701" s="144"/>
    </row>
    <row r="702" spans="24:24" x14ac:dyDescent="0.2">
      <c r="X702" s="144"/>
    </row>
    <row r="703" spans="24:24" x14ac:dyDescent="0.2">
      <c r="X703" s="144"/>
    </row>
    <row r="704" spans="24:24" x14ac:dyDescent="0.2">
      <c r="X704" s="144"/>
    </row>
    <row r="705" spans="24:24" x14ac:dyDescent="0.2">
      <c r="X705" s="144"/>
    </row>
    <row r="706" spans="24:24" x14ac:dyDescent="0.2">
      <c r="X706" s="144"/>
    </row>
    <row r="707" spans="24:24" x14ac:dyDescent="0.2">
      <c r="X707" s="144"/>
    </row>
    <row r="708" spans="24:24" x14ac:dyDescent="0.2">
      <c r="X708" s="144"/>
    </row>
    <row r="709" spans="24:24" x14ac:dyDescent="0.2">
      <c r="X709" s="144"/>
    </row>
    <row r="710" spans="24:24" x14ac:dyDescent="0.2">
      <c r="X710" s="144"/>
    </row>
    <row r="711" spans="24:24" x14ac:dyDescent="0.2">
      <c r="X711" s="144"/>
    </row>
    <row r="712" spans="24:24" x14ac:dyDescent="0.2">
      <c r="X712" s="144"/>
    </row>
    <row r="713" spans="24:24" x14ac:dyDescent="0.2">
      <c r="X713" s="144"/>
    </row>
    <row r="714" spans="24:24" x14ac:dyDescent="0.2">
      <c r="X714" s="144"/>
    </row>
    <row r="715" spans="24:24" x14ac:dyDescent="0.2">
      <c r="X715" s="144"/>
    </row>
    <row r="716" spans="24:24" x14ac:dyDescent="0.2">
      <c r="X716" s="144"/>
    </row>
    <row r="717" spans="24:24" x14ac:dyDescent="0.2">
      <c r="X717" s="144"/>
    </row>
    <row r="718" spans="24:24" x14ac:dyDescent="0.2">
      <c r="X718" s="144"/>
    </row>
    <row r="719" spans="24:24" x14ac:dyDescent="0.2">
      <c r="X719" s="144"/>
    </row>
    <row r="720" spans="24:24" x14ac:dyDescent="0.2">
      <c r="X720" s="144"/>
    </row>
    <row r="721" spans="24:24" x14ac:dyDescent="0.2">
      <c r="X721" s="144"/>
    </row>
    <row r="722" spans="24:24" x14ac:dyDescent="0.2">
      <c r="X722" s="144"/>
    </row>
    <row r="723" spans="24:24" x14ac:dyDescent="0.2">
      <c r="X723" s="144"/>
    </row>
    <row r="724" spans="24:24" x14ac:dyDescent="0.2">
      <c r="X724" s="144"/>
    </row>
    <row r="725" spans="24:24" x14ac:dyDescent="0.2">
      <c r="X725" s="144"/>
    </row>
    <row r="726" spans="24:24" x14ac:dyDescent="0.2">
      <c r="X726" s="144"/>
    </row>
    <row r="727" spans="24:24" x14ac:dyDescent="0.2">
      <c r="X727" s="144"/>
    </row>
    <row r="728" spans="24:24" x14ac:dyDescent="0.2">
      <c r="X728" s="144"/>
    </row>
    <row r="729" spans="24:24" x14ac:dyDescent="0.2">
      <c r="X729" s="144"/>
    </row>
    <row r="730" spans="24:24" x14ac:dyDescent="0.2">
      <c r="X730" s="144"/>
    </row>
    <row r="731" spans="24:24" x14ac:dyDescent="0.2">
      <c r="X731" s="144"/>
    </row>
    <row r="732" spans="24:24" x14ac:dyDescent="0.2">
      <c r="X732" s="144"/>
    </row>
    <row r="733" spans="24:24" x14ac:dyDescent="0.2">
      <c r="X733" s="144"/>
    </row>
    <row r="734" spans="24:24" x14ac:dyDescent="0.2">
      <c r="X734" s="144"/>
    </row>
    <row r="735" spans="24:24" x14ac:dyDescent="0.2">
      <c r="X735" s="144"/>
    </row>
    <row r="736" spans="24:24" x14ac:dyDescent="0.2">
      <c r="X736" s="144"/>
    </row>
    <row r="737" spans="24:24" x14ac:dyDescent="0.2">
      <c r="X737" s="144"/>
    </row>
    <row r="738" spans="24:24" x14ac:dyDescent="0.2">
      <c r="X738" s="144"/>
    </row>
    <row r="739" spans="24:24" x14ac:dyDescent="0.2">
      <c r="X739" s="144"/>
    </row>
    <row r="740" spans="24:24" x14ac:dyDescent="0.2">
      <c r="X740" s="144"/>
    </row>
    <row r="741" spans="24:24" x14ac:dyDescent="0.2">
      <c r="X741" s="144"/>
    </row>
    <row r="742" spans="24:24" x14ac:dyDescent="0.2">
      <c r="X742" s="144"/>
    </row>
    <row r="743" spans="24:24" x14ac:dyDescent="0.2">
      <c r="X743" s="144"/>
    </row>
    <row r="744" spans="24:24" x14ac:dyDescent="0.2">
      <c r="X744" s="144"/>
    </row>
    <row r="745" spans="24:24" x14ac:dyDescent="0.2">
      <c r="X745" s="144"/>
    </row>
    <row r="746" spans="24:24" x14ac:dyDescent="0.2">
      <c r="X746" s="144"/>
    </row>
    <row r="747" spans="24:24" x14ac:dyDescent="0.2">
      <c r="X747" s="144"/>
    </row>
    <row r="748" spans="24:24" x14ac:dyDescent="0.2">
      <c r="X748" s="144"/>
    </row>
    <row r="749" spans="24:24" x14ac:dyDescent="0.2">
      <c r="X749" s="144"/>
    </row>
    <row r="750" spans="24:24" x14ac:dyDescent="0.2">
      <c r="X750" s="144"/>
    </row>
    <row r="751" spans="24:24" x14ac:dyDescent="0.2">
      <c r="X751" s="144"/>
    </row>
    <row r="752" spans="24:24" x14ac:dyDescent="0.2">
      <c r="X752" s="144"/>
    </row>
    <row r="753" spans="24:24" x14ac:dyDescent="0.2">
      <c r="X753" s="144"/>
    </row>
    <row r="754" spans="24:24" x14ac:dyDescent="0.2">
      <c r="X754" s="144"/>
    </row>
    <row r="755" spans="24:24" x14ac:dyDescent="0.2">
      <c r="X755" s="144"/>
    </row>
    <row r="756" spans="24:24" x14ac:dyDescent="0.2">
      <c r="X756" s="144"/>
    </row>
    <row r="757" spans="24:24" x14ac:dyDescent="0.2">
      <c r="X757" s="144"/>
    </row>
    <row r="758" spans="24:24" x14ac:dyDescent="0.2">
      <c r="X758" s="144"/>
    </row>
    <row r="759" spans="24:24" x14ac:dyDescent="0.2">
      <c r="X759" s="144"/>
    </row>
    <row r="760" spans="24:24" x14ac:dyDescent="0.2">
      <c r="X760" s="144"/>
    </row>
    <row r="761" spans="24:24" x14ac:dyDescent="0.2">
      <c r="X761" s="144"/>
    </row>
    <row r="762" spans="24:24" x14ac:dyDescent="0.2">
      <c r="X762" s="144"/>
    </row>
    <row r="763" spans="24:24" x14ac:dyDescent="0.2">
      <c r="X763" s="144"/>
    </row>
    <row r="764" spans="24:24" x14ac:dyDescent="0.2">
      <c r="X764" s="144"/>
    </row>
    <row r="765" spans="24:24" x14ac:dyDescent="0.2">
      <c r="X765" s="144"/>
    </row>
    <row r="766" spans="24:24" x14ac:dyDescent="0.2">
      <c r="X766" s="144"/>
    </row>
    <row r="767" spans="24:24" x14ac:dyDescent="0.2">
      <c r="X767" s="144"/>
    </row>
    <row r="768" spans="24:24" x14ac:dyDescent="0.2">
      <c r="X768" s="144"/>
    </row>
    <row r="769" spans="24:24" x14ac:dyDescent="0.2">
      <c r="X769" s="144"/>
    </row>
    <row r="770" spans="24:24" x14ac:dyDescent="0.2">
      <c r="X770" s="144"/>
    </row>
    <row r="771" spans="24:24" x14ac:dyDescent="0.2">
      <c r="X771" s="144"/>
    </row>
    <row r="772" spans="24:24" x14ac:dyDescent="0.2">
      <c r="X772" s="144"/>
    </row>
    <row r="773" spans="24:24" x14ac:dyDescent="0.2">
      <c r="X773" s="144"/>
    </row>
    <row r="774" spans="24:24" x14ac:dyDescent="0.2">
      <c r="X774" s="144"/>
    </row>
    <row r="775" spans="24:24" x14ac:dyDescent="0.2">
      <c r="X775" s="144"/>
    </row>
    <row r="776" spans="24:24" x14ac:dyDescent="0.2">
      <c r="X776" s="144"/>
    </row>
    <row r="777" spans="24:24" x14ac:dyDescent="0.2">
      <c r="X777" s="144"/>
    </row>
    <row r="778" spans="24:24" x14ac:dyDescent="0.2">
      <c r="X778" s="144"/>
    </row>
    <row r="779" spans="24:24" x14ac:dyDescent="0.2">
      <c r="X779" s="144"/>
    </row>
    <row r="780" spans="24:24" x14ac:dyDescent="0.2">
      <c r="X780" s="144"/>
    </row>
    <row r="781" spans="24:24" x14ac:dyDescent="0.2">
      <c r="X781" s="144"/>
    </row>
    <row r="782" spans="24:24" x14ac:dyDescent="0.2">
      <c r="X782" s="144"/>
    </row>
    <row r="783" spans="24:24" x14ac:dyDescent="0.2">
      <c r="X783" s="144"/>
    </row>
    <row r="784" spans="24:24" x14ac:dyDescent="0.2">
      <c r="X784" s="144"/>
    </row>
    <row r="785" spans="24:24" x14ac:dyDescent="0.2">
      <c r="X785" s="144"/>
    </row>
    <row r="786" spans="24:24" x14ac:dyDescent="0.2">
      <c r="X786" s="144"/>
    </row>
    <row r="787" spans="24:24" x14ac:dyDescent="0.2">
      <c r="X787" s="144"/>
    </row>
    <row r="788" spans="24:24" x14ac:dyDescent="0.2">
      <c r="X788" s="144"/>
    </row>
    <row r="789" spans="24:24" x14ac:dyDescent="0.2">
      <c r="X789" s="144"/>
    </row>
    <row r="790" spans="24:24" x14ac:dyDescent="0.2">
      <c r="X790" s="144"/>
    </row>
    <row r="791" spans="24:24" x14ac:dyDescent="0.2">
      <c r="X791" s="144"/>
    </row>
    <row r="792" spans="24:24" x14ac:dyDescent="0.2">
      <c r="X792" s="144"/>
    </row>
    <row r="793" spans="24:24" x14ac:dyDescent="0.2">
      <c r="X793" s="144"/>
    </row>
    <row r="794" spans="24:24" x14ac:dyDescent="0.2">
      <c r="X794" s="144"/>
    </row>
    <row r="795" spans="24:24" x14ac:dyDescent="0.2">
      <c r="X795" s="144"/>
    </row>
    <row r="796" spans="24:24" x14ac:dyDescent="0.2">
      <c r="X796" s="144"/>
    </row>
    <row r="797" spans="24:24" x14ac:dyDescent="0.2">
      <c r="X797" s="144"/>
    </row>
    <row r="798" spans="24:24" x14ac:dyDescent="0.2">
      <c r="X798" s="144"/>
    </row>
    <row r="799" spans="24:24" x14ac:dyDescent="0.2">
      <c r="X799" s="144"/>
    </row>
    <row r="800" spans="24:24" x14ac:dyDescent="0.2">
      <c r="X800" s="144"/>
    </row>
    <row r="801" spans="24:24" x14ac:dyDescent="0.2">
      <c r="X801" s="144"/>
    </row>
    <row r="802" spans="24:24" x14ac:dyDescent="0.2">
      <c r="X802" s="144"/>
    </row>
    <row r="803" spans="24:24" x14ac:dyDescent="0.2">
      <c r="X803" s="144"/>
    </row>
    <row r="804" spans="24:24" x14ac:dyDescent="0.2">
      <c r="X804" s="144"/>
    </row>
    <row r="805" spans="24:24" x14ac:dyDescent="0.2">
      <c r="X805" s="144"/>
    </row>
    <row r="806" spans="24:24" x14ac:dyDescent="0.2">
      <c r="X806" s="144"/>
    </row>
    <row r="807" spans="24:24" x14ac:dyDescent="0.2">
      <c r="X807" s="144"/>
    </row>
    <row r="808" spans="24:24" x14ac:dyDescent="0.2">
      <c r="X808" s="144"/>
    </row>
    <row r="809" spans="24:24" x14ac:dyDescent="0.2">
      <c r="X809" s="144"/>
    </row>
    <row r="810" spans="24:24" x14ac:dyDescent="0.2">
      <c r="X810" s="144"/>
    </row>
    <row r="811" spans="24:24" x14ac:dyDescent="0.2">
      <c r="X811" s="144"/>
    </row>
    <row r="812" spans="24:24" x14ac:dyDescent="0.2">
      <c r="X812" s="144"/>
    </row>
    <row r="813" spans="24:24" x14ac:dyDescent="0.2">
      <c r="X813" s="144"/>
    </row>
    <row r="814" spans="24:24" x14ac:dyDescent="0.2">
      <c r="X814" s="144"/>
    </row>
    <row r="815" spans="24:24" x14ac:dyDescent="0.2">
      <c r="X815" s="144"/>
    </row>
    <row r="816" spans="24:24" x14ac:dyDescent="0.2">
      <c r="X816" s="144"/>
    </row>
    <row r="817" spans="24:24" x14ac:dyDescent="0.2">
      <c r="X817" s="144"/>
    </row>
    <row r="818" spans="24:24" x14ac:dyDescent="0.2">
      <c r="X818" s="144"/>
    </row>
    <row r="819" spans="24:24" x14ac:dyDescent="0.2">
      <c r="X819" s="144"/>
    </row>
    <row r="820" spans="24:24" x14ac:dyDescent="0.2">
      <c r="X820" s="144"/>
    </row>
    <row r="821" spans="24:24" x14ac:dyDescent="0.2">
      <c r="X821" s="144"/>
    </row>
    <row r="822" spans="24:24" x14ac:dyDescent="0.2">
      <c r="X822" s="144"/>
    </row>
    <row r="823" spans="24:24" x14ac:dyDescent="0.2">
      <c r="X823" s="144"/>
    </row>
    <row r="824" spans="24:24" x14ac:dyDescent="0.2">
      <c r="X824" s="144"/>
    </row>
    <row r="825" spans="24:24" x14ac:dyDescent="0.2">
      <c r="X825" s="144"/>
    </row>
    <row r="826" spans="24:24" x14ac:dyDescent="0.2">
      <c r="X826" s="144"/>
    </row>
    <row r="827" spans="24:24" x14ac:dyDescent="0.2">
      <c r="X827" s="144"/>
    </row>
    <row r="828" spans="24:24" x14ac:dyDescent="0.2">
      <c r="X828" s="144"/>
    </row>
    <row r="829" spans="24:24" x14ac:dyDescent="0.2">
      <c r="X829" s="144"/>
    </row>
    <row r="830" spans="24:24" x14ac:dyDescent="0.2">
      <c r="X830" s="144"/>
    </row>
    <row r="831" spans="24:24" x14ac:dyDescent="0.2">
      <c r="X831" s="144"/>
    </row>
    <row r="832" spans="24:24" x14ac:dyDescent="0.2">
      <c r="X832" s="144"/>
    </row>
    <row r="833" spans="24:24" x14ac:dyDescent="0.2">
      <c r="X833" s="144"/>
    </row>
    <row r="834" spans="24:24" x14ac:dyDescent="0.2">
      <c r="X834" s="144"/>
    </row>
    <row r="835" spans="24:24" x14ac:dyDescent="0.2">
      <c r="X835" s="144"/>
    </row>
    <row r="836" spans="24:24" x14ac:dyDescent="0.2">
      <c r="X836" s="144"/>
    </row>
    <row r="837" spans="24:24" x14ac:dyDescent="0.2">
      <c r="X837" s="144"/>
    </row>
    <row r="838" spans="24:24" x14ac:dyDescent="0.2">
      <c r="X838" s="144"/>
    </row>
    <row r="839" spans="24:24" x14ac:dyDescent="0.2">
      <c r="X839" s="144"/>
    </row>
    <row r="840" spans="24:24" x14ac:dyDescent="0.2">
      <c r="X840" s="144"/>
    </row>
    <row r="841" spans="24:24" x14ac:dyDescent="0.2">
      <c r="X841" s="144"/>
    </row>
    <row r="842" spans="24:24" x14ac:dyDescent="0.2">
      <c r="X842" s="144"/>
    </row>
    <row r="843" spans="24:24" x14ac:dyDescent="0.2">
      <c r="X843" s="144"/>
    </row>
    <row r="844" spans="24:24" x14ac:dyDescent="0.2">
      <c r="X844" s="144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ED381FD1-DF07-4E70-AA90-85A15DEFC447}">
      <formula1>israel_abroad</formula1>
    </dataValidation>
    <dataValidation type="list" allowBlank="1" showInputMessage="1" showErrorMessage="1" sqref="I2:I20" xr:uid="{508D9CBC-069F-4C0B-B2B3-574B78999CB5}">
      <formula1>Stock_Exchange_Gov_Bonds</formula1>
    </dataValidation>
    <dataValidation type="list" allowBlank="1" showInputMessage="1" showErrorMessage="1" sqref="K2:K20" xr:uid="{30946879-8A6A-4F2E-9D7A-50362BA889C4}">
      <formula1>Rating_Agency</formula1>
    </dataValidation>
    <dataValidation type="list" allowBlank="1" showInputMessage="1" showErrorMessage="1" sqref="W2:W20" xr:uid="{5B6DAB4E-8E96-44B5-89D2-64BC1183CB0C}">
      <formula1>In_the_books</formula1>
    </dataValidation>
    <dataValidation type="list" allowBlank="1" showInputMessage="1" showErrorMessage="1" sqref="H2:H20" xr:uid="{1A8599B1-F01B-4F52-84F2-C6C349945363}">
      <formula1>Country_list</formula1>
    </dataValidation>
  </dataValidation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workbookViewId="0">
      <selection activeCell="H11" sqref="H11"/>
    </sheetView>
  </sheetViews>
  <sheetFormatPr defaultColWidth="11.625" defaultRowHeight="14.25" x14ac:dyDescent="0.2"/>
  <cols>
    <col min="1" max="21" width="11.625" style="3" customWidth="1"/>
    <col min="22" max="22" width="11.625" style="143" customWidth="1"/>
    <col min="23" max="32" width="11.625" style="3" customWidth="1"/>
    <col min="33" max="16384" width="11.625" style="3"/>
  </cols>
  <sheetData>
    <row r="1" spans="1:36" ht="66.75" customHeight="1" x14ac:dyDescent="0.2">
      <c r="A1" s="13" t="s">
        <v>651</v>
      </c>
      <c r="B1" s="13" t="s">
        <v>0</v>
      </c>
      <c r="C1" s="13" t="s">
        <v>724</v>
      </c>
      <c r="D1" s="13" t="s">
        <v>2</v>
      </c>
      <c r="E1" s="13" t="s">
        <v>740</v>
      </c>
      <c r="F1" s="13" t="s">
        <v>1145</v>
      </c>
      <c r="G1" s="13" t="s">
        <v>29</v>
      </c>
      <c r="H1" s="13" t="s">
        <v>28</v>
      </c>
      <c r="I1" s="13" t="s">
        <v>1</v>
      </c>
      <c r="J1" s="13" t="s">
        <v>604</v>
      </c>
      <c r="K1" s="13" t="s">
        <v>605</v>
      </c>
      <c r="L1" s="13" t="s">
        <v>5</v>
      </c>
      <c r="M1" s="13" t="s">
        <v>9</v>
      </c>
      <c r="N1" s="13" t="s">
        <v>606</v>
      </c>
      <c r="O1" s="13" t="s">
        <v>6</v>
      </c>
      <c r="P1" s="13" t="s">
        <v>8</v>
      </c>
      <c r="Q1" s="13" t="s">
        <v>1146</v>
      </c>
      <c r="R1" s="13" t="s">
        <v>396</v>
      </c>
      <c r="S1" s="13" t="s">
        <v>13</v>
      </c>
      <c r="T1" s="13" t="s">
        <v>309</v>
      </c>
      <c r="U1" s="13" t="s">
        <v>421</v>
      </c>
      <c r="V1" s="125" t="s">
        <v>14</v>
      </c>
      <c r="W1" s="126" t="s">
        <v>621</v>
      </c>
      <c r="X1" s="13" t="s">
        <v>925</v>
      </c>
      <c r="Y1" s="13" t="s">
        <v>669</v>
      </c>
      <c r="Z1" s="13" t="s">
        <v>773</v>
      </c>
      <c r="AA1" s="124" t="s">
        <v>11</v>
      </c>
      <c r="AB1" s="136" t="s">
        <v>15</v>
      </c>
      <c r="AC1" s="13" t="s">
        <v>938</v>
      </c>
      <c r="AD1" s="13" t="s">
        <v>1153</v>
      </c>
      <c r="AE1" s="13" t="s">
        <v>1154</v>
      </c>
      <c r="AF1" s="13" t="s">
        <v>788</v>
      </c>
      <c r="AG1" s="13" t="s">
        <v>26</v>
      </c>
      <c r="AH1" s="126" t="s">
        <v>18</v>
      </c>
      <c r="AI1" s="126" t="s">
        <v>19</v>
      </c>
      <c r="AJ1" s="126" t="s">
        <v>30</v>
      </c>
    </row>
    <row r="2" spans="1:36" x14ac:dyDescent="0.2">
      <c r="A2" s="12">
        <v>13710</v>
      </c>
      <c r="B2" s="12">
        <v>13711</v>
      </c>
      <c r="C2" s="12" t="s">
        <v>1475</v>
      </c>
      <c r="D2" s="12" t="s">
        <v>1476</v>
      </c>
      <c r="E2" s="12" t="s">
        <v>1477</v>
      </c>
      <c r="F2" s="12" t="s">
        <v>1478</v>
      </c>
      <c r="G2" s="12" t="s">
        <v>1479</v>
      </c>
      <c r="H2" s="12" t="s">
        <v>76</v>
      </c>
      <c r="I2" s="12" t="s">
        <v>223</v>
      </c>
      <c r="J2" s="12" t="s">
        <v>53</v>
      </c>
      <c r="K2" s="12" t="s">
        <v>53</v>
      </c>
      <c r="L2" s="12" t="s">
        <v>1227</v>
      </c>
      <c r="M2" s="12" t="s">
        <v>256</v>
      </c>
      <c r="N2" s="12" t="s">
        <v>62</v>
      </c>
      <c r="O2" s="3" t="s">
        <v>1213</v>
      </c>
      <c r="P2" s="12" t="s">
        <v>65</v>
      </c>
      <c r="Q2" s="12" t="s">
        <v>57</v>
      </c>
      <c r="R2" s="12" t="s">
        <v>1219</v>
      </c>
      <c r="S2" s="145">
        <v>0.189</v>
      </c>
      <c r="T2" s="18" t="s">
        <v>362</v>
      </c>
      <c r="U2" s="12" t="s">
        <v>1411</v>
      </c>
      <c r="V2" s="146">
        <v>4.5499999999999999E-2</v>
      </c>
      <c r="W2" s="138">
        <v>5.1220000000000002E-2</v>
      </c>
      <c r="X2" s="12" t="s">
        <v>620</v>
      </c>
      <c r="Y2" s="12" t="s">
        <v>62</v>
      </c>
      <c r="Z2" s="145">
        <v>2800</v>
      </c>
      <c r="AA2" s="147">
        <v>1</v>
      </c>
      <c r="AB2" s="148">
        <v>1035.55</v>
      </c>
      <c r="AC2" s="12"/>
      <c r="AD2" s="145">
        <v>28.995000000000001</v>
      </c>
      <c r="AE2" s="12"/>
      <c r="AG2" s="12" t="s">
        <v>17</v>
      </c>
      <c r="AH2" s="138">
        <v>1.9999999999999999E-6</v>
      </c>
      <c r="AI2" s="138">
        <v>0.110396129887565</v>
      </c>
      <c r="AJ2" s="138">
        <v>4.2508284975059901E-4</v>
      </c>
    </row>
    <row r="3" spans="1:36" x14ac:dyDescent="0.2">
      <c r="A3" s="12">
        <v>13710</v>
      </c>
      <c r="B3" s="12">
        <v>13711</v>
      </c>
      <c r="C3" s="12" t="s">
        <v>1475</v>
      </c>
      <c r="D3" s="12" t="s">
        <v>1476</v>
      </c>
      <c r="E3" s="12" t="s">
        <v>1477</v>
      </c>
      <c r="F3" s="12" t="s">
        <v>1480</v>
      </c>
      <c r="G3" s="12" t="s">
        <v>1481</v>
      </c>
      <c r="H3" s="12" t="s">
        <v>76</v>
      </c>
      <c r="I3" s="12" t="s">
        <v>223</v>
      </c>
      <c r="J3" s="12" t="s">
        <v>53</v>
      </c>
      <c r="K3" s="12" t="s">
        <v>53</v>
      </c>
      <c r="L3" s="12" t="s">
        <v>1227</v>
      </c>
      <c r="M3" s="12" t="s">
        <v>256</v>
      </c>
      <c r="N3" s="12" t="s">
        <v>62</v>
      </c>
      <c r="O3" s="3" t="s">
        <v>1213</v>
      </c>
      <c r="P3" s="12" t="s">
        <v>65</v>
      </c>
      <c r="Q3" s="12" t="s">
        <v>57</v>
      </c>
      <c r="R3" s="12" t="s">
        <v>1219</v>
      </c>
      <c r="S3" s="145">
        <v>0.53200000000000003</v>
      </c>
      <c r="T3" s="18" t="s">
        <v>685</v>
      </c>
      <c r="U3" s="12" t="s">
        <v>1482</v>
      </c>
      <c r="V3" s="146">
        <v>9.0399999999999994E-2</v>
      </c>
      <c r="W3" s="149">
        <v>4.5629999999999997E-2</v>
      </c>
      <c r="X3" s="12" t="s">
        <v>620</v>
      </c>
      <c r="Y3" s="12" t="s">
        <v>62</v>
      </c>
      <c r="Z3" s="145">
        <v>16000</v>
      </c>
      <c r="AA3" s="147">
        <v>1</v>
      </c>
      <c r="AB3" s="148">
        <v>1020.9</v>
      </c>
      <c r="AC3" s="12"/>
      <c r="AD3" s="145">
        <v>163.34399999999999</v>
      </c>
      <c r="AE3" s="12"/>
      <c r="AG3" s="12" t="s">
        <v>17</v>
      </c>
      <c r="AH3" s="138">
        <v>1.1E-5</v>
      </c>
      <c r="AI3" s="138">
        <v>0.62191055961822805</v>
      </c>
      <c r="AJ3" s="138">
        <v>2.3946809842134201E-3</v>
      </c>
    </row>
    <row r="4" spans="1:36" x14ac:dyDescent="0.2">
      <c r="A4" s="12">
        <v>13710</v>
      </c>
      <c r="B4" s="12">
        <v>13711</v>
      </c>
      <c r="C4" s="12" t="s">
        <v>1220</v>
      </c>
      <c r="D4" s="12" t="s">
        <v>1483</v>
      </c>
      <c r="E4" s="12" t="s">
        <v>1477</v>
      </c>
      <c r="F4" s="12" t="s">
        <v>1484</v>
      </c>
      <c r="G4" s="12" t="s">
        <v>1485</v>
      </c>
      <c r="H4" s="12" t="s">
        <v>76</v>
      </c>
      <c r="I4" s="12" t="s">
        <v>223</v>
      </c>
      <c r="J4" s="12" t="s">
        <v>53</v>
      </c>
      <c r="K4" s="12" t="s">
        <v>53</v>
      </c>
      <c r="L4" s="12" t="s">
        <v>1227</v>
      </c>
      <c r="M4" s="12" t="s">
        <v>256</v>
      </c>
      <c r="N4" s="12" t="s">
        <v>62</v>
      </c>
      <c r="O4" s="3" t="s">
        <v>1213</v>
      </c>
      <c r="P4" s="12" t="s">
        <v>65</v>
      </c>
      <c r="Q4" s="12" t="s">
        <v>57</v>
      </c>
      <c r="R4" s="12" t="s">
        <v>1219</v>
      </c>
      <c r="S4" s="145">
        <v>0.189</v>
      </c>
      <c r="T4" s="18" t="s">
        <v>685</v>
      </c>
      <c r="U4" s="12" t="s">
        <v>1411</v>
      </c>
      <c r="V4" s="146">
        <v>4.5499999999999999E-2</v>
      </c>
      <c r="W4" s="149">
        <v>4.6800000000000001E-2</v>
      </c>
      <c r="X4" s="12" t="s">
        <v>620</v>
      </c>
      <c r="Y4" s="12" t="s">
        <v>62</v>
      </c>
      <c r="Z4" s="145">
        <v>1600</v>
      </c>
      <c r="AA4" s="147">
        <v>1</v>
      </c>
      <c r="AB4" s="148">
        <v>1036.5</v>
      </c>
      <c r="AC4" s="12"/>
      <c r="AD4" s="145">
        <v>16.584</v>
      </c>
      <c r="AE4" s="12"/>
      <c r="AG4" s="12" t="s">
        <v>17</v>
      </c>
      <c r="AH4" s="138">
        <v>9.9999999999999995E-7</v>
      </c>
      <c r="AI4" s="138">
        <v>6.3141374771700703E-2</v>
      </c>
      <c r="AJ4" s="138">
        <v>2.43127322963778E-4</v>
      </c>
    </row>
    <row r="5" spans="1:36" x14ac:dyDescent="0.2">
      <c r="A5" s="12">
        <v>13710</v>
      </c>
      <c r="B5" s="12">
        <v>13711</v>
      </c>
      <c r="C5" s="12" t="s">
        <v>1220</v>
      </c>
      <c r="D5" s="12" t="s">
        <v>1483</v>
      </c>
      <c r="E5" s="12" t="s">
        <v>1477</v>
      </c>
      <c r="F5" s="12" t="s">
        <v>1486</v>
      </c>
      <c r="G5" s="12" t="s">
        <v>1487</v>
      </c>
      <c r="H5" s="12" t="s">
        <v>76</v>
      </c>
      <c r="I5" s="12" t="s">
        <v>223</v>
      </c>
      <c r="J5" s="12" t="s">
        <v>53</v>
      </c>
      <c r="K5" s="12" t="s">
        <v>53</v>
      </c>
      <c r="L5" s="12" t="s">
        <v>1227</v>
      </c>
      <c r="M5" s="12" t="s">
        <v>256</v>
      </c>
      <c r="N5" s="12" t="s">
        <v>62</v>
      </c>
      <c r="O5" s="3" t="s">
        <v>1213</v>
      </c>
      <c r="P5" s="12" t="s">
        <v>65</v>
      </c>
      <c r="Q5" s="12" t="s">
        <v>57</v>
      </c>
      <c r="R5" s="12" t="s">
        <v>1219</v>
      </c>
      <c r="S5" s="145">
        <v>0.56200000000000006</v>
      </c>
      <c r="T5" s="18" t="s">
        <v>362</v>
      </c>
      <c r="U5" s="12" t="s">
        <v>1488</v>
      </c>
      <c r="V5" s="146">
        <v>4.5199999999999997E-2</v>
      </c>
      <c r="W5" s="149">
        <v>4.6420000000000003E-2</v>
      </c>
      <c r="X5" s="12" t="s">
        <v>620</v>
      </c>
      <c r="Y5" s="12" t="s">
        <v>62</v>
      </c>
      <c r="Z5" s="145">
        <v>2700</v>
      </c>
      <c r="AA5" s="147">
        <v>1</v>
      </c>
      <c r="AB5" s="148">
        <v>1018.9</v>
      </c>
      <c r="AC5" s="12"/>
      <c r="AD5" s="145">
        <v>27.51</v>
      </c>
      <c r="AE5" s="12"/>
      <c r="AG5" s="12" t="s">
        <v>17</v>
      </c>
      <c r="AH5" s="138">
        <v>1.9999999999999999E-6</v>
      </c>
      <c r="AI5" s="138">
        <v>0.104741809116131</v>
      </c>
      <c r="AJ5" s="138">
        <v>4.0331075693019901E-4</v>
      </c>
    </row>
    <row r="6" spans="1:36" x14ac:dyDescent="0.2">
      <c r="A6" s="12">
        <v>13710</v>
      </c>
      <c r="B6" s="12">
        <v>13711</v>
      </c>
      <c r="C6" s="12" t="s">
        <v>1489</v>
      </c>
      <c r="D6" s="12" t="s">
        <v>1490</v>
      </c>
      <c r="E6" s="12" t="s">
        <v>1477</v>
      </c>
      <c r="F6" s="12" t="s">
        <v>1491</v>
      </c>
      <c r="G6" s="12" t="s">
        <v>1492</v>
      </c>
      <c r="H6" s="12" t="s">
        <v>76</v>
      </c>
      <c r="I6" s="12" t="s">
        <v>223</v>
      </c>
      <c r="J6" s="12" t="s">
        <v>53</v>
      </c>
      <c r="K6" s="12" t="s">
        <v>53</v>
      </c>
      <c r="L6" s="12" t="s">
        <v>1227</v>
      </c>
      <c r="M6" s="12" t="s">
        <v>635</v>
      </c>
      <c r="N6" s="12" t="s">
        <v>62</v>
      </c>
      <c r="O6" s="3" t="s">
        <v>1493</v>
      </c>
      <c r="P6" s="12" t="s">
        <v>65</v>
      </c>
      <c r="Q6" s="12" t="s">
        <v>57</v>
      </c>
      <c r="R6" s="12" t="s">
        <v>1219</v>
      </c>
      <c r="S6" s="145">
        <v>3.5999999999999997E-2</v>
      </c>
      <c r="T6" s="18" t="s">
        <v>685</v>
      </c>
      <c r="U6" s="12" t="s">
        <v>1494</v>
      </c>
      <c r="V6" s="146">
        <v>5.0999999999999997E-2</v>
      </c>
      <c r="W6" s="149">
        <v>7.0279999999999995E-2</v>
      </c>
      <c r="X6" s="12" t="s">
        <v>620</v>
      </c>
      <c r="Y6" s="12" t="s">
        <v>62</v>
      </c>
      <c r="Z6" s="145">
        <v>2500</v>
      </c>
      <c r="AA6" s="147">
        <v>1</v>
      </c>
      <c r="AB6" s="148">
        <v>1048.5999999999999</v>
      </c>
      <c r="AC6" s="12"/>
      <c r="AD6" s="145">
        <v>26.215</v>
      </c>
      <c r="AE6" s="12"/>
      <c r="AG6" s="12" t="s">
        <v>17</v>
      </c>
      <c r="AH6" s="138">
        <v>1.4E-5</v>
      </c>
      <c r="AI6" s="138">
        <v>9.9810126606375699E-2</v>
      </c>
      <c r="AJ6" s="138">
        <v>3.8432119943894401E-4</v>
      </c>
    </row>
    <row r="7" spans="1:36" x14ac:dyDescent="0.2">
      <c r="A7" s="12">
        <v>559</v>
      </c>
      <c r="B7" s="12">
        <v>556</v>
      </c>
      <c r="C7" s="12" t="s">
        <v>1475</v>
      </c>
      <c r="D7" s="12" t="s">
        <v>1476</v>
      </c>
      <c r="E7" s="12" t="s">
        <v>1477</v>
      </c>
      <c r="F7" s="12" t="s">
        <v>1478</v>
      </c>
      <c r="G7" s="12" t="s">
        <v>1479</v>
      </c>
      <c r="H7" s="12" t="s">
        <v>76</v>
      </c>
      <c r="I7" s="12" t="s">
        <v>223</v>
      </c>
      <c r="J7" s="12" t="s">
        <v>53</v>
      </c>
      <c r="K7" s="12" t="s">
        <v>53</v>
      </c>
      <c r="L7" s="12" t="s">
        <v>1227</v>
      </c>
      <c r="M7" s="12" t="s">
        <v>256</v>
      </c>
      <c r="N7" s="12" t="s">
        <v>62</v>
      </c>
      <c r="O7" s="3" t="s">
        <v>1213</v>
      </c>
      <c r="P7" s="12" t="s">
        <v>65</v>
      </c>
      <c r="Q7" s="12" t="s">
        <v>57</v>
      </c>
      <c r="R7" s="12" t="s">
        <v>1219</v>
      </c>
      <c r="S7" s="145">
        <v>0.189</v>
      </c>
      <c r="T7" s="18" t="s">
        <v>362</v>
      </c>
      <c r="U7" s="12" t="s">
        <v>1411</v>
      </c>
      <c r="V7" s="146">
        <v>4.5499999999999999E-2</v>
      </c>
      <c r="W7" s="149">
        <v>5.1220000000000002E-2</v>
      </c>
      <c r="X7" s="12" t="s">
        <v>620</v>
      </c>
      <c r="Y7" s="12" t="s">
        <v>62</v>
      </c>
      <c r="Z7" s="145">
        <v>20600</v>
      </c>
      <c r="AA7" s="147">
        <v>1</v>
      </c>
      <c r="AB7" s="148">
        <v>1035.55</v>
      </c>
      <c r="AC7" s="12"/>
      <c r="AD7" s="145">
        <v>213.32300000000001</v>
      </c>
      <c r="AE7" s="12"/>
      <c r="AG7" s="3" t="s">
        <v>17</v>
      </c>
      <c r="AH7" s="138">
        <v>1.8E-5</v>
      </c>
      <c r="AI7" s="138">
        <v>0.19558583570438801</v>
      </c>
      <c r="AJ7" s="138">
        <v>6.3967567841984399E-4</v>
      </c>
    </row>
    <row r="8" spans="1:36" x14ac:dyDescent="0.2">
      <c r="A8" s="12">
        <v>559</v>
      </c>
      <c r="B8" s="12">
        <v>556</v>
      </c>
      <c r="C8" s="12" t="s">
        <v>1475</v>
      </c>
      <c r="D8" s="12" t="s">
        <v>1476</v>
      </c>
      <c r="E8" s="12" t="s">
        <v>1477</v>
      </c>
      <c r="F8" s="12" t="s">
        <v>1480</v>
      </c>
      <c r="G8" s="12" t="s">
        <v>1481</v>
      </c>
      <c r="H8" s="12" t="s">
        <v>76</v>
      </c>
      <c r="I8" s="12" t="s">
        <v>223</v>
      </c>
      <c r="J8" s="12" t="s">
        <v>53</v>
      </c>
      <c r="K8" s="12" t="s">
        <v>53</v>
      </c>
      <c r="L8" s="12" t="s">
        <v>1227</v>
      </c>
      <c r="M8" s="12" t="s">
        <v>256</v>
      </c>
      <c r="N8" s="12" t="s">
        <v>62</v>
      </c>
      <c r="O8" s="3" t="s">
        <v>1213</v>
      </c>
      <c r="P8" s="12" t="s">
        <v>65</v>
      </c>
      <c r="Q8" s="12" t="s">
        <v>57</v>
      </c>
      <c r="R8" s="12" t="s">
        <v>1219</v>
      </c>
      <c r="S8" s="145">
        <v>0.53200000000000003</v>
      </c>
      <c r="T8" s="18" t="s">
        <v>685</v>
      </c>
      <c r="U8" s="12" t="s">
        <v>1482</v>
      </c>
      <c r="V8" s="146">
        <v>9.0399999999999994E-2</v>
      </c>
      <c r="W8" s="149">
        <v>4.5629999999999997E-2</v>
      </c>
      <c r="X8" s="12" t="s">
        <v>620</v>
      </c>
      <c r="Y8" s="12" t="s">
        <v>62</v>
      </c>
      <c r="Z8" s="145">
        <v>37000</v>
      </c>
      <c r="AA8" s="139">
        <v>1</v>
      </c>
      <c r="AB8" s="140">
        <v>1020.9</v>
      </c>
      <c r="AD8" s="137">
        <v>377.733</v>
      </c>
      <c r="AG8" s="3" t="s">
        <v>17</v>
      </c>
      <c r="AH8" s="138">
        <v>2.4000000000000001E-5</v>
      </c>
      <c r="AI8" s="138">
        <v>0.34632515284605903</v>
      </c>
      <c r="AJ8" s="138">
        <v>1.1326780198720101E-3</v>
      </c>
    </row>
    <row r="9" spans="1:36" x14ac:dyDescent="0.2">
      <c r="A9" s="12">
        <v>559</v>
      </c>
      <c r="B9" s="12">
        <v>556</v>
      </c>
      <c r="C9" s="12" t="s">
        <v>1220</v>
      </c>
      <c r="D9" s="12" t="s">
        <v>1483</v>
      </c>
      <c r="E9" s="12" t="s">
        <v>1477</v>
      </c>
      <c r="F9" s="12" t="s">
        <v>1484</v>
      </c>
      <c r="G9" s="12" t="s">
        <v>1485</v>
      </c>
      <c r="H9" s="12" t="s">
        <v>76</v>
      </c>
      <c r="I9" s="12" t="s">
        <v>223</v>
      </c>
      <c r="J9" s="12" t="s">
        <v>53</v>
      </c>
      <c r="K9" s="12" t="s">
        <v>53</v>
      </c>
      <c r="L9" s="12" t="s">
        <v>1227</v>
      </c>
      <c r="M9" s="12" t="s">
        <v>256</v>
      </c>
      <c r="N9" s="12" t="s">
        <v>62</v>
      </c>
      <c r="O9" s="3" t="s">
        <v>1213</v>
      </c>
      <c r="P9" s="12" t="s">
        <v>65</v>
      </c>
      <c r="Q9" s="12" t="s">
        <v>57</v>
      </c>
      <c r="R9" s="12" t="s">
        <v>1219</v>
      </c>
      <c r="S9" s="145">
        <v>0.189</v>
      </c>
      <c r="T9" s="18" t="s">
        <v>685</v>
      </c>
      <c r="U9" s="12" t="s">
        <v>1411</v>
      </c>
      <c r="V9" s="146">
        <v>4.5499999999999999E-2</v>
      </c>
      <c r="W9" s="149">
        <v>4.6800000000000001E-2</v>
      </c>
      <c r="X9" s="12" t="s">
        <v>620</v>
      </c>
      <c r="Y9" s="12" t="s">
        <v>62</v>
      </c>
      <c r="Z9" s="145">
        <v>11300</v>
      </c>
      <c r="AA9" s="139">
        <v>1</v>
      </c>
      <c r="AB9" s="150">
        <v>1036.5</v>
      </c>
      <c r="AC9" s="18"/>
      <c r="AD9" s="151">
        <v>117.124</v>
      </c>
      <c r="AG9" s="12" t="s">
        <v>17</v>
      </c>
      <c r="AH9" s="138">
        <v>6.0000000000000002E-6</v>
      </c>
      <c r="AI9" s="138">
        <v>0.107385799928834</v>
      </c>
      <c r="AJ9" s="138">
        <v>3.5121195854876102E-4</v>
      </c>
    </row>
    <row r="10" spans="1:36" x14ac:dyDescent="0.2">
      <c r="A10" s="12">
        <v>559</v>
      </c>
      <c r="B10" s="12">
        <v>556</v>
      </c>
      <c r="C10" s="12" t="s">
        <v>1220</v>
      </c>
      <c r="D10" s="12" t="s">
        <v>1483</v>
      </c>
      <c r="E10" s="12" t="s">
        <v>1477</v>
      </c>
      <c r="F10" s="12" t="s">
        <v>1486</v>
      </c>
      <c r="G10" s="12" t="s">
        <v>1487</v>
      </c>
      <c r="H10" s="12" t="s">
        <v>76</v>
      </c>
      <c r="I10" s="12" t="s">
        <v>223</v>
      </c>
      <c r="J10" s="12" t="s">
        <v>53</v>
      </c>
      <c r="K10" s="12" t="s">
        <v>53</v>
      </c>
      <c r="L10" s="12" t="s">
        <v>1227</v>
      </c>
      <c r="M10" s="12" t="s">
        <v>256</v>
      </c>
      <c r="N10" s="12" t="s">
        <v>62</v>
      </c>
      <c r="O10" s="3" t="s">
        <v>1213</v>
      </c>
      <c r="P10" s="12" t="s">
        <v>65</v>
      </c>
      <c r="Q10" s="12" t="s">
        <v>57</v>
      </c>
      <c r="R10" s="12" t="s">
        <v>1219</v>
      </c>
      <c r="S10" s="145">
        <v>0.56200000000000006</v>
      </c>
      <c r="T10" s="18" t="s">
        <v>362</v>
      </c>
      <c r="U10" s="12" t="s">
        <v>1488</v>
      </c>
      <c r="V10" s="146">
        <v>4.5199999999999997E-2</v>
      </c>
      <c r="W10" s="149">
        <v>4.6420000000000003E-2</v>
      </c>
      <c r="X10" s="12" t="s">
        <v>620</v>
      </c>
      <c r="Y10" s="12" t="s">
        <v>62</v>
      </c>
      <c r="Z10" s="145">
        <v>14900</v>
      </c>
      <c r="AA10" s="147">
        <v>1</v>
      </c>
      <c r="AB10" s="148">
        <v>1018.9</v>
      </c>
      <c r="AC10" s="12"/>
      <c r="AD10" s="145">
        <v>151.816</v>
      </c>
      <c r="AE10" s="12"/>
      <c r="AG10" s="12" t="s">
        <v>17</v>
      </c>
      <c r="AH10" s="138">
        <v>1.0000000000000001E-5</v>
      </c>
      <c r="AI10" s="138">
        <v>0.13919285325082201</v>
      </c>
      <c r="AJ10" s="138">
        <v>4.5523891090450401E-4</v>
      </c>
    </row>
    <row r="11" spans="1:36" x14ac:dyDescent="0.2">
      <c r="A11" s="12">
        <v>559</v>
      </c>
      <c r="B11" s="12">
        <v>556</v>
      </c>
      <c r="C11" s="12" t="s">
        <v>1489</v>
      </c>
      <c r="D11" s="12" t="s">
        <v>1490</v>
      </c>
      <c r="E11" s="12" t="s">
        <v>1477</v>
      </c>
      <c r="F11" s="12" t="s">
        <v>1491</v>
      </c>
      <c r="G11" s="12" t="s">
        <v>1492</v>
      </c>
      <c r="H11" s="12" t="s">
        <v>76</v>
      </c>
      <c r="I11" s="12" t="s">
        <v>223</v>
      </c>
      <c r="J11" s="12" t="s">
        <v>53</v>
      </c>
      <c r="K11" s="12" t="s">
        <v>53</v>
      </c>
      <c r="L11" s="12" t="s">
        <v>1227</v>
      </c>
      <c r="M11" s="12" t="s">
        <v>635</v>
      </c>
      <c r="N11" s="12" t="s">
        <v>62</v>
      </c>
      <c r="O11" s="3" t="s">
        <v>1493</v>
      </c>
      <c r="P11" s="12" t="s">
        <v>65</v>
      </c>
      <c r="Q11" s="12" t="s">
        <v>57</v>
      </c>
      <c r="R11" s="12" t="s">
        <v>1219</v>
      </c>
      <c r="S11" s="145">
        <v>3.5999999999999997E-2</v>
      </c>
      <c r="T11" s="18" t="s">
        <v>685</v>
      </c>
      <c r="U11" s="12" t="s">
        <v>1494</v>
      </c>
      <c r="V11" s="146">
        <v>5.0999999999999997E-2</v>
      </c>
      <c r="W11" s="149">
        <v>7.0279999999999995E-2</v>
      </c>
      <c r="X11" s="12" t="s">
        <v>620</v>
      </c>
      <c r="Y11" s="12" t="s">
        <v>62</v>
      </c>
      <c r="Z11" s="145">
        <v>22000</v>
      </c>
      <c r="AA11" s="147">
        <v>1</v>
      </c>
      <c r="AB11" s="148">
        <v>1048.5999999999999</v>
      </c>
      <c r="AC11" s="12"/>
      <c r="AD11" s="145">
        <v>230.69200000000001</v>
      </c>
      <c r="AE11" s="12"/>
      <c r="AG11" s="12" t="s">
        <v>17</v>
      </c>
      <c r="AH11" s="138">
        <v>1.2E-4</v>
      </c>
      <c r="AI11" s="138">
        <v>0.211510358269897</v>
      </c>
      <c r="AJ11" s="138">
        <v>6.9175782301338204E-4</v>
      </c>
    </row>
    <row r="12" spans="1:36" x14ac:dyDescent="0.2">
      <c r="A12" s="12">
        <v>559</v>
      </c>
      <c r="B12" s="12">
        <v>7205</v>
      </c>
      <c r="C12" s="12" t="s">
        <v>1475</v>
      </c>
      <c r="D12" s="12" t="s">
        <v>1476</v>
      </c>
      <c r="E12" s="12" t="s">
        <v>1477</v>
      </c>
      <c r="F12" s="12" t="s">
        <v>1478</v>
      </c>
      <c r="G12" s="12" t="s">
        <v>1479</v>
      </c>
      <c r="H12" s="12" t="s">
        <v>76</v>
      </c>
      <c r="I12" s="12" t="s">
        <v>223</v>
      </c>
      <c r="J12" s="12" t="s">
        <v>53</v>
      </c>
      <c r="K12" s="12" t="s">
        <v>53</v>
      </c>
      <c r="L12" s="12" t="s">
        <v>1227</v>
      </c>
      <c r="M12" s="12" t="s">
        <v>256</v>
      </c>
      <c r="N12" s="12" t="s">
        <v>62</v>
      </c>
      <c r="O12" s="3" t="s">
        <v>1213</v>
      </c>
      <c r="P12" s="12" t="s">
        <v>65</v>
      </c>
      <c r="Q12" s="12" t="s">
        <v>57</v>
      </c>
      <c r="R12" s="12" t="s">
        <v>1219</v>
      </c>
      <c r="S12" s="145">
        <v>0.189</v>
      </c>
      <c r="T12" s="18" t="s">
        <v>362</v>
      </c>
      <c r="U12" s="12" t="s">
        <v>1411</v>
      </c>
      <c r="V12" s="146">
        <v>4.5499999999999999E-2</v>
      </c>
      <c r="W12" s="149">
        <v>5.1220000000000002E-2</v>
      </c>
      <c r="X12" s="12" t="s">
        <v>620</v>
      </c>
      <c r="Y12" s="12" t="s">
        <v>62</v>
      </c>
      <c r="Z12" s="145">
        <v>106700</v>
      </c>
      <c r="AA12" s="147">
        <v>1</v>
      </c>
      <c r="AB12" s="148">
        <v>1035.55</v>
      </c>
      <c r="AC12" s="12"/>
      <c r="AD12" s="145">
        <v>1104.932</v>
      </c>
      <c r="AE12" s="12"/>
      <c r="AG12" s="12" t="s">
        <v>17</v>
      </c>
      <c r="AH12" s="138">
        <v>9.2999999999999997E-5</v>
      </c>
      <c r="AI12" s="138">
        <v>0.203841823341607</v>
      </c>
      <c r="AJ12" s="138">
        <v>5.7639774989729897E-4</v>
      </c>
    </row>
    <row r="13" spans="1:36" x14ac:dyDescent="0.2">
      <c r="A13" s="12">
        <v>559</v>
      </c>
      <c r="B13" s="12">
        <v>7205</v>
      </c>
      <c r="C13" s="12" t="s">
        <v>1475</v>
      </c>
      <c r="D13" s="12" t="s">
        <v>1476</v>
      </c>
      <c r="E13" s="12" t="s">
        <v>1477</v>
      </c>
      <c r="F13" s="12" t="s">
        <v>1480</v>
      </c>
      <c r="G13" s="12" t="s">
        <v>1481</v>
      </c>
      <c r="H13" s="12" t="s">
        <v>76</v>
      </c>
      <c r="I13" s="12" t="s">
        <v>223</v>
      </c>
      <c r="J13" s="12" t="s">
        <v>53</v>
      </c>
      <c r="K13" s="12" t="s">
        <v>53</v>
      </c>
      <c r="L13" s="12" t="s">
        <v>1227</v>
      </c>
      <c r="M13" s="12" t="s">
        <v>256</v>
      </c>
      <c r="N13" s="12" t="s">
        <v>62</v>
      </c>
      <c r="O13" s="3" t="s">
        <v>1213</v>
      </c>
      <c r="P13" s="12" t="s">
        <v>65</v>
      </c>
      <c r="Q13" s="12" t="s">
        <v>57</v>
      </c>
      <c r="R13" s="12" t="s">
        <v>1219</v>
      </c>
      <c r="S13" s="145">
        <v>0.53200000000000003</v>
      </c>
      <c r="T13" s="18" t="s">
        <v>685</v>
      </c>
      <c r="U13" s="12" t="s">
        <v>1482</v>
      </c>
      <c r="V13" s="146">
        <v>9.0399999999999994E-2</v>
      </c>
      <c r="W13" s="149">
        <v>4.5629999999999997E-2</v>
      </c>
      <c r="X13" s="12" t="s">
        <v>620</v>
      </c>
      <c r="Y13" s="12" t="s">
        <v>62</v>
      </c>
      <c r="Z13" s="145">
        <v>163000</v>
      </c>
      <c r="AA13" s="147">
        <v>1</v>
      </c>
      <c r="AB13" s="148">
        <v>1020.9</v>
      </c>
      <c r="AC13" s="12"/>
      <c r="AD13" s="145">
        <v>1664.067</v>
      </c>
      <c r="AE13" s="12"/>
      <c r="AG13" s="12" t="s">
        <v>17</v>
      </c>
      <c r="AH13" s="138">
        <v>1.07E-4</v>
      </c>
      <c r="AI13" s="138">
        <v>0.30699309775765599</v>
      </c>
      <c r="AJ13" s="138">
        <v>8.6807568672977401E-4</v>
      </c>
    </row>
    <row r="14" spans="1:36" x14ac:dyDescent="0.2">
      <c r="A14" s="12">
        <v>559</v>
      </c>
      <c r="B14" s="12">
        <v>7205</v>
      </c>
      <c r="C14" s="12" t="s">
        <v>1220</v>
      </c>
      <c r="D14" s="12" t="s">
        <v>1483</v>
      </c>
      <c r="E14" s="12" t="s">
        <v>1477</v>
      </c>
      <c r="F14" s="12" t="s">
        <v>1484</v>
      </c>
      <c r="G14" s="12" t="s">
        <v>1485</v>
      </c>
      <c r="H14" s="12" t="s">
        <v>76</v>
      </c>
      <c r="I14" s="12" t="s">
        <v>223</v>
      </c>
      <c r="J14" s="12" t="s">
        <v>53</v>
      </c>
      <c r="K14" s="12" t="s">
        <v>53</v>
      </c>
      <c r="L14" s="12" t="s">
        <v>1227</v>
      </c>
      <c r="M14" s="12" t="s">
        <v>256</v>
      </c>
      <c r="N14" s="12" t="s">
        <v>62</v>
      </c>
      <c r="O14" s="3" t="s">
        <v>1213</v>
      </c>
      <c r="P14" s="12" t="s">
        <v>65</v>
      </c>
      <c r="Q14" s="12" t="s">
        <v>57</v>
      </c>
      <c r="R14" s="12" t="s">
        <v>1219</v>
      </c>
      <c r="S14" s="145">
        <v>0.189</v>
      </c>
      <c r="T14" s="18" t="s">
        <v>685</v>
      </c>
      <c r="U14" s="12" t="s">
        <v>1411</v>
      </c>
      <c r="V14" s="146">
        <v>4.5499999999999999E-2</v>
      </c>
      <c r="W14" s="149">
        <v>4.6800000000000001E-2</v>
      </c>
      <c r="X14" s="12" t="s">
        <v>620</v>
      </c>
      <c r="Y14" s="12" t="s">
        <v>62</v>
      </c>
      <c r="Z14" s="145">
        <v>58600</v>
      </c>
      <c r="AA14" s="147">
        <v>1</v>
      </c>
      <c r="AB14" s="148">
        <v>1036.5</v>
      </c>
      <c r="AC14" s="12"/>
      <c r="AD14" s="145">
        <v>607.38900000000001</v>
      </c>
      <c r="AE14" s="12"/>
      <c r="AG14" s="12" t="s">
        <v>17</v>
      </c>
      <c r="AH14" s="138">
        <v>3.1999999999999999E-5</v>
      </c>
      <c r="AI14" s="138">
        <v>0.11205331915958</v>
      </c>
      <c r="AJ14" s="138">
        <v>3.1684999659695802E-4</v>
      </c>
    </row>
    <row r="15" spans="1:36" x14ac:dyDescent="0.2">
      <c r="A15" s="12">
        <v>559</v>
      </c>
      <c r="B15" s="12">
        <v>7205</v>
      </c>
      <c r="C15" s="12" t="s">
        <v>1220</v>
      </c>
      <c r="D15" s="12" t="s">
        <v>1483</v>
      </c>
      <c r="E15" s="12" t="s">
        <v>1477</v>
      </c>
      <c r="F15" s="12" t="s">
        <v>1486</v>
      </c>
      <c r="G15" s="12" t="s">
        <v>1487</v>
      </c>
      <c r="H15" s="12" t="s">
        <v>76</v>
      </c>
      <c r="I15" s="12" t="s">
        <v>223</v>
      </c>
      <c r="J15" s="12" t="s">
        <v>53</v>
      </c>
      <c r="K15" s="12" t="s">
        <v>53</v>
      </c>
      <c r="L15" s="12" t="s">
        <v>1227</v>
      </c>
      <c r="M15" s="12" t="s">
        <v>256</v>
      </c>
      <c r="N15" s="12" t="s">
        <v>62</v>
      </c>
      <c r="O15" s="3" t="s">
        <v>1213</v>
      </c>
      <c r="P15" s="12" t="s">
        <v>65</v>
      </c>
      <c r="Q15" s="12" t="s">
        <v>57</v>
      </c>
      <c r="R15" s="12" t="s">
        <v>1219</v>
      </c>
      <c r="S15" s="145">
        <v>0.56200000000000006</v>
      </c>
      <c r="T15" s="18" t="s">
        <v>362</v>
      </c>
      <c r="U15" s="12" t="s">
        <v>1488</v>
      </c>
      <c r="V15" s="146">
        <v>4.5199999999999997E-2</v>
      </c>
      <c r="W15" s="149">
        <v>4.6420000000000003E-2</v>
      </c>
      <c r="X15" s="12" t="s">
        <v>620</v>
      </c>
      <c r="Y15" s="12" t="s">
        <v>62</v>
      </c>
      <c r="Z15" s="145">
        <v>83300</v>
      </c>
      <c r="AA15" s="147">
        <v>1</v>
      </c>
      <c r="AB15" s="148">
        <v>1018.9</v>
      </c>
      <c r="AC15" s="12"/>
      <c r="AD15" s="145">
        <v>848.74400000000003</v>
      </c>
      <c r="AE15" s="12"/>
      <c r="AG15" s="12" t="s">
        <v>17</v>
      </c>
      <c r="AH15" s="138">
        <v>5.5000000000000002E-5</v>
      </c>
      <c r="AI15" s="138">
        <v>0.15657930700223899</v>
      </c>
      <c r="AJ15" s="138">
        <v>4.4275487118912199E-4</v>
      </c>
    </row>
    <row r="16" spans="1:36" x14ac:dyDescent="0.2">
      <c r="A16" s="12">
        <v>559</v>
      </c>
      <c r="B16" s="12">
        <v>7205</v>
      </c>
      <c r="C16" s="12" t="s">
        <v>1489</v>
      </c>
      <c r="D16" s="12" t="s">
        <v>1490</v>
      </c>
      <c r="E16" s="12" t="s">
        <v>1477</v>
      </c>
      <c r="F16" s="12" t="s">
        <v>1491</v>
      </c>
      <c r="G16" s="12" t="s">
        <v>1492</v>
      </c>
      <c r="H16" s="12" t="s">
        <v>76</v>
      </c>
      <c r="I16" s="12" t="s">
        <v>223</v>
      </c>
      <c r="J16" s="12" t="s">
        <v>53</v>
      </c>
      <c r="K16" s="12" t="s">
        <v>53</v>
      </c>
      <c r="L16" s="12" t="s">
        <v>1227</v>
      </c>
      <c r="M16" s="12" t="s">
        <v>635</v>
      </c>
      <c r="N16" s="12" t="s">
        <v>62</v>
      </c>
      <c r="O16" s="3" t="s">
        <v>1493</v>
      </c>
      <c r="P16" s="12" t="s">
        <v>65</v>
      </c>
      <c r="Q16" s="12" t="s">
        <v>57</v>
      </c>
      <c r="R16" s="12" t="s">
        <v>1219</v>
      </c>
      <c r="S16" s="145">
        <v>3.5999999999999997E-2</v>
      </c>
      <c r="T16" s="18" t="s">
        <v>685</v>
      </c>
      <c r="U16" s="12" t="s">
        <v>1494</v>
      </c>
      <c r="V16" s="146">
        <v>5.0999999999999997E-2</v>
      </c>
      <c r="W16" s="149">
        <v>7.0279999999999995E-2</v>
      </c>
      <c r="X16" s="12" t="s">
        <v>620</v>
      </c>
      <c r="Y16" s="12" t="s">
        <v>62</v>
      </c>
      <c r="Z16" s="145">
        <v>114000</v>
      </c>
      <c r="AA16" s="147">
        <v>1</v>
      </c>
      <c r="AB16" s="148">
        <v>1048.5999999999999</v>
      </c>
      <c r="AC16" s="12"/>
      <c r="AD16" s="145">
        <v>1195.404</v>
      </c>
      <c r="AE16" s="12"/>
      <c r="AG16" s="12" t="s">
        <v>17</v>
      </c>
      <c r="AH16" s="138">
        <v>6.1899999999999998E-4</v>
      </c>
      <c r="AI16" s="138">
        <v>0.220532452738918</v>
      </c>
      <c r="AJ16" s="138">
        <v>6.2359336987003399E-4</v>
      </c>
    </row>
    <row r="17" spans="1:36" x14ac:dyDescent="0.2">
      <c r="A17" s="12">
        <v>559</v>
      </c>
      <c r="B17" s="12">
        <v>7206</v>
      </c>
      <c r="C17" s="12" t="s">
        <v>1475</v>
      </c>
      <c r="D17" s="12" t="s">
        <v>1476</v>
      </c>
      <c r="E17" s="12" t="s">
        <v>1477</v>
      </c>
      <c r="F17" s="12" t="s">
        <v>1478</v>
      </c>
      <c r="G17" s="12" t="s">
        <v>1479</v>
      </c>
      <c r="H17" s="12" t="s">
        <v>76</v>
      </c>
      <c r="I17" s="12" t="s">
        <v>223</v>
      </c>
      <c r="J17" s="12" t="s">
        <v>53</v>
      </c>
      <c r="K17" s="12" t="s">
        <v>53</v>
      </c>
      <c r="L17" s="12" t="s">
        <v>1227</v>
      </c>
      <c r="M17" s="12" t="s">
        <v>256</v>
      </c>
      <c r="N17" s="12" t="s">
        <v>62</v>
      </c>
      <c r="O17" s="3" t="s">
        <v>1213</v>
      </c>
      <c r="P17" s="12" t="s">
        <v>65</v>
      </c>
      <c r="Q17" s="12" t="s">
        <v>57</v>
      </c>
      <c r="R17" s="12" t="s">
        <v>1219</v>
      </c>
      <c r="S17" s="145">
        <v>0.189</v>
      </c>
      <c r="T17" s="18" t="s">
        <v>362</v>
      </c>
      <c r="U17" s="12" t="s">
        <v>1411</v>
      </c>
      <c r="V17" s="146">
        <v>4.5499999999999999E-2</v>
      </c>
      <c r="W17" s="149">
        <v>5.1220000000000002E-2</v>
      </c>
      <c r="X17" s="12" t="s">
        <v>620</v>
      </c>
      <c r="Y17" s="12" t="s">
        <v>62</v>
      </c>
      <c r="Z17" s="145">
        <v>4600</v>
      </c>
      <c r="AA17" s="147">
        <v>1</v>
      </c>
      <c r="AB17" s="148">
        <v>1035.55</v>
      </c>
      <c r="AC17" s="12"/>
      <c r="AD17" s="145">
        <v>47.634999999999998</v>
      </c>
      <c r="AE17" s="12"/>
      <c r="AG17" s="12" t="s">
        <v>17</v>
      </c>
      <c r="AH17" s="138">
        <v>3.9999999999999998E-6</v>
      </c>
      <c r="AI17" s="138">
        <v>0.14005509259572299</v>
      </c>
      <c r="AJ17" s="138">
        <v>5.4568724158940202E-4</v>
      </c>
    </row>
    <row r="18" spans="1:36" x14ac:dyDescent="0.2">
      <c r="A18" s="12">
        <v>559</v>
      </c>
      <c r="B18" s="12">
        <v>7206</v>
      </c>
      <c r="C18" s="12" t="s">
        <v>1475</v>
      </c>
      <c r="D18" s="12" t="s">
        <v>1476</v>
      </c>
      <c r="E18" s="12" t="s">
        <v>1477</v>
      </c>
      <c r="F18" s="12" t="s">
        <v>1480</v>
      </c>
      <c r="G18" s="12" t="s">
        <v>1481</v>
      </c>
      <c r="H18" s="12" t="s">
        <v>76</v>
      </c>
      <c r="I18" s="12" t="s">
        <v>223</v>
      </c>
      <c r="J18" s="12" t="s">
        <v>53</v>
      </c>
      <c r="K18" s="12" t="s">
        <v>53</v>
      </c>
      <c r="L18" s="12" t="s">
        <v>1227</v>
      </c>
      <c r="M18" s="12" t="s">
        <v>256</v>
      </c>
      <c r="N18" s="12" t="s">
        <v>62</v>
      </c>
      <c r="O18" s="3" t="s">
        <v>1213</v>
      </c>
      <c r="P18" s="12" t="s">
        <v>65</v>
      </c>
      <c r="Q18" s="12" t="s">
        <v>57</v>
      </c>
      <c r="R18" s="12" t="s">
        <v>1219</v>
      </c>
      <c r="S18" s="145">
        <v>0.53200000000000003</v>
      </c>
      <c r="T18" s="18" t="s">
        <v>685</v>
      </c>
      <c r="U18" s="12" t="s">
        <v>1482</v>
      </c>
      <c r="V18" s="146">
        <v>9.0399999999999994E-2</v>
      </c>
      <c r="W18" s="149">
        <v>4.5629999999999997E-2</v>
      </c>
      <c r="X18" s="12" t="s">
        <v>620</v>
      </c>
      <c r="Y18" s="12" t="s">
        <v>62</v>
      </c>
      <c r="Z18" s="145">
        <v>16000</v>
      </c>
      <c r="AA18" s="147">
        <v>1</v>
      </c>
      <c r="AB18" s="148">
        <v>1020.9</v>
      </c>
      <c r="AC18" s="12"/>
      <c r="AD18" s="145">
        <v>163.34399999999999</v>
      </c>
      <c r="AE18" s="12"/>
      <c r="AG18" s="12" t="s">
        <v>17</v>
      </c>
      <c r="AH18" s="138">
        <v>1.1E-5</v>
      </c>
      <c r="AI18" s="138">
        <v>0.48025642842505101</v>
      </c>
      <c r="AJ18" s="138">
        <v>1.87119083516172E-3</v>
      </c>
    </row>
    <row r="19" spans="1:36" x14ac:dyDescent="0.2">
      <c r="A19" s="12">
        <v>559</v>
      </c>
      <c r="B19" s="12">
        <v>7206</v>
      </c>
      <c r="C19" s="12" t="s">
        <v>1220</v>
      </c>
      <c r="D19" s="12" t="s">
        <v>1483</v>
      </c>
      <c r="E19" s="12" t="s">
        <v>1477</v>
      </c>
      <c r="F19" s="12" t="s">
        <v>1484</v>
      </c>
      <c r="G19" s="12" t="s">
        <v>1485</v>
      </c>
      <c r="H19" s="12" t="s">
        <v>76</v>
      </c>
      <c r="I19" s="12" t="s">
        <v>223</v>
      </c>
      <c r="J19" s="12" t="s">
        <v>53</v>
      </c>
      <c r="K19" s="12" t="s">
        <v>53</v>
      </c>
      <c r="L19" s="12" t="s">
        <v>1227</v>
      </c>
      <c r="M19" s="12" t="s">
        <v>256</v>
      </c>
      <c r="N19" s="12" t="s">
        <v>62</v>
      </c>
      <c r="O19" s="3" t="s">
        <v>1213</v>
      </c>
      <c r="P19" s="12" t="s">
        <v>65</v>
      </c>
      <c r="Q19" s="12" t="s">
        <v>57</v>
      </c>
      <c r="R19" s="12" t="s">
        <v>1219</v>
      </c>
      <c r="S19" s="145">
        <v>0.189</v>
      </c>
      <c r="T19" s="18" t="s">
        <v>685</v>
      </c>
      <c r="U19" s="12" t="s">
        <v>1411</v>
      </c>
      <c r="V19" s="146">
        <v>4.5499999999999999E-2</v>
      </c>
      <c r="W19" s="149">
        <v>4.6800000000000001E-2</v>
      </c>
      <c r="X19" s="12" t="s">
        <v>620</v>
      </c>
      <c r="Y19" s="12" t="s">
        <v>62</v>
      </c>
      <c r="Z19" s="145">
        <v>2500</v>
      </c>
      <c r="AA19" s="147">
        <v>1</v>
      </c>
      <c r="AB19" s="148">
        <v>1036.5</v>
      </c>
      <c r="AC19" s="12"/>
      <c r="AD19" s="145">
        <v>25.913</v>
      </c>
      <c r="AE19" s="12"/>
      <c r="AG19" s="12" t="s">
        <v>17</v>
      </c>
      <c r="AH19" s="138">
        <v>9.9999999999999995E-7</v>
      </c>
      <c r="AI19" s="138">
        <v>7.6186726794765194E-2</v>
      </c>
      <c r="AJ19" s="138">
        <v>2.9684122169242901E-4</v>
      </c>
    </row>
    <row r="20" spans="1:36" x14ac:dyDescent="0.2">
      <c r="A20" s="3">
        <v>559</v>
      </c>
      <c r="B20" s="3">
        <v>7206</v>
      </c>
      <c r="C20" s="3" t="s">
        <v>1220</v>
      </c>
      <c r="D20" s="3" t="s">
        <v>1483</v>
      </c>
      <c r="E20" s="12" t="s">
        <v>1477</v>
      </c>
      <c r="F20" s="3" t="s">
        <v>1486</v>
      </c>
      <c r="G20" s="3" t="s">
        <v>1487</v>
      </c>
      <c r="H20" s="12" t="s">
        <v>76</v>
      </c>
      <c r="I20" s="12" t="s">
        <v>223</v>
      </c>
      <c r="J20" s="12" t="s">
        <v>53</v>
      </c>
      <c r="K20" s="12" t="s">
        <v>53</v>
      </c>
      <c r="L20" s="12" t="s">
        <v>1227</v>
      </c>
      <c r="M20" s="12" t="s">
        <v>256</v>
      </c>
      <c r="N20" s="12" t="s">
        <v>62</v>
      </c>
      <c r="O20" s="3" t="s">
        <v>1213</v>
      </c>
      <c r="P20" s="12" t="s">
        <v>65</v>
      </c>
      <c r="Q20" s="12" t="s">
        <v>57</v>
      </c>
      <c r="R20" s="3" t="s">
        <v>1219</v>
      </c>
      <c r="S20" s="137">
        <v>0.56200000000000006</v>
      </c>
      <c r="T20" s="18" t="s">
        <v>362</v>
      </c>
      <c r="U20" s="3" t="s">
        <v>1488</v>
      </c>
      <c r="V20" s="142">
        <v>4.5199999999999997E-2</v>
      </c>
      <c r="W20" s="138">
        <v>4.6420000000000003E-2</v>
      </c>
      <c r="X20" s="12" t="s">
        <v>620</v>
      </c>
      <c r="Y20" s="12" t="s">
        <v>62</v>
      </c>
      <c r="Z20" s="137">
        <v>5500</v>
      </c>
      <c r="AA20" s="139">
        <v>1</v>
      </c>
      <c r="AB20" s="140">
        <v>1018.9</v>
      </c>
      <c r="AD20" s="137">
        <v>56.039000000000001</v>
      </c>
      <c r="AG20" s="12" t="s">
        <v>17</v>
      </c>
      <c r="AH20" s="138">
        <v>3.9999999999999998E-6</v>
      </c>
      <c r="AI20" s="138">
        <v>0.16476473038939701</v>
      </c>
      <c r="AJ20" s="138">
        <v>6.41961742133445E-4</v>
      </c>
    </row>
    <row r="21" spans="1:36" x14ac:dyDescent="0.2">
      <c r="A21" s="3">
        <v>559</v>
      </c>
      <c r="B21" s="3">
        <v>7206</v>
      </c>
      <c r="C21" s="3" t="s">
        <v>1489</v>
      </c>
      <c r="D21" s="3" t="s">
        <v>1490</v>
      </c>
      <c r="E21" s="3" t="s">
        <v>1477</v>
      </c>
      <c r="F21" s="3" t="s">
        <v>1491</v>
      </c>
      <c r="G21" s="3" t="s">
        <v>1492</v>
      </c>
      <c r="H21" s="3" t="s">
        <v>76</v>
      </c>
      <c r="I21" s="3" t="s">
        <v>223</v>
      </c>
      <c r="J21" s="3" t="s">
        <v>53</v>
      </c>
      <c r="K21" s="3" t="s">
        <v>53</v>
      </c>
      <c r="L21" s="3" t="s">
        <v>1227</v>
      </c>
      <c r="M21" s="3" t="s">
        <v>635</v>
      </c>
      <c r="N21" s="3" t="s">
        <v>62</v>
      </c>
      <c r="O21" s="3" t="s">
        <v>1493</v>
      </c>
      <c r="P21" s="3" t="s">
        <v>65</v>
      </c>
      <c r="Q21" s="3" t="s">
        <v>57</v>
      </c>
      <c r="R21" s="3" t="s">
        <v>1219</v>
      </c>
      <c r="S21" s="137">
        <v>3.5999999999999997E-2</v>
      </c>
      <c r="T21" s="6" t="s">
        <v>685</v>
      </c>
      <c r="U21" s="3" t="s">
        <v>1494</v>
      </c>
      <c r="V21" s="142">
        <v>5.0999999999999997E-2</v>
      </c>
      <c r="W21" s="138">
        <v>7.0279999999999995E-2</v>
      </c>
      <c r="X21" s="3" t="s">
        <v>620</v>
      </c>
      <c r="Y21" s="3" t="s">
        <v>62</v>
      </c>
      <c r="Z21" s="137">
        <v>4500</v>
      </c>
      <c r="AA21" s="139">
        <v>1</v>
      </c>
      <c r="AB21" s="140">
        <v>1048.5999999999999</v>
      </c>
      <c r="AD21" s="137">
        <v>47.186999999999998</v>
      </c>
      <c r="AG21" s="3" t="s">
        <v>17</v>
      </c>
      <c r="AH21" s="138">
        <v>2.4000000000000001E-5</v>
      </c>
      <c r="AI21" s="138">
        <v>0.138737021795064</v>
      </c>
      <c r="AJ21" s="138">
        <v>5.4055173094069101E-4</v>
      </c>
    </row>
    <row r="22" spans="1:36" x14ac:dyDescent="0.2">
      <c r="A22" s="3">
        <v>559</v>
      </c>
      <c r="B22" s="3">
        <v>7207</v>
      </c>
      <c r="C22" s="3" t="s">
        <v>1475</v>
      </c>
      <c r="D22" s="3" t="s">
        <v>1476</v>
      </c>
      <c r="E22" s="3" t="s">
        <v>1477</v>
      </c>
      <c r="F22" s="3" t="s">
        <v>1478</v>
      </c>
      <c r="G22" s="3" t="s">
        <v>1479</v>
      </c>
      <c r="H22" s="3" t="s">
        <v>76</v>
      </c>
      <c r="I22" s="3" t="s">
        <v>223</v>
      </c>
      <c r="J22" s="3" t="s">
        <v>53</v>
      </c>
      <c r="K22" s="3" t="s">
        <v>53</v>
      </c>
      <c r="L22" s="3" t="s">
        <v>1227</v>
      </c>
      <c r="M22" s="3" t="s">
        <v>256</v>
      </c>
      <c r="N22" s="3" t="s">
        <v>62</v>
      </c>
      <c r="O22" s="3" t="s">
        <v>1213</v>
      </c>
      <c r="P22" s="3" t="s">
        <v>65</v>
      </c>
      <c r="Q22" s="3" t="s">
        <v>57</v>
      </c>
      <c r="R22" s="3" t="s">
        <v>1219</v>
      </c>
      <c r="S22" s="137">
        <v>0.189</v>
      </c>
      <c r="T22" s="6" t="s">
        <v>362</v>
      </c>
      <c r="U22" s="3" t="s">
        <v>1411</v>
      </c>
      <c r="V22" s="142">
        <v>4.5499999999999999E-2</v>
      </c>
      <c r="W22" s="138">
        <v>5.1220000000000002E-2</v>
      </c>
      <c r="X22" s="3" t="s">
        <v>620</v>
      </c>
      <c r="Y22" s="3" t="s">
        <v>62</v>
      </c>
      <c r="Z22" s="137">
        <v>7100</v>
      </c>
      <c r="AA22" s="139">
        <v>1</v>
      </c>
      <c r="AB22" s="140">
        <v>1035.55</v>
      </c>
      <c r="AD22" s="137">
        <v>73.524000000000001</v>
      </c>
      <c r="AG22" s="3" t="s">
        <v>17</v>
      </c>
      <c r="AH22" s="138">
        <v>6.0000000000000002E-6</v>
      </c>
      <c r="AI22" s="138">
        <v>0.18029794359599299</v>
      </c>
      <c r="AJ22" s="138">
        <v>6.0494644679945104E-4</v>
      </c>
    </row>
    <row r="23" spans="1:36" x14ac:dyDescent="0.2">
      <c r="A23" s="3">
        <v>559</v>
      </c>
      <c r="B23" s="3">
        <v>7207</v>
      </c>
      <c r="C23" s="3" t="s">
        <v>1475</v>
      </c>
      <c r="D23" s="3" t="s">
        <v>1476</v>
      </c>
      <c r="E23" s="3" t="s">
        <v>1477</v>
      </c>
      <c r="F23" s="3" t="s">
        <v>1480</v>
      </c>
      <c r="G23" s="3" t="s">
        <v>1481</v>
      </c>
      <c r="H23" s="3" t="s">
        <v>76</v>
      </c>
      <c r="I23" s="3" t="s">
        <v>223</v>
      </c>
      <c r="J23" s="3" t="s">
        <v>53</v>
      </c>
      <c r="K23" s="3" t="s">
        <v>53</v>
      </c>
      <c r="L23" s="3" t="s">
        <v>1227</v>
      </c>
      <c r="M23" s="3" t="s">
        <v>256</v>
      </c>
      <c r="N23" s="3" t="s">
        <v>62</v>
      </c>
      <c r="O23" s="3" t="s">
        <v>1213</v>
      </c>
      <c r="P23" s="3" t="s">
        <v>65</v>
      </c>
      <c r="Q23" s="3" t="s">
        <v>57</v>
      </c>
      <c r="R23" s="3" t="s">
        <v>1219</v>
      </c>
      <c r="S23" s="137">
        <v>0.53200000000000003</v>
      </c>
      <c r="T23" s="6" t="s">
        <v>685</v>
      </c>
      <c r="U23" s="3" t="s">
        <v>1482</v>
      </c>
      <c r="V23" s="142">
        <v>9.0399999999999994E-2</v>
      </c>
      <c r="W23" s="138">
        <v>4.5629999999999997E-2</v>
      </c>
      <c r="X23" s="3" t="s">
        <v>620</v>
      </c>
      <c r="Y23" s="3" t="s">
        <v>62</v>
      </c>
      <c r="Z23" s="137">
        <v>18000</v>
      </c>
      <c r="AA23" s="139">
        <v>1</v>
      </c>
      <c r="AB23" s="140">
        <v>1020.9</v>
      </c>
      <c r="AD23" s="137">
        <v>183.762</v>
      </c>
      <c r="AG23" s="3" t="s">
        <v>17</v>
      </c>
      <c r="AH23" s="138">
        <v>1.2E-5</v>
      </c>
      <c r="AI23" s="138">
        <v>0.45062684538034598</v>
      </c>
      <c r="AJ23" s="138">
        <v>1.5119701506753299E-3</v>
      </c>
    </row>
    <row r="24" spans="1:36" x14ac:dyDescent="0.2">
      <c r="A24" s="3">
        <v>559</v>
      </c>
      <c r="B24" s="3">
        <v>7207</v>
      </c>
      <c r="C24" s="3" t="s">
        <v>1220</v>
      </c>
      <c r="D24" s="3" t="s">
        <v>1483</v>
      </c>
      <c r="E24" s="3" t="s">
        <v>1477</v>
      </c>
      <c r="F24" s="3" t="s">
        <v>1484</v>
      </c>
      <c r="G24" s="3" t="s">
        <v>1485</v>
      </c>
      <c r="H24" s="3" t="s">
        <v>76</v>
      </c>
      <c r="I24" s="3" t="s">
        <v>223</v>
      </c>
      <c r="J24" s="3" t="s">
        <v>53</v>
      </c>
      <c r="K24" s="3" t="s">
        <v>53</v>
      </c>
      <c r="L24" s="3" t="s">
        <v>1227</v>
      </c>
      <c r="M24" s="3" t="s">
        <v>256</v>
      </c>
      <c r="N24" s="3" t="s">
        <v>62</v>
      </c>
      <c r="O24" s="3" t="s">
        <v>1213</v>
      </c>
      <c r="P24" s="3" t="s">
        <v>65</v>
      </c>
      <c r="Q24" s="3" t="s">
        <v>57</v>
      </c>
      <c r="R24" s="3" t="s">
        <v>1219</v>
      </c>
      <c r="S24" s="137">
        <v>0.189</v>
      </c>
      <c r="T24" s="6" t="s">
        <v>685</v>
      </c>
      <c r="U24" s="3" t="s">
        <v>1411</v>
      </c>
      <c r="V24" s="142">
        <v>4.5499999999999999E-2</v>
      </c>
      <c r="W24" s="138">
        <v>4.6800000000000001E-2</v>
      </c>
      <c r="X24" s="3" t="s">
        <v>620</v>
      </c>
      <c r="Y24" s="3" t="s">
        <v>62</v>
      </c>
      <c r="Z24" s="137">
        <v>3900</v>
      </c>
      <c r="AA24" s="139">
        <v>1</v>
      </c>
      <c r="AB24" s="140">
        <v>1036.5</v>
      </c>
      <c r="AD24" s="137">
        <v>40.423000000000002</v>
      </c>
      <c r="AG24" s="3" t="s">
        <v>17</v>
      </c>
      <c r="AH24" s="138">
        <v>1.9999999999999999E-6</v>
      </c>
      <c r="AI24" s="138">
        <v>9.9127753747958999E-2</v>
      </c>
      <c r="AJ24" s="138">
        <v>3.3259936975993002E-4</v>
      </c>
    </row>
    <row r="25" spans="1:36" x14ac:dyDescent="0.2">
      <c r="A25" s="3">
        <v>559</v>
      </c>
      <c r="B25" s="3">
        <v>7207</v>
      </c>
      <c r="C25" s="3" t="s">
        <v>1220</v>
      </c>
      <c r="D25" s="3" t="s">
        <v>1483</v>
      </c>
      <c r="E25" s="3" t="s">
        <v>1477</v>
      </c>
      <c r="F25" s="3" t="s">
        <v>1486</v>
      </c>
      <c r="G25" s="3" t="s">
        <v>1487</v>
      </c>
      <c r="H25" s="3" t="s">
        <v>76</v>
      </c>
      <c r="I25" s="3" t="s">
        <v>223</v>
      </c>
      <c r="J25" s="3" t="s">
        <v>53</v>
      </c>
      <c r="K25" s="3" t="s">
        <v>53</v>
      </c>
      <c r="L25" s="3" t="s">
        <v>1227</v>
      </c>
      <c r="M25" s="3" t="s">
        <v>256</v>
      </c>
      <c r="N25" s="3" t="s">
        <v>62</v>
      </c>
      <c r="O25" s="3" t="s">
        <v>1213</v>
      </c>
      <c r="P25" s="3" t="s">
        <v>65</v>
      </c>
      <c r="Q25" s="3" t="s">
        <v>57</v>
      </c>
      <c r="R25" s="3" t="s">
        <v>1219</v>
      </c>
      <c r="S25" s="137">
        <v>0.56200000000000006</v>
      </c>
      <c r="T25" s="3" t="s">
        <v>362</v>
      </c>
      <c r="U25" s="3" t="s">
        <v>1488</v>
      </c>
      <c r="V25" s="142">
        <v>4.5199999999999997E-2</v>
      </c>
      <c r="W25" s="138">
        <v>4.6420000000000003E-2</v>
      </c>
      <c r="X25" s="3" t="s">
        <v>620</v>
      </c>
      <c r="Y25" s="3" t="s">
        <v>62</v>
      </c>
      <c r="Z25" s="137">
        <v>3600</v>
      </c>
      <c r="AA25" s="139">
        <v>1</v>
      </c>
      <c r="AB25" s="140">
        <v>1018.9</v>
      </c>
      <c r="AD25" s="137">
        <v>36.68</v>
      </c>
      <c r="AG25" s="3" t="s">
        <v>17</v>
      </c>
      <c r="AH25" s="138">
        <v>1.9999999999999999E-6</v>
      </c>
      <c r="AI25" s="138">
        <v>8.9948808454899595E-2</v>
      </c>
      <c r="AJ25" s="138">
        <v>3.0180162337606001E-4</v>
      </c>
    </row>
    <row r="26" spans="1:36" x14ac:dyDescent="0.2">
      <c r="A26" s="3">
        <v>559</v>
      </c>
      <c r="B26" s="3">
        <v>7207</v>
      </c>
      <c r="C26" s="3" t="s">
        <v>1489</v>
      </c>
      <c r="D26" s="3" t="s">
        <v>1490</v>
      </c>
      <c r="E26" s="3" t="s">
        <v>1477</v>
      </c>
      <c r="F26" s="3" t="s">
        <v>1491</v>
      </c>
      <c r="G26" s="3" t="s">
        <v>1492</v>
      </c>
      <c r="H26" s="3" t="s">
        <v>76</v>
      </c>
      <c r="I26" s="3" t="s">
        <v>223</v>
      </c>
      <c r="J26" s="3" t="s">
        <v>53</v>
      </c>
      <c r="K26" s="3" t="s">
        <v>53</v>
      </c>
      <c r="L26" s="3" t="s">
        <v>1227</v>
      </c>
      <c r="M26" s="3" t="s">
        <v>635</v>
      </c>
      <c r="N26" s="3" t="s">
        <v>62</v>
      </c>
      <c r="O26" s="3" t="s">
        <v>1493</v>
      </c>
      <c r="P26" s="3" t="s">
        <v>65</v>
      </c>
      <c r="Q26" s="3" t="s">
        <v>57</v>
      </c>
      <c r="R26" s="3" t="s">
        <v>1219</v>
      </c>
      <c r="S26" s="137">
        <v>3.5999999999999997E-2</v>
      </c>
      <c r="T26" s="3" t="s">
        <v>685</v>
      </c>
      <c r="U26" s="3" t="s">
        <v>1494</v>
      </c>
      <c r="V26" s="142">
        <v>5.0999999999999997E-2</v>
      </c>
      <c r="W26" s="138">
        <v>7.0279999999999995E-2</v>
      </c>
      <c r="X26" s="3" t="s">
        <v>620</v>
      </c>
      <c r="Y26" s="3" t="s">
        <v>62</v>
      </c>
      <c r="Z26" s="137">
        <v>7000</v>
      </c>
      <c r="AA26" s="139">
        <v>1</v>
      </c>
      <c r="AB26" s="140">
        <v>1048.5999999999999</v>
      </c>
      <c r="AD26" s="137">
        <v>73.402000000000001</v>
      </c>
      <c r="AG26" s="3" t="s">
        <v>17</v>
      </c>
      <c r="AH26" s="138">
        <v>3.8000000000000002E-5</v>
      </c>
      <c r="AI26" s="138">
        <v>0.17999864882080199</v>
      </c>
      <c r="AJ26" s="138">
        <v>6.0394223506421798E-4</v>
      </c>
    </row>
    <row r="1048572" spans="12:14" x14ac:dyDescent="0.2">
      <c r="L1048572" s="152"/>
      <c r="N1048572" s="15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3E46930D-4DBD-46E4-851A-AD052DD38E60}">
      <formula1>israel_abroad</formula1>
    </dataValidation>
    <dataValidation type="list" allowBlank="1" showInputMessage="1" showErrorMessage="1" sqref="N1048572:N1048576 N2:N20" xr:uid="{94DC4AB7-D96E-41FD-8B7D-92A9747931D1}">
      <formula1>Holding_interest</formula1>
    </dataValidation>
    <dataValidation type="list" allowBlank="1" showInputMessage="1" showErrorMessage="1" sqref="P2:P20" xr:uid="{F8E11134-CB13-4E3F-9359-30F34DF7F5CF}">
      <formula1>Rating_Agency</formula1>
    </dataValidation>
    <dataValidation type="list" allowBlank="1" showInputMessage="1" showErrorMessage="1" sqref="Q2:Q20" xr:uid="{E561BAFF-7475-486A-9619-8A6E77157B33}">
      <formula1>What_is_rated</formula1>
    </dataValidation>
    <dataValidation type="list" allowBlank="1" showInputMessage="1" showErrorMessage="1" sqref="AG9:AG20 AG2:AG6" xr:uid="{2578D674-C34B-4D96-884C-9B8BCEA7CFDE}">
      <formula1>In_the_books</formula1>
    </dataValidation>
    <dataValidation type="list" allowBlank="1" showInputMessage="1" showErrorMessage="1" sqref="K2:K20" xr:uid="{8259D9EA-672D-413D-803B-86EA6F341006}">
      <formula1>Country_list</formula1>
    </dataValidation>
    <dataValidation type="list" allowBlank="1" showInputMessage="1" showErrorMessage="1" sqref="T2:T20" xr:uid="{1ED62464-A15E-4B3F-968E-BA0E4F0F2A52}">
      <formula1>Underlying_Interest_Rates</formula1>
    </dataValidation>
    <dataValidation type="list" allowBlank="1" showInputMessage="1" showErrorMessage="1" sqref="Y2:Y20" xr:uid="{043E4933-E222-47B6-B03A-03DD6DE77384}">
      <formula1>Yes_No_Bad_Debt</formula1>
    </dataValidation>
    <dataValidation type="list" allowBlank="1" showInputMessage="1" showErrorMessage="1" sqref="X2:X20" xr:uid="{06CF77F9-D8D0-454B-8603-7FE376CEF732}">
      <formula1>Subordination_Risk</formula1>
    </dataValidation>
    <dataValidation type="list" allowBlank="1" showInputMessage="1" showErrorMessage="1" sqref="E2:E20" xr:uid="{5E9CB88C-7190-4985-B9A0-5D52B6B8C3DA}">
      <formula1>Issuer_Number_Type_2</formula1>
    </dataValidation>
    <dataValidation type="list" allowBlank="1" showInputMessage="1" showErrorMessage="1" sqref="H3:H20" xr:uid="{435B0445-2C74-4A1D-9E82-744FFF7CE680}">
      <formula1>Type_of_Security_ID_Fund</formula1>
    </dataValidation>
    <dataValidation type="list" allowBlank="1" showInputMessage="1" showErrorMessage="1" sqref="H2" xr:uid="{F191E5F3-5FCB-436B-8E22-EF9C54E3F9D1}">
      <formula1>Security_ID_Number_Type</formula1>
    </dataValidation>
    <dataValidation type="list" allowBlank="1" showInputMessage="1" showErrorMessage="1" sqref="M2:M20" xr:uid="{396458E6-8FC7-4218-9554-AABD915B6666}">
      <formula1>Industry_Sector</formula1>
    </dataValidation>
    <dataValidation type="list" allowBlank="1" showInputMessage="1" showErrorMessage="1" sqref="L2:L20" xr:uid="{4077C8E1-CF8E-47C2-9FC7-4389A7032223}">
      <formula1>Stock_Exchange</formula1>
    </dataValidation>
    <dataValidation type="list" allowBlank="1" showInputMessage="1" showErrorMessage="1" sqref="L1048572:L1048576" xr:uid="{89C65E23-4A62-4A18-854A-0C9853802504}">
      <formula1>Stock_Exchange_Gov_Bonds</formula1>
    </dataValidation>
  </dataValidation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251"/>
  <sheetViews>
    <sheetView rightToLeft="1" topLeftCell="J1" workbookViewId="0">
      <selection activeCell="P16" sqref="P16"/>
    </sheetView>
  </sheetViews>
  <sheetFormatPr defaultColWidth="11.625" defaultRowHeight="14.25" x14ac:dyDescent="0.2"/>
  <cols>
    <col min="1" max="4" width="11.625" style="6" customWidth="1"/>
    <col min="5" max="5" width="11.625" style="3" customWidth="1"/>
    <col min="6" max="21" width="11.625" style="6" customWidth="1"/>
    <col min="22" max="22" width="11.625" style="135" customWidth="1"/>
    <col min="23" max="23" width="11.625" style="6" customWidth="1"/>
    <col min="24" max="25" width="11.625" style="3" customWidth="1"/>
    <col min="26" max="26" width="11.625" style="6" customWidth="1"/>
    <col min="27" max="16384" width="11.625" style="6"/>
  </cols>
  <sheetData>
    <row r="1" spans="1:36" ht="66.75" customHeight="1" x14ac:dyDescent="0.2">
      <c r="A1" s="13" t="s">
        <v>651</v>
      </c>
      <c r="B1" s="13" t="s">
        <v>0</v>
      </c>
      <c r="C1" s="13" t="s">
        <v>724</v>
      </c>
      <c r="D1" s="13" t="s">
        <v>2</v>
      </c>
      <c r="E1" s="13" t="s">
        <v>740</v>
      </c>
      <c r="F1" s="13" t="s">
        <v>1145</v>
      </c>
      <c r="G1" s="13" t="s">
        <v>29</v>
      </c>
      <c r="H1" s="13" t="s">
        <v>28</v>
      </c>
      <c r="I1" s="13" t="s">
        <v>1</v>
      </c>
      <c r="J1" s="13" t="s">
        <v>604</v>
      </c>
      <c r="K1" s="13" t="s">
        <v>605</v>
      </c>
      <c r="L1" s="13" t="s">
        <v>609</v>
      </c>
      <c r="M1" s="13" t="s">
        <v>5</v>
      </c>
      <c r="N1" s="13" t="s">
        <v>9</v>
      </c>
      <c r="O1" s="13" t="s">
        <v>606</v>
      </c>
      <c r="P1" s="13" t="s">
        <v>6</v>
      </c>
      <c r="Q1" s="13" t="s">
        <v>8</v>
      </c>
      <c r="R1" s="13" t="s">
        <v>1146</v>
      </c>
      <c r="S1" s="13" t="s">
        <v>396</v>
      </c>
      <c r="T1" s="13" t="s">
        <v>13</v>
      </c>
      <c r="U1" s="13" t="s">
        <v>421</v>
      </c>
      <c r="V1" s="125" t="s">
        <v>14</v>
      </c>
      <c r="W1" s="126" t="s">
        <v>621</v>
      </c>
      <c r="X1" s="13" t="s">
        <v>925</v>
      </c>
      <c r="Y1" s="13" t="s">
        <v>669</v>
      </c>
      <c r="Z1" s="13" t="s">
        <v>773</v>
      </c>
      <c r="AA1" s="124" t="s">
        <v>11</v>
      </c>
      <c r="AB1" s="136" t="s">
        <v>15</v>
      </c>
      <c r="AC1" s="13" t="s">
        <v>938</v>
      </c>
      <c r="AD1" s="13" t="s">
        <v>1153</v>
      </c>
      <c r="AE1" s="13" t="s">
        <v>1154</v>
      </c>
      <c r="AF1" s="13" t="s">
        <v>788</v>
      </c>
      <c r="AG1" s="13" t="s">
        <v>26</v>
      </c>
      <c r="AH1" s="126" t="s">
        <v>18</v>
      </c>
      <c r="AI1" s="126" t="s">
        <v>19</v>
      </c>
      <c r="AJ1" s="126" t="s">
        <v>30</v>
      </c>
    </row>
    <row r="2" spans="1:36" x14ac:dyDescent="0.2">
      <c r="A2" s="6">
        <v>13710</v>
      </c>
      <c r="B2" s="18">
        <v>13711</v>
      </c>
      <c r="C2" s="18" t="s">
        <v>1495</v>
      </c>
      <c r="D2" s="18" t="s">
        <v>1496</v>
      </c>
      <c r="E2" s="12" t="s">
        <v>1477</v>
      </c>
      <c r="F2" s="18" t="s">
        <v>1497</v>
      </c>
      <c r="G2" s="18" t="s">
        <v>1498</v>
      </c>
      <c r="H2" s="12" t="s">
        <v>76</v>
      </c>
      <c r="I2" s="18" t="s">
        <v>230</v>
      </c>
      <c r="J2" s="12" t="s">
        <v>53</v>
      </c>
      <c r="K2" s="12" t="s">
        <v>53</v>
      </c>
      <c r="L2" s="18" t="s">
        <v>805</v>
      </c>
      <c r="M2" s="12" t="s">
        <v>311</v>
      </c>
      <c r="N2" s="18" t="s">
        <v>266</v>
      </c>
      <c r="O2" s="18" t="s">
        <v>62</v>
      </c>
      <c r="P2" s="18" t="s">
        <v>1493</v>
      </c>
      <c r="Q2" s="18" t="s">
        <v>65</v>
      </c>
      <c r="R2" s="18" t="s">
        <v>57</v>
      </c>
      <c r="S2" s="12" t="s">
        <v>1219</v>
      </c>
      <c r="T2" s="151">
        <v>0.499</v>
      </c>
      <c r="U2" s="18" t="s">
        <v>1499</v>
      </c>
      <c r="V2" s="154">
        <v>3.9E-2</v>
      </c>
      <c r="W2" s="155">
        <v>5.6660000000000002E-2</v>
      </c>
      <c r="X2" s="12" t="s">
        <v>620</v>
      </c>
      <c r="Y2" s="12" t="s">
        <v>62</v>
      </c>
      <c r="Z2" s="151">
        <v>2500</v>
      </c>
      <c r="AA2" s="156">
        <v>1</v>
      </c>
      <c r="AB2" s="150">
        <v>91.65</v>
      </c>
      <c r="AC2" s="18"/>
      <c r="AD2" s="151">
        <v>2.2909999999999999</v>
      </c>
      <c r="AE2" s="18"/>
      <c r="AF2" s="18"/>
      <c r="AG2" s="12" t="s">
        <v>17</v>
      </c>
      <c r="AH2" s="132">
        <v>6.3E-5</v>
      </c>
      <c r="AI2" s="132">
        <v>1.48649052113217E-4</v>
      </c>
      <c r="AJ2" s="132">
        <v>3.3590537791893201E-5</v>
      </c>
    </row>
    <row r="3" spans="1:36" x14ac:dyDescent="0.2">
      <c r="A3" s="18">
        <v>13710</v>
      </c>
      <c r="B3" s="18">
        <v>13711</v>
      </c>
      <c r="C3" s="18" t="s">
        <v>1500</v>
      </c>
      <c r="D3" s="18" t="s">
        <v>1501</v>
      </c>
      <c r="E3" s="12" t="s">
        <v>1477</v>
      </c>
      <c r="F3" s="18" t="s">
        <v>1502</v>
      </c>
      <c r="G3" s="18" t="s">
        <v>1503</v>
      </c>
      <c r="H3" s="12" t="s">
        <v>76</v>
      </c>
      <c r="I3" s="18" t="s">
        <v>229</v>
      </c>
      <c r="J3" s="12" t="s">
        <v>53</v>
      </c>
      <c r="K3" s="12" t="s">
        <v>53</v>
      </c>
      <c r="L3" s="18" t="s">
        <v>805</v>
      </c>
      <c r="M3" s="12" t="s">
        <v>102</v>
      </c>
      <c r="N3" s="18" t="s">
        <v>635</v>
      </c>
      <c r="O3" s="18" t="s">
        <v>62</v>
      </c>
      <c r="P3" s="18" t="s">
        <v>298</v>
      </c>
      <c r="Q3" s="18" t="s">
        <v>298</v>
      </c>
      <c r="R3" s="18" t="s">
        <v>298</v>
      </c>
      <c r="S3" s="12" t="s">
        <v>1219</v>
      </c>
      <c r="T3" s="151">
        <v>2.9169999999999998</v>
      </c>
      <c r="U3" s="18" t="s">
        <v>1504</v>
      </c>
      <c r="V3" s="154">
        <v>3.7400000000000003E-2</v>
      </c>
      <c r="W3" s="155">
        <v>3.1220000000000001E-2</v>
      </c>
      <c r="X3" s="12" t="s">
        <v>620</v>
      </c>
      <c r="Y3" s="12" t="s">
        <v>62</v>
      </c>
      <c r="Z3" s="151">
        <v>31000</v>
      </c>
      <c r="AA3" s="156">
        <v>1</v>
      </c>
      <c r="AB3" s="150">
        <v>106.2</v>
      </c>
      <c r="AC3" s="18"/>
      <c r="AD3" s="151">
        <v>32.921999999999997</v>
      </c>
      <c r="AE3" s="18"/>
      <c r="AG3" s="12" t="s">
        <v>17</v>
      </c>
      <c r="AH3" s="132">
        <v>1.56E-4</v>
      </c>
      <c r="AI3" s="132">
        <v>2.13587521818715E-3</v>
      </c>
      <c r="AJ3" s="132">
        <v>4.82648198662175E-4</v>
      </c>
    </row>
    <row r="4" spans="1:36" x14ac:dyDescent="0.2">
      <c r="A4" s="18">
        <v>13710</v>
      </c>
      <c r="B4" s="18">
        <v>13711</v>
      </c>
      <c r="C4" s="18" t="s">
        <v>1505</v>
      </c>
      <c r="D4" s="18" t="s">
        <v>1506</v>
      </c>
      <c r="E4" s="12" t="s">
        <v>1477</v>
      </c>
      <c r="F4" s="18" t="s">
        <v>1507</v>
      </c>
      <c r="G4" s="18" t="s">
        <v>1508</v>
      </c>
      <c r="H4" s="12" t="s">
        <v>76</v>
      </c>
      <c r="I4" s="18" t="s">
        <v>228</v>
      </c>
      <c r="J4" s="12" t="s">
        <v>53</v>
      </c>
      <c r="K4" s="12" t="s">
        <v>53</v>
      </c>
      <c r="L4" s="18" t="s">
        <v>805</v>
      </c>
      <c r="M4" s="12" t="s">
        <v>102</v>
      </c>
      <c r="N4" s="18" t="s">
        <v>140</v>
      </c>
      <c r="O4" s="18" t="s">
        <v>62</v>
      </c>
      <c r="P4" s="18" t="s">
        <v>1355</v>
      </c>
      <c r="Q4" s="18" t="s">
        <v>70</v>
      </c>
      <c r="R4" s="18" t="s">
        <v>57</v>
      </c>
      <c r="S4" s="12" t="s">
        <v>1219</v>
      </c>
      <c r="T4" s="151">
        <v>2.2349999999999999</v>
      </c>
      <c r="U4" s="18" t="s">
        <v>1509</v>
      </c>
      <c r="V4" s="154">
        <v>0.08</v>
      </c>
      <c r="W4" s="155">
        <v>6.1850000000000002E-2</v>
      </c>
      <c r="X4" s="12" t="s">
        <v>620</v>
      </c>
      <c r="Y4" s="12" t="s">
        <v>62</v>
      </c>
      <c r="Z4" s="151">
        <v>21789.47</v>
      </c>
      <c r="AA4" s="156">
        <v>1</v>
      </c>
      <c r="AB4" s="150">
        <v>104.13200000000001</v>
      </c>
      <c r="AC4" s="151">
        <v>2.1309999999999998</v>
      </c>
      <c r="AD4" s="151">
        <v>24.82</v>
      </c>
      <c r="AE4" s="18"/>
      <c r="AG4" s="12" t="s">
        <v>17</v>
      </c>
      <c r="AH4" s="132">
        <v>0</v>
      </c>
      <c r="AI4" s="132">
        <v>1.61026214233605E-3</v>
      </c>
      <c r="AJ4" s="132">
        <v>3.6387431051896301E-4</v>
      </c>
    </row>
    <row r="5" spans="1:36" x14ac:dyDescent="0.2">
      <c r="A5" s="18">
        <v>13710</v>
      </c>
      <c r="B5" s="18">
        <v>13711</v>
      </c>
      <c r="C5" s="18" t="s">
        <v>1505</v>
      </c>
      <c r="D5" s="18" t="s">
        <v>1506</v>
      </c>
      <c r="E5" s="12" t="s">
        <v>1477</v>
      </c>
      <c r="F5" s="18" t="s">
        <v>1510</v>
      </c>
      <c r="G5" s="18" t="s">
        <v>1508</v>
      </c>
      <c r="H5" s="12" t="s">
        <v>76</v>
      </c>
      <c r="I5" s="18" t="s">
        <v>228</v>
      </c>
      <c r="J5" s="12" t="s">
        <v>53</v>
      </c>
      <c r="K5" s="12" t="s">
        <v>53</v>
      </c>
      <c r="L5" s="18" t="s">
        <v>54</v>
      </c>
      <c r="M5" s="12" t="s">
        <v>1227</v>
      </c>
      <c r="N5" s="18" t="s">
        <v>140</v>
      </c>
      <c r="O5" s="18" t="s">
        <v>62</v>
      </c>
      <c r="P5" s="18" t="s">
        <v>298</v>
      </c>
      <c r="Q5" s="18" t="s">
        <v>298</v>
      </c>
      <c r="R5" s="18" t="s">
        <v>298</v>
      </c>
      <c r="S5" s="12" t="s">
        <v>1219</v>
      </c>
      <c r="T5" s="151">
        <v>2.6429999999999998</v>
      </c>
      <c r="U5" s="18" t="s">
        <v>1509</v>
      </c>
      <c r="V5" s="154">
        <v>0.08</v>
      </c>
      <c r="W5" s="155">
        <v>6.0499999999999998E-2</v>
      </c>
      <c r="X5" s="12" t="s">
        <v>620</v>
      </c>
      <c r="Y5" s="12" t="s">
        <v>62</v>
      </c>
      <c r="Z5" s="151">
        <v>-1210.53</v>
      </c>
      <c r="AA5" s="156">
        <v>1</v>
      </c>
      <c r="AB5" s="150">
        <v>106.14</v>
      </c>
      <c r="AC5" s="18"/>
      <c r="AD5" s="151">
        <v>-1.2849999999999999</v>
      </c>
      <c r="AE5" s="18"/>
      <c r="AG5" s="12" t="s">
        <v>17</v>
      </c>
      <c r="AH5" s="132">
        <v>0</v>
      </c>
      <c r="AI5" s="132">
        <v>-8.3357428071910704E-5</v>
      </c>
      <c r="AJ5" s="132">
        <v>-1.8836452692291199E-5</v>
      </c>
    </row>
    <row r="6" spans="1:36" x14ac:dyDescent="0.2">
      <c r="A6" s="18">
        <v>13710</v>
      </c>
      <c r="B6" s="18">
        <v>13711</v>
      </c>
      <c r="C6" s="18" t="s">
        <v>1511</v>
      </c>
      <c r="D6" s="18" t="s">
        <v>1512</v>
      </c>
      <c r="E6" s="12" t="s">
        <v>1477</v>
      </c>
      <c r="F6" s="18" t="s">
        <v>1513</v>
      </c>
      <c r="G6" s="18" t="s">
        <v>1514</v>
      </c>
      <c r="H6" s="12" t="s">
        <v>76</v>
      </c>
      <c r="I6" s="18" t="s">
        <v>228</v>
      </c>
      <c r="J6" s="12" t="s">
        <v>53</v>
      </c>
      <c r="K6" s="12" t="s">
        <v>53</v>
      </c>
      <c r="L6" s="18" t="s">
        <v>805</v>
      </c>
      <c r="M6" s="12" t="s">
        <v>311</v>
      </c>
      <c r="N6" s="18" t="s">
        <v>258</v>
      </c>
      <c r="O6" s="18" t="s">
        <v>62</v>
      </c>
      <c r="P6" s="18" t="s">
        <v>1515</v>
      </c>
      <c r="Q6" s="18" t="s">
        <v>65</v>
      </c>
      <c r="R6" s="18" t="s">
        <v>57</v>
      </c>
      <c r="S6" s="12" t="s">
        <v>1219</v>
      </c>
      <c r="T6" s="151">
        <v>0.98099999999999998</v>
      </c>
      <c r="U6" s="18" t="s">
        <v>1516</v>
      </c>
      <c r="V6" s="154">
        <v>3.2500000000000001E-2</v>
      </c>
      <c r="W6" s="155">
        <v>5.7090000000000002E-2</v>
      </c>
      <c r="X6" s="12" t="s">
        <v>620</v>
      </c>
      <c r="Y6" s="12" t="s">
        <v>62</v>
      </c>
      <c r="Z6" s="131">
        <v>7134.4</v>
      </c>
      <c r="AA6" s="129">
        <v>1</v>
      </c>
      <c r="AB6" s="157">
        <v>97.74</v>
      </c>
      <c r="AC6" s="18"/>
      <c r="AD6" s="131">
        <v>6.9729999999999999</v>
      </c>
      <c r="AG6" s="6" t="s">
        <v>17</v>
      </c>
      <c r="AH6" s="132">
        <v>1.64E-4</v>
      </c>
      <c r="AI6" s="132">
        <v>4.5239672876175503E-4</v>
      </c>
      <c r="AJ6" s="132">
        <v>1.02229036770625E-4</v>
      </c>
    </row>
    <row r="7" spans="1:36" x14ac:dyDescent="0.2">
      <c r="A7" s="18">
        <v>13710</v>
      </c>
      <c r="B7" s="18">
        <v>13711</v>
      </c>
      <c r="C7" s="18" t="s">
        <v>1517</v>
      </c>
      <c r="D7" s="18" t="s">
        <v>1518</v>
      </c>
      <c r="E7" s="12" t="s">
        <v>1477</v>
      </c>
      <c r="F7" s="18" t="s">
        <v>1519</v>
      </c>
      <c r="G7" s="18" t="s">
        <v>1520</v>
      </c>
      <c r="H7" s="12" t="s">
        <v>76</v>
      </c>
      <c r="I7" s="18" t="s">
        <v>228</v>
      </c>
      <c r="J7" s="12" t="s">
        <v>53</v>
      </c>
      <c r="K7" s="12" t="s">
        <v>53</v>
      </c>
      <c r="L7" s="18" t="s">
        <v>805</v>
      </c>
      <c r="M7" s="12" t="s">
        <v>102</v>
      </c>
      <c r="N7" s="18" t="s">
        <v>140</v>
      </c>
      <c r="O7" s="18" t="s">
        <v>62</v>
      </c>
      <c r="P7" s="18" t="s">
        <v>1521</v>
      </c>
      <c r="Q7" s="18" t="s">
        <v>70</v>
      </c>
      <c r="R7" s="18" t="s">
        <v>57</v>
      </c>
      <c r="S7" s="12" t="s">
        <v>1219</v>
      </c>
      <c r="T7" s="151">
        <v>4.835</v>
      </c>
      <c r="U7" s="18" t="s">
        <v>1522</v>
      </c>
      <c r="V7" s="154">
        <v>5.7700000000000001E-2</v>
      </c>
      <c r="W7" s="155">
        <v>5.321E-2</v>
      </c>
      <c r="X7" s="12" t="s">
        <v>620</v>
      </c>
      <c r="Y7" s="12" t="s">
        <v>62</v>
      </c>
      <c r="Z7" s="131">
        <v>22000</v>
      </c>
      <c r="AA7" s="129">
        <v>1</v>
      </c>
      <c r="AB7" s="157">
        <v>102.7</v>
      </c>
      <c r="AC7" s="18"/>
      <c r="AD7" s="131">
        <v>22.594000000000001</v>
      </c>
      <c r="AG7" s="6" t="s">
        <v>17</v>
      </c>
      <c r="AH7" s="132">
        <v>8.5000000000000006E-5</v>
      </c>
      <c r="AI7" s="132">
        <v>1.4658272486398299E-3</v>
      </c>
      <c r="AJ7" s="132">
        <v>3.3123605493509402E-4</v>
      </c>
    </row>
    <row r="8" spans="1:36" x14ac:dyDescent="0.2">
      <c r="A8" s="18">
        <v>13710</v>
      </c>
      <c r="B8" s="18">
        <v>13711</v>
      </c>
      <c r="C8" s="18" t="s">
        <v>1523</v>
      </c>
      <c r="D8" s="18" t="s">
        <v>1524</v>
      </c>
      <c r="E8" s="12" t="s">
        <v>1477</v>
      </c>
      <c r="F8" s="18" t="s">
        <v>1525</v>
      </c>
      <c r="G8" s="18" t="s">
        <v>1526</v>
      </c>
      <c r="H8" s="12" t="s">
        <v>76</v>
      </c>
      <c r="I8" s="18" t="s">
        <v>228</v>
      </c>
      <c r="J8" s="12" t="s">
        <v>53</v>
      </c>
      <c r="K8" s="12" t="s">
        <v>53</v>
      </c>
      <c r="L8" s="18" t="s">
        <v>805</v>
      </c>
      <c r="M8" s="12" t="s">
        <v>311</v>
      </c>
      <c r="N8" s="18" t="s">
        <v>269</v>
      </c>
      <c r="O8" s="18" t="s">
        <v>62</v>
      </c>
      <c r="P8" s="18" t="s">
        <v>1527</v>
      </c>
      <c r="Q8" s="18" t="s">
        <v>70</v>
      </c>
      <c r="R8" s="18" t="s">
        <v>57</v>
      </c>
      <c r="S8" s="12" t="s">
        <v>1219</v>
      </c>
      <c r="T8" s="151">
        <v>0.375</v>
      </c>
      <c r="U8" s="18" t="s">
        <v>1528</v>
      </c>
      <c r="V8" s="154">
        <v>3.27E-2</v>
      </c>
      <c r="W8" s="155">
        <v>5.1979999999999998E-2</v>
      </c>
      <c r="X8" s="12" t="s">
        <v>620</v>
      </c>
      <c r="Y8" s="12" t="s">
        <v>62</v>
      </c>
      <c r="Z8" s="151">
        <v>231000</v>
      </c>
      <c r="AA8" s="156">
        <v>1</v>
      </c>
      <c r="AB8" s="150">
        <v>99.72</v>
      </c>
      <c r="AC8" s="18"/>
      <c r="AD8" s="151">
        <v>230.35300000000001</v>
      </c>
      <c r="AE8" s="18"/>
      <c r="AG8" s="12" t="s">
        <v>17</v>
      </c>
      <c r="AH8" s="132">
        <v>7.3200000000000001E-4</v>
      </c>
      <c r="AI8" s="132">
        <v>1.4944586942169699E-2</v>
      </c>
      <c r="AJ8" s="132">
        <v>3.3770596268776999E-3</v>
      </c>
    </row>
    <row r="9" spans="1:36" x14ac:dyDescent="0.2">
      <c r="A9" s="18">
        <v>13710</v>
      </c>
      <c r="B9" s="18">
        <v>13711</v>
      </c>
      <c r="C9" s="18" t="s">
        <v>1529</v>
      </c>
      <c r="D9" s="18" t="s">
        <v>1530</v>
      </c>
      <c r="E9" s="12" t="s">
        <v>1477</v>
      </c>
      <c r="F9" s="18" t="s">
        <v>1531</v>
      </c>
      <c r="G9" s="18" t="s">
        <v>1532</v>
      </c>
      <c r="H9" s="12" t="s">
        <v>76</v>
      </c>
      <c r="I9" s="18" t="s">
        <v>228</v>
      </c>
      <c r="J9" s="12" t="s">
        <v>53</v>
      </c>
      <c r="K9" s="12" t="s">
        <v>53</v>
      </c>
      <c r="L9" s="18" t="s">
        <v>805</v>
      </c>
      <c r="M9" s="12" t="s">
        <v>311</v>
      </c>
      <c r="N9" s="18" t="s">
        <v>265</v>
      </c>
      <c r="O9" s="18" t="s">
        <v>62</v>
      </c>
      <c r="P9" s="18" t="s">
        <v>1533</v>
      </c>
      <c r="Q9" s="18" t="s">
        <v>65</v>
      </c>
      <c r="R9" s="18" t="s">
        <v>57</v>
      </c>
      <c r="S9" s="12" t="s">
        <v>1219</v>
      </c>
      <c r="T9" s="151">
        <v>7.3310000000000004</v>
      </c>
      <c r="U9" s="18" t="s">
        <v>1534</v>
      </c>
      <c r="V9" s="154">
        <v>2.4E-2</v>
      </c>
      <c r="W9" s="155">
        <v>4.6940000000000003E-2</v>
      </c>
      <c r="X9" s="12" t="s">
        <v>620</v>
      </c>
      <c r="Y9" s="12" t="s">
        <v>62</v>
      </c>
      <c r="Z9" s="151">
        <v>39000</v>
      </c>
      <c r="AA9" s="156">
        <v>1</v>
      </c>
      <c r="AB9" s="150">
        <v>84.92</v>
      </c>
      <c r="AC9" s="18"/>
      <c r="AD9" s="151">
        <v>33.119</v>
      </c>
      <c r="AE9" s="18"/>
      <c r="AG9" s="12" t="s">
        <v>17</v>
      </c>
      <c r="AH9" s="132">
        <v>2.5000000000000001E-5</v>
      </c>
      <c r="AI9" s="132">
        <v>2.1486429796518098E-3</v>
      </c>
      <c r="AJ9" s="132">
        <v>4.8553335647447999E-4</v>
      </c>
    </row>
    <row r="10" spans="1:36" x14ac:dyDescent="0.2">
      <c r="A10" s="18">
        <v>13710</v>
      </c>
      <c r="B10" s="18">
        <v>13711</v>
      </c>
      <c r="C10" s="18" t="s">
        <v>1535</v>
      </c>
      <c r="D10" s="18" t="s">
        <v>1536</v>
      </c>
      <c r="E10" s="12" t="s">
        <v>1477</v>
      </c>
      <c r="F10" s="18" t="s">
        <v>1537</v>
      </c>
      <c r="G10" s="18" t="s">
        <v>1538</v>
      </c>
      <c r="H10" s="12" t="s">
        <v>76</v>
      </c>
      <c r="I10" s="18" t="s">
        <v>229</v>
      </c>
      <c r="J10" s="12" t="s">
        <v>53</v>
      </c>
      <c r="K10" s="12" t="s">
        <v>53</v>
      </c>
      <c r="L10" s="18" t="s">
        <v>805</v>
      </c>
      <c r="M10" s="12" t="s">
        <v>311</v>
      </c>
      <c r="N10" s="18" t="s">
        <v>635</v>
      </c>
      <c r="O10" s="18" t="s">
        <v>62</v>
      </c>
      <c r="P10" s="18" t="s">
        <v>1533</v>
      </c>
      <c r="Q10" s="18" t="s">
        <v>65</v>
      </c>
      <c r="R10" s="18" t="s">
        <v>57</v>
      </c>
      <c r="S10" s="12" t="s">
        <v>1219</v>
      </c>
      <c r="T10" s="151">
        <v>2.0139999999999998</v>
      </c>
      <c r="U10" s="18" t="s">
        <v>1539</v>
      </c>
      <c r="V10" s="154">
        <v>2.3400000000000001E-2</v>
      </c>
      <c r="W10" s="155">
        <v>2.8719999999999999E-2</v>
      </c>
      <c r="X10" s="12" t="s">
        <v>620</v>
      </c>
      <c r="Y10" s="12" t="s">
        <v>62</v>
      </c>
      <c r="Z10" s="151">
        <v>92000.639999999999</v>
      </c>
      <c r="AA10" s="156">
        <v>1</v>
      </c>
      <c r="AB10" s="150">
        <v>116.49</v>
      </c>
      <c r="AC10" s="18"/>
      <c r="AD10" s="151">
        <v>107.172</v>
      </c>
      <c r="AE10" s="18"/>
      <c r="AG10" s="12" t="s">
        <v>17</v>
      </c>
      <c r="AH10" s="132">
        <v>5.5999999999999999E-5</v>
      </c>
      <c r="AI10" s="132">
        <v>6.9529508597642497E-3</v>
      </c>
      <c r="AJ10" s="132">
        <v>1.5711728753050099E-3</v>
      </c>
    </row>
    <row r="11" spans="1:36" x14ac:dyDescent="0.2">
      <c r="A11" s="18">
        <v>13710</v>
      </c>
      <c r="B11" s="18">
        <v>13711</v>
      </c>
      <c r="C11" s="18" t="s">
        <v>1540</v>
      </c>
      <c r="D11" s="18" t="s">
        <v>1541</v>
      </c>
      <c r="E11" s="12" t="s">
        <v>1477</v>
      </c>
      <c r="F11" s="18" t="s">
        <v>1542</v>
      </c>
      <c r="G11" s="18" t="s">
        <v>1543</v>
      </c>
      <c r="H11" s="12" t="s">
        <v>76</v>
      </c>
      <c r="I11" s="18" t="s">
        <v>607</v>
      </c>
      <c r="J11" s="12" t="s">
        <v>53</v>
      </c>
      <c r="K11" s="12" t="s">
        <v>53</v>
      </c>
      <c r="L11" s="18" t="s">
        <v>805</v>
      </c>
      <c r="M11" s="12" t="s">
        <v>311</v>
      </c>
      <c r="N11" s="18" t="s">
        <v>259</v>
      </c>
      <c r="O11" s="18" t="s">
        <v>62</v>
      </c>
      <c r="P11" s="18" t="s">
        <v>298</v>
      </c>
      <c r="Q11" s="18" t="s">
        <v>298</v>
      </c>
      <c r="R11" s="18" t="s">
        <v>298</v>
      </c>
      <c r="S11" s="12" t="s">
        <v>1219</v>
      </c>
      <c r="T11" s="151">
        <v>2.839</v>
      </c>
      <c r="U11" s="18" t="s">
        <v>1544</v>
      </c>
      <c r="V11" s="154">
        <v>4.8500000000000001E-2</v>
      </c>
      <c r="W11" s="155">
        <v>1E-4</v>
      </c>
      <c r="X11" s="12" t="s">
        <v>620</v>
      </c>
      <c r="Y11" s="12" t="s">
        <v>62</v>
      </c>
      <c r="Z11" s="151">
        <v>17000</v>
      </c>
      <c r="AA11" s="156">
        <v>1</v>
      </c>
      <c r="AB11" s="150">
        <v>115</v>
      </c>
      <c r="AC11" s="18"/>
      <c r="AD11" s="151">
        <v>19.55</v>
      </c>
      <c r="AE11" s="18"/>
      <c r="AG11" s="12" t="s">
        <v>17</v>
      </c>
      <c r="AH11" s="132">
        <v>5.7000000000000003E-5</v>
      </c>
      <c r="AI11" s="132">
        <v>1.2683421576926901E-3</v>
      </c>
      <c r="AJ11" s="132">
        <v>2.8660993511468101E-4</v>
      </c>
    </row>
    <row r="12" spans="1:36" x14ac:dyDescent="0.2">
      <c r="A12" s="18">
        <v>13710</v>
      </c>
      <c r="B12" s="18">
        <v>13711</v>
      </c>
      <c r="C12" s="18" t="s">
        <v>1545</v>
      </c>
      <c r="D12" s="18" t="s">
        <v>1546</v>
      </c>
      <c r="E12" s="12" t="s">
        <v>1477</v>
      </c>
      <c r="F12" s="18" t="s">
        <v>1547</v>
      </c>
      <c r="G12" s="18" t="s">
        <v>1548</v>
      </c>
      <c r="H12" s="12" t="s">
        <v>76</v>
      </c>
      <c r="I12" s="18" t="s">
        <v>228</v>
      </c>
      <c r="J12" s="12" t="s">
        <v>53</v>
      </c>
      <c r="K12" s="12" t="s">
        <v>317</v>
      </c>
      <c r="L12" s="18" t="s">
        <v>805</v>
      </c>
      <c r="M12" s="12" t="s">
        <v>311</v>
      </c>
      <c r="N12" s="18" t="s">
        <v>638</v>
      </c>
      <c r="O12" s="18" t="s">
        <v>62</v>
      </c>
      <c r="P12" s="18" t="s">
        <v>1339</v>
      </c>
      <c r="Q12" s="18" t="s">
        <v>65</v>
      </c>
      <c r="R12" s="18" t="s">
        <v>57</v>
      </c>
      <c r="S12" s="12" t="s">
        <v>1219</v>
      </c>
      <c r="T12" s="151">
        <v>2.4220000000000002</v>
      </c>
      <c r="U12" s="18" t="s">
        <v>1549</v>
      </c>
      <c r="V12" s="154">
        <v>1.0800000000000001E-2</v>
      </c>
      <c r="W12" s="155">
        <v>4.3990000000000001E-2</v>
      </c>
      <c r="X12" s="12" t="s">
        <v>620</v>
      </c>
      <c r="Y12" s="12" t="s">
        <v>62</v>
      </c>
      <c r="Z12" s="151">
        <v>118400.3</v>
      </c>
      <c r="AA12" s="156">
        <v>1</v>
      </c>
      <c r="AB12" s="150">
        <v>92.42</v>
      </c>
      <c r="AC12" s="18"/>
      <c r="AD12" s="151">
        <v>109.426</v>
      </c>
      <c r="AE12" s="18"/>
      <c r="AG12" s="12" t="s">
        <v>17</v>
      </c>
      <c r="AH12" s="132">
        <v>1.5799999999999999E-4</v>
      </c>
      <c r="AI12" s="132">
        <v>7.0991840103260297E-3</v>
      </c>
      <c r="AJ12" s="132">
        <v>1.6042174867609399E-3</v>
      </c>
    </row>
    <row r="13" spans="1:36" x14ac:dyDescent="0.2">
      <c r="A13" s="18">
        <v>13710</v>
      </c>
      <c r="B13" s="18">
        <v>13711</v>
      </c>
      <c r="C13" s="18" t="s">
        <v>1550</v>
      </c>
      <c r="D13" s="18" t="s">
        <v>1551</v>
      </c>
      <c r="E13" s="12" t="s">
        <v>1477</v>
      </c>
      <c r="F13" s="18" t="s">
        <v>1552</v>
      </c>
      <c r="G13" s="18" t="s">
        <v>1553</v>
      </c>
      <c r="H13" s="12" t="s">
        <v>76</v>
      </c>
      <c r="I13" s="18" t="s">
        <v>228</v>
      </c>
      <c r="J13" s="12" t="s">
        <v>53</v>
      </c>
      <c r="K13" s="12" t="s">
        <v>53</v>
      </c>
      <c r="L13" s="18" t="s">
        <v>805</v>
      </c>
      <c r="M13" s="12" t="s">
        <v>311</v>
      </c>
      <c r="N13" s="18" t="s">
        <v>258</v>
      </c>
      <c r="O13" s="18" t="s">
        <v>62</v>
      </c>
      <c r="P13" s="18" t="s">
        <v>1493</v>
      </c>
      <c r="Q13" s="18" t="s">
        <v>65</v>
      </c>
      <c r="R13" s="18" t="s">
        <v>57</v>
      </c>
      <c r="S13" s="12" t="s">
        <v>1219</v>
      </c>
      <c r="T13" s="151">
        <v>0.76400000000000001</v>
      </c>
      <c r="U13" s="18" t="s">
        <v>1554</v>
      </c>
      <c r="V13" s="154">
        <v>3.2500000000000001E-2</v>
      </c>
      <c r="W13" s="155">
        <v>5.1630000000000002E-2</v>
      </c>
      <c r="X13" s="12" t="s">
        <v>620</v>
      </c>
      <c r="Y13" s="12" t="s">
        <v>62</v>
      </c>
      <c r="Z13" s="151">
        <v>164000.26</v>
      </c>
      <c r="AA13" s="156">
        <v>1</v>
      </c>
      <c r="AB13" s="150">
        <v>99.33</v>
      </c>
      <c r="AC13" s="18"/>
      <c r="AD13" s="151">
        <v>162.90100000000001</v>
      </c>
      <c r="AE13" s="18"/>
      <c r="AG13" s="12" t="s">
        <v>17</v>
      </c>
      <c r="AH13" s="132">
        <v>5.7399999999999997E-4</v>
      </c>
      <c r="AI13" s="132">
        <v>1.05685313073268E-2</v>
      </c>
      <c r="AJ13" s="132">
        <v>2.3881931652896299E-3</v>
      </c>
    </row>
    <row r="14" spans="1:36" x14ac:dyDescent="0.2">
      <c r="A14" s="18">
        <v>13710</v>
      </c>
      <c r="B14" s="18">
        <v>13711</v>
      </c>
      <c r="C14" s="18" t="s">
        <v>1555</v>
      </c>
      <c r="D14" s="18" t="s">
        <v>1556</v>
      </c>
      <c r="E14" s="12" t="s">
        <v>1477</v>
      </c>
      <c r="F14" s="18" t="s">
        <v>1557</v>
      </c>
      <c r="G14" s="18" t="s">
        <v>1558</v>
      </c>
      <c r="H14" s="12" t="s">
        <v>76</v>
      </c>
      <c r="I14" s="18" t="s">
        <v>228</v>
      </c>
      <c r="J14" s="12" t="s">
        <v>53</v>
      </c>
      <c r="K14" s="12" t="s">
        <v>53</v>
      </c>
      <c r="L14" s="18" t="s">
        <v>805</v>
      </c>
      <c r="M14" s="12" t="s">
        <v>311</v>
      </c>
      <c r="N14" s="18" t="s">
        <v>258</v>
      </c>
      <c r="O14" s="18" t="s">
        <v>62</v>
      </c>
      <c r="P14" s="18" t="s">
        <v>1493</v>
      </c>
      <c r="Q14" s="18" t="s">
        <v>65</v>
      </c>
      <c r="R14" s="18" t="s">
        <v>57</v>
      </c>
      <c r="S14" s="12" t="s">
        <v>1219</v>
      </c>
      <c r="T14" s="151">
        <v>0.97899999999999998</v>
      </c>
      <c r="U14" s="18" t="s">
        <v>1559</v>
      </c>
      <c r="V14" s="154">
        <v>2.8000000000000001E-2</v>
      </c>
      <c r="W14" s="155">
        <v>4.9489999999999999E-2</v>
      </c>
      <c r="X14" s="12" t="s">
        <v>620</v>
      </c>
      <c r="Y14" s="12" t="s">
        <v>62</v>
      </c>
      <c r="Z14" s="151">
        <v>12000</v>
      </c>
      <c r="AA14" s="156">
        <v>1</v>
      </c>
      <c r="AB14" s="150">
        <v>98.02</v>
      </c>
      <c r="AC14" s="18"/>
      <c r="AD14" s="151">
        <v>11.762</v>
      </c>
      <c r="AE14" s="18"/>
      <c r="AG14" s="12" t="s">
        <v>17</v>
      </c>
      <c r="AH14" s="132">
        <v>6.8999999999999997E-5</v>
      </c>
      <c r="AI14" s="132">
        <v>7.6310730412504097E-4</v>
      </c>
      <c r="AJ14" s="132">
        <v>1.7244095656229801E-4</v>
      </c>
    </row>
    <row r="15" spans="1:36" x14ac:dyDescent="0.2">
      <c r="A15" s="18">
        <v>13710</v>
      </c>
      <c r="B15" s="18">
        <v>13711</v>
      </c>
      <c r="C15" s="18" t="s">
        <v>1560</v>
      </c>
      <c r="D15" s="18" t="s">
        <v>1561</v>
      </c>
      <c r="E15" s="12" t="s">
        <v>1477</v>
      </c>
      <c r="F15" s="18" t="s">
        <v>1562</v>
      </c>
      <c r="G15" s="18" t="s">
        <v>1563</v>
      </c>
      <c r="H15" s="12" t="s">
        <v>76</v>
      </c>
      <c r="I15" s="18" t="s">
        <v>228</v>
      </c>
      <c r="J15" s="12" t="s">
        <v>53</v>
      </c>
      <c r="K15" s="12" t="s">
        <v>53</v>
      </c>
      <c r="L15" s="18" t="s">
        <v>805</v>
      </c>
      <c r="M15" s="12" t="s">
        <v>102</v>
      </c>
      <c r="N15" s="18" t="s">
        <v>692</v>
      </c>
      <c r="O15" s="18" t="s">
        <v>62</v>
      </c>
      <c r="P15" s="18" t="s">
        <v>298</v>
      </c>
      <c r="Q15" s="18" t="s">
        <v>298</v>
      </c>
      <c r="R15" s="18" t="s">
        <v>298</v>
      </c>
      <c r="S15" s="12" t="s">
        <v>1219</v>
      </c>
      <c r="T15" s="151">
        <v>4.0350000000000001</v>
      </c>
      <c r="U15" s="18" t="s">
        <v>1564</v>
      </c>
      <c r="V15" s="154">
        <v>6.5600000000000006E-2</v>
      </c>
      <c r="W15" s="155">
        <v>6.3450000000000006E-2</v>
      </c>
      <c r="X15" s="12" t="s">
        <v>620</v>
      </c>
      <c r="Y15" s="12" t="s">
        <v>62</v>
      </c>
      <c r="Z15" s="151">
        <v>29000</v>
      </c>
      <c r="AA15" s="156">
        <v>1</v>
      </c>
      <c r="AB15" s="150">
        <v>102.91</v>
      </c>
      <c r="AC15" s="18"/>
      <c r="AD15" s="151">
        <v>29.844000000000001</v>
      </c>
      <c r="AE15" s="18"/>
      <c r="AG15" s="12" t="s">
        <v>17</v>
      </c>
      <c r="AH15" s="132">
        <v>2.3900000000000001E-4</v>
      </c>
      <c r="AI15" s="132">
        <v>1.93617782710818E-3</v>
      </c>
      <c r="AJ15" s="132">
        <v>4.37522160745218E-4</v>
      </c>
    </row>
    <row r="16" spans="1:36" x14ac:dyDescent="0.2">
      <c r="A16" s="18">
        <v>13710</v>
      </c>
      <c r="B16" s="18">
        <v>13711</v>
      </c>
      <c r="C16" s="18" t="s">
        <v>1565</v>
      </c>
      <c r="D16" s="18" t="s">
        <v>1566</v>
      </c>
      <c r="E16" s="12" t="s">
        <v>1477</v>
      </c>
      <c r="F16" s="18" t="s">
        <v>1567</v>
      </c>
      <c r="G16" s="18" t="s">
        <v>1568</v>
      </c>
      <c r="H16" s="12" t="s">
        <v>76</v>
      </c>
      <c r="I16" s="18" t="s">
        <v>228</v>
      </c>
      <c r="J16" s="12" t="s">
        <v>53</v>
      </c>
      <c r="K16" s="12" t="s">
        <v>53</v>
      </c>
      <c r="L16" s="18" t="s">
        <v>805</v>
      </c>
      <c r="M16" s="12" t="s">
        <v>311</v>
      </c>
      <c r="N16" s="18" t="s">
        <v>631</v>
      </c>
      <c r="O16" s="18" t="s">
        <v>62</v>
      </c>
      <c r="P16" s="18" t="s">
        <v>298</v>
      </c>
      <c r="Q16" s="18" t="s">
        <v>298</v>
      </c>
      <c r="R16" s="18" t="s">
        <v>298</v>
      </c>
      <c r="S16" s="12" t="s">
        <v>1219</v>
      </c>
      <c r="T16" s="151">
        <v>2.0779999999999998</v>
      </c>
      <c r="U16" s="18" t="s">
        <v>1569</v>
      </c>
      <c r="V16" s="154">
        <v>6.0499999999999998E-2</v>
      </c>
      <c r="W16" s="155">
        <v>5.6259999999999998E-2</v>
      </c>
      <c r="X16" s="12" t="s">
        <v>620</v>
      </c>
      <c r="Y16" s="12" t="s">
        <v>62</v>
      </c>
      <c r="Z16" s="151">
        <v>13000</v>
      </c>
      <c r="AA16" s="156">
        <v>1</v>
      </c>
      <c r="AB16" s="150">
        <v>102.55</v>
      </c>
      <c r="AC16" s="18"/>
      <c r="AD16" s="151">
        <v>13.332000000000001</v>
      </c>
      <c r="AE16" s="18"/>
      <c r="AG16" s="12" t="s">
        <v>17</v>
      </c>
      <c r="AH16" s="132">
        <v>5.8999999999999998E-5</v>
      </c>
      <c r="AI16" s="132">
        <v>8.64905548607681E-4</v>
      </c>
      <c r="AJ16" s="132">
        <v>1.9544451918063199E-4</v>
      </c>
    </row>
    <row r="17" spans="1:36" x14ac:dyDescent="0.2">
      <c r="A17" s="18">
        <v>13710</v>
      </c>
      <c r="B17" s="18">
        <v>13711</v>
      </c>
      <c r="C17" s="18" t="s">
        <v>1565</v>
      </c>
      <c r="D17" s="18" t="s">
        <v>1566</v>
      </c>
      <c r="E17" s="12" t="s">
        <v>1477</v>
      </c>
      <c r="F17" s="18" t="s">
        <v>1570</v>
      </c>
      <c r="G17" s="18" t="s">
        <v>1571</v>
      </c>
      <c r="H17" s="12" t="s">
        <v>76</v>
      </c>
      <c r="I17" s="18" t="s">
        <v>228</v>
      </c>
      <c r="J17" s="12" t="s">
        <v>53</v>
      </c>
      <c r="K17" s="12" t="s">
        <v>53</v>
      </c>
      <c r="L17" s="18" t="s">
        <v>805</v>
      </c>
      <c r="M17" s="12" t="s">
        <v>102</v>
      </c>
      <c r="N17" s="18" t="s">
        <v>631</v>
      </c>
      <c r="O17" s="18" t="s">
        <v>62</v>
      </c>
      <c r="P17" s="18" t="s">
        <v>298</v>
      </c>
      <c r="Q17" s="18" t="s">
        <v>298</v>
      </c>
      <c r="R17" s="18" t="s">
        <v>298</v>
      </c>
      <c r="S17" s="12" t="s">
        <v>1219</v>
      </c>
      <c r="T17" s="151">
        <v>4.6459999999999999</v>
      </c>
      <c r="U17" s="18" t="s">
        <v>1572</v>
      </c>
      <c r="V17" s="154">
        <v>6.3399999999999998E-2</v>
      </c>
      <c r="W17" s="155">
        <v>6.4640000000000003E-2</v>
      </c>
      <c r="X17" s="12" t="s">
        <v>620</v>
      </c>
      <c r="Y17" s="12" t="s">
        <v>62</v>
      </c>
      <c r="Z17" s="151">
        <v>30000</v>
      </c>
      <c r="AA17" s="156">
        <v>1</v>
      </c>
      <c r="AB17" s="150">
        <v>102.19</v>
      </c>
      <c r="AC17" s="18"/>
      <c r="AD17" s="151">
        <v>30.657</v>
      </c>
      <c r="AE17" s="18"/>
      <c r="AG17" s="12" t="s">
        <v>17</v>
      </c>
      <c r="AH17" s="132">
        <v>1.3999999999999999E-4</v>
      </c>
      <c r="AI17" s="132">
        <v>1.9889291830375898E-3</v>
      </c>
      <c r="AJ17" s="132">
        <v>4.49442495182136E-4</v>
      </c>
    </row>
    <row r="18" spans="1:36" x14ac:dyDescent="0.2">
      <c r="A18" s="18">
        <v>13710</v>
      </c>
      <c r="B18" s="18">
        <v>13711</v>
      </c>
      <c r="C18" s="18" t="s">
        <v>1573</v>
      </c>
      <c r="D18" s="18" t="s">
        <v>1574</v>
      </c>
      <c r="E18" s="12" t="s">
        <v>1477</v>
      </c>
      <c r="F18" s="18" t="s">
        <v>1575</v>
      </c>
      <c r="G18" s="18" t="s">
        <v>1576</v>
      </c>
      <c r="H18" s="12" t="s">
        <v>76</v>
      </c>
      <c r="I18" s="18" t="s">
        <v>228</v>
      </c>
      <c r="J18" s="12" t="s">
        <v>53</v>
      </c>
      <c r="K18" s="12" t="s">
        <v>53</v>
      </c>
      <c r="L18" s="18" t="s">
        <v>805</v>
      </c>
      <c r="M18" s="12" t="s">
        <v>311</v>
      </c>
      <c r="N18" s="18" t="s">
        <v>692</v>
      </c>
      <c r="O18" s="18" t="s">
        <v>62</v>
      </c>
      <c r="P18" s="18" t="s">
        <v>1577</v>
      </c>
      <c r="Q18" s="18" t="s">
        <v>65</v>
      </c>
      <c r="R18" s="18" t="s">
        <v>57</v>
      </c>
      <c r="S18" s="12" t="s">
        <v>1219</v>
      </c>
      <c r="T18" s="151">
        <v>0.73</v>
      </c>
      <c r="U18" s="18" t="s">
        <v>1578</v>
      </c>
      <c r="V18" s="154">
        <v>3.9E-2</v>
      </c>
      <c r="W18" s="155">
        <v>4.9660000000000003E-2</v>
      </c>
      <c r="X18" s="12" t="s">
        <v>620</v>
      </c>
      <c r="Y18" s="12" t="s">
        <v>62</v>
      </c>
      <c r="Z18" s="151">
        <v>210000.25</v>
      </c>
      <c r="AA18" s="156">
        <v>1</v>
      </c>
      <c r="AB18" s="150">
        <v>100.26</v>
      </c>
      <c r="AC18" s="18"/>
      <c r="AD18" s="151">
        <v>210.54599999999999</v>
      </c>
      <c r="AE18" s="18"/>
      <c r="AG18" s="12" t="s">
        <v>17</v>
      </c>
      <c r="AH18" s="132">
        <v>3.6400000000000001E-4</v>
      </c>
      <c r="AI18" s="132">
        <v>1.3659574723454099E-2</v>
      </c>
      <c r="AJ18" s="132">
        <v>3.0866827231425002E-3</v>
      </c>
    </row>
    <row r="19" spans="1:36" x14ac:dyDescent="0.2">
      <c r="A19" s="18">
        <v>13710</v>
      </c>
      <c r="B19" s="18">
        <v>13711</v>
      </c>
      <c r="C19" s="18" t="s">
        <v>1579</v>
      </c>
      <c r="D19" s="18" t="s">
        <v>1580</v>
      </c>
      <c r="E19" s="12" t="s">
        <v>1477</v>
      </c>
      <c r="F19" s="18" t="s">
        <v>1581</v>
      </c>
      <c r="G19" s="18" t="s">
        <v>1582</v>
      </c>
      <c r="H19" s="12" t="s">
        <v>76</v>
      </c>
      <c r="I19" s="18" t="s">
        <v>228</v>
      </c>
      <c r="J19" s="12" t="s">
        <v>53</v>
      </c>
      <c r="K19" s="12" t="s">
        <v>53</v>
      </c>
      <c r="L19" s="18" t="s">
        <v>805</v>
      </c>
      <c r="M19" s="12" t="s">
        <v>311</v>
      </c>
      <c r="N19" s="18" t="s">
        <v>635</v>
      </c>
      <c r="O19" s="18" t="s">
        <v>62</v>
      </c>
      <c r="P19" s="18" t="s">
        <v>1577</v>
      </c>
      <c r="Q19" s="18" t="s">
        <v>65</v>
      </c>
      <c r="R19" s="18" t="s">
        <v>57</v>
      </c>
      <c r="S19" s="12" t="s">
        <v>1219</v>
      </c>
      <c r="T19" s="151">
        <v>1.141</v>
      </c>
      <c r="U19" s="18" t="s">
        <v>1583</v>
      </c>
      <c r="V19" s="154">
        <v>3.85E-2</v>
      </c>
      <c r="W19" s="155">
        <v>4.9360000000000001E-2</v>
      </c>
      <c r="X19" s="12" t="s">
        <v>620</v>
      </c>
      <c r="Y19" s="12" t="s">
        <v>62</v>
      </c>
      <c r="Z19" s="151">
        <v>48000.67</v>
      </c>
      <c r="AA19" s="156">
        <v>1</v>
      </c>
      <c r="AB19" s="150">
        <v>100.09</v>
      </c>
      <c r="AC19" s="18"/>
      <c r="AD19" s="151">
        <v>48.043999999999997</v>
      </c>
      <c r="AE19" s="18"/>
      <c r="AG19" s="12" t="s">
        <v>17</v>
      </c>
      <c r="AH19" s="132">
        <v>1.54E-4</v>
      </c>
      <c r="AI19" s="132">
        <v>3.1169343480571699E-3</v>
      </c>
      <c r="AJ19" s="132">
        <v>7.0434018599406403E-4</v>
      </c>
    </row>
    <row r="20" spans="1:36" x14ac:dyDescent="0.2">
      <c r="A20" s="6">
        <v>13710</v>
      </c>
      <c r="B20" s="6">
        <v>13711</v>
      </c>
      <c r="C20" s="6" t="s">
        <v>1579</v>
      </c>
      <c r="D20" s="6" t="s">
        <v>1580</v>
      </c>
      <c r="E20" s="12" t="s">
        <v>1477</v>
      </c>
      <c r="F20" s="6" t="s">
        <v>1584</v>
      </c>
      <c r="G20" s="6" t="s">
        <v>1585</v>
      </c>
      <c r="H20" s="12" t="s">
        <v>76</v>
      </c>
      <c r="I20" s="18" t="s">
        <v>228</v>
      </c>
      <c r="J20" s="12" t="s">
        <v>53</v>
      </c>
      <c r="K20" s="12" t="s">
        <v>53</v>
      </c>
      <c r="L20" s="18" t="s">
        <v>805</v>
      </c>
      <c r="M20" s="12" t="s">
        <v>311</v>
      </c>
      <c r="N20" s="18" t="s">
        <v>635</v>
      </c>
      <c r="O20" s="18" t="s">
        <v>62</v>
      </c>
      <c r="P20" s="6" t="s">
        <v>1577</v>
      </c>
      <c r="Q20" s="18" t="s">
        <v>65</v>
      </c>
      <c r="R20" s="18" t="s">
        <v>57</v>
      </c>
      <c r="S20" s="6" t="s">
        <v>1219</v>
      </c>
      <c r="T20" s="131">
        <v>1.117</v>
      </c>
      <c r="U20" s="6" t="s">
        <v>1583</v>
      </c>
      <c r="V20" s="134">
        <v>6.7400000000000002E-2</v>
      </c>
      <c r="W20" s="132">
        <v>5.3560000000000003E-2</v>
      </c>
      <c r="X20" s="12" t="s">
        <v>620</v>
      </c>
      <c r="Y20" s="12" t="s">
        <v>62</v>
      </c>
      <c r="Z20" s="131">
        <v>3807</v>
      </c>
      <c r="AA20" s="129">
        <v>1</v>
      </c>
      <c r="AB20" s="157">
        <v>102.25</v>
      </c>
      <c r="AD20" s="131">
        <v>3.8929999999999998</v>
      </c>
      <c r="AG20" s="6" t="s">
        <v>17</v>
      </c>
      <c r="AH20" s="132">
        <v>1.0000000000000001E-5</v>
      </c>
      <c r="AI20" s="132">
        <v>2.52543304997885E-4</v>
      </c>
      <c r="AJ20" s="132">
        <v>5.7067739820904098E-5</v>
      </c>
    </row>
    <row r="21" spans="1:36" x14ac:dyDescent="0.2">
      <c r="A21" s="6">
        <v>13710</v>
      </c>
      <c r="B21" s="6">
        <v>13711</v>
      </c>
      <c r="C21" s="6" t="s">
        <v>1586</v>
      </c>
      <c r="D21" s="6" t="s">
        <v>1587</v>
      </c>
      <c r="E21" s="3" t="s">
        <v>1477</v>
      </c>
      <c r="F21" s="6" t="s">
        <v>1588</v>
      </c>
      <c r="G21" s="6" t="s">
        <v>1589</v>
      </c>
      <c r="H21" s="3" t="s">
        <v>76</v>
      </c>
      <c r="I21" s="6" t="s">
        <v>228</v>
      </c>
      <c r="J21" s="6" t="s">
        <v>53</v>
      </c>
      <c r="K21" s="6" t="s">
        <v>53</v>
      </c>
      <c r="L21" s="6" t="s">
        <v>805</v>
      </c>
      <c r="M21" s="3" t="s">
        <v>102</v>
      </c>
      <c r="N21" s="6" t="s">
        <v>140</v>
      </c>
      <c r="O21" s="6" t="s">
        <v>62</v>
      </c>
      <c r="P21" s="6" t="s">
        <v>298</v>
      </c>
      <c r="Q21" s="6" t="s">
        <v>298</v>
      </c>
      <c r="R21" s="6" t="s">
        <v>298</v>
      </c>
      <c r="S21" s="6" t="s">
        <v>1219</v>
      </c>
      <c r="T21" s="131">
        <v>2.605</v>
      </c>
      <c r="U21" s="6" t="s">
        <v>1590</v>
      </c>
      <c r="V21" s="134">
        <v>6.0699999999999997E-2</v>
      </c>
      <c r="W21" s="132">
        <v>5.7910000000000003E-2</v>
      </c>
      <c r="X21" s="3" t="s">
        <v>620</v>
      </c>
      <c r="Y21" s="3" t="s">
        <v>62</v>
      </c>
      <c r="Z21" s="131">
        <v>29000</v>
      </c>
      <c r="AA21" s="129">
        <v>1</v>
      </c>
      <c r="AB21" s="157">
        <v>101.2</v>
      </c>
      <c r="AD21" s="131">
        <v>29.347999999999999</v>
      </c>
      <c r="AG21" s="6" t="s">
        <v>17</v>
      </c>
      <c r="AH21" s="132">
        <v>3.2200000000000002E-4</v>
      </c>
      <c r="AI21" s="132">
        <v>1.90400540378339E-3</v>
      </c>
      <c r="AJ21" s="132">
        <v>4.3025209083097902E-4</v>
      </c>
    </row>
    <row r="22" spans="1:36" x14ac:dyDescent="0.2">
      <c r="A22" s="6">
        <v>13710</v>
      </c>
      <c r="B22" s="6">
        <v>13711</v>
      </c>
      <c r="C22" s="6" t="s">
        <v>1591</v>
      </c>
      <c r="D22" s="6" t="s">
        <v>1592</v>
      </c>
      <c r="E22" s="3" t="s">
        <v>1477</v>
      </c>
      <c r="F22" s="6" t="s">
        <v>1593</v>
      </c>
      <c r="G22" s="6" t="s">
        <v>1594</v>
      </c>
      <c r="H22" s="3" t="s">
        <v>76</v>
      </c>
      <c r="I22" s="6" t="s">
        <v>228</v>
      </c>
      <c r="J22" s="6" t="s">
        <v>53</v>
      </c>
      <c r="K22" s="6" t="s">
        <v>53</v>
      </c>
      <c r="L22" s="6" t="s">
        <v>805</v>
      </c>
      <c r="M22" s="3" t="s">
        <v>311</v>
      </c>
      <c r="N22" s="6" t="s">
        <v>140</v>
      </c>
      <c r="O22" s="6" t="s">
        <v>62</v>
      </c>
      <c r="P22" s="6" t="s">
        <v>298</v>
      </c>
      <c r="Q22" s="6" t="s">
        <v>298</v>
      </c>
      <c r="R22" s="6" t="s">
        <v>298</v>
      </c>
      <c r="S22" s="6" t="s">
        <v>1219</v>
      </c>
      <c r="T22" s="131">
        <v>0.81699999999999995</v>
      </c>
      <c r="U22" s="6" t="s">
        <v>1595</v>
      </c>
      <c r="V22" s="134">
        <v>8.2000000000000003E-2</v>
      </c>
      <c r="W22" s="132">
        <v>6.0940000000000001E-2</v>
      </c>
      <c r="X22" s="3" t="s">
        <v>620</v>
      </c>
      <c r="Y22" s="3" t="s">
        <v>62</v>
      </c>
      <c r="Z22" s="131">
        <v>37500</v>
      </c>
      <c r="AA22" s="129">
        <v>1</v>
      </c>
      <c r="AB22" s="157">
        <v>101.78</v>
      </c>
      <c r="AD22" s="131">
        <v>38.167000000000002</v>
      </c>
      <c r="AG22" s="6" t="s">
        <v>17</v>
      </c>
      <c r="AH22" s="132">
        <v>4.8500000000000003E-4</v>
      </c>
      <c r="AI22" s="132">
        <v>2.4761866651527302E-3</v>
      </c>
      <c r="AJ22" s="132">
        <v>5.5954908943680703E-4</v>
      </c>
    </row>
    <row r="23" spans="1:36" x14ac:dyDescent="0.2">
      <c r="A23" s="6">
        <v>13710</v>
      </c>
      <c r="B23" s="6">
        <v>13711</v>
      </c>
      <c r="C23" s="6" t="s">
        <v>1596</v>
      </c>
      <c r="D23" s="6" t="s">
        <v>1597</v>
      </c>
      <c r="E23" s="3" t="s">
        <v>1477</v>
      </c>
      <c r="F23" s="6" t="s">
        <v>1598</v>
      </c>
      <c r="G23" s="6" t="s">
        <v>1599</v>
      </c>
      <c r="H23" s="3" t="s">
        <v>76</v>
      </c>
      <c r="I23" s="6" t="s">
        <v>228</v>
      </c>
      <c r="J23" s="6" t="s">
        <v>53</v>
      </c>
      <c r="K23" s="6" t="s">
        <v>53</v>
      </c>
      <c r="L23" s="6" t="s">
        <v>805</v>
      </c>
      <c r="M23" s="6" t="s">
        <v>311</v>
      </c>
      <c r="N23" s="6" t="s">
        <v>692</v>
      </c>
      <c r="O23" s="6" t="s">
        <v>62</v>
      </c>
      <c r="P23" s="6" t="s">
        <v>1493</v>
      </c>
      <c r="Q23" s="6" t="s">
        <v>65</v>
      </c>
      <c r="R23" s="6" t="s">
        <v>57</v>
      </c>
      <c r="S23" s="6" t="s">
        <v>1219</v>
      </c>
      <c r="T23" s="131">
        <v>0.98499999999999999</v>
      </c>
      <c r="U23" s="6" t="s">
        <v>1595</v>
      </c>
      <c r="V23" s="134">
        <v>0.04</v>
      </c>
      <c r="W23" s="132">
        <v>4.9259999999999998E-2</v>
      </c>
      <c r="X23" s="3" t="s">
        <v>620</v>
      </c>
      <c r="Y23" s="3" t="s">
        <v>62</v>
      </c>
      <c r="Z23" s="131">
        <v>45000.45</v>
      </c>
      <c r="AA23" s="129">
        <v>1</v>
      </c>
      <c r="AB23" s="157">
        <v>99.19</v>
      </c>
      <c r="AD23" s="131">
        <v>44.636000000000003</v>
      </c>
      <c r="AG23" s="6" t="s">
        <v>17</v>
      </c>
      <c r="AH23" s="132">
        <v>6.8300000000000001E-4</v>
      </c>
      <c r="AI23" s="132">
        <v>2.8958390030975E-3</v>
      </c>
      <c r="AJ23" s="132">
        <v>6.5437880760045597E-4</v>
      </c>
    </row>
    <row r="24" spans="1:36" x14ac:dyDescent="0.2">
      <c r="A24" s="6">
        <v>13710</v>
      </c>
      <c r="B24" s="6">
        <v>13711</v>
      </c>
      <c r="C24" s="6" t="s">
        <v>1600</v>
      </c>
      <c r="D24" s="6" t="s">
        <v>1601</v>
      </c>
      <c r="E24" s="3" t="s">
        <v>767</v>
      </c>
      <c r="F24" s="6" t="s">
        <v>1602</v>
      </c>
      <c r="G24" s="6" t="s">
        <v>1603</v>
      </c>
      <c r="H24" s="6" t="s">
        <v>76</v>
      </c>
      <c r="I24" s="6" t="s">
        <v>228</v>
      </c>
      <c r="J24" s="6" t="s">
        <v>53</v>
      </c>
      <c r="K24" s="6" t="s">
        <v>317</v>
      </c>
      <c r="L24" s="6" t="s">
        <v>805</v>
      </c>
      <c r="M24" s="6" t="s">
        <v>102</v>
      </c>
      <c r="N24" s="6" t="s">
        <v>636</v>
      </c>
      <c r="O24" s="6" t="s">
        <v>62</v>
      </c>
      <c r="P24" s="6" t="s">
        <v>1604</v>
      </c>
      <c r="Q24" s="6" t="s">
        <v>70</v>
      </c>
      <c r="R24" s="6" t="s">
        <v>57</v>
      </c>
      <c r="S24" s="6" t="s">
        <v>1219</v>
      </c>
      <c r="T24" s="131">
        <v>2.2410000000000001</v>
      </c>
      <c r="U24" s="6" t="s">
        <v>1605</v>
      </c>
      <c r="V24" s="134">
        <v>7.9500000000000001E-2</v>
      </c>
      <c r="W24" s="132">
        <v>5.8229999999999997E-2</v>
      </c>
      <c r="X24" s="3" t="s">
        <v>620</v>
      </c>
      <c r="Y24" s="3" t="s">
        <v>62</v>
      </c>
      <c r="Z24" s="131">
        <v>3000</v>
      </c>
      <c r="AA24" s="129">
        <v>1</v>
      </c>
      <c r="AB24" s="157">
        <v>104.91</v>
      </c>
      <c r="AD24" s="131">
        <v>3.1469999999999998</v>
      </c>
      <c r="AG24" s="6" t="s">
        <v>17</v>
      </c>
      <c r="AH24" s="132">
        <v>1.7E-5</v>
      </c>
      <c r="AI24" s="132">
        <v>2.0418686817934599E-4</v>
      </c>
      <c r="AJ24" s="132">
        <v>4.6140534464779199E-5</v>
      </c>
    </row>
    <row r="25" spans="1:36" x14ac:dyDescent="0.2">
      <c r="A25" s="6">
        <v>13710</v>
      </c>
      <c r="B25" s="6">
        <v>13711</v>
      </c>
      <c r="C25" s="6" t="s">
        <v>1600</v>
      </c>
      <c r="D25" s="6" t="s">
        <v>1601</v>
      </c>
      <c r="E25" s="3" t="s">
        <v>767</v>
      </c>
      <c r="F25" s="6" t="s">
        <v>1606</v>
      </c>
      <c r="G25" s="6" t="s">
        <v>1607</v>
      </c>
      <c r="H25" s="6" t="s">
        <v>76</v>
      </c>
      <c r="I25" s="6" t="s">
        <v>228</v>
      </c>
      <c r="J25" s="6" t="s">
        <v>53</v>
      </c>
      <c r="K25" s="6" t="s">
        <v>317</v>
      </c>
      <c r="L25" s="6" t="s">
        <v>805</v>
      </c>
      <c r="M25" s="6" t="s">
        <v>102</v>
      </c>
      <c r="N25" s="6" t="s">
        <v>636</v>
      </c>
      <c r="O25" s="6" t="s">
        <v>62</v>
      </c>
      <c r="P25" s="6" t="s">
        <v>1604</v>
      </c>
      <c r="Q25" s="6" t="s">
        <v>70</v>
      </c>
      <c r="R25" s="6" t="s">
        <v>57</v>
      </c>
      <c r="S25" s="6" t="s">
        <v>1219</v>
      </c>
      <c r="T25" s="131">
        <v>2.4500000000000002</v>
      </c>
      <c r="U25" s="6" t="s">
        <v>1608</v>
      </c>
      <c r="V25" s="134">
        <v>0.06</v>
      </c>
      <c r="W25" s="132">
        <v>5.8319999999999997E-2</v>
      </c>
      <c r="X25" s="3" t="s">
        <v>620</v>
      </c>
      <c r="Y25" s="3" t="s">
        <v>62</v>
      </c>
      <c r="Z25" s="131">
        <v>40000</v>
      </c>
      <c r="AA25" s="129">
        <v>1</v>
      </c>
      <c r="AB25" s="157">
        <v>102.71</v>
      </c>
      <c r="AD25" s="131">
        <v>41.084000000000003</v>
      </c>
      <c r="AG25" s="6" t="s">
        <v>17</v>
      </c>
      <c r="AH25" s="132">
        <v>1.46E-4</v>
      </c>
      <c r="AI25" s="132">
        <v>2.6653999594192699E-3</v>
      </c>
      <c r="AJ25" s="132">
        <v>6.0230601402821201E-4</v>
      </c>
    </row>
    <row r="26" spans="1:36" x14ac:dyDescent="0.2">
      <c r="A26" s="6">
        <v>13710</v>
      </c>
      <c r="B26" s="6">
        <v>13711</v>
      </c>
      <c r="C26" s="6" t="s">
        <v>1609</v>
      </c>
      <c r="D26" s="6" t="s">
        <v>1610</v>
      </c>
      <c r="E26" s="3" t="s">
        <v>1477</v>
      </c>
      <c r="F26" s="6" t="s">
        <v>1611</v>
      </c>
      <c r="G26" s="6" t="s">
        <v>1612</v>
      </c>
      <c r="H26" s="6" t="s">
        <v>76</v>
      </c>
      <c r="I26" s="6" t="s">
        <v>228</v>
      </c>
      <c r="J26" s="6" t="s">
        <v>53</v>
      </c>
      <c r="K26" s="6" t="s">
        <v>53</v>
      </c>
      <c r="L26" s="6" t="s">
        <v>805</v>
      </c>
      <c r="M26" s="6" t="s">
        <v>311</v>
      </c>
      <c r="N26" s="6" t="s">
        <v>635</v>
      </c>
      <c r="O26" s="6" t="s">
        <v>62</v>
      </c>
      <c r="P26" s="6" t="s">
        <v>1533</v>
      </c>
      <c r="Q26" s="6" t="s">
        <v>65</v>
      </c>
      <c r="R26" s="6" t="s">
        <v>57</v>
      </c>
      <c r="S26" s="6" t="s">
        <v>1219</v>
      </c>
      <c r="T26" s="131">
        <v>0.51</v>
      </c>
      <c r="U26" s="6" t="s">
        <v>1613</v>
      </c>
      <c r="V26" s="134">
        <v>3.39E-2</v>
      </c>
      <c r="W26" s="132">
        <v>4.514E-2</v>
      </c>
      <c r="X26" s="3" t="s">
        <v>620</v>
      </c>
      <c r="Y26" s="3" t="s">
        <v>62</v>
      </c>
      <c r="Z26" s="131">
        <v>85500</v>
      </c>
      <c r="AA26" s="129">
        <v>1</v>
      </c>
      <c r="AB26" s="157">
        <v>101.09</v>
      </c>
      <c r="AD26" s="131">
        <v>86.432000000000002</v>
      </c>
      <c r="AG26" s="6" t="s">
        <v>17</v>
      </c>
      <c r="AH26" s="132">
        <v>5.2300000000000003E-4</v>
      </c>
      <c r="AI26" s="132">
        <v>5.6074315067308001E-3</v>
      </c>
      <c r="AJ26" s="132">
        <v>1.26712304763864E-3</v>
      </c>
    </row>
    <row r="27" spans="1:36" x14ac:dyDescent="0.2">
      <c r="A27" s="6">
        <v>13710</v>
      </c>
      <c r="B27" s="6">
        <v>13711</v>
      </c>
      <c r="C27" s="6" t="s">
        <v>1609</v>
      </c>
      <c r="D27" s="6" t="s">
        <v>1610</v>
      </c>
      <c r="E27" s="3" t="s">
        <v>1477</v>
      </c>
      <c r="F27" s="6" t="s">
        <v>1614</v>
      </c>
      <c r="G27" s="6" t="s">
        <v>1615</v>
      </c>
      <c r="H27" s="6" t="s">
        <v>76</v>
      </c>
      <c r="I27" s="6" t="s">
        <v>228</v>
      </c>
      <c r="J27" s="6" t="s">
        <v>53</v>
      </c>
      <c r="K27" s="6" t="s">
        <v>53</v>
      </c>
      <c r="L27" s="6" t="s">
        <v>805</v>
      </c>
      <c r="M27" s="6" t="s">
        <v>1227</v>
      </c>
      <c r="N27" s="6" t="s">
        <v>635</v>
      </c>
      <c r="O27" s="6" t="s">
        <v>62</v>
      </c>
      <c r="P27" s="6" t="s">
        <v>1533</v>
      </c>
      <c r="Q27" s="6" t="s">
        <v>65</v>
      </c>
      <c r="R27" s="6" t="s">
        <v>57</v>
      </c>
      <c r="S27" s="6" t="s">
        <v>1219</v>
      </c>
      <c r="T27" s="131">
        <v>7.4320000000000004</v>
      </c>
      <c r="U27" s="6" t="s">
        <v>1616</v>
      </c>
      <c r="V27" s="134">
        <v>5.79E-2</v>
      </c>
      <c r="W27" s="132">
        <v>4.9489999999999999E-2</v>
      </c>
      <c r="X27" s="3" t="s">
        <v>620</v>
      </c>
      <c r="Y27" s="3" t="s">
        <v>62</v>
      </c>
      <c r="Z27" s="131">
        <v>37000</v>
      </c>
      <c r="AA27" s="129">
        <v>1</v>
      </c>
      <c r="AB27" s="157">
        <v>109</v>
      </c>
      <c r="AD27" s="131">
        <v>40.33</v>
      </c>
      <c r="AG27" s="6" t="s">
        <v>17</v>
      </c>
      <c r="AH27" s="132">
        <v>4.1E-5</v>
      </c>
      <c r="AI27" s="132">
        <v>2.61648282453946E-3</v>
      </c>
      <c r="AJ27" s="132">
        <v>5.9125210655627E-4</v>
      </c>
    </row>
    <row r="28" spans="1:36" x14ac:dyDescent="0.2">
      <c r="A28" s="6">
        <v>13710</v>
      </c>
      <c r="B28" s="6">
        <v>13711</v>
      </c>
      <c r="C28" s="6" t="s">
        <v>1617</v>
      </c>
      <c r="D28" s="6" t="s">
        <v>1618</v>
      </c>
      <c r="E28" s="3" t="s">
        <v>1477</v>
      </c>
      <c r="F28" s="6" t="s">
        <v>1619</v>
      </c>
      <c r="G28" s="6" t="s">
        <v>1620</v>
      </c>
      <c r="H28" s="6" t="s">
        <v>76</v>
      </c>
      <c r="I28" s="6" t="s">
        <v>228</v>
      </c>
      <c r="J28" s="6" t="s">
        <v>53</v>
      </c>
      <c r="K28" s="6" t="s">
        <v>314</v>
      </c>
      <c r="L28" s="6" t="s">
        <v>805</v>
      </c>
      <c r="M28" s="6" t="s">
        <v>311</v>
      </c>
      <c r="N28" s="6" t="s">
        <v>631</v>
      </c>
      <c r="O28" s="6" t="s">
        <v>62</v>
      </c>
      <c r="P28" s="6" t="s">
        <v>1527</v>
      </c>
      <c r="Q28" s="6" t="s">
        <v>70</v>
      </c>
      <c r="R28" s="6" t="s">
        <v>57</v>
      </c>
      <c r="S28" s="6" t="s">
        <v>1219</v>
      </c>
      <c r="T28" s="131">
        <v>1.01</v>
      </c>
      <c r="U28" s="6" t="s">
        <v>1621</v>
      </c>
      <c r="V28" s="134">
        <v>3.4500000000000003E-2</v>
      </c>
      <c r="W28" s="132">
        <v>4.7660000000000001E-2</v>
      </c>
      <c r="X28" s="3" t="s">
        <v>620</v>
      </c>
      <c r="Y28" s="3" t="s">
        <v>62</v>
      </c>
      <c r="Z28" s="131">
        <v>278000.65000000002</v>
      </c>
      <c r="AA28" s="129">
        <v>1</v>
      </c>
      <c r="AB28" s="157">
        <v>99.89</v>
      </c>
      <c r="AD28" s="131">
        <v>277.69499999999999</v>
      </c>
      <c r="AG28" s="6" t="s">
        <v>17</v>
      </c>
      <c r="AH28" s="132">
        <v>4.3300000000000001E-4</v>
      </c>
      <c r="AI28" s="132">
        <v>1.8015963392444202E-2</v>
      </c>
      <c r="AJ28" s="132">
        <v>4.0711049992457702E-3</v>
      </c>
    </row>
    <row r="29" spans="1:36" x14ac:dyDescent="0.2">
      <c r="A29" s="6">
        <v>13710</v>
      </c>
      <c r="B29" s="6">
        <v>13711</v>
      </c>
      <c r="C29" s="6" t="s">
        <v>1617</v>
      </c>
      <c r="D29" s="6" t="s">
        <v>1618</v>
      </c>
      <c r="E29" s="3" t="s">
        <v>1477</v>
      </c>
      <c r="F29" s="6" t="s">
        <v>1622</v>
      </c>
      <c r="G29" s="6" t="s">
        <v>1623</v>
      </c>
      <c r="H29" s="6" t="s">
        <v>76</v>
      </c>
      <c r="I29" s="6" t="s">
        <v>607</v>
      </c>
      <c r="J29" s="6" t="s">
        <v>53</v>
      </c>
      <c r="K29" s="6" t="s">
        <v>314</v>
      </c>
      <c r="L29" s="6" t="s">
        <v>805</v>
      </c>
      <c r="M29" s="6" t="s">
        <v>311</v>
      </c>
      <c r="N29" s="6" t="s">
        <v>631</v>
      </c>
      <c r="O29" s="6" t="s">
        <v>62</v>
      </c>
      <c r="P29" s="6" t="s">
        <v>1527</v>
      </c>
      <c r="Q29" s="6" t="s">
        <v>70</v>
      </c>
      <c r="R29" s="6" t="s">
        <v>57</v>
      </c>
      <c r="S29" s="6" t="s">
        <v>1219</v>
      </c>
      <c r="T29" s="131">
        <v>3.1269999999999998</v>
      </c>
      <c r="U29" s="6" t="s">
        <v>1504</v>
      </c>
      <c r="V29" s="134">
        <v>7.4999999999999997E-3</v>
      </c>
      <c r="W29" s="132">
        <v>5.1119999999999999E-2</v>
      </c>
      <c r="X29" s="3" t="s">
        <v>620</v>
      </c>
      <c r="Y29" s="3" t="s">
        <v>62</v>
      </c>
      <c r="Z29" s="131">
        <v>30000</v>
      </c>
      <c r="AA29" s="129">
        <v>1</v>
      </c>
      <c r="AB29" s="157">
        <v>87.8</v>
      </c>
      <c r="AD29" s="131">
        <v>26.34</v>
      </c>
      <c r="AG29" s="6" t="s">
        <v>17</v>
      </c>
      <c r="AH29" s="132">
        <v>5.5999999999999999E-5</v>
      </c>
      <c r="AI29" s="132">
        <v>1.7088558789578299E-3</v>
      </c>
      <c r="AJ29" s="132">
        <v>3.86153743781109E-4</v>
      </c>
    </row>
    <row r="30" spans="1:36" x14ac:dyDescent="0.2">
      <c r="A30" s="6">
        <v>13710</v>
      </c>
      <c r="B30" s="6">
        <v>13711</v>
      </c>
      <c r="C30" s="6" t="s">
        <v>1624</v>
      </c>
      <c r="D30" s="6" t="s">
        <v>1625</v>
      </c>
      <c r="E30" s="3" t="s">
        <v>767</v>
      </c>
      <c r="F30" s="6" t="s">
        <v>1626</v>
      </c>
      <c r="G30" s="6" t="s">
        <v>1627</v>
      </c>
      <c r="H30" s="6" t="s">
        <v>76</v>
      </c>
      <c r="I30" s="6" t="s">
        <v>228</v>
      </c>
      <c r="J30" s="6" t="s">
        <v>53</v>
      </c>
      <c r="K30" s="6" t="s">
        <v>314</v>
      </c>
      <c r="L30" s="6" t="s">
        <v>805</v>
      </c>
      <c r="M30" s="6" t="s">
        <v>1227</v>
      </c>
      <c r="N30" s="6" t="s">
        <v>636</v>
      </c>
      <c r="O30" s="6" t="s">
        <v>62</v>
      </c>
      <c r="P30" s="6" t="s">
        <v>1628</v>
      </c>
      <c r="Q30" s="6" t="s">
        <v>65</v>
      </c>
      <c r="R30" s="6" t="s">
        <v>57</v>
      </c>
      <c r="S30" s="6" t="s">
        <v>1219</v>
      </c>
      <c r="T30" s="131">
        <v>0.98399999999999999</v>
      </c>
      <c r="U30" s="6" t="s">
        <v>1629</v>
      </c>
      <c r="V30" s="134">
        <v>7.2499999999999995E-2</v>
      </c>
      <c r="W30" s="132">
        <v>6.1409999999999999E-2</v>
      </c>
      <c r="X30" s="3" t="s">
        <v>620</v>
      </c>
      <c r="Y30" s="3" t="s">
        <v>62</v>
      </c>
      <c r="Z30" s="131">
        <v>32000</v>
      </c>
      <c r="AA30" s="129">
        <v>1</v>
      </c>
      <c r="AB30" s="157">
        <v>104.55</v>
      </c>
      <c r="AD30" s="131">
        <v>33.456000000000003</v>
      </c>
      <c r="AG30" s="6" t="s">
        <v>17</v>
      </c>
      <c r="AH30" s="132">
        <v>2.22E-4</v>
      </c>
      <c r="AI30" s="132">
        <v>2.1705194489906299E-3</v>
      </c>
      <c r="AJ30" s="132">
        <v>4.9047682809190603E-4</v>
      </c>
    </row>
    <row r="31" spans="1:36" x14ac:dyDescent="0.2">
      <c r="A31" s="6">
        <v>13710</v>
      </c>
      <c r="B31" s="6">
        <v>13711</v>
      </c>
      <c r="C31" s="6" t="s">
        <v>1630</v>
      </c>
      <c r="D31" s="6" t="s">
        <v>1631</v>
      </c>
      <c r="E31" s="3" t="s">
        <v>1477</v>
      </c>
      <c r="F31" s="6" t="s">
        <v>1632</v>
      </c>
      <c r="G31" s="6" t="s">
        <v>1633</v>
      </c>
      <c r="H31" s="6" t="s">
        <v>76</v>
      </c>
      <c r="I31" s="6" t="s">
        <v>607</v>
      </c>
      <c r="J31" s="6" t="s">
        <v>53</v>
      </c>
      <c r="K31" s="6" t="s">
        <v>53</v>
      </c>
      <c r="L31" s="6" t="s">
        <v>805</v>
      </c>
      <c r="M31" s="6" t="s">
        <v>311</v>
      </c>
      <c r="N31" s="6" t="s">
        <v>631</v>
      </c>
      <c r="O31" s="6" t="s">
        <v>62</v>
      </c>
      <c r="P31" s="6" t="s">
        <v>1628</v>
      </c>
      <c r="Q31" s="6" t="s">
        <v>65</v>
      </c>
      <c r="R31" s="6" t="s">
        <v>57</v>
      </c>
      <c r="S31" s="6" t="s">
        <v>1219</v>
      </c>
      <c r="T31" s="131">
        <v>2.0760000000000001</v>
      </c>
      <c r="U31" s="6" t="s">
        <v>1634</v>
      </c>
      <c r="V31" s="134">
        <v>1.25E-3</v>
      </c>
      <c r="W31" s="132">
        <v>4.8520000000000001E-2</v>
      </c>
      <c r="X31" s="3" t="s">
        <v>620</v>
      </c>
      <c r="Y31" s="3" t="s">
        <v>62</v>
      </c>
      <c r="Z31" s="131">
        <v>6000</v>
      </c>
      <c r="AA31" s="129">
        <v>1</v>
      </c>
      <c r="AB31" s="157">
        <v>91.2</v>
      </c>
      <c r="AD31" s="131">
        <v>5.4720000000000004</v>
      </c>
      <c r="AG31" s="6" t="s">
        <v>17</v>
      </c>
      <c r="AH31" s="132">
        <v>1.1E-5</v>
      </c>
      <c r="AI31" s="132">
        <v>3.55006050480533E-4</v>
      </c>
      <c r="AJ31" s="132">
        <v>8.0221461122635901E-5</v>
      </c>
    </row>
    <row r="32" spans="1:36" x14ac:dyDescent="0.2">
      <c r="A32" s="6">
        <v>13710</v>
      </c>
      <c r="B32" s="6">
        <v>13711</v>
      </c>
      <c r="C32" s="6" t="s">
        <v>1635</v>
      </c>
      <c r="D32" s="6" t="s">
        <v>1636</v>
      </c>
      <c r="E32" s="3" t="s">
        <v>1477</v>
      </c>
      <c r="F32" s="6" t="s">
        <v>1637</v>
      </c>
      <c r="G32" s="6" t="s">
        <v>1638</v>
      </c>
      <c r="H32" s="6" t="s">
        <v>76</v>
      </c>
      <c r="I32" s="6" t="s">
        <v>228</v>
      </c>
      <c r="J32" s="6" t="s">
        <v>53</v>
      </c>
      <c r="K32" s="6" t="s">
        <v>53</v>
      </c>
      <c r="L32" s="6" t="s">
        <v>805</v>
      </c>
      <c r="M32" s="6" t="s">
        <v>311</v>
      </c>
      <c r="N32" s="6" t="s">
        <v>636</v>
      </c>
      <c r="O32" s="6" t="s">
        <v>62</v>
      </c>
      <c r="P32" s="6" t="s">
        <v>1493</v>
      </c>
      <c r="Q32" s="6" t="s">
        <v>65</v>
      </c>
      <c r="R32" s="6" t="s">
        <v>57</v>
      </c>
      <c r="S32" s="6" t="s">
        <v>1219</v>
      </c>
      <c r="T32" s="131">
        <v>2</v>
      </c>
      <c r="U32" s="6" t="s">
        <v>1639</v>
      </c>
      <c r="V32" s="134">
        <v>2.3E-2</v>
      </c>
      <c r="W32" s="132">
        <v>4.8910000000000002E-2</v>
      </c>
      <c r="X32" s="3" t="s">
        <v>620</v>
      </c>
      <c r="Y32" s="3" t="s">
        <v>62</v>
      </c>
      <c r="Z32" s="131">
        <v>175000.8</v>
      </c>
      <c r="AA32" s="129">
        <v>1</v>
      </c>
      <c r="AB32" s="157">
        <v>95.78</v>
      </c>
      <c r="AD32" s="131">
        <v>167.61600000000001</v>
      </c>
      <c r="AG32" s="6" t="s">
        <v>17</v>
      </c>
      <c r="AH32" s="132">
        <v>2.43E-4</v>
      </c>
      <c r="AI32" s="132">
        <v>1.08743806964786E-2</v>
      </c>
      <c r="AJ32" s="132">
        <v>2.4573065926467501E-3</v>
      </c>
    </row>
    <row r="33" spans="1:36" x14ac:dyDescent="0.2">
      <c r="A33" s="6">
        <v>13710</v>
      </c>
      <c r="B33" s="6">
        <v>13711</v>
      </c>
      <c r="C33" s="6" t="s">
        <v>1640</v>
      </c>
      <c r="D33" s="6" t="s">
        <v>1641</v>
      </c>
      <c r="E33" s="3" t="s">
        <v>1477</v>
      </c>
      <c r="F33" s="6" t="s">
        <v>1642</v>
      </c>
      <c r="G33" s="6" t="s">
        <v>1643</v>
      </c>
      <c r="H33" s="6" t="s">
        <v>76</v>
      </c>
      <c r="I33" s="6" t="s">
        <v>228</v>
      </c>
      <c r="J33" s="6" t="s">
        <v>53</v>
      </c>
      <c r="K33" s="6" t="s">
        <v>53</v>
      </c>
      <c r="L33" s="6" t="s">
        <v>805</v>
      </c>
      <c r="M33" s="6" t="s">
        <v>311</v>
      </c>
      <c r="N33" s="6" t="s">
        <v>140</v>
      </c>
      <c r="O33" s="6" t="s">
        <v>62</v>
      </c>
      <c r="P33" s="6" t="s">
        <v>298</v>
      </c>
      <c r="Q33" s="6" t="s">
        <v>298</v>
      </c>
      <c r="R33" s="6" t="s">
        <v>298</v>
      </c>
      <c r="S33" s="6" t="s">
        <v>1219</v>
      </c>
      <c r="T33" s="131">
        <v>1.4359999999999999</v>
      </c>
      <c r="U33" s="6" t="s">
        <v>1644</v>
      </c>
      <c r="V33" s="134">
        <v>8.5000000000000006E-2</v>
      </c>
      <c r="W33" s="132">
        <v>5.4870000000000002E-2</v>
      </c>
      <c r="X33" s="3" t="s">
        <v>620</v>
      </c>
      <c r="Y33" s="3" t="s">
        <v>62</v>
      </c>
      <c r="Z33" s="131">
        <v>30000</v>
      </c>
      <c r="AA33" s="129">
        <v>1</v>
      </c>
      <c r="AB33" s="157">
        <v>104.4</v>
      </c>
      <c r="AD33" s="131">
        <v>31.32</v>
      </c>
      <c r="AG33" s="6" t="s">
        <v>17</v>
      </c>
      <c r="AH33" s="132">
        <v>2.31E-4</v>
      </c>
      <c r="AI33" s="132">
        <v>2.03194252577674E-3</v>
      </c>
      <c r="AJ33" s="132">
        <v>4.5916231037298197E-4</v>
      </c>
    </row>
    <row r="34" spans="1:36" x14ac:dyDescent="0.2">
      <c r="A34" s="6">
        <v>13710</v>
      </c>
      <c r="B34" s="6">
        <v>13711</v>
      </c>
      <c r="C34" s="6" t="s">
        <v>1640</v>
      </c>
      <c r="D34" s="6" t="s">
        <v>1641</v>
      </c>
      <c r="E34" s="3" t="s">
        <v>1477</v>
      </c>
      <c r="F34" s="6" t="s">
        <v>1645</v>
      </c>
      <c r="G34" s="6" t="s">
        <v>1646</v>
      </c>
      <c r="H34" s="6" t="s">
        <v>76</v>
      </c>
      <c r="I34" s="6" t="s">
        <v>228</v>
      </c>
      <c r="J34" s="6" t="s">
        <v>53</v>
      </c>
      <c r="K34" s="6" t="s">
        <v>53</v>
      </c>
      <c r="L34" s="6" t="s">
        <v>805</v>
      </c>
      <c r="M34" s="6" t="s">
        <v>102</v>
      </c>
      <c r="N34" s="6" t="s">
        <v>140</v>
      </c>
      <c r="O34" s="6" t="s">
        <v>62</v>
      </c>
      <c r="P34" s="6" t="s">
        <v>298</v>
      </c>
      <c r="Q34" s="6" t="s">
        <v>298</v>
      </c>
      <c r="R34" s="6" t="s">
        <v>298</v>
      </c>
      <c r="S34" s="6" t="s">
        <v>1219</v>
      </c>
      <c r="T34" s="131">
        <v>2.8119999999999998</v>
      </c>
      <c r="U34" s="6" t="s">
        <v>1590</v>
      </c>
      <c r="V34" s="134">
        <v>7.17E-2</v>
      </c>
      <c r="W34" s="132">
        <v>5.9709999999999999E-2</v>
      </c>
      <c r="X34" s="3" t="s">
        <v>620</v>
      </c>
      <c r="Y34" s="3" t="s">
        <v>62</v>
      </c>
      <c r="Z34" s="131">
        <v>12000</v>
      </c>
      <c r="AA34" s="129">
        <v>1</v>
      </c>
      <c r="AB34" s="157">
        <v>103.57</v>
      </c>
      <c r="AD34" s="131">
        <v>12.428000000000001</v>
      </c>
      <c r="AG34" s="6" t="s">
        <v>17</v>
      </c>
      <c r="AH34" s="132">
        <v>8.3999999999999995E-5</v>
      </c>
      <c r="AI34" s="132">
        <v>8.0631527737431595E-4</v>
      </c>
      <c r="AJ34" s="132">
        <v>1.82204752817355E-4</v>
      </c>
    </row>
    <row r="35" spans="1:36" x14ac:dyDescent="0.2">
      <c r="A35" s="6">
        <v>13710</v>
      </c>
      <c r="B35" s="6">
        <v>13711</v>
      </c>
      <c r="C35" s="6" t="s">
        <v>1640</v>
      </c>
      <c r="D35" s="6" t="s">
        <v>1641</v>
      </c>
      <c r="E35" s="3" t="s">
        <v>1477</v>
      </c>
      <c r="F35" s="6" t="s">
        <v>1647</v>
      </c>
      <c r="G35" s="6" t="s">
        <v>1648</v>
      </c>
      <c r="H35" s="6" t="s">
        <v>76</v>
      </c>
      <c r="I35" s="6" t="s">
        <v>228</v>
      </c>
      <c r="J35" s="6" t="s">
        <v>53</v>
      </c>
      <c r="K35" s="6" t="s">
        <v>53</v>
      </c>
      <c r="L35" s="6" t="s">
        <v>805</v>
      </c>
      <c r="M35" s="6" t="s">
        <v>102</v>
      </c>
      <c r="N35" s="6" t="s">
        <v>140</v>
      </c>
      <c r="O35" s="6" t="s">
        <v>62</v>
      </c>
      <c r="P35" s="6" t="s">
        <v>298</v>
      </c>
      <c r="Q35" s="6" t="s">
        <v>298</v>
      </c>
      <c r="R35" s="6" t="s">
        <v>298</v>
      </c>
      <c r="S35" s="6" t="s">
        <v>1219</v>
      </c>
      <c r="T35" s="131">
        <v>3.2839999999999998</v>
      </c>
      <c r="U35" s="6" t="s">
        <v>1649</v>
      </c>
      <c r="V35" s="134">
        <v>6.6900000000000001E-2</v>
      </c>
      <c r="W35" s="132">
        <v>6.5750000000000003E-2</v>
      </c>
      <c r="X35" s="3" t="s">
        <v>620</v>
      </c>
      <c r="Y35" s="3" t="s">
        <v>62</v>
      </c>
      <c r="Z35" s="131">
        <v>8000</v>
      </c>
      <c r="AA35" s="129">
        <v>1</v>
      </c>
      <c r="AB35" s="157">
        <v>100.7</v>
      </c>
      <c r="AD35" s="131">
        <v>8.0559999999999992</v>
      </c>
      <c r="AG35" s="6" t="s">
        <v>17</v>
      </c>
      <c r="AH35" s="132">
        <v>2.6999999999999999E-5</v>
      </c>
      <c r="AI35" s="132">
        <v>5.2264779654078504E-4</v>
      </c>
      <c r="AJ35" s="132">
        <v>1.18103817763881E-4</v>
      </c>
    </row>
    <row r="36" spans="1:36" x14ac:dyDescent="0.2">
      <c r="A36" s="6">
        <v>13710</v>
      </c>
      <c r="B36" s="6">
        <v>13711</v>
      </c>
      <c r="C36" s="6" t="s">
        <v>1650</v>
      </c>
      <c r="D36" s="6" t="s">
        <v>1651</v>
      </c>
      <c r="E36" s="3" t="s">
        <v>1477</v>
      </c>
      <c r="F36" s="6" t="s">
        <v>1652</v>
      </c>
      <c r="G36" s="6" t="s">
        <v>1653</v>
      </c>
      <c r="H36" s="6" t="s">
        <v>76</v>
      </c>
      <c r="I36" s="6" t="s">
        <v>228</v>
      </c>
      <c r="J36" s="6" t="s">
        <v>53</v>
      </c>
      <c r="K36" s="6" t="s">
        <v>53</v>
      </c>
      <c r="L36" s="6" t="s">
        <v>805</v>
      </c>
      <c r="M36" s="6" t="s">
        <v>311</v>
      </c>
      <c r="N36" s="6" t="s">
        <v>692</v>
      </c>
      <c r="O36" s="6" t="s">
        <v>62</v>
      </c>
      <c r="P36" s="6" t="s">
        <v>1533</v>
      </c>
      <c r="Q36" s="6" t="s">
        <v>65</v>
      </c>
      <c r="R36" s="6" t="s">
        <v>57</v>
      </c>
      <c r="S36" s="6" t="s">
        <v>1219</v>
      </c>
      <c r="T36" s="131">
        <v>2.1859999999999999</v>
      </c>
      <c r="U36" s="6" t="s">
        <v>1654</v>
      </c>
      <c r="V36" s="134">
        <v>1.6400000000000001E-2</v>
      </c>
      <c r="W36" s="132">
        <v>4.7849999999999997E-2</v>
      </c>
      <c r="X36" s="3" t="s">
        <v>620</v>
      </c>
      <c r="Y36" s="3" t="s">
        <v>62</v>
      </c>
      <c r="Z36" s="131">
        <v>50000</v>
      </c>
      <c r="AA36" s="129">
        <v>1</v>
      </c>
      <c r="AB36" s="157">
        <v>93.91</v>
      </c>
      <c r="AD36" s="131">
        <v>46.954999999999998</v>
      </c>
      <c r="AG36" s="6" t="s">
        <v>17</v>
      </c>
      <c r="AH36" s="132">
        <v>1.6000000000000001E-4</v>
      </c>
      <c r="AI36" s="132">
        <v>3.0462918677473401E-3</v>
      </c>
      <c r="AJ36" s="132">
        <v>6.8837695669103996E-4</v>
      </c>
    </row>
    <row r="37" spans="1:36" x14ac:dyDescent="0.2">
      <c r="A37" s="6">
        <v>13710</v>
      </c>
      <c r="B37" s="6">
        <v>13711</v>
      </c>
      <c r="C37" s="6" t="s">
        <v>1655</v>
      </c>
      <c r="D37" s="6" t="s">
        <v>1656</v>
      </c>
      <c r="E37" s="3" t="s">
        <v>1477</v>
      </c>
      <c r="F37" s="6" t="s">
        <v>1657</v>
      </c>
      <c r="G37" s="6" t="s">
        <v>1658</v>
      </c>
      <c r="H37" s="6" t="s">
        <v>76</v>
      </c>
      <c r="I37" s="6" t="s">
        <v>607</v>
      </c>
      <c r="J37" s="6" t="s">
        <v>53</v>
      </c>
      <c r="K37" s="6" t="s">
        <v>53</v>
      </c>
      <c r="L37" s="6" t="s">
        <v>805</v>
      </c>
      <c r="M37" s="6" t="s">
        <v>311</v>
      </c>
      <c r="N37" s="6" t="s">
        <v>631</v>
      </c>
      <c r="O37" s="6" t="s">
        <v>62</v>
      </c>
      <c r="P37" s="6" t="s">
        <v>298</v>
      </c>
      <c r="Q37" s="6" t="s">
        <v>298</v>
      </c>
      <c r="R37" s="6" t="s">
        <v>298</v>
      </c>
      <c r="S37" s="6" t="s">
        <v>1219</v>
      </c>
      <c r="T37" s="131">
        <v>0.98799999999999999</v>
      </c>
      <c r="U37" s="6" t="s">
        <v>1595</v>
      </c>
      <c r="V37" s="134">
        <v>2.5000000000000001E-2</v>
      </c>
      <c r="W37" s="132">
        <v>1.7059999999999999E-2</v>
      </c>
      <c r="X37" s="3" t="s">
        <v>620</v>
      </c>
      <c r="Y37" s="3" t="s">
        <v>62</v>
      </c>
      <c r="Z37" s="131">
        <v>171000</v>
      </c>
      <c r="AA37" s="129">
        <v>1</v>
      </c>
      <c r="AB37" s="157">
        <v>100.8</v>
      </c>
      <c r="AD37" s="131">
        <v>172.36799999999999</v>
      </c>
      <c r="AG37" s="6" t="s">
        <v>17</v>
      </c>
      <c r="AH37" s="132">
        <v>5.1099999999999995E-4</v>
      </c>
      <c r="AI37" s="132">
        <v>1.1182690590136799E-2</v>
      </c>
      <c r="AJ37" s="132">
        <v>2.52697602536303E-3</v>
      </c>
    </row>
    <row r="38" spans="1:36" x14ac:dyDescent="0.2">
      <c r="A38" s="6">
        <v>13710</v>
      </c>
      <c r="B38" s="6">
        <v>13711</v>
      </c>
      <c r="C38" s="6" t="s">
        <v>1659</v>
      </c>
      <c r="D38" s="6" t="s">
        <v>1660</v>
      </c>
      <c r="E38" s="3" t="s">
        <v>1477</v>
      </c>
      <c r="F38" s="6" t="s">
        <v>1661</v>
      </c>
      <c r="G38" s="6" t="s">
        <v>1662</v>
      </c>
      <c r="H38" s="6" t="s">
        <v>76</v>
      </c>
      <c r="I38" s="6" t="s">
        <v>229</v>
      </c>
      <c r="J38" s="6" t="s">
        <v>53</v>
      </c>
      <c r="K38" s="6" t="s">
        <v>53</v>
      </c>
      <c r="L38" s="6" t="s">
        <v>805</v>
      </c>
      <c r="M38" s="6" t="s">
        <v>311</v>
      </c>
      <c r="N38" s="6" t="s">
        <v>635</v>
      </c>
      <c r="O38" s="6" t="s">
        <v>62</v>
      </c>
      <c r="P38" s="6" t="s">
        <v>298</v>
      </c>
      <c r="Q38" s="6" t="s">
        <v>298</v>
      </c>
      <c r="R38" s="6" t="s">
        <v>298</v>
      </c>
      <c r="S38" s="6" t="s">
        <v>1219</v>
      </c>
      <c r="T38" s="131">
        <v>1.6719999999999999</v>
      </c>
      <c r="U38" s="6" t="s">
        <v>1663</v>
      </c>
      <c r="V38" s="134">
        <v>1.9E-2</v>
      </c>
      <c r="W38" s="132">
        <v>3.4250000000000003E-2</v>
      </c>
      <c r="X38" s="3" t="s">
        <v>620</v>
      </c>
      <c r="Y38" s="3" t="s">
        <v>62</v>
      </c>
      <c r="Z38" s="131">
        <v>33273.51</v>
      </c>
      <c r="AA38" s="129">
        <v>1</v>
      </c>
      <c r="AB38" s="157">
        <v>110.1</v>
      </c>
      <c r="AD38" s="131">
        <v>36.634</v>
      </c>
      <c r="AG38" s="6" t="s">
        <v>17</v>
      </c>
      <c r="AH38" s="132">
        <v>5.8999999999999998E-5</v>
      </c>
      <c r="AI38" s="132">
        <v>2.3767067626403E-3</v>
      </c>
      <c r="AJ38" s="132">
        <v>5.3706940741143601E-4</v>
      </c>
    </row>
    <row r="39" spans="1:36" x14ac:dyDescent="0.2">
      <c r="A39" s="6">
        <v>13710</v>
      </c>
      <c r="B39" s="6">
        <v>13711</v>
      </c>
      <c r="C39" s="6" t="s">
        <v>1664</v>
      </c>
      <c r="D39" s="6" t="s">
        <v>1665</v>
      </c>
      <c r="E39" s="3" t="s">
        <v>1477</v>
      </c>
      <c r="F39" s="6" t="s">
        <v>1666</v>
      </c>
      <c r="G39" s="6" t="s">
        <v>1667</v>
      </c>
      <c r="H39" s="6" t="s">
        <v>76</v>
      </c>
      <c r="I39" s="6" t="s">
        <v>229</v>
      </c>
      <c r="J39" s="6" t="s">
        <v>53</v>
      </c>
      <c r="K39" s="6" t="s">
        <v>53</v>
      </c>
      <c r="L39" s="6" t="s">
        <v>805</v>
      </c>
      <c r="M39" s="6" t="s">
        <v>311</v>
      </c>
      <c r="N39" s="6" t="s">
        <v>635</v>
      </c>
      <c r="O39" s="6" t="s">
        <v>62</v>
      </c>
      <c r="P39" s="6" t="s">
        <v>1493</v>
      </c>
      <c r="Q39" s="6" t="s">
        <v>65</v>
      </c>
      <c r="R39" s="6" t="s">
        <v>57</v>
      </c>
      <c r="S39" s="6" t="s">
        <v>1219</v>
      </c>
      <c r="T39" s="131">
        <v>2.956</v>
      </c>
      <c r="U39" s="6" t="s">
        <v>1668</v>
      </c>
      <c r="V39" s="134">
        <v>1.83E-2</v>
      </c>
      <c r="W39" s="132">
        <v>2.8729999999999999E-2</v>
      </c>
      <c r="X39" s="3" t="s">
        <v>620</v>
      </c>
      <c r="Y39" s="3" t="s">
        <v>62</v>
      </c>
      <c r="Z39" s="131">
        <v>57107.71</v>
      </c>
      <c r="AA39" s="129">
        <v>1</v>
      </c>
      <c r="AB39" s="157">
        <v>113.83</v>
      </c>
      <c r="AD39" s="131">
        <v>65.006</v>
      </c>
      <c r="AG39" s="6" t="s">
        <v>17</v>
      </c>
      <c r="AH39" s="132">
        <v>2.2699999999999999E-4</v>
      </c>
      <c r="AI39" s="132">
        <v>4.2173645924297298E-3</v>
      </c>
      <c r="AJ39" s="132">
        <v>9.5300671420566298E-4</v>
      </c>
    </row>
    <row r="40" spans="1:36" x14ac:dyDescent="0.2">
      <c r="A40" s="6">
        <v>13710</v>
      </c>
      <c r="B40" s="6">
        <v>13711</v>
      </c>
      <c r="C40" s="6" t="s">
        <v>1664</v>
      </c>
      <c r="D40" s="6" t="s">
        <v>1665</v>
      </c>
      <c r="E40" s="3" t="s">
        <v>1477</v>
      </c>
      <c r="F40" s="6" t="s">
        <v>1669</v>
      </c>
      <c r="G40" s="6" t="s">
        <v>1670</v>
      </c>
      <c r="H40" s="6" t="s">
        <v>76</v>
      </c>
      <c r="I40" s="6" t="s">
        <v>229</v>
      </c>
      <c r="J40" s="6" t="s">
        <v>53</v>
      </c>
      <c r="K40" s="6" t="s">
        <v>53</v>
      </c>
      <c r="L40" s="6" t="s">
        <v>805</v>
      </c>
      <c r="M40" s="6" t="s">
        <v>311</v>
      </c>
      <c r="N40" s="6" t="s">
        <v>635</v>
      </c>
      <c r="O40" s="6" t="s">
        <v>62</v>
      </c>
      <c r="P40" s="6" t="s">
        <v>1493</v>
      </c>
      <c r="Q40" s="6" t="s">
        <v>65</v>
      </c>
      <c r="R40" s="6" t="s">
        <v>57</v>
      </c>
      <c r="S40" s="6" t="s">
        <v>1219</v>
      </c>
      <c r="T40" s="131">
        <v>3.4209999999999998</v>
      </c>
      <c r="U40" s="6" t="s">
        <v>1549</v>
      </c>
      <c r="V40" s="134">
        <v>1.5299999999999999E-2</v>
      </c>
      <c r="W40" s="132">
        <v>2.7949999999999999E-2</v>
      </c>
      <c r="X40" s="3" t="s">
        <v>620</v>
      </c>
      <c r="Y40" s="3" t="s">
        <v>62</v>
      </c>
      <c r="Z40" s="131">
        <v>88355.37</v>
      </c>
      <c r="AA40" s="129">
        <v>1</v>
      </c>
      <c r="AB40" s="157">
        <v>112.31</v>
      </c>
      <c r="AC40" s="131">
        <v>3.915</v>
      </c>
      <c r="AD40" s="131">
        <v>103.14700000000001</v>
      </c>
      <c r="AG40" s="6" t="s">
        <v>17</v>
      </c>
      <c r="AH40" s="132">
        <v>1.7200000000000001E-4</v>
      </c>
      <c r="AI40" s="132">
        <v>6.69183070791319E-3</v>
      </c>
      <c r="AJ40" s="132">
        <v>1.51216700742839E-3</v>
      </c>
    </row>
    <row r="41" spans="1:36" x14ac:dyDescent="0.2">
      <c r="A41" s="6">
        <v>13710</v>
      </c>
      <c r="B41" s="6">
        <v>13711</v>
      </c>
      <c r="C41" s="6" t="s">
        <v>1671</v>
      </c>
      <c r="D41" s="6" t="s">
        <v>1672</v>
      </c>
      <c r="E41" s="3" t="s">
        <v>1477</v>
      </c>
      <c r="F41" s="6" t="s">
        <v>1673</v>
      </c>
      <c r="G41" s="6" t="s">
        <v>1674</v>
      </c>
      <c r="H41" s="6" t="s">
        <v>76</v>
      </c>
      <c r="I41" s="6" t="s">
        <v>229</v>
      </c>
      <c r="J41" s="6" t="s">
        <v>53</v>
      </c>
      <c r="K41" s="6" t="s">
        <v>53</v>
      </c>
      <c r="L41" s="6" t="s">
        <v>805</v>
      </c>
      <c r="M41" s="6" t="s">
        <v>311</v>
      </c>
      <c r="N41" s="6" t="s">
        <v>140</v>
      </c>
      <c r="O41" s="6" t="s">
        <v>62</v>
      </c>
      <c r="P41" s="6" t="s">
        <v>1628</v>
      </c>
      <c r="Q41" s="6" t="s">
        <v>65</v>
      </c>
      <c r="R41" s="6" t="s">
        <v>57</v>
      </c>
      <c r="S41" s="6" t="s">
        <v>1219</v>
      </c>
      <c r="T41" s="131">
        <v>0.35899999999999999</v>
      </c>
      <c r="U41" s="6" t="s">
        <v>1675</v>
      </c>
      <c r="V41" s="134">
        <v>2.4E-2</v>
      </c>
      <c r="W41" s="132">
        <v>2.7359999999999999E-2</v>
      </c>
      <c r="X41" s="3" t="s">
        <v>620</v>
      </c>
      <c r="Y41" s="3" t="s">
        <v>62</v>
      </c>
      <c r="Z41" s="131">
        <v>2502.5500000000002</v>
      </c>
      <c r="AA41" s="129">
        <v>1</v>
      </c>
      <c r="AB41" s="157">
        <v>117.52</v>
      </c>
      <c r="AD41" s="131">
        <v>2.9409999999999998</v>
      </c>
      <c r="AG41" s="6" t="s">
        <v>17</v>
      </c>
      <c r="AH41" s="132">
        <v>7.4999999999999993E-5</v>
      </c>
      <c r="AI41" s="132">
        <v>1.9080256656499401E-4</v>
      </c>
      <c r="AJ41" s="132">
        <v>4.3116055782920003E-5</v>
      </c>
    </row>
    <row r="42" spans="1:36" x14ac:dyDescent="0.2">
      <c r="A42" s="6">
        <v>13710</v>
      </c>
      <c r="B42" s="6">
        <v>13711</v>
      </c>
      <c r="C42" s="6" t="s">
        <v>1676</v>
      </c>
      <c r="D42" s="6" t="s">
        <v>1677</v>
      </c>
      <c r="E42" s="3" t="s">
        <v>1477</v>
      </c>
      <c r="F42" s="6" t="s">
        <v>1678</v>
      </c>
      <c r="G42" s="6" t="s">
        <v>1679</v>
      </c>
      <c r="H42" s="6" t="s">
        <v>76</v>
      </c>
      <c r="I42" s="6" t="s">
        <v>230</v>
      </c>
      <c r="J42" s="6" t="s">
        <v>53</v>
      </c>
      <c r="K42" s="6" t="s">
        <v>53</v>
      </c>
      <c r="L42" s="6" t="s">
        <v>805</v>
      </c>
      <c r="M42" s="6" t="s">
        <v>311</v>
      </c>
      <c r="N42" s="6" t="s">
        <v>156</v>
      </c>
      <c r="O42" s="6" t="s">
        <v>62</v>
      </c>
      <c r="P42" s="6" t="s">
        <v>1493</v>
      </c>
      <c r="Q42" s="6" t="s">
        <v>65</v>
      </c>
      <c r="R42" s="6" t="s">
        <v>57</v>
      </c>
      <c r="S42" s="6" t="s">
        <v>1219</v>
      </c>
      <c r="T42" s="131">
        <v>0.247</v>
      </c>
      <c r="U42" s="6" t="s">
        <v>1680</v>
      </c>
      <c r="V42" s="134">
        <v>4.7E-2</v>
      </c>
      <c r="W42" s="132">
        <v>7.2179999999999994E-2</v>
      </c>
      <c r="X42" s="3" t="s">
        <v>620</v>
      </c>
      <c r="Y42" s="3" t="s">
        <v>62</v>
      </c>
      <c r="Z42" s="131">
        <v>32500.33</v>
      </c>
      <c r="AA42" s="129">
        <v>1</v>
      </c>
      <c r="AB42" s="157">
        <v>93.14</v>
      </c>
      <c r="AD42" s="131">
        <v>30.271000000000001</v>
      </c>
      <c r="AG42" s="6" t="s">
        <v>17</v>
      </c>
      <c r="AH42" s="132">
        <v>1.3300000000000001E-4</v>
      </c>
      <c r="AI42" s="132">
        <v>1.9638742263232201E-3</v>
      </c>
      <c r="AJ42" s="132">
        <v>4.4378077411211302E-4</v>
      </c>
    </row>
    <row r="43" spans="1:36" x14ac:dyDescent="0.2">
      <c r="A43" s="6">
        <v>13710</v>
      </c>
      <c r="B43" s="6">
        <v>13711</v>
      </c>
      <c r="C43" s="6" t="s">
        <v>1681</v>
      </c>
      <c r="D43" s="6" t="s">
        <v>1682</v>
      </c>
      <c r="E43" s="3" t="s">
        <v>1477</v>
      </c>
      <c r="F43" s="6" t="s">
        <v>1683</v>
      </c>
      <c r="G43" s="6" t="s">
        <v>1684</v>
      </c>
      <c r="H43" s="6" t="s">
        <v>76</v>
      </c>
      <c r="I43" s="6" t="s">
        <v>229</v>
      </c>
      <c r="J43" s="6" t="s">
        <v>53</v>
      </c>
      <c r="K43" s="6" t="s">
        <v>53</v>
      </c>
      <c r="L43" s="6" t="s">
        <v>805</v>
      </c>
      <c r="M43" s="6" t="s">
        <v>311</v>
      </c>
      <c r="N43" s="6" t="s">
        <v>260</v>
      </c>
      <c r="O43" s="6" t="s">
        <v>62</v>
      </c>
      <c r="P43" s="6" t="s">
        <v>1533</v>
      </c>
      <c r="Q43" s="6" t="s">
        <v>65</v>
      </c>
      <c r="R43" s="6" t="s">
        <v>57</v>
      </c>
      <c r="S43" s="6" t="s">
        <v>1219</v>
      </c>
      <c r="T43" s="131">
        <v>0.41599999999999998</v>
      </c>
      <c r="U43" s="6" t="s">
        <v>1685</v>
      </c>
      <c r="V43" s="134">
        <v>2.1999999999999999E-2</v>
      </c>
      <c r="W43" s="132">
        <v>1.949E-2</v>
      </c>
      <c r="X43" s="3" t="s">
        <v>620</v>
      </c>
      <c r="Y43" s="3" t="s">
        <v>62</v>
      </c>
      <c r="Z43" s="131">
        <v>63725</v>
      </c>
      <c r="AA43" s="129">
        <v>1</v>
      </c>
      <c r="AB43" s="157">
        <v>117.6</v>
      </c>
      <c r="AD43" s="131">
        <v>74.941000000000003</v>
      </c>
      <c r="AG43" s="6" t="s">
        <v>17</v>
      </c>
      <c r="AH43" s="132">
        <v>2.41E-4</v>
      </c>
      <c r="AI43" s="132">
        <v>4.8619090691961698E-3</v>
      </c>
      <c r="AJ43" s="132">
        <v>1.0986557802278899E-3</v>
      </c>
    </row>
    <row r="44" spans="1:36" x14ac:dyDescent="0.2">
      <c r="A44" s="6">
        <v>13710</v>
      </c>
      <c r="B44" s="6">
        <v>13711</v>
      </c>
      <c r="C44" s="6" t="s">
        <v>1681</v>
      </c>
      <c r="D44" s="6" t="s">
        <v>1682</v>
      </c>
      <c r="E44" s="3" t="s">
        <v>1477</v>
      </c>
      <c r="F44" s="6" t="s">
        <v>1686</v>
      </c>
      <c r="G44" s="6" t="s">
        <v>1687</v>
      </c>
      <c r="H44" s="6" t="s">
        <v>76</v>
      </c>
      <c r="I44" s="6" t="s">
        <v>228</v>
      </c>
      <c r="J44" s="6" t="s">
        <v>53</v>
      </c>
      <c r="K44" s="6" t="s">
        <v>53</v>
      </c>
      <c r="L44" s="6" t="s">
        <v>805</v>
      </c>
      <c r="M44" s="6" t="s">
        <v>311</v>
      </c>
      <c r="N44" s="6" t="s">
        <v>260</v>
      </c>
      <c r="O44" s="6" t="s">
        <v>62</v>
      </c>
      <c r="P44" s="6" t="s">
        <v>1533</v>
      </c>
      <c r="Q44" s="6" t="s">
        <v>65</v>
      </c>
      <c r="R44" s="6" t="s">
        <v>57</v>
      </c>
      <c r="S44" s="6" t="s">
        <v>1219</v>
      </c>
      <c r="T44" s="131">
        <v>0.41599999999999998</v>
      </c>
      <c r="U44" s="6" t="s">
        <v>1685</v>
      </c>
      <c r="V44" s="134">
        <v>3.6499999999999998E-2</v>
      </c>
      <c r="W44" s="132">
        <v>4.514E-2</v>
      </c>
      <c r="X44" s="3" t="s">
        <v>620</v>
      </c>
      <c r="Y44" s="3" t="s">
        <v>62</v>
      </c>
      <c r="Z44" s="131">
        <v>150000</v>
      </c>
      <c r="AA44" s="129">
        <v>1</v>
      </c>
      <c r="AB44" s="157">
        <v>99.97</v>
      </c>
      <c r="AD44" s="131">
        <v>149.95500000000001</v>
      </c>
      <c r="AG44" s="6" t="s">
        <v>17</v>
      </c>
      <c r="AH44" s="132">
        <v>2.8200000000000002E-4</v>
      </c>
      <c r="AI44" s="132">
        <v>9.7286060489415894E-3</v>
      </c>
      <c r="AJ44" s="132">
        <v>2.1983934946353898E-3</v>
      </c>
    </row>
    <row r="45" spans="1:36" x14ac:dyDescent="0.2">
      <c r="A45" s="6">
        <v>13710</v>
      </c>
      <c r="B45" s="6">
        <v>13711</v>
      </c>
      <c r="C45" s="6" t="s">
        <v>1688</v>
      </c>
      <c r="D45" s="6" t="s">
        <v>1689</v>
      </c>
      <c r="E45" s="3" t="s">
        <v>1477</v>
      </c>
      <c r="F45" s="6" t="s">
        <v>1690</v>
      </c>
      <c r="G45" s="6" t="s">
        <v>1691</v>
      </c>
      <c r="H45" s="6" t="s">
        <v>76</v>
      </c>
      <c r="I45" s="6" t="s">
        <v>229</v>
      </c>
      <c r="J45" s="6" t="s">
        <v>53</v>
      </c>
      <c r="K45" s="6" t="s">
        <v>53</v>
      </c>
      <c r="L45" s="6" t="s">
        <v>805</v>
      </c>
      <c r="M45" s="6" t="s">
        <v>311</v>
      </c>
      <c r="N45" s="6" t="s">
        <v>635</v>
      </c>
      <c r="O45" s="6" t="s">
        <v>62</v>
      </c>
      <c r="P45" s="6" t="s">
        <v>1533</v>
      </c>
      <c r="Q45" s="6" t="s">
        <v>65</v>
      </c>
      <c r="R45" s="6" t="s">
        <v>57</v>
      </c>
      <c r="S45" s="6" t="s">
        <v>1219</v>
      </c>
      <c r="T45" s="131">
        <v>2.94</v>
      </c>
      <c r="U45" s="6" t="s">
        <v>1692</v>
      </c>
      <c r="V45" s="134">
        <v>7.7999999999999996E-3</v>
      </c>
      <c r="W45" s="132">
        <v>2.6079999999999999E-2</v>
      </c>
      <c r="X45" s="3" t="s">
        <v>620</v>
      </c>
      <c r="Y45" s="3" t="s">
        <v>62</v>
      </c>
      <c r="Z45" s="131">
        <v>56000</v>
      </c>
      <c r="AA45" s="129">
        <v>1</v>
      </c>
      <c r="AB45" s="157">
        <v>110.24</v>
      </c>
      <c r="AD45" s="131">
        <v>61.734000000000002</v>
      </c>
      <c r="AG45" s="6" t="s">
        <v>17</v>
      </c>
      <c r="AH45" s="132">
        <v>9.7E-5</v>
      </c>
      <c r="AI45" s="132">
        <v>4.0051325882283304E-3</v>
      </c>
      <c r="AJ45" s="132">
        <v>9.0504820349584299E-4</v>
      </c>
    </row>
    <row r="46" spans="1:36" x14ac:dyDescent="0.2">
      <c r="A46" s="6">
        <v>13710</v>
      </c>
      <c r="B46" s="6">
        <v>13711</v>
      </c>
      <c r="C46" s="6" t="s">
        <v>1688</v>
      </c>
      <c r="D46" s="6" t="s">
        <v>1689</v>
      </c>
      <c r="E46" s="3" t="s">
        <v>1477</v>
      </c>
      <c r="F46" s="6" t="s">
        <v>1693</v>
      </c>
      <c r="G46" s="6" t="s">
        <v>1694</v>
      </c>
      <c r="H46" s="6" t="s">
        <v>76</v>
      </c>
      <c r="I46" s="6" t="s">
        <v>229</v>
      </c>
      <c r="J46" s="6" t="s">
        <v>53</v>
      </c>
      <c r="K46" s="6" t="s">
        <v>53</v>
      </c>
      <c r="L46" s="6" t="s">
        <v>805</v>
      </c>
      <c r="M46" s="6" t="s">
        <v>311</v>
      </c>
      <c r="N46" s="6" t="s">
        <v>635</v>
      </c>
      <c r="O46" s="6" t="s">
        <v>62</v>
      </c>
      <c r="P46" s="6" t="s">
        <v>1533</v>
      </c>
      <c r="Q46" s="6" t="s">
        <v>65</v>
      </c>
      <c r="R46" s="6" t="s">
        <v>57</v>
      </c>
      <c r="S46" s="6" t="s">
        <v>1219</v>
      </c>
      <c r="T46" s="131">
        <v>0.77500000000000002</v>
      </c>
      <c r="U46" s="6" t="s">
        <v>1695</v>
      </c>
      <c r="V46" s="134">
        <v>1.34E-2</v>
      </c>
      <c r="W46" s="132">
        <v>3.2250000000000001E-2</v>
      </c>
      <c r="X46" s="3" t="s">
        <v>620</v>
      </c>
      <c r="Y46" s="3" t="s">
        <v>62</v>
      </c>
      <c r="Z46" s="131">
        <v>110113.42</v>
      </c>
      <c r="AA46" s="129">
        <v>1</v>
      </c>
      <c r="AB46" s="157">
        <v>116.88</v>
      </c>
      <c r="AD46" s="131">
        <v>128.70099999999999</v>
      </c>
      <c r="AG46" s="6" t="s">
        <v>17</v>
      </c>
      <c r="AH46" s="132">
        <v>2.4399999999999999E-4</v>
      </c>
      <c r="AI46" s="132">
        <v>8.3496855592735605E-3</v>
      </c>
      <c r="AJ46" s="132">
        <v>1.8867959421334699E-3</v>
      </c>
    </row>
    <row r="47" spans="1:36" x14ac:dyDescent="0.2">
      <c r="A47" s="6">
        <v>13710</v>
      </c>
      <c r="B47" s="6">
        <v>13711</v>
      </c>
      <c r="C47" s="6" t="s">
        <v>1688</v>
      </c>
      <c r="D47" s="6" t="s">
        <v>1689</v>
      </c>
      <c r="E47" s="3" t="s">
        <v>1477</v>
      </c>
      <c r="F47" s="6" t="s">
        <v>1696</v>
      </c>
      <c r="G47" s="6" t="s">
        <v>1697</v>
      </c>
      <c r="H47" s="6" t="s">
        <v>76</v>
      </c>
      <c r="I47" s="6" t="s">
        <v>229</v>
      </c>
      <c r="J47" s="6" t="s">
        <v>53</v>
      </c>
      <c r="K47" s="6" t="s">
        <v>53</v>
      </c>
      <c r="L47" s="6" t="s">
        <v>805</v>
      </c>
      <c r="M47" s="6" t="s">
        <v>311</v>
      </c>
      <c r="N47" s="6" t="s">
        <v>635</v>
      </c>
      <c r="O47" s="6" t="s">
        <v>62</v>
      </c>
      <c r="P47" s="6" t="s">
        <v>1533</v>
      </c>
      <c r="Q47" s="6" t="s">
        <v>65</v>
      </c>
      <c r="R47" s="6" t="s">
        <v>57</v>
      </c>
      <c r="S47" s="6" t="s">
        <v>1219</v>
      </c>
      <c r="T47" s="131">
        <v>4.7249999999999996</v>
      </c>
      <c r="U47" s="6" t="s">
        <v>1698</v>
      </c>
      <c r="V47" s="134">
        <v>2.5999999999999999E-2</v>
      </c>
      <c r="W47" s="132">
        <v>2.8320000000000001E-2</v>
      </c>
      <c r="X47" s="3" t="s">
        <v>620</v>
      </c>
      <c r="Y47" s="3" t="s">
        <v>62</v>
      </c>
      <c r="Z47" s="131">
        <v>102000</v>
      </c>
      <c r="AA47" s="129">
        <v>1</v>
      </c>
      <c r="AB47" s="157">
        <v>104</v>
      </c>
      <c r="AC47" s="131">
        <v>1.393</v>
      </c>
      <c r="AD47" s="131">
        <v>107.473</v>
      </c>
      <c r="AG47" s="6" t="s">
        <v>17</v>
      </c>
      <c r="AH47" s="132">
        <v>1.9000000000000001E-4</v>
      </c>
      <c r="AI47" s="132">
        <v>6.9725056767274002E-3</v>
      </c>
      <c r="AJ47" s="132">
        <v>1.5755917182702099E-3</v>
      </c>
    </row>
    <row r="48" spans="1:36" x14ac:dyDescent="0.2">
      <c r="A48" s="6">
        <v>13710</v>
      </c>
      <c r="B48" s="6">
        <v>13711</v>
      </c>
      <c r="C48" s="6" t="s">
        <v>1688</v>
      </c>
      <c r="D48" s="6" t="s">
        <v>1689</v>
      </c>
      <c r="E48" s="3" t="s">
        <v>1477</v>
      </c>
      <c r="F48" s="6" t="s">
        <v>1699</v>
      </c>
      <c r="G48" s="6" t="s">
        <v>1700</v>
      </c>
      <c r="H48" s="6" t="s">
        <v>76</v>
      </c>
      <c r="I48" s="6" t="s">
        <v>229</v>
      </c>
      <c r="J48" s="6" t="s">
        <v>53</v>
      </c>
      <c r="K48" s="6" t="s">
        <v>53</v>
      </c>
      <c r="L48" s="6" t="s">
        <v>805</v>
      </c>
      <c r="M48" s="6" t="s">
        <v>311</v>
      </c>
      <c r="N48" s="6" t="s">
        <v>635</v>
      </c>
      <c r="O48" s="6" t="s">
        <v>62</v>
      </c>
      <c r="P48" s="6" t="s">
        <v>1533</v>
      </c>
      <c r="Q48" s="6" t="s">
        <v>65</v>
      </c>
      <c r="R48" s="6" t="s">
        <v>57</v>
      </c>
      <c r="S48" s="6" t="s">
        <v>1219</v>
      </c>
      <c r="T48" s="131">
        <v>0.41399999999999998</v>
      </c>
      <c r="U48" s="6" t="s">
        <v>1273</v>
      </c>
      <c r="V48" s="134">
        <v>2E-3</v>
      </c>
      <c r="W48" s="132">
        <v>1.916E-2</v>
      </c>
      <c r="X48" s="3" t="s">
        <v>620</v>
      </c>
      <c r="Y48" s="3" t="s">
        <v>62</v>
      </c>
      <c r="Z48" s="131">
        <v>91269.69</v>
      </c>
      <c r="AA48" s="129">
        <v>1</v>
      </c>
      <c r="AB48" s="157">
        <v>115.09</v>
      </c>
      <c r="AD48" s="131">
        <v>105.042</v>
      </c>
      <c r="AG48" s="6" t="s">
        <v>17</v>
      </c>
      <c r="AH48" s="132">
        <v>3.0400000000000002E-4</v>
      </c>
      <c r="AI48" s="132">
        <v>6.8148112508704204E-3</v>
      </c>
      <c r="AJ48" s="132">
        <v>1.53995717841936E-3</v>
      </c>
    </row>
    <row r="49" spans="1:36" x14ac:dyDescent="0.2">
      <c r="A49" s="6">
        <v>13710</v>
      </c>
      <c r="B49" s="6">
        <v>13711</v>
      </c>
      <c r="C49" s="6" t="s">
        <v>1701</v>
      </c>
      <c r="D49" s="6" t="s">
        <v>1702</v>
      </c>
      <c r="E49" s="3" t="s">
        <v>1477</v>
      </c>
      <c r="F49" s="6" t="s">
        <v>1703</v>
      </c>
      <c r="G49" s="6" t="s">
        <v>1704</v>
      </c>
      <c r="H49" s="6" t="s">
        <v>76</v>
      </c>
      <c r="I49" s="6" t="s">
        <v>229</v>
      </c>
      <c r="J49" s="6" t="s">
        <v>53</v>
      </c>
      <c r="K49" s="6" t="s">
        <v>53</v>
      </c>
      <c r="L49" s="6" t="s">
        <v>805</v>
      </c>
      <c r="M49" s="6" t="s">
        <v>311</v>
      </c>
      <c r="N49" s="6" t="s">
        <v>256</v>
      </c>
      <c r="O49" s="6" t="s">
        <v>62</v>
      </c>
      <c r="P49" s="6" t="s">
        <v>1213</v>
      </c>
      <c r="Q49" s="6" t="s">
        <v>65</v>
      </c>
      <c r="R49" s="6" t="s">
        <v>57</v>
      </c>
      <c r="S49" s="6" t="s">
        <v>1219</v>
      </c>
      <c r="T49" s="131">
        <v>0.192</v>
      </c>
      <c r="U49" s="6" t="s">
        <v>1705</v>
      </c>
      <c r="V49" s="134">
        <v>1E-3</v>
      </c>
      <c r="W49" s="132">
        <v>2.2579999999999999E-2</v>
      </c>
      <c r="X49" s="3" t="s">
        <v>620</v>
      </c>
      <c r="Y49" s="3" t="s">
        <v>62</v>
      </c>
      <c r="Z49" s="131">
        <v>222000</v>
      </c>
      <c r="AA49" s="129">
        <v>1</v>
      </c>
      <c r="AB49" s="157">
        <v>115.96</v>
      </c>
      <c r="AD49" s="131">
        <v>257.43099999999998</v>
      </c>
      <c r="AG49" s="6" t="s">
        <v>17</v>
      </c>
      <c r="AH49" s="132">
        <v>1.4799999999999999E-4</v>
      </c>
      <c r="AI49" s="132">
        <v>1.67013219266199E-2</v>
      </c>
      <c r="AJ49" s="132">
        <v>3.7740327124549601E-3</v>
      </c>
    </row>
    <row r="50" spans="1:36" x14ac:dyDescent="0.2">
      <c r="A50" s="6">
        <v>13710</v>
      </c>
      <c r="B50" s="6">
        <v>13711</v>
      </c>
      <c r="C50" s="6" t="s">
        <v>1701</v>
      </c>
      <c r="D50" s="6" t="s">
        <v>1702</v>
      </c>
      <c r="E50" s="3" t="s">
        <v>1477</v>
      </c>
      <c r="F50" s="6" t="s">
        <v>1706</v>
      </c>
      <c r="G50" s="6" t="s">
        <v>1707</v>
      </c>
      <c r="H50" s="6" t="s">
        <v>76</v>
      </c>
      <c r="I50" s="6" t="s">
        <v>229</v>
      </c>
      <c r="J50" s="6" t="s">
        <v>53</v>
      </c>
      <c r="K50" s="6" t="s">
        <v>53</v>
      </c>
      <c r="L50" s="6" t="s">
        <v>805</v>
      </c>
      <c r="M50" s="6" t="s">
        <v>311</v>
      </c>
      <c r="N50" s="6" t="s">
        <v>256</v>
      </c>
      <c r="O50" s="6" t="s">
        <v>62</v>
      </c>
      <c r="P50" s="6" t="s">
        <v>1213</v>
      </c>
      <c r="Q50" s="6" t="s">
        <v>65</v>
      </c>
      <c r="R50" s="6" t="s">
        <v>57</v>
      </c>
      <c r="S50" s="6" t="s">
        <v>1219</v>
      </c>
      <c r="T50" s="131">
        <v>1.415</v>
      </c>
      <c r="U50" s="6" t="s">
        <v>1708</v>
      </c>
      <c r="V50" s="134">
        <v>1E-3</v>
      </c>
      <c r="W50" s="132">
        <v>2.563E-2</v>
      </c>
      <c r="X50" s="3" t="s">
        <v>620</v>
      </c>
      <c r="Y50" s="3" t="s">
        <v>62</v>
      </c>
      <c r="Z50" s="131">
        <v>85000</v>
      </c>
      <c r="AA50" s="129">
        <v>1</v>
      </c>
      <c r="AB50" s="157">
        <v>110.36</v>
      </c>
      <c r="AD50" s="131">
        <v>93.805999999999997</v>
      </c>
      <c r="AG50" s="6" t="s">
        <v>17</v>
      </c>
      <c r="AH50" s="132">
        <v>1.8200000000000001E-4</v>
      </c>
      <c r="AI50" s="132">
        <v>6.0858365444767699E-3</v>
      </c>
      <c r="AJ50" s="132">
        <v>1.3752292364894001E-3</v>
      </c>
    </row>
    <row r="51" spans="1:36" x14ac:dyDescent="0.2">
      <c r="A51" s="6">
        <v>13710</v>
      </c>
      <c r="B51" s="6">
        <v>13711</v>
      </c>
      <c r="C51" s="6" t="s">
        <v>1709</v>
      </c>
      <c r="D51" s="6" t="s">
        <v>1710</v>
      </c>
      <c r="E51" s="3" t="s">
        <v>1477</v>
      </c>
      <c r="F51" s="6" t="s">
        <v>1711</v>
      </c>
      <c r="G51" s="6" t="s">
        <v>1712</v>
      </c>
      <c r="H51" s="6" t="s">
        <v>76</v>
      </c>
      <c r="I51" s="6" t="s">
        <v>228</v>
      </c>
      <c r="J51" s="6" t="s">
        <v>53</v>
      </c>
      <c r="K51" s="6" t="s">
        <v>53</v>
      </c>
      <c r="L51" s="6" t="s">
        <v>805</v>
      </c>
      <c r="M51" s="6" t="s">
        <v>311</v>
      </c>
      <c r="N51" s="6" t="s">
        <v>263</v>
      </c>
      <c r="O51" s="6" t="s">
        <v>62</v>
      </c>
      <c r="P51" s="6" t="s">
        <v>298</v>
      </c>
      <c r="Q51" s="6" t="s">
        <v>298</v>
      </c>
      <c r="R51" s="6" t="s">
        <v>298</v>
      </c>
      <c r="S51" s="6" t="s">
        <v>1219</v>
      </c>
      <c r="T51" s="131">
        <v>3.1269999999999998</v>
      </c>
      <c r="U51" s="6" t="s">
        <v>1713</v>
      </c>
      <c r="V51" s="134">
        <v>7.5800000000000006E-2</v>
      </c>
      <c r="W51" s="132">
        <v>5.926E-2</v>
      </c>
      <c r="X51" s="3" t="s">
        <v>620</v>
      </c>
      <c r="Y51" s="3" t="s">
        <v>62</v>
      </c>
      <c r="Z51" s="131">
        <v>12000</v>
      </c>
      <c r="AA51" s="129">
        <v>1</v>
      </c>
      <c r="AB51" s="157">
        <v>105.4</v>
      </c>
      <c r="AD51" s="131">
        <v>12.648</v>
      </c>
      <c r="AG51" s="6" t="s">
        <v>17</v>
      </c>
      <c r="AH51" s="132">
        <v>2.31E-4</v>
      </c>
      <c r="AI51" s="132">
        <v>8.2056223071596895E-4</v>
      </c>
      <c r="AJ51" s="132">
        <v>1.8542416671767201E-4</v>
      </c>
    </row>
    <row r="52" spans="1:36" x14ac:dyDescent="0.2">
      <c r="A52" s="6">
        <v>13710</v>
      </c>
      <c r="B52" s="6">
        <v>13711</v>
      </c>
      <c r="C52" s="6" t="s">
        <v>1714</v>
      </c>
      <c r="D52" s="6" t="s">
        <v>1715</v>
      </c>
      <c r="E52" s="3" t="s">
        <v>1477</v>
      </c>
      <c r="F52" s="6" t="s">
        <v>1716</v>
      </c>
      <c r="G52" s="6" t="s">
        <v>1717</v>
      </c>
      <c r="H52" s="6" t="s">
        <v>76</v>
      </c>
      <c r="I52" s="6" t="s">
        <v>229</v>
      </c>
      <c r="J52" s="6" t="s">
        <v>53</v>
      </c>
      <c r="K52" s="6" t="s">
        <v>53</v>
      </c>
      <c r="L52" s="6" t="s">
        <v>805</v>
      </c>
      <c r="M52" s="6" t="s">
        <v>311</v>
      </c>
      <c r="N52" s="6" t="s">
        <v>635</v>
      </c>
      <c r="O52" s="6" t="s">
        <v>62</v>
      </c>
      <c r="P52" s="6" t="s">
        <v>1533</v>
      </c>
      <c r="Q52" s="6" t="s">
        <v>65</v>
      </c>
      <c r="R52" s="6" t="s">
        <v>57</v>
      </c>
      <c r="S52" s="6" t="s">
        <v>1219</v>
      </c>
      <c r="T52" s="131">
        <v>0.73399999999999999</v>
      </c>
      <c r="U52" s="6" t="s">
        <v>1718</v>
      </c>
      <c r="V52" s="134">
        <v>4.7500000000000001E-2</v>
      </c>
      <c r="W52" s="132">
        <v>2.971E-2</v>
      </c>
      <c r="X52" s="3" t="s">
        <v>620</v>
      </c>
      <c r="Y52" s="3" t="s">
        <v>62</v>
      </c>
      <c r="Z52" s="131">
        <v>3333.34</v>
      </c>
      <c r="AA52" s="129">
        <v>1</v>
      </c>
      <c r="AB52" s="157">
        <v>145.6</v>
      </c>
      <c r="AD52" s="131">
        <v>4.8529999999999998</v>
      </c>
      <c r="AG52" s="6" t="s">
        <v>17</v>
      </c>
      <c r="AH52" s="132">
        <v>6.9999999999999999E-6</v>
      </c>
      <c r="AI52" s="132">
        <v>3.1486954390672203E-4</v>
      </c>
      <c r="AJ52" s="132">
        <v>7.1151730628321594E-5</v>
      </c>
    </row>
    <row r="53" spans="1:36" x14ac:dyDescent="0.2">
      <c r="A53" s="6">
        <v>13710</v>
      </c>
      <c r="B53" s="6">
        <v>13711</v>
      </c>
      <c r="C53" s="6" t="s">
        <v>1719</v>
      </c>
      <c r="D53" s="6" t="s">
        <v>1720</v>
      </c>
      <c r="E53" s="3" t="s">
        <v>1477</v>
      </c>
      <c r="F53" s="6" t="s">
        <v>1721</v>
      </c>
      <c r="G53" s="6" t="s">
        <v>1722</v>
      </c>
      <c r="H53" s="6" t="s">
        <v>76</v>
      </c>
      <c r="I53" s="6" t="s">
        <v>228</v>
      </c>
      <c r="J53" s="6" t="s">
        <v>53</v>
      </c>
      <c r="K53" s="6" t="s">
        <v>53</v>
      </c>
      <c r="L53" s="6" t="s">
        <v>805</v>
      </c>
      <c r="M53" s="6" t="s">
        <v>311</v>
      </c>
      <c r="N53" s="6" t="s">
        <v>140</v>
      </c>
      <c r="O53" s="6" t="s">
        <v>62</v>
      </c>
      <c r="P53" s="6" t="s">
        <v>298</v>
      </c>
      <c r="Q53" s="6" t="s">
        <v>298</v>
      </c>
      <c r="R53" s="6" t="s">
        <v>298</v>
      </c>
      <c r="S53" s="6" t="s">
        <v>1219</v>
      </c>
      <c r="T53" s="131">
        <v>0.98499999999999999</v>
      </c>
      <c r="U53" s="6" t="s">
        <v>1595</v>
      </c>
      <c r="V53" s="134">
        <v>3.8699999999999998E-2</v>
      </c>
      <c r="W53" s="132">
        <v>4.9630000000000001E-2</v>
      </c>
      <c r="X53" s="3" t="s">
        <v>620</v>
      </c>
      <c r="Y53" s="3" t="s">
        <v>62</v>
      </c>
      <c r="Z53" s="131">
        <v>131291.69</v>
      </c>
      <c r="AA53" s="129">
        <v>1</v>
      </c>
      <c r="AB53" s="157">
        <v>99.03</v>
      </c>
      <c r="AD53" s="131">
        <v>130.018</v>
      </c>
      <c r="AG53" s="6" t="s">
        <v>17</v>
      </c>
      <c r="AH53" s="132">
        <v>4.1199999999999999E-4</v>
      </c>
      <c r="AI53" s="132">
        <v>8.4351669751159906E-3</v>
      </c>
      <c r="AJ53" s="132">
        <v>1.9061123567929599E-3</v>
      </c>
    </row>
    <row r="54" spans="1:36" x14ac:dyDescent="0.2">
      <c r="A54" s="6">
        <v>13710</v>
      </c>
      <c r="B54" s="6">
        <v>13711</v>
      </c>
      <c r="C54" s="6" t="s">
        <v>1723</v>
      </c>
      <c r="D54" s="6" t="s">
        <v>1724</v>
      </c>
      <c r="E54" s="3" t="s">
        <v>1477</v>
      </c>
      <c r="F54" s="6" t="s">
        <v>1725</v>
      </c>
      <c r="G54" s="6" t="s">
        <v>1726</v>
      </c>
      <c r="H54" s="6" t="s">
        <v>76</v>
      </c>
      <c r="I54" s="6" t="s">
        <v>229</v>
      </c>
      <c r="J54" s="6" t="s">
        <v>53</v>
      </c>
      <c r="K54" s="6" t="s">
        <v>53</v>
      </c>
      <c r="L54" s="6" t="s">
        <v>805</v>
      </c>
      <c r="M54" s="6" t="s">
        <v>102</v>
      </c>
      <c r="N54" s="6" t="s">
        <v>636</v>
      </c>
      <c r="O54" s="6" t="s">
        <v>62</v>
      </c>
      <c r="P54" s="6" t="s">
        <v>1515</v>
      </c>
      <c r="Q54" s="6" t="s">
        <v>65</v>
      </c>
      <c r="R54" s="6" t="s">
        <v>57</v>
      </c>
      <c r="S54" s="6" t="s">
        <v>1219</v>
      </c>
      <c r="T54" s="131">
        <v>2.8919999999999999</v>
      </c>
      <c r="U54" s="6" t="s">
        <v>1569</v>
      </c>
      <c r="V54" s="134">
        <v>1.7500000000000002E-2</v>
      </c>
      <c r="W54" s="132">
        <v>5.1749999999999997E-2</v>
      </c>
      <c r="X54" s="3" t="s">
        <v>620</v>
      </c>
      <c r="Y54" s="3" t="s">
        <v>62</v>
      </c>
      <c r="Z54" s="131">
        <v>35000</v>
      </c>
      <c r="AA54" s="129">
        <v>1</v>
      </c>
      <c r="AB54" s="157">
        <v>106.47799999999999</v>
      </c>
      <c r="AD54" s="131">
        <v>37.267000000000003</v>
      </c>
      <c r="AG54" s="6" t="s">
        <v>17</v>
      </c>
      <c r="AH54" s="132">
        <v>0</v>
      </c>
      <c r="AI54" s="132">
        <v>2.4177908356379E-3</v>
      </c>
      <c r="AJ54" s="132">
        <v>5.4635326147610896E-4</v>
      </c>
    </row>
    <row r="55" spans="1:36" x14ac:dyDescent="0.2">
      <c r="A55" s="6">
        <v>13710</v>
      </c>
      <c r="B55" s="6">
        <v>13711</v>
      </c>
      <c r="C55" s="6" t="s">
        <v>1723</v>
      </c>
      <c r="D55" s="6" t="s">
        <v>1724</v>
      </c>
      <c r="E55" s="3" t="s">
        <v>1477</v>
      </c>
      <c r="F55" s="6" t="s">
        <v>1727</v>
      </c>
      <c r="G55" s="6" t="s">
        <v>1728</v>
      </c>
      <c r="H55" s="6" t="s">
        <v>76</v>
      </c>
      <c r="I55" s="6" t="s">
        <v>229</v>
      </c>
      <c r="J55" s="6" t="s">
        <v>53</v>
      </c>
      <c r="K55" s="6" t="s">
        <v>317</v>
      </c>
      <c r="L55" s="6" t="s">
        <v>805</v>
      </c>
      <c r="M55" s="6" t="s">
        <v>311</v>
      </c>
      <c r="N55" s="6" t="s">
        <v>636</v>
      </c>
      <c r="O55" s="6" t="s">
        <v>62</v>
      </c>
      <c r="P55" s="6" t="s">
        <v>1515</v>
      </c>
      <c r="Q55" s="6" t="s">
        <v>65</v>
      </c>
      <c r="R55" s="6" t="s">
        <v>57</v>
      </c>
      <c r="S55" s="6" t="s">
        <v>1219</v>
      </c>
      <c r="T55" s="131">
        <v>2.4929999999999999</v>
      </c>
      <c r="U55" s="6" t="s">
        <v>1544</v>
      </c>
      <c r="V55" s="134">
        <v>3.2800000000000003E-2</v>
      </c>
      <c r="W55" s="132">
        <v>4.3709999999999999E-2</v>
      </c>
      <c r="X55" s="3" t="s">
        <v>620</v>
      </c>
      <c r="Y55" s="3" t="s">
        <v>62</v>
      </c>
      <c r="Z55" s="131">
        <v>3000</v>
      </c>
      <c r="AA55" s="129">
        <v>1</v>
      </c>
      <c r="AB55" s="157">
        <v>115.58</v>
      </c>
      <c r="AD55" s="131">
        <v>3.4670000000000001</v>
      </c>
      <c r="AG55" s="6" t="s">
        <v>17</v>
      </c>
      <c r="AH55" s="132">
        <v>3.0000000000000001E-6</v>
      </c>
      <c r="AI55" s="132">
        <v>2.24953943610417E-4</v>
      </c>
      <c r="AJ55" s="132">
        <v>5.0833314016196603E-5</v>
      </c>
    </row>
    <row r="56" spans="1:36" x14ac:dyDescent="0.2">
      <c r="A56" s="6">
        <v>13710</v>
      </c>
      <c r="B56" s="6">
        <v>13711</v>
      </c>
      <c r="C56" s="6" t="s">
        <v>1723</v>
      </c>
      <c r="D56" s="6" t="s">
        <v>1724</v>
      </c>
      <c r="E56" s="3" t="s">
        <v>1477</v>
      </c>
      <c r="F56" s="6" t="s">
        <v>1729</v>
      </c>
      <c r="G56" s="6" t="s">
        <v>1730</v>
      </c>
      <c r="H56" s="6" t="s">
        <v>76</v>
      </c>
      <c r="I56" s="6" t="s">
        <v>607</v>
      </c>
      <c r="J56" s="6" t="s">
        <v>53</v>
      </c>
      <c r="K56" s="6" t="s">
        <v>317</v>
      </c>
      <c r="L56" s="6" t="s">
        <v>805</v>
      </c>
      <c r="M56" s="6" t="s">
        <v>311</v>
      </c>
      <c r="N56" s="6" t="s">
        <v>636</v>
      </c>
      <c r="O56" s="6" t="s">
        <v>62</v>
      </c>
      <c r="P56" s="6" t="s">
        <v>1515</v>
      </c>
      <c r="Q56" s="6" t="s">
        <v>65</v>
      </c>
      <c r="R56" s="6" t="s">
        <v>57</v>
      </c>
      <c r="S56" s="6" t="s">
        <v>1219</v>
      </c>
      <c r="T56" s="131">
        <v>3.7029999999999998</v>
      </c>
      <c r="U56" s="6" t="s">
        <v>1549</v>
      </c>
      <c r="V56" s="134">
        <v>5.5E-2</v>
      </c>
      <c r="W56" s="132">
        <v>4.5249999999999999E-2</v>
      </c>
      <c r="X56" s="3" t="s">
        <v>620</v>
      </c>
      <c r="Y56" s="3" t="s">
        <v>62</v>
      </c>
      <c r="Z56" s="131">
        <v>19665</v>
      </c>
      <c r="AA56" s="129">
        <v>1</v>
      </c>
      <c r="AB56" s="157">
        <v>103.5</v>
      </c>
      <c r="AD56" s="131">
        <v>20.353000000000002</v>
      </c>
      <c r="AG56" s="6" t="s">
        <v>17</v>
      </c>
      <c r="AH56" s="132">
        <v>3.8000000000000002E-5</v>
      </c>
      <c r="AI56" s="132">
        <v>1.3204560987014201E-3</v>
      </c>
      <c r="AJ56" s="132">
        <v>2.9838623156630399E-4</v>
      </c>
    </row>
    <row r="57" spans="1:36" x14ac:dyDescent="0.2">
      <c r="A57" s="6">
        <v>13710</v>
      </c>
      <c r="B57" s="6">
        <v>13711</v>
      </c>
      <c r="C57" s="6" t="s">
        <v>1723</v>
      </c>
      <c r="D57" s="6" t="s">
        <v>1724</v>
      </c>
      <c r="E57" s="3" t="s">
        <v>1477</v>
      </c>
      <c r="F57" s="6" t="s">
        <v>1731</v>
      </c>
      <c r="G57" s="6" t="s">
        <v>1732</v>
      </c>
      <c r="H57" s="6" t="s">
        <v>76</v>
      </c>
      <c r="I57" s="6" t="s">
        <v>229</v>
      </c>
      <c r="J57" s="6" t="s">
        <v>53</v>
      </c>
      <c r="K57" s="6" t="s">
        <v>53</v>
      </c>
      <c r="L57" s="6" t="s">
        <v>805</v>
      </c>
      <c r="M57" s="6" t="s">
        <v>102</v>
      </c>
      <c r="N57" s="6" t="s">
        <v>636</v>
      </c>
      <c r="O57" s="6" t="s">
        <v>62</v>
      </c>
      <c r="P57" s="6" t="s">
        <v>1628</v>
      </c>
      <c r="Q57" s="6" t="s">
        <v>65</v>
      </c>
      <c r="R57" s="6" t="s">
        <v>57</v>
      </c>
      <c r="S57" s="6" t="s">
        <v>1219</v>
      </c>
      <c r="T57" s="131">
        <v>2.3660000000000001</v>
      </c>
      <c r="U57" s="6" t="s">
        <v>1733</v>
      </c>
      <c r="V57" s="134">
        <v>1.3299999999999999E-2</v>
      </c>
      <c r="W57" s="132">
        <v>3.1989999999999998E-2</v>
      </c>
      <c r="X57" s="3" t="s">
        <v>620</v>
      </c>
      <c r="Y57" s="3" t="s">
        <v>62</v>
      </c>
      <c r="Z57" s="131">
        <v>33000</v>
      </c>
      <c r="AA57" s="129">
        <v>1</v>
      </c>
      <c r="AB57" s="157">
        <v>112.72499999999999</v>
      </c>
      <c r="AD57" s="131">
        <v>37.198999999999998</v>
      </c>
      <c r="AG57" s="6" t="s">
        <v>17</v>
      </c>
      <c r="AH57" s="132">
        <v>0</v>
      </c>
      <c r="AI57" s="132">
        <v>2.4133681650708701E-3</v>
      </c>
      <c r="AJ57" s="132">
        <v>5.4535386134061498E-4</v>
      </c>
    </row>
    <row r="58" spans="1:36" x14ac:dyDescent="0.2">
      <c r="A58" s="6">
        <v>13710</v>
      </c>
      <c r="B58" s="6">
        <v>13711</v>
      </c>
      <c r="C58" s="6" t="s">
        <v>1723</v>
      </c>
      <c r="D58" s="6" t="s">
        <v>1724</v>
      </c>
      <c r="E58" s="3" t="s">
        <v>1477</v>
      </c>
      <c r="F58" s="6" t="s">
        <v>1734</v>
      </c>
      <c r="G58" s="6" t="s">
        <v>1735</v>
      </c>
      <c r="H58" s="6" t="s">
        <v>76</v>
      </c>
      <c r="I58" s="6" t="s">
        <v>229</v>
      </c>
      <c r="J58" s="6" t="s">
        <v>53</v>
      </c>
      <c r="K58" s="6" t="s">
        <v>53</v>
      </c>
      <c r="L58" s="6" t="s">
        <v>805</v>
      </c>
      <c r="M58" s="6" t="s">
        <v>102</v>
      </c>
      <c r="N58" s="6" t="s">
        <v>636</v>
      </c>
      <c r="O58" s="6" t="s">
        <v>62</v>
      </c>
      <c r="P58" s="6" t="s">
        <v>1628</v>
      </c>
      <c r="Q58" s="6" t="s">
        <v>65</v>
      </c>
      <c r="R58" s="6" t="s">
        <v>57</v>
      </c>
      <c r="S58" s="6" t="s">
        <v>1219</v>
      </c>
      <c r="T58" s="131">
        <v>4.3460000000000001</v>
      </c>
      <c r="U58" s="6" t="s">
        <v>1736</v>
      </c>
      <c r="V58" s="134">
        <v>4.24E-2</v>
      </c>
      <c r="W58" s="132">
        <v>3.3500000000000002E-2</v>
      </c>
      <c r="X58" s="3" t="s">
        <v>620</v>
      </c>
      <c r="Y58" s="3" t="s">
        <v>62</v>
      </c>
      <c r="Z58" s="131">
        <v>44000</v>
      </c>
      <c r="AA58" s="129">
        <v>1</v>
      </c>
      <c r="AB58" s="157">
        <v>108.23</v>
      </c>
      <c r="AD58" s="131">
        <v>47.621000000000002</v>
      </c>
      <c r="AG58" s="6" t="s">
        <v>17</v>
      </c>
      <c r="AH58" s="132">
        <v>6.7999999999999999E-5</v>
      </c>
      <c r="AI58" s="132">
        <v>3.0895128163639599E-3</v>
      </c>
      <c r="AJ58" s="132">
        <v>6.9814368501704496E-4</v>
      </c>
    </row>
    <row r="59" spans="1:36" x14ac:dyDescent="0.2">
      <c r="A59" s="6">
        <v>13710</v>
      </c>
      <c r="B59" s="6">
        <v>13711</v>
      </c>
      <c r="C59" s="6" t="s">
        <v>1737</v>
      </c>
      <c r="D59" s="6" t="s">
        <v>1738</v>
      </c>
      <c r="E59" s="3" t="s">
        <v>1477</v>
      </c>
      <c r="F59" s="6" t="s">
        <v>1739</v>
      </c>
      <c r="G59" s="6" t="s">
        <v>1740</v>
      </c>
      <c r="H59" s="6" t="s">
        <v>76</v>
      </c>
      <c r="I59" s="6" t="s">
        <v>229</v>
      </c>
      <c r="J59" s="6" t="s">
        <v>53</v>
      </c>
      <c r="K59" s="6" t="s">
        <v>53</v>
      </c>
      <c r="L59" s="6" t="s">
        <v>805</v>
      </c>
      <c r="M59" s="6" t="s">
        <v>311</v>
      </c>
      <c r="N59" s="6" t="s">
        <v>635</v>
      </c>
      <c r="O59" s="6" t="s">
        <v>62</v>
      </c>
      <c r="P59" s="6" t="s">
        <v>1521</v>
      </c>
      <c r="Q59" s="6" t="s">
        <v>70</v>
      </c>
      <c r="R59" s="6" t="s">
        <v>57</v>
      </c>
      <c r="S59" s="6" t="s">
        <v>1219</v>
      </c>
      <c r="T59" s="131">
        <v>0.499</v>
      </c>
      <c r="U59" s="6" t="s">
        <v>1499</v>
      </c>
      <c r="V59" s="134">
        <v>2.5000000000000001E-2</v>
      </c>
      <c r="W59" s="132">
        <v>3.3689999999999998E-2</v>
      </c>
      <c r="X59" s="3" t="s">
        <v>620</v>
      </c>
      <c r="Y59" s="3" t="s">
        <v>62</v>
      </c>
      <c r="Z59" s="131">
        <v>58614.71</v>
      </c>
      <c r="AA59" s="129">
        <v>1</v>
      </c>
      <c r="AB59" s="157">
        <v>117.96</v>
      </c>
      <c r="AD59" s="131">
        <v>69.141999999999996</v>
      </c>
      <c r="AG59" s="6" t="s">
        <v>17</v>
      </c>
      <c r="AH59" s="132">
        <v>1.92E-4</v>
      </c>
      <c r="AI59" s="132">
        <v>4.4857085292346601E-3</v>
      </c>
      <c r="AJ59" s="132">
        <v>1.01364495590536E-3</v>
      </c>
    </row>
    <row r="60" spans="1:36" x14ac:dyDescent="0.2">
      <c r="A60" s="6">
        <v>13710</v>
      </c>
      <c r="B60" s="6">
        <v>13711</v>
      </c>
      <c r="C60" s="6" t="s">
        <v>1741</v>
      </c>
      <c r="D60" s="6" t="s">
        <v>1742</v>
      </c>
      <c r="E60" s="3" t="s">
        <v>1477</v>
      </c>
      <c r="F60" s="6" t="s">
        <v>1743</v>
      </c>
      <c r="G60" s="6" t="s">
        <v>1744</v>
      </c>
      <c r="H60" s="6" t="s">
        <v>76</v>
      </c>
      <c r="I60" s="6" t="s">
        <v>228</v>
      </c>
      <c r="J60" s="6" t="s">
        <v>53</v>
      </c>
      <c r="K60" s="6" t="s">
        <v>53</v>
      </c>
      <c r="L60" s="6" t="s">
        <v>805</v>
      </c>
      <c r="M60" s="6" t="s">
        <v>311</v>
      </c>
      <c r="N60" s="6" t="s">
        <v>257</v>
      </c>
      <c r="O60" s="6" t="s">
        <v>62</v>
      </c>
      <c r="P60" s="6" t="s">
        <v>1533</v>
      </c>
      <c r="Q60" s="6" t="s">
        <v>65</v>
      </c>
      <c r="R60" s="6" t="s">
        <v>57</v>
      </c>
      <c r="S60" s="6" t="s">
        <v>1219</v>
      </c>
      <c r="T60" s="131">
        <v>0.29899999999999999</v>
      </c>
      <c r="U60" s="6" t="s">
        <v>1745</v>
      </c>
      <c r="V60" s="134">
        <v>0.03</v>
      </c>
      <c r="W60" s="132">
        <v>4.761E-2</v>
      </c>
      <c r="X60" s="3" t="s">
        <v>620</v>
      </c>
      <c r="Y60" s="3" t="s">
        <v>62</v>
      </c>
      <c r="Z60" s="131">
        <v>46857.37</v>
      </c>
      <c r="AA60" s="129">
        <v>1</v>
      </c>
      <c r="AB60" s="157">
        <v>100.1</v>
      </c>
      <c r="AD60" s="131">
        <v>46.904000000000003</v>
      </c>
      <c r="AG60" s="6" t="s">
        <v>17</v>
      </c>
      <c r="AH60" s="132">
        <v>5.4199999999999995E-4</v>
      </c>
      <c r="AI60" s="132">
        <v>3.04299790012146E-3</v>
      </c>
      <c r="AJ60" s="132">
        <v>6.8763261192429301E-4</v>
      </c>
    </row>
    <row r="61" spans="1:36" x14ac:dyDescent="0.2">
      <c r="A61" s="6">
        <v>13710</v>
      </c>
      <c r="B61" s="6">
        <v>13711</v>
      </c>
      <c r="C61" s="6" t="s">
        <v>1741</v>
      </c>
      <c r="D61" s="6" t="s">
        <v>1742</v>
      </c>
      <c r="E61" s="3" t="s">
        <v>1477</v>
      </c>
      <c r="F61" s="6" t="s">
        <v>1746</v>
      </c>
      <c r="G61" s="6" t="s">
        <v>1747</v>
      </c>
      <c r="H61" s="6" t="s">
        <v>76</v>
      </c>
      <c r="I61" s="6" t="s">
        <v>228</v>
      </c>
      <c r="J61" s="6" t="s">
        <v>53</v>
      </c>
      <c r="K61" s="6" t="s">
        <v>53</v>
      </c>
      <c r="L61" s="6" t="s">
        <v>805</v>
      </c>
      <c r="M61" s="6" t="s">
        <v>102</v>
      </c>
      <c r="N61" s="6" t="s">
        <v>257</v>
      </c>
      <c r="O61" s="6" t="s">
        <v>62</v>
      </c>
      <c r="P61" s="6" t="s">
        <v>1533</v>
      </c>
      <c r="Q61" s="6" t="s">
        <v>65</v>
      </c>
      <c r="R61" s="6" t="s">
        <v>57</v>
      </c>
      <c r="S61" s="6" t="s">
        <v>1219</v>
      </c>
      <c r="T61" s="131">
        <v>3.2410000000000001</v>
      </c>
      <c r="U61" s="6" t="s">
        <v>1748</v>
      </c>
      <c r="V61" s="134">
        <v>5.4600000000000003E-2</v>
      </c>
      <c r="W61" s="132">
        <v>5.6050000000000003E-2</v>
      </c>
      <c r="X61" s="3" t="s">
        <v>620</v>
      </c>
      <c r="Y61" s="3" t="s">
        <v>62</v>
      </c>
      <c r="Z61" s="131">
        <v>15000</v>
      </c>
      <c r="AA61" s="129">
        <v>1</v>
      </c>
      <c r="AB61" s="157">
        <v>99.88</v>
      </c>
      <c r="AD61" s="131">
        <v>14.981999999999999</v>
      </c>
      <c r="AG61" s="6" t="s">
        <v>17</v>
      </c>
      <c r="AH61" s="132">
        <v>5.0000000000000002E-5</v>
      </c>
      <c r="AI61" s="132">
        <v>9.7198476759856496E-4</v>
      </c>
      <c r="AJ61" s="132">
        <v>2.19641434674585E-4</v>
      </c>
    </row>
    <row r="62" spans="1:36" x14ac:dyDescent="0.2">
      <c r="A62" s="6">
        <v>13710</v>
      </c>
      <c r="B62" s="6">
        <v>13711</v>
      </c>
      <c r="C62" s="6" t="s">
        <v>1749</v>
      </c>
      <c r="D62" s="6" t="s">
        <v>1750</v>
      </c>
      <c r="E62" s="3" t="s">
        <v>767</v>
      </c>
      <c r="F62" s="6" t="s">
        <v>1751</v>
      </c>
      <c r="G62" s="6" t="s">
        <v>1752</v>
      </c>
      <c r="H62" s="6" t="s">
        <v>76</v>
      </c>
      <c r="I62" s="6" t="s">
        <v>228</v>
      </c>
      <c r="J62" s="6" t="s">
        <v>53</v>
      </c>
      <c r="K62" s="6" t="s">
        <v>314</v>
      </c>
      <c r="L62" s="6" t="s">
        <v>805</v>
      </c>
      <c r="M62" s="6" t="s">
        <v>311</v>
      </c>
      <c r="N62" s="6" t="s">
        <v>636</v>
      </c>
      <c r="O62" s="6" t="s">
        <v>62</v>
      </c>
      <c r="P62" s="6" t="s">
        <v>1753</v>
      </c>
      <c r="Q62" s="6" t="s">
        <v>65</v>
      </c>
      <c r="R62" s="6" t="s">
        <v>57</v>
      </c>
      <c r="S62" s="6" t="s">
        <v>1219</v>
      </c>
      <c r="T62" s="131">
        <v>0.16400000000000001</v>
      </c>
      <c r="U62" s="6" t="s">
        <v>1270</v>
      </c>
      <c r="V62" s="134">
        <v>6.9500000000000006E-2</v>
      </c>
      <c r="W62" s="132">
        <v>1E-4</v>
      </c>
      <c r="X62" s="3" t="s">
        <v>620</v>
      </c>
      <c r="Y62" s="3" t="s">
        <v>55</v>
      </c>
      <c r="Z62" s="131">
        <v>35088.01</v>
      </c>
      <c r="AA62" s="129">
        <v>1</v>
      </c>
      <c r="AB62" s="157">
        <v>85.66</v>
      </c>
      <c r="AD62" s="131">
        <v>30.056000000000001</v>
      </c>
      <c r="AG62" s="6" t="s">
        <v>17</v>
      </c>
      <c r="AH62" s="132">
        <v>1.27E-4</v>
      </c>
      <c r="AI62" s="132">
        <v>1.9499634650089099E-3</v>
      </c>
      <c r="AJ62" s="132">
        <v>4.4063733022868702E-4</v>
      </c>
    </row>
    <row r="63" spans="1:36" x14ac:dyDescent="0.2">
      <c r="A63" s="6">
        <v>13710</v>
      </c>
      <c r="B63" s="6">
        <v>13711</v>
      </c>
      <c r="C63" s="6" t="s">
        <v>1754</v>
      </c>
      <c r="D63" s="6" t="s">
        <v>1755</v>
      </c>
      <c r="E63" s="3" t="s">
        <v>78</v>
      </c>
      <c r="F63" s="6" t="s">
        <v>1756</v>
      </c>
      <c r="G63" s="6" t="s">
        <v>1757</v>
      </c>
      <c r="H63" s="6" t="s">
        <v>76</v>
      </c>
      <c r="I63" s="6" t="s">
        <v>228</v>
      </c>
      <c r="J63" s="6" t="s">
        <v>53</v>
      </c>
      <c r="K63" s="6" t="s">
        <v>314</v>
      </c>
      <c r="L63" s="6" t="s">
        <v>805</v>
      </c>
      <c r="M63" s="6" t="s">
        <v>311</v>
      </c>
      <c r="N63" s="6" t="s">
        <v>636</v>
      </c>
      <c r="O63" s="6" t="s">
        <v>62</v>
      </c>
      <c r="P63" s="6" t="s">
        <v>1628</v>
      </c>
      <c r="Q63" s="6" t="s">
        <v>65</v>
      </c>
      <c r="R63" s="6" t="s">
        <v>57</v>
      </c>
      <c r="S63" s="6" t="s">
        <v>1219</v>
      </c>
      <c r="T63" s="131">
        <v>1.4279999999999999</v>
      </c>
      <c r="U63" s="6" t="s">
        <v>1516</v>
      </c>
      <c r="V63" s="134">
        <v>6.8000000000000005E-2</v>
      </c>
      <c r="W63" s="132">
        <v>5.6610000000000001E-2</v>
      </c>
      <c r="X63" s="3" t="s">
        <v>620</v>
      </c>
      <c r="Y63" s="3" t="s">
        <v>62</v>
      </c>
      <c r="Z63" s="131">
        <v>37403.14</v>
      </c>
      <c r="AA63" s="129">
        <v>1</v>
      </c>
      <c r="AB63" s="157">
        <v>101.71</v>
      </c>
      <c r="AD63" s="131">
        <v>38.042999999999999</v>
      </c>
      <c r="AG63" s="6" t="s">
        <v>17</v>
      </c>
      <c r="AH63" s="132">
        <v>1.0900000000000001E-4</v>
      </c>
      <c r="AI63" s="132">
        <v>2.4680922218913801E-3</v>
      </c>
      <c r="AJ63" s="132">
        <v>5.57719971131581E-4</v>
      </c>
    </row>
    <row r="64" spans="1:36" x14ac:dyDescent="0.2">
      <c r="A64" s="6">
        <v>13710</v>
      </c>
      <c r="B64" s="6">
        <v>13711</v>
      </c>
      <c r="C64" s="6" t="s">
        <v>1758</v>
      </c>
      <c r="D64" s="6" t="s">
        <v>1759</v>
      </c>
      <c r="E64" s="3" t="s">
        <v>1477</v>
      </c>
      <c r="F64" s="6" t="s">
        <v>1760</v>
      </c>
      <c r="G64" s="6" t="s">
        <v>1761</v>
      </c>
      <c r="H64" s="6" t="s">
        <v>76</v>
      </c>
      <c r="I64" s="6" t="s">
        <v>228</v>
      </c>
      <c r="J64" s="6" t="s">
        <v>53</v>
      </c>
      <c r="K64" s="6" t="s">
        <v>53</v>
      </c>
      <c r="L64" s="6" t="s">
        <v>805</v>
      </c>
      <c r="M64" s="6" t="s">
        <v>311</v>
      </c>
      <c r="N64" s="6" t="s">
        <v>156</v>
      </c>
      <c r="O64" s="6" t="s">
        <v>62</v>
      </c>
      <c r="P64" s="6" t="s">
        <v>1527</v>
      </c>
      <c r="Q64" s="6" t="s">
        <v>70</v>
      </c>
      <c r="R64" s="6" t="s">
        <v>57</v>
      </c>
      <c r="S64" s="6" t="s">
        <v>1219</v>
      </c>
      <c r="T64" s="131">
        <v>1.202</v>
      </c>
      <c r="U64" s="6" t="s">
        <v>1280</v>
      </c>
      <c r="V64" s="134">
        <v>3.2899999999999999E-2</v>
      </c>
      <c r="W64" s="132">
        <v>4.9500000000000002E-2</v>
      </c>
      <c r="X64" s="3" t="s">
        <v>620</v>
      </c>
      <c r="Y64" s="3" t="s">
        <v>62</v>
      </c>
      <c r="Z64" s="131">
        <v>46000</v>
      </c>
      <c r="AA64" s="129">
        <v>1</v>
      </c>
      <c r="AB64" s="157">
        <v>98.94</v>
      </c>
      <c r="AD64" s="131">
        <v>45.512</v>
      </c>
      <c r="AG64" s="6" t="s">
        <v>17</v>
      </c>
      <c r="AH64" s="132">
        <v>6.3999999999999997E-5</v>
      </c>
      <c r="AI64" s="132">
        <v>2.9527005431085902E-3</v>
      </c>
      <c r="AJ64" s="132">
        <v>6.6722792894697604E-4</v>
      </c>
    </row>
    <row r="65" spans="1:36" x14ac:dyDescent="0.2">
      <c r="A65" s="6">
        <v>13710</v>
      </c>
      <c r="B65" s="6">
        <v>13711</v>
      </c>
      <c r="C65" s="6" t="s">
        <v>1762</v>
      </c>
      <c r="D65" s="6" t="s">
        <v>1763</v>
      </c>
      <c r="E65" s="3" t="s">
        <v>1477</v>
      </c>
      <c r="F65" s="6" t="s">
        <v>1764</v>
      </c>
      <c r="G65" s="6" t="s">
        <v>1765</v>
      </c>
      <c r="H65" s="6" t="s">
        <v>76</v>
      </c>
      <c r="I65" s="6" t="s">
        <v>229</v>
      </c>
      <c r="J65" s="6" t="s">
        <v>53</v>
      </c>
      <c r="K65" s="6" t="s">
        <v>53</v>
      </c>
      <c r="L65" s="6" t="s">
        <v>805</v>
      </c>
      <c r="M65" s="6" t="s">
        <v>311</v>
      </c>
      <c r="N65" s="6" t="s">
        <v>631</v>
      </c>
      <c r="O65" s="6" t="s">
        <v>62</v>
      </c>
      <c r="P65" s="6" t="s">
        <v>298</v>
      </c>
      <c r="Q65" s="6" t="s">
        <v>298</v>
      </c>
      <c r="R65" s="6" t="s">
        <v>298</v>
      </c>
      <c r="S65" s="6" t="s">
        <v>1219</v>
      </c>
      <c r="T65" s="131">
        <v>2.44</v>
      </c>
      <c r="U65" s="6" t="s">
        <v>1544</v>
      </c>
      <c r="V65" s="134">
        <v>1.5800000000000002E-2</v>
      </c>
      <c r="W65" s="132">
        <v>3.6760000000000001E-2</v>
      </c>
      <c r="X65" s="3" t="s">
        <v>620</v>
      </c>
      <c r="Y65" s="3" t="s">
        <v>62</v>
      </c>
      <c r="Z65" s="131">
        <v>6620.69</v>
      </c>
      <c r="AA65" s="129">
        <v>1</v>
      </c>
      <c r="AB65" s="157">
        <v>109.71</v>
      </c>
      <c r="AD65" s="131">
        <v>7.2640000000000002</v>
      </c>
      <c r="AG65" s="6" t="s">
        <v>17</v>
      </c>
      <c r="AH65" s="132">
        <v>2.0999999999999999E-5</v>
      </c>
      <c r="AI65" s="132">
        <v>4.7123673111610498E-4</v>
      </c>
      <c r="AJ65" s="132">
        <v>1.06486351580821E-4</v>
      </c>
    </row>
    <row r="66" spans="1:36" x14ac:dyDescent="0.2">
      <c r="A66" s="6">
        <v>13710</v>
      </c>
      <c r="B66" s="6">
        <v>13711</v>
      </c>
      <c r="C66" s="6" t="s">
        <v>1475</v>
      </c>
      <c r="D66" s="6" t="s">
        <v>1476</v>
      </c>
      <c r="E66" s="3" t="s">
        <v>1477</v>
      </c>
      <c r="F66" s="6" t="s">
        <v>1766</v>
      </c>
      <c r="G66" s="6" t="s">
        <v>1767</v>
      </c>
      <c r="H66" s="6" t="s">
        <v>76</v>
      </c>
      <c r="I66" s="6" t="s">
        <v>229</v>
      </c>
      <c r="J66" s="6" t="s">
        <v>53</v>
      </c>
      <c r="K66" s="6" t="s">
        <v>53</v>
      </c>
      <c r="L66" s="6" t="s">
        <v>805</v>
      </c>
      <c r="M66" s="6" t="s">
        <v>311</v>
      </c>
      <c r="N66" s="6" t="s">
        <v>256</v>
      </c>
      <c r="O66" s="6" t="s">
        <v>62</v>
      </c>
      <c r="P66" s="6" t="s">
        <v>1213</v>
      </c>
      <c r="Q66" s="6" t="s">
        <v>65</v>
      </c>
      <c r="R66" s="6" t="s">
        <v>57</v>
      </c>
      <c r="S66" s="6" t="s">
        <v>1219</v>
      </c>
      <c r="T66" s="131">
        <v>3.4950000000000001</v>
      </c>
      <c r="U66" s="6" t="s">
        <v>1768</v>
      </c>
      <c r="V66" s="134">
        <v>2E-3</v>
      </c>
      <c r="W66" s="132">
        <v>2.6020000000000001E-2</v>
      </c>
      <c r="X66" s="3" t="s">
        <v>620</v>
      </c>
      <c r="Y66" s="3" t="s">
        <v>62</v>
      </c>
      <c r="Z66" s="131">
        <v>362000.87</v>
      </c>
      <c r="AA66" s="129">
        <v>1</v>
      </c>
      <c r="AB66" s="157">
        <v>105.05</v>
      </c>
      <c r="AD66" s="131">
        <v>380.28199999999998</v>
      </c>
      <c r="AG66" s="6" t="s">
        <v>17</v>
      </c>
      <c r="AH66" s="132">
        <v>1.06E-4</v>
      </c>
      <c r="AI66" s="132">
        <v>2.4671487634364501E-2</v>
      </c>
      <c r="AJ66" s="132">
        <v>5.5750677584755397E-3</v>
      </c>
    </row>
    <row r="67" spans="1:36" x14ac:dyDescent="0.2">
      <c r="A67" s="6">
        <v>13710</v>
      </c>
      <c r="B67" s="6">
        <v>13711</v>
      </c>
      <c r="C67" s="6" t="s">
        <v>1475</v>
      </c>
      <c r="D67" s="6" t="s">
        <v>1476</v>
      </c>
      <c r="E67" s="3" t="s">
        <v>1477</v>
      </c>
      <c r="F67" s="6" t="s">
        <v>1769</v>
      </c>
      <c r="G67" s="6" t="s">
        <v>1770</v>
      </c>
      <c r="H67" s="6" t="s">
        <v>76</v>
      </c>
      <c r="I67" s="6" t="s">
        <v>229</v>
      </c>
      <c r="J67" s="6" t="s">
        <v>53</v>
      </c>
      <c r="K67" s="6" t="s">
        <v>53</v>
      </c>
      <c r="L67" s="6" t="s">
        <v>805</v>
      </c>
      <c r="M67" s="6" t="s">
        <v>311</v>
      </c>
      <c r="N67" s="6" t="s">
        <v>256</v>
      </c>
      <c r="O67" s="6" t="s">
        <v>62</v>
      </c>
      <c r="P67" s="6" t="s">
        <v>1213</v>
      </c>
      <c r="Q67" s="6" t="s">
        <v>65</v>
      </c>
      <c r="R67" s="6" t="s">
        <v>57</v>
      </c>
      <c r="S67" s="6" t="s">
        <v>1219</v>
      </c>
      <c r="T67" s="131">
        <v>4.8920000000000003</v>
      </c>
      <c r="U67" s="6" t="s">
        <v>1771</v>
      </c>
      <c r="V67" s="134">
        <v>2.47E-2</v>
      </c>
      <c r="W67" s="132">
        <v>2.63E-2</v>
      </c>
      <c r="X67" s="3" t="s">
        <v>620</v>
      </c>
      <c r="Y67" s="3" t="s">
        <v>62</v>
      </c>
      <c r="Z67" s="131">
        <v>208390</v>
      </c>
      <c r="AA67" s="129">
        <v>1</v>
      </c>
      <c r="AB67" s="157">
        <v>103.16</v>
      </c>
      <c r="AD67" s="131">
        <v>214.97499999999999</v>
      </c>
      <c r="AG67" s="6" t="s">
        <v>17</v>
      </c>
      <c r="AH67" s="132">
        <v>8.0000000000000007E-5</v>
      </c>
      <c r="AI67" s="132">
        <v>1.39469060165941E-2</v>
      </c>
      <c r="AJ67" s="132">
        <v>3.1516115775401801E-3</v>
      </c>
    </row>
    <row r="68" spans="1:36" x14ac:dyDescent="0.2">
      <c r="A68" s="6">
        <v>13710</v>
      </c>
      <c r="B68" s="6">
        <v>13711</v>
      </c>
      <c r="C68" s="6" t="s">
        <v>1475</v>
      </c>
      <c r="D68" s="6" t="s">
        <v>1476</v>
      </c>
      <c r="E68" s="3" t="s">
        <v>1477</v>
      </c>
      <c r="F68" s="6" t="s">
        <v>1772</v>
      </c>
      <c r="G68" s="6" t="s">
        <v>1773</v>
      </c>
      <c r="H68" s="6" t="s">
        <v>76</v>
      </c>
      <c r="I68" s="6" t="s">
        <v>229</v>
      </c>
      <c r="J68" s="6" t="s">
        <v>53</v>
      </c>
      <c r="K68" s="6" t="s">
        <v>53</v>
      </c>
      <c r="L68" s="6" t="s">
        <v>805</v>
      </c>
      <c r="M68" s="6" t="s">
        <v>1227</v>
      </c>
      <c r="N68" s="6" t="s">
        <v>256</v>
      </c>
      <c r="O68" s="6" t="s">
        <v>62</v>
      </c>
      <c r="P68" s="6" t="s">
        <v>1213</v>
      </c>
      <c r="Q68" s="6" t="s">
        <v>65</v>
      </c>
      <c r="R68" s="6" t="s">
        <v>57</v>
      </c>
      <c r="S68" s="6" t="s">
        <v>1219</v>
      </c>
      <c r="T68" s="131">
        <v>4.8159999999999998</v>
      </c>
      <c r="U68" s="6" t="s">
        <v>1771</v>
      </c>
      <c r="V68" s="134">
        <v>2.4E-2</v>
      </c>
      <c r="W68" s="132">
        <v>2.605E-2</v>
      </c>
      <c r="X68" s="3" t="s">
        <v>620</v>
      </c>
      <c r="Y68" s="3" t="s">
        <v>62</v>
      </c>
      <c r="Z68" s="131">
        <v>90000</v>
      </c>
      <c r="AA68" s="129">
        <v>1</v>
      </c>
      <c r="AB68" s="157">
        <v>101.7</v>
      </c>
      <c r="AD68" s="131">
        <v>91.53</v>
      </c>
      <c r="AG68" s="6" t="s">
        <v>17</v>
      </c>
      <c r="AH68" s="132">
        <v>4.1E-5</v>
      </c>
      <c r="AI68" s="132">
        <v>5.9381768641233899E-3</v>
      </c>
      <c r="AJ68" s="132">
        <v>1.34186226910725E-3</v>
      </c>
    </row>
    <row r="69" spans="1:36" x14ac:dyDescent="0.2">
      <c r="A69" s="6">
        <v>13710</v>
      </c>
      <c r="B69" s="6">
        <v>13711</v>
      </c>
      <c r="C69" s="6" t="s">
        <v>1774</v>
      </c>
      <c r="D69" s="6" t="s">
        <v>1775</v>
      </c>
      <c r="E69" s="3" t="s">
        <v>1477</v>
      </c>
      <c r="F69" s="6" t="s">
        <v>1776</v>
      </c>
      <c r="G69" s="6" t="s">
        <v>1777</v>
      </c>
      <c r="H69" s="6" t="s">
        <v>76</v>
      </c>
      <c r="I69" s="6" t="s">
        <v>229</v>
      </c>
      <c r="J69" s="6" t="s">
        <v>53</v>
      </c>
      <c r="K69" s="6" t="s">
        <v>53</v>
      </c>
      <c r="L69" s="6" t="s">
        <v>805</v>
      </c>
      <c r="M69" s="6" t="s">
        <v>311</v>
      </c>
      <c r="N69" s="6" t="s">
        <v>692</v>
      </c>
      <c r="O69" s="6" t="s">
        <v>62</v>
      </c>
      <c r="P69" s="6" t="s">
        <v>1778</v>
      </c>
      <c r="Q69" s="6" t="s">
        <v>65</v>
      </c>
      <c r="R69" s="6" t="s">
        <v>57</v>
      </c>
      <c r="S69" s="6" t="s">
        <v>1219</v>
      </c>
      <c r="T69" s="131">
        <v>0.499</v>
      </c>
      <c r="U69" s="6" t="s">
        <v>1499</v>
      </c>
      <c r="V69" s="134">
        <v>4.9500000000000002E-2</v>
      </c>
      <c r="W69" s="132">
        <v>3.3270000000000001E-2</v>
      </c>
      <c r="X69" s="3" t="s">
        <v>620</v>
      </c>
      <c r="Y69" s="3" t="s">
        <v>55</v>
      </c>
      <c r="Z69" s="131">
        <v>72000.009999999995</v>
      </c>
      <c r="AA69" s="129">
        <v>1</v>
      </c>
      <c r="AB69" s="157">
        <v>145.99</v>
      </c>
      <c r="AD69" s="131">
        <v>105.113</v>
      </c>
      <c r="AG69" s="6" t="s">
        <v>17</v>
      </c>
      <c r="AH69" s="132">
        <v>3.9199999999999999E-4</v>
      </c>
      <c r="AI69" s="132">
        <v>6.8193869089333897E-3</v>
      </c>
      <c r="AJ69" s="132">
        <v>1.54099114945989E-3</v>
      </c>
    </row>
    <row r="70" spans="1:36" x14ac:dyDescent="0.2">
      <c r="A70" s="6">
        <v>13710</v>
      </c>
      <c r="B70" s="6">
        <v>13711</v>
      </c>
      <c r="C70" s="6" t="s">
        <v>1774</v>
      </c>
      <c r="D70" s="6" t="s">
        <v>1775</v>
      </c>
      <c r="E70" s="3" t="s">
        <v>1477</v>
      </c>
      <c r="F70" s="6" t="s">
        <v>1779</v>
      </c>
      <c r="G70" s="6" t="s">
        <v>1780</v>
      </c>
      <c r="H70" s="6" t="s">
        <v>76</v>
      </c>
      <c r="I70" s="6" t="s">
        <v>228</v>
      </c>
      <c r="J70" s="6" t="s">
        <v>53</v>
      </c>
      <c r="K70" s="6" t="s">
        <v>53</v>
      </c>
      <c r="L70" s="6" t="s">
        <v>805</v>
      </c>
      <c r="M70" s="6" t="s">
        <v>311</v>
      </c>
      <c r="N70" s="6" t="s">
        <v>692</v>
      </c>
      <c r="O70" s="6" t="s">
        <v>62</v>
      </c>
      <c r="P70" s="6" t="s">
        <v>1778</v>
      </c>
      <c r="Q70" s="6" t="s">
        <v>65</v>
      </c>
      <c r="R70" s="6" t="s">
        <v>57</v>
      </c>
      <c r="S70" s="6" t="s">
        <v>1219</v>
      </c>
      <c r="T70" s="131">
        <v>0.97599999999999998</v>
      </c>
      <c r="U70" s="6" t="s">
        <v>1559</v>
      </c>
      <c r="V70" s="134">
        <v>5.8000000000000003E-2</v>
      </c>
      <c r="W70" s="132">
        <v>5.9490000000000001E-2</v>
      </c>
      <c r="X70" s="3" t="s">
        <v>620</v>
      </c>
      <c r="Y70" s="3" t="s">
        <v>62</v>
      </c>
      <c r="Z70" s="131">
        <v>96000.07</v>
      </c>
      <c r="AA70" s="129">
        <v>1</v>
      </c>
      <c r="AB70" s="157">
        <v>99.25</v>
      </c>
      <c r="AD70" s="131">
        <v>95.28</v>
      </c>
      <c r="AG70" s="6" t="s">
        <v>17</v>
      </c>
      <c r="AH70" s="132">
        <v>1.7000000000000001E-4</v>
      </c>
      <c r="AI70" s="132">
        <v>6.1814695091064603E-3</v>
      </c>
      <c r="AJ70" s="132">
        <v>1.39683961790036E-3</v>
      </c>
    </row>
    <row r="71" spans="1:36" x14ac:dyDescent="0.2">
      <c r="A71" s="6">
        <v>13710</v>
      </c>
      <c r="B71" s="6">
        <v>13711</v>
      </c>
      <c r="C71" s="6" t="s">
        <v>1781</v>
      </c>
      <c r="D71" s="6" t="s">
        <v>1782</v>
      </c>
      <c r="E71" s="3" t="s">
        <v>1477</v>
      </c>
      <c r="F71" s="6" t="s">
        <v>1783</v>
      </c>
      <c r="G71" s="6" t="s">
        <v>1784</v>
      </c>
      <c r="H71" s="6" t="s">
        <v>76</v>
      </c>
      <c r="I71" s="6" t="s">
        <v>228</v>
      </c>
      <c r="J71" s="6" t="s">
        <v>53</v>
      </c>
      <c r="K71" s="6" t="s">
        <v>53</v>
      </c>
      <c r="L71" s="6" t="s">
        <v>805</v>
      </c>
      <c r="M71" s="6" t="s">
        <v>311</v>
      </c>
      <c r="N71" s="6" t="s">
        <v>267</v>
      </c>
      <c r="O71" s="6" t="s">
        <v>62</v>
      </c>
      <c r="P71" s="6" t="s">
        <v>1515</v>
      </c>
      <c r="Q71" s="6" t="s">
        <v>65</v>
      </c>
      <c r="R71" s="6" t="s">
        <v>57</v>
      </c>
      <c r="S71" s="6" t="s">
        <v>1219</v>
      </c>
      <c r="T71" s="131">
        <v>3.3580000000000001</v>
      </c>
      <c r="U71" s="6" t="s">
        <v>1785</v>
      </c>
      <c r="V71" s="134">
        <v>6.5199999999999994E-2</v>
      </c>
      <c r="W71" s="132">
        <v>5.144E-2</v>
      </c>
      <c r="X71" s="3" t="s">
        <v>620</v>
      </c>
      <c r="Y71" s="3" t="s">
        <v>62</v>
      </c>
      <c r="Z71" s="131">
        <v>10180.83</v>
      </c>
      <c r="AA71" s="129">
        <v>1</v>
      </c>
      <c r="AB71" s="157">
        <v>105.89</v>
      </c>
      <c r="AD71" s="131">
        <v>10.78</v>
      </c>
      <c r="AG71" s="6" t="s">
        <v>17</v>
      </c>
      <c r="AH71" s="132">
        <v>1.2999999999999999E-5</v>
      </c>
      <c r="AI71" s="132">
        <v>6.9940349816789899E-4</v>
      </c>
      <c r="AJ71" s="132">
        <v>1.5804567404235901E-4</v>
      </c>
    </row>
    <row r="72" spans="1:36" x14ac:dyDescent="0.2">
      <c r="A72" s="6">
        <v>13710</v>
      </c>
      <c r="B72" s="6">
        <v>13711</v>
      </c>
      <c r="C72" s="6" t="s">
        <v>1781</v>
      </c>
      <c r="D72" s="6" t="s">
        <v>1782</v>
      </c>
      <c r="E72" s="3" t="s">
        <v>1477</v>
      </c>
      <c r="F72" s="6" t="s">
        <v>1786</v>
      </c>
      <c r="G72" s="6" t="s">
        <v>1787</v>
      </c>
      <c r="H72" s="6" t="s">
        <v>76</v>
      </c>
      <c r="I72" s="6" t="s">
        <v>228</v>
      </c>
      <c r="J72" s="6" t="s">
        <v>53</v>
      </c>
      <c r="K72" s="6" t="s">
        <v>53</v>
      </c>
      <c r="L72" s="6" t="s">
        <v>805</v>
      </c>
      <c r="M72" s="6" t="s">
        <v>102</v>
      </c>
      <c r="N72" s="6" t="s">
        <v>267</v>
      </c>
      <c r="O72" s="6" t="s">
        <v>62</v>
      </c>
      <c r="P72" s="6" t="s">
        <v>1515</v>
      </c>
      <c r="Q72" s="6" t="s">
        <v>65</v>
      </c>
      <c r="R72" s="6" t="s">
        <v>57</v>
      </c>
      <c r="S72" s="6" t="s">
        <v>1219</v>
      </c>
      <c r="T72" s="131">
        <v>5.4980000000000002</v>
      </c>
      <c r="U72" s="6" t="s">
        <v>1788</v>
      </c>
      <c r="V72" s="134">
        <v>5.6899999999999999E-2</v>
      </c>
      <c r="W72" s="132">
        <v>6.0490000000000002E-2</v>
      </c>
      <c r="X72" s="3" t="s">
        <v>620</v>
      </c>
      <c r="Y72" s="3" t="s">
        <v>62</v>
      </c>
      <c r="Z72" s="131">
        <v>30000</v>
      </c>
      <c r="AA72" s="129">
        <v>1</v>
      </c>
      <c r="AB72" s="157">
        <v>100.623</v>
      </c>
      <c r="AD72" s="131">
        <v>30.187000000000001</v>
      </c>
      <c r="AG72" s="6" t="s">
        <v>17</v>
      </c>
      <c r="AH72" s="132">
        <v>0</v>
      </c>
      <c r="AI72" s="132">
        <v>1.9584227772218399E-3</v>
      </c>
      <c r="AJ72" s="132">
        <v>4.42548898735464E-4</v>
      </c>
    </row>
    <row r="73" spans="1:36" x14ac:dyDescent="0.2">
      <c r="A73" s="6">
        <v>13710</v>
      </c>
      <c r="B73" s="6">
        <v>13711</v>
      </c>
      <c r="C73" s="6" t="s">
        <v>1789</v>
      </c>
      <c r="D73" s="6" t="s">
        <v>1790</v>
      </c>
      <c r="E73" s="3" t="s">
        <v>1477</v>
      </c>
      <c r="F73" s="6" t="s">
        <v>1791</v>
      </c>
      <c r="G73" s="6" t="s">
        <v>1792</v>
      </c>
      <c r="H73" s="6" t="s">
        <v>76</v>
      </c>
      <c r="I73" s="6" t="s">
        <v>229</v>
      </c>
      <c r="J73" s="6" t="s">
        <v>53</v>
      </c>
      <c r="K73" s="6" t="s">
        <v>53</v>
      </c>
      <c r="L73" s="6" t="s">
        <v>805</v>
      </c>
      <c r="M73" s="6" t="s">
        <v>311</v>
      </c>
      <c r="N73" s="6" t="s">
        <v>635</v>
      </c>
      <c r="O73" s="6" t="s">
        <v>62</v>
      </c>
      <c r="P73" s="6" t="s">
        <v>1628</v>
      </c>
      <c r="Q73" s="6" t="s">
        <v>65</v>
      </c>
      <c r="R73" s="6" t="s">
        <v>57</v>
      </c>
      <c r="S73" s="6" t="s">
        <v>1219</v>
      </c>
      <c r="T73" s="131">
        <v>2.8719999999999999</v>
      </c>
      <c r="U73" s="6" t="s">
        <v>1649</v>
      </c>
      <c r="V73" s="134">
        <v>2.7E-2</v>
      </c>
      <c r="W73" s="132">
        <v>2.9139999999999999E-2</v>
      </c>
      <c r="X73" s="3" t="s">
        <v>620</v>
      </c>
      <c r="Y73" s="3" t="s">
        <v>62</v>
      </c>
      <c r="Z73" s="131">
        <v>38000</v>
      </c>
      <c r="AA73" s="129">
        <v>1</v>
      </c>
      <c r="AB73" s="157">
        <v>108.07</v>
      </c>
      <c r="AD73" s="131">
        <v>41.067</v>
      </c>
      <c r="AG73" s="6" t="s">
        <v>17</v>
      </c>
      <c r="AH73" s="132">
        <v>9.6000000000000002E-5</v>
      </c>
      <c r="AI73" s="132">
        <v>2.6642711024604999E-3</v>
      </c>
      <c r="AJ73" s="132">
        <v>6.0205092385578205E-4</v>
      </c>
    </row>
    <row r="74" spans="1:36" x14ac:dyDescent="0.2">
      <c r="A74" s="6">
        <v>13710</v>
      </c>
      <c r="B74" s="6">
        <v>13711</v>
      </c>
      <c r="C74" s="6" t="s">
        <v>1793</v>
      </c>
      <c r="D74" s="6" t="s">
        <v>1794</v>
      </c>
      <c r="E74" s="3" t="s">
        <v>767</v>
      </c>
      <c r="F74" s="6" t="s">
        <v>1795</v>
      </c>
      <c r="G74" s="6" t="s">
        <v>1796</v>
      </c>
      <c r="H74" s="6" t="s">
        <v>76</v>
      </c>
      <c r="I74" s="6" t="s">
        <v>228</v>
      </c>
      <c r="J74" s="6" t="s">
        <v>53</v>
      </c>
      <c r="K74" s="6" t="s">
        <v>317</v>
      </c>
      <c r="L74" s="6" t="s">
        <v>805</v>
      </c>
      <c r="M74" s="6" t="s">
        <v>311</v>
      </c>
      <c r="N74" s="6" t="s">
        <v>636</v>
      </c>
      <c r="O74" s="6" t="s">
        <v>62</v>
      </c>
      <c r="P74" s="6" t="s">
        <v>1753</v>
      </c>
      <c r="Q74" s="6" t="s">
        <v>70</v>
      </c>
      <c r="R74" s="6" t="s">
        <v>57</v>
      </c>
      <c r="S74" s="6" t="s">
        <v>1219</v>
      </c>
      <c r="T74" s="131">
        <v>0.64100000000000001</v>
      </c>
      <c r="U74" s="6" t="s">
        <v>1797</v>
      </c>
      <c r="V74" s="134">
        <v>8.9499999999999996E-2</v>
      </c>
      <c r="W74" s="132">
        <v>0.21804000000000001</v>
      </c>
      <c r="X74" s="3" t="s">
        <v>620</v>
      </c>
      <c r="Y74" s="3" t="s">
        <v>62</v>
      </c>
      <c r="Z74" s="131">
        <v>9245.43</v>
      </c>
      <c r="AA74" s="129">
        <v>1</v>
      </c>
      <c r="AB74" s="157">
        <v>98.78</v>
      </c>
      <c r="AD74" s="131">
        <v>9.1329999999999991</v>
      </c>
      <c r="AG74" s="6" t="s">
        <v>17</v>
      </c>
      <c r="AH74" s="132">
        <v>4.6999999999999997E-5</v>
      </c>
      <c r="AI74" s="132">
        <v>5.9249651854986199E-4</v>
      </c>
      <c r="AJ74" s="132">
        <v>1.3388767984040699E-4</v>
      </c>
    </row>
    <row r="75" spans="1:36" x14ac:dyDescent="0.2">
      <c r="A75" s="6">
        <v>13710</v>
      </c>
      <c r="B75" s="6">
        <v>13711</v>
      </c>
      <c r="C75" s="6" t="s">
        <v>1798</v>
      </c>
      <c r="D75" s="6" t="s">
        <v>1799</v>
      </c>
      <c r="E75" s="3" t="s">
        <v>1477</v>
      </c>
      <c r="F75" s="6" t="s">
        <v>1800</v>
      </c>
      <c r="G75" s="6" t="s">
        <v>1801</v>
      </c>
      <c r="H75" s="6" t="s">
        <v>76</v>
      </c>
      <c r="I75" s="6" t="s">
        <v>228</v>
      </c>
      <c r="J75" s="6" t="s">
        <v>53</v>
      </c>
      <c r="K75" s="6" t="s">
        <v>53</v>
      </c>
      <c r="L75" s="6" t="s">
        <v>805</v>
      </c>
      <c r="M75" s="6" t="s">
        <v>102</v>
      </c>
      <c r="N75" s="6" t="s">
        <v>140</v>
      </c>
      <c r="O75" s="6" t="s">
        <v>62</v>
      </c>
      <c r="P75" s="6" t="s">
        <v>298</v>
      </c>
      <c r="Q75" s="6" t="s">
        <v>298</v>
      </c>
      <c r="R75" s="6" t="s">
        <v>298</v>
      </c>
      <c r="S75" s="6" t="s">
        <v>1219</v>
      </c>
      <c r="T75" s="131">
        <v>3.2440000000000002</v>
      </c>
      <c r="U75" s="6" t="s">
        <v>1509</v>
      </c>
      <c r="V75" s="134">
        <v>7.1099999999999997E-2</v>
      </c>
      <c r="W75" s="132">
        <v>6.9029999999999994E-2</v>
      </c>
      <c r="X75" s="3" t="s">
        <v>620</v>
      </c>
      <c r="Y75" s="3" t="s">
        <v>62</v>
      </c>
      <c r="Z75" s="131">
        <v>18000</v>
      </c>
      <c r="AA75" s="129">
        <v>1</v>
      </c>
      <c r="AB75" s="157">
        <v>101.02</v>
      </c>
      <c r="AD75" s="131">
        <v>18.184000000000001</v>
      </c>
      <c r="AG75" s="6" t="s">
        <v>17</v>
      </c>
      <c r="AH75" s="132">
        <v>1.3799999999999999E-4</v>
      </c>
      <c r="AI75" s="132">
        <v>1.1796944480112999E-3</v>
      </c>
      <c r="AJ75" s="132">
        <v>2.6657802640160102E-4</v>
      </c>
    </row>
    <row r="76" spans="1:36" x14ac:dyDescent="0.2">
      <c r="A76" s="6">
        <v>13710</v>
      </c>
      <c r="B76" s="6">
        <v>13711</v>
      </c>
      <c r="C76" s="6" t="s">
        <v>1802</v>
      </c>
      <c r="D76" s="6" t="s">
        <v>1803</v>
      </c>
      <c r="E76" s="3" t="s">
        <v>1477</v>
      </c>
      <c r="F76" s="6" t="s">
        <v>1804</v>
      </c>
      <c r="G76" s="6" t="s">
        <v>1805</v>
      </c>
      <c r="H76" s="6" t="s">
        <v>76</v>
      </c>
      <c r="I76" s="6" t="s">
        <v>228</v>
      </c>
      <c r="J76" s="6" t="s">
        <v>53</v>
      </c>
      <c r="K76" s="6" t="s">
        <v>53</v>
      </c>
      <c r="L76" s="6" t="s">
        <v>805</v>
      </c>
      <c r="M76" s="6" t="s">
        <v>311</v>
      </c>
      <c r="N76" s="6" t="s">
        <v>692</v>
      </c>
      <c r="O76" s="6" t="s">
        <v>62</v>
      </c>
      <c r="P76" s="6" t="s">
        <v>1493</v>
      </c>
      <c r="Q76" s="6" t="s">
        <v>65</v>
      </c>
      <c r="R76" s="6" t="s">
        <v>57</v>
      </c>
      <c r="S76" s="6" t="s">
        <v>1219</v>
      </c>
      <c r="T76" s="131">
        <v>0.76300000000000001</v>
      </c>
      <c r="U76" s="6" t="s">
        <v>1578</v>
      </c>
      <c r="V76" s="134">
        <v>3.5999999999999997E-2</v>
      </c>
      <c r="W76" s="132">
        <v>4.9209999999999997E-2</v>
      </c>
      <c r="X76" s="3" t="s">
        <v>620</v>
      </c>
      <c r="Y76" s="3" t="s">
        <v>62</v>
      </c>
      <c r="Z76" s="131">
        <v>64000.36</v>
      </c>
      <c r="AA76" s="129">
        <v>1</v>
      </c>
      <c r="AB76" s="157">
        <v>99.96</v>
      </c>
      <c r="AD76" s="131">
        <v>63.975000000000001</v>
      </c>
      <c r="AG76" s="6" t="s">
        <v>17</v>
      </c>
      <c r="AH76" s="132">
        <v>3.0800000000000001E-4</v>
      </c>
      <c r="AI76" s="132">
        <v>4.1504800487790804E-3</v>
      </c>
      <c r="AJ76" s="132">
        <v>9.3789267372406304E-4</v>
      </c>
    </row>
    <row r="77" spans="1:36" x14ac:dyDescent="0.2">
      <c r="A77" s="6">
        <v>13710</v>
      </c>
      <c r="B77" s="6">
        <v>13711</v>
      </c>
      <c r="C77" s="6" t="s">
        <v>1806</v>
      </c>
      <c r="D77" s="6" t="s">
        <v>1807</v>
      </c>
      <c r="E77" s="3" t="s">
        <v>1477</v>
      </c>
      <c r="F77" s="6" t="s">
        <v>1808</v>
      </c>
      <c r="G77" s="6" t="s">
        <v>1809</v>
      </c>
      <c r="H77" s="6" t="s">
        <v>76</v>
      </c>
      <c r="I77" s="6" t="s">
        <v>228</v>
      </c>
      <c r="J77" s="6" t="s">
        <v>53</v>
      </c>
      <c r="K77" s="6" t="s">
        <v>53</v>
      </c>
      <c r="L77" s="6" t="s">
        <v>805</v>
      </c>
      <c r="M77" s="6" t="s">
        <v>102</v>
      </c>
      <c r="N77" s="6" t="s">
        <v>140</v>
      </c>
      <c r="O77" s="6" t="s">
        <v>62</v>
      </c>
      <c r="P77" s="6" t="s">
        <v>298</v>
      </c>
      <c r="Q77" s="6" t="s">
        <v>298</v>
      </c>
      <c r="R77" s="6" t="s">
        <v>298</v>
      </c>
      <c r="S77" s="6" t="s">
        <v>1219</v>
      </c>
      <c r="T77" s="131">
        <v>1.117</v>
      </c>
      <c r="U77" s="6" t="s">
        <v>1810</v>
      </c>
      <c r="V77" s="134">
        <v>2.9000000000000001E-2</v>
      </c>
      <c r="W77" s="132">
        <v>6.7830000000000001E-2</v>
      </c>
      <c r="X77" s="3" t="s">
        <v>620</v>
      </c>
      <c r="Y77" s="3" t="s">
        <v>62</v>
      </c>
      <c r="Z77" s="131">
        <v>30000</v>
      </c>
      <c r="AA77" s="129">
        <v>1</v>
      </c>
      <c r="AB77" s="157">
        <v>95.8</v>
      </c>
      <c r="AC77" s="131">
        <v>10.58</v>
      </c>
      <c r="AD77" s="131">
        <v>39.32</v>
      </c>
      <c r="AG77" s="6" t="s">
        <v>17</v>
      </c>
      <c r="AH77" s="132">
        <v>0</v>
      </c>
      <c r="AI77" s="132">
        <v>2.55095721946173E-3</v>
      </c>
      <c r="AJ77" s="132">
        <v>5.7644514827157197E-4</v>
      </c>
    </row>
    <row r="78" spans="1:36" x14ac:dyDescent="0.2">
      <c r="A78" s="6">
        <v>13710</v>
      </c>
      <c r="B78" s="6">
        <v>13711</v>
      </c>
      <c r="C78" s="6" t="s">
        <v>1811</v>
      </c>
      <c r="D78" s="6" t="s">
        <v>1812</v>
      </c>
      <c r="E78" s="3" t="s">
        <v>1477</v>
      </c>
      <c r="F78" s="6" t="s">
        <v>1813</v>
      </c>
      <c r="G78" s="6" t="s">
        <v>1814</v>
      </c>
      <c r="H78" s="6" t="s">
        <v>76</v>
      </c>
      <c r="I78" s="6" t="s">
        <v>229</v>
      </c>
      <c r="J78" s="6" t="s">
        <v>53</v>
      </c>
      <c r="K78" s="6" t="s">
        <v>53</v>
      </c>
      <c r="L78" s="6" t="s">
        <v>805</v>
      </c>
      <c r="M78" s="6" t="s">
        <v>311</v>
      </c>
      <c r="N78" s="6" t="s">
        <v>75</v>
      </c>
      <c r="O78" s="6" t="s">
        <v>62</v>
      </c>
      <c r="P78" s="6" t="s">
        <v>1577</v>
      </c>
      <c r="Q78" s="6" t="s">
        <v>65</v>
      </c>
      <c r="R78" s="6" t="s">
        <v>57</v>
      </c>
      <c r="S78" s="6" t="s">
        <v>1219</v>
      </c>
      <c r="T78" s="131">
        <v>1.0900000000000001</v>
      </c>
      <c r="U78" s="6" t="s">
        <v>1815</v>
      </c>
      <c r="V78" s="134">
        <v>1.0500000000000001E-2</v>
      </c>
      <c r="W78" s="132">
        <v>3.2000000000000001E-2</v>
      </c>
      <c r="X78" s="3" t="s">
        <v>620</v>
      </c>
      <c r="Y78" s="3" t="s">
        <v>62</v>
      </c>
      <c r="Z78" s="131">
        <v>40396.18</v>
      </c>
      <c r="AA78" s="129">
        <v>1</v>
      </c>
      <c r="AB78" s="157">
        <v>113.64</v>
      </c>
      <c r="AD78" s="131">
        <v>45.905999999999999</v>
      </c>
      <c r="AG78" s="6" t="s">
        <v>17</v>
      </c>
      <c r="AH78" s="132">
        <v>9.7999999999999997E-5</v>
      </c>
      <c r="AI78" s="132">
        <v>2.9782502709510498E-3</v>
      </c>
      <c r="AJ78" s="132">
        <v>6.7300145448557797E-4</v>
      </c>
    </row>
    <row r="79" spans="1:36" x14ac:dyDescent="0.2">
      <c r="A79" s="6">
        <v>13710</v>
      </c>
      <c r="B79" s="6">
        <v>13711</v>
      </c>
      <c r="C79" s="6" t="s">
        <v>1811</v>
      </c>
      <c r="D79" s="6" t="s">
        <v>1812</v>
      </c>
      <c r="E79" s="3" t="s">
        <v>1477</v>
      </c>
      <c r="F79" s="6" t="s">
        <v>1816</v>
      </c>
      <c r="G79" s="6" t="s">
        <v>1817</v>
      </c>
      <c r="H79" s="6" t="s">
        <v>76</v>
      </c>
      <c r="I79" s="6" t="s">
        <v>228</v>
      </c>
      <c r="J79" s="6" t="s">
        <v>53</v>
      </c>
      <c r="K79" s="6" t="s">
        <v>53</v>
      </c>
      <c r="L79" s="6" t="s">
        <v>805</v>
      </c>
      <c r="M79" s="6" t="s">
        <v>311</v>
      </c>
      <c r="N79" s="6" t="s">
        <v>75</v>
      </c>
      <c r="O79" s="6" t="s">
        <v>62</v>
      </c>
      <c r="P79" s="6" t="s">
        <v>1577</v>
      </c>
      <c r="Q79" s="6" t="s">
        <v>65</v>
      </c>
      <c r="R79" s="6" t="s">
        <v>57</v>
      </c>
      <c r="S79" s="6" t="s">
        <v>1219</v>
      </c>
      <c r="T79" s="131">
        <v>1.7789999999999999</v>
      </c>
      <c r="U79" s="6" t="s">
        <v>1818</v>
      </c>
      <c r="V79" s="134">
        <v>2.18E-2</v>
      </c>
      <c r="W79" s="132">
        <v>4.8379999999999999E-2</v>
      </c>
      <c r="X79" s="3" t="s">
        <v>620</v>
      </c>
      <c r="Y79" s="3" t="s">
        <v>62</v>
      </c>
      <c r="Z79" s="131">
        <v>27000</v>
      </c>
      <c r="AA79" s="129">
        <v>1</v>
      </c>
      <c r="AB79" s="157">
        <v>95.82</v>
      </c>
      <c r="AD79" s="131">
        <v>25.870999999999999</v>
      </c>
      <c r="AG79" s="6" t="s">
        <v>17</v>
      </c>
      <c r="AH79" s="132">
        <v>9.5000000000000005E-5</v>
      </c>
      <c r="AI79" s="132">
        <v>1.67845459327523E-3</v>
      </c>
      <c r="AJ79" s="132">
        <v>3.7928390155119899E-4</v>
      </c>
    </row>
    <row r="80" spans="1:36" x14ac:dyDescent="0.2">
      <c r="A80" s="6">
        <v>13710</v>
      </c>
      <c r="B80" s="6">
        <v>13711</v>
      </c>
      <c r="C80" s="6" t="s">
        <v>1819</v>
      </c>
      <c r="D80" s="6" t="s">
        <v>1820</v>
      </c>
      <c r="E80" s="3" t="s">
        <v>1477</v>
      </c>
      <c r="F80" s="6" t="s">
        <v>1821</v>
      </c>
      <c r="G80" s="6" t="s">
        <v>1822</v>
      </c>
      <c r="H80" s="6" t="s">
        <v>76</v>
      </c>
      <c r="I80" s="6" t="s">
        <v>229</v>
      </c>
      <c r="J80" s="6" t="s">
        <v>53</v>
      </c>
      <c r="K80" s="6" t="s">
        <v>53</v>
      </c>
      <c r="L80" s="6" t="s">
        <v>805</v>
      </c>
      <c r="M80" s="6" t="s">
        <v>311</v>
      </c>
      <c r="N80" s="6" t="s">
        <v>256</v>
      </c>
      <c r="O80" s="6" t="s">
        <v>62</v>
      </c>
      <c r="P80" s="6" t="s">
        <v>1577</v>
      </c>
      <c r="Q80" s="6" t="s">
        <v>65</v>
      </c>
      <c r="R80" s="6" t="s">
        <v>57</v>
      </c>
      <c r="S80" s="6" t="s">
        <v>1219</v>
      </c>
      <c r="T80" s="131">
        <v>3.8740000000000001</v>
      </c>
      <c r="U80" s="6" t="s">
        <v>1823</v>
      </c>
      <c r="V80" s="134">
        <v>2.5899999999999999E-2</v>
      </c>
      <c r="W80" s="132">
        <v>2.7470000000000001E-2</v>
      </c>
      <c r="X80" s="3" t="s">
        <v>620</v>
      </c>
      <c r="Y80" s="3" t="s">
        <v>62</v>
      </c>
      <c r="Z80" s="131">
        <v>30000</v>
      </c>
      <c r="AA80" s="129">
        <v>1</v>
      </c>
      <c r="AB80" s="157">
        <v>105.24</v>
      </c>
      <c r="AD80" s="131">
        <v>31.571999999999999</v>
      </c>
      <c r="AG80" s="6" t="s">
        <v>17</v>
      </c>
      <c r="AH80" s="132">
        <v>4.3999999999999999E-5</v>
      </c>
      <c r="AI80" s="132">
        <v>2.0482914886278099E-3</v>
      </c>
      <c r="AJ80" s="132">
        <v>4.6285671976678799E-4</v>
      </c>
    </row>
    <row r="81" spans="1:36" x14ac:dyDescent="0.2">
      <c r="A81" s="6">
        <v>13710</v>
      </c>
      <c r="B81" s="6">
        <v>13711</v>
      </c>
      <c r="C81" s="6" t="s">
        <v>1824</v>
      </c>
      <c r="D81" s="6" t="s">
        <v>1825</v>
      </c>
      <c r="E81" s="3" t="s">
        <v>1477</v>
      </c>
      <c r="F81" s="6" t="s">
        <v>1826</v>
      </c>
      <c r="G81" s="6" t="s">
        <v>1827</v>
      </c>
      <c r="H81" s="6" t="s">
        <v>76</v>
      </c>
      <c r="I81" s="6" t="s">
        <v>229</v>
      </c>
      <c r="J81" s="6" t="s">
        <v>53</v>
      </c>
      <c r="K81" s="6" t="s">
        <v>53</v>
      </c>
      <c r="L81" s="6" t="s">
        <v>805</v>
      </c>
      <c r="M81" s="6" t="s">
        <v>102</v>
      </c>
      <c r="N81" s="6" t="s">
        <v>635</v>
      </c>
      <c r="O81" s="6" t="s">
        <v>62</v>
      </c>
      <c r="P81" s="6" t="s">
        <v>298</v>
      </c>
      <c r="Q81" s="6" t="s">
        <v>298</v>
      </c>
      <c r="R81" s="6" t="s">
        <v>298</v>
      </c>
      <c r="S81" s="6" t="s">
        <v>1219</v>
      </c>
      <c r="T81" s="131">
        <v>5.0380000000000003</v>
      </c>
      <c r="U81" s="6" t="s">
        <v>1828</v>
      </c>
      <c r="V81" s="134">
        <v>4.99E-2</v>
      </c>
      <c r="W81" s="132">
        <v>4.861E-2</v>
      </c>
      <c r="X81" s="3" t="s">
        <v>620</v>
      </c>
      <c r="Y81" s="3" t="s">
        <v>62</v>
      </c>
      <c r="Z81" s="131">
        <v>29000</v>
      </c>
      <c r="AA81" s="129">
        <v>1</v>
      </c>
      <c r="AB81" s="157">
        <v>100.85</v>
      </c>
      <c r="AD81" s="131">
        <v>29.247</v>
      </c>
      <c r="AG81" s="6" t="s">
        <v>17</v>
      </c>
      <c r="AH81" s="132">
        <v>2.2800000000000001E-4</v>
      </c>
      <c r="AI81" s="132">
        <v>1.8974204048572601E-3</v>
      </c>
      <c r="AJ81" s="132">
        <v>4.2876406482514101E-4</v>
      </c>
    </row>
    <row r="82" spans="1:36" x14ac:dyDescent="0.2">
      <c r="A82" s="6">
        <v>13710</v>
      </c>
      <c r="B82" s="6">
        <v>13711</v>
      </c>
      <c r="C82" s="6" t="s">
        <v>1829</v>
      </c>
      <c r="D82" s="6" t="s">
        <v>1830</v>
      </c>
      <c r="E82" s="3" t="s">
        <v>1477</v>
      </c>
      <c r="F82" s="6" t="s">
        <v>1831</v>
      </c>
      <c r="G82" s="6" t="s">
        <v>1832</v>
      </c>
      <c r="H82" s="6" t="s">
        <v>76</v>
      </c>
      <c r="I82" s="6" t="s">
        <v>228</v>
      </c>
      <c r="J82" s="6" t="s">
        <v>53</v>
      </c>
      <c r="K82" s="6" t="s">
        <v>53</v>
      </c>
      <c r="L82" s="6" t="s">
        <v>805</v>
      </c>
      <c r="M82" s="6" t="s">
        <v>311</v>
      </c>
      <c r="N82" s="6" t="s">
        <v>140</v>
      </c>
      <c r="O82" s="6" t="s">
        <v>62</v>
      </c>
      <c r="P82" s="6" t="s">
        <v>1515</v>
      </c>
      <c r="Q82" s="6" t="s">
        <v>65</v>
      </c>
      <c r="R82" s="6" t="s">
        <v>57</v>
      </c>
      <c r="S82" s="6" t="s">
        <v>1219</v>
      </c>
      <c r="T82" s="131">
        <v>1.4570000000000001</v>
      </c>
      <c r="U82" s="6" t="s">
        <v>1644</v>
      </c>
      <c r="V82" s="134">
        <v>3.95E-2</v>
      </c>
      <c r="W82" s="132">
        <v>5.5649999999999998E-2</v>
      </c>
      <c r="X82" s="3" t="s">
        <v>620</v>
      </c>
      <c r="Y82" s="3" t="s">
        <v>62</v>
      </c>
      <c r="Z82" s="131">
        <v>12600</v>
      </c>
      <c r="AA82" s="129">
        <v>1</v>
      </c>
      <c r="AB82" s="157">
        <v>97.85</v>
      </c>
      <c r="AD82" s="131">
        <v>12.329000000000001</v>
      </c>
      <c r="AG82" s="6" t="s">
        <v>17</v>
      </c>
      <c r="AH82" s="132">
        <v>2.0999999999999999E-5</v>
      </c>
      <c r="AI82" s="132">
        <v>7.9987300748895096E-4</v>
      </c>
      <c r="AJ82" s="132">
        <v>1.80748979591939E-4</v>
      </c>
    </row>
    <row r="83" spans="1:36" x14ac:dyDescent="0.2">
      <c r="A83" s="6">
        <v>13710</v>
      </c>
      <c r="B83" s="6">
        <v>13711</v>
      </c>
      <c r="C83" s="6" t="s">
        <v>1833</v>
      </c>
      <c r="D83" s="6" t="s">
        <v>1834</v>
      </c>
      <c r="E83" s="3" t="s">
        <v>432</v>
      </c>
      <c r="F83" s="6" t="s">
        <v>1835</v>
      </c>
      <c r="G83" s="6" t="s">
        <v>1836</v>
      </c>
      <c r="H83" s="6" t="s">
        <v>76</v>
      </c>
      <c r="I83" s="6" t="s">
        <v>230</v>
      </c>
      <c r="J83" s="6" t="s">
        <v>53</v>
      </c>
      <c r="K83" s="6" t="s">
        <v>53</v>
      </c>
      <c r="L83" s="6" t="s">
        <v>805</v>
      </c>
      <c r="M83" s="6" t="s">
        <v>311</v>
      </c>
      <c r="N83" s="6" t="s">
        <v>267</v>
      </c>
      <c r="O83" s="6" t="s">
        <v>62</v>
      </c>
      <c r="P83" s="6" t="s">
        <v>1533</v>
      </c>
      <c r="Q83" s="6" t="s">
        <v>65</v>
      </c>
      <c r="R83" s="6" t="s">
        <v>57</v>
      </c>
      <c r="S83" s="6" t="s">
        <v>1219</v>
      </c>
      <c r="T83" s="131">
        <v>2.86</v>
      </c>
      <c r="U83" s="6" t="s">
        <v>1837</v>
      </c>
      <c r="V83" s="134">
        <v>3.7699999999999997E-2</v>
      </c>
      <c r="W83" s="132">
        <v>5.6959999999999997E-2</v>
      </c>
      <c r="X83" s="3" t="s">
        <v>620</v>
      </c>
      <c r="Y83" s="3" t="s">
        <v>62</v>
      </c>
      <c r="Z83" s="131">
        <v>797.14</v>
      </c>
      <c r="AA83" s="129">
        <v>1</v>
      </c>
      <c r="AB83" s="157">
        <v>94.84</v>
      </c>
      <c r="AD83" s="131">
        <v>0.75600000000000001</v>
      </c>
      <c r="AG83" s="6" t="s">
        <v>17</v>
      </c>
      <c r="AH83" s="132">
        <v>5.0000000000000004E-6</v>
      </c>
      <c r="AI83" s="132">
        <v>4.9047380060146501E-5</v>
      </c>
      <c r="AJ83" s="132">
        <v>1.1083339248264299E-5</v>
      </c>
    </row>
    <row r="84" spans="1:36" x14ac:dyDescent="0.2">
      <c r="A84" s="6">
        <v>13710</v>
      </c>
      <c r="B84" s="6">
        <v>13711</v>
      </c>
      <c r="C84" s="6" t="s">
        <v>1833</v>
      </c>
      <c r="D84" s="6" t="s">
        <v>1834</v>
      </c>
      <c r="E84" s="3" t="s">
        <v>432</v>
      </c>
      <c r="F84" s="6" t="s">
        <v>1838</v>
      </c>
      <c r="G84" s="6" t="s">
        <v>1839</v>
      </c>
      <c r="H84" s="6" t="s">
        <v>76</v>
      </c>
      <c r="I84" s="6" t="s">
        <v>230</v>
      </c>
      <c r="J84" s="6" t="s">
        <v>53</v>
      </c>
      <c r="K84" s="6" t="s">
        <v>53</v>
      </c>
      <c r="L84" s="6" t="s">
        <v>805</v>
      </c>
      <c r="M84" s="6" t="s">
        <v>311</v>
      </c>
      <c r="N84" s="6" t="s">
        <v>267</v>
      </c>
      <c r="O84" s="6" t="s">
        <v>62</v>
      </c>
      <c r="P84" s="6" t="s">
        <v>1533</v>
      </c>
      <c r="Q84" s="6" t="s">
        <v>65</v>
      </c>
      <c r="R84" s="6" t="s">
        <v>57</v>
      </c>
      <c r="S84" s="6" t="s">
        <v>1219</v>
      </c>
      <c r="T84" s="131">
        <v>0.27400000000000002</v>
      </c>
      <c r="U84" s="6" t="s">
        <v>1840</v>
      </c>
      <c r="V84" s="134">
        <v>3.49E-2</v>
      </c>
      <c r="W84" s="132">
        <v>2.896E-2</v>
      </c>
      <c r="X84" s="3" t="s">
        <v>620</v>
      </c>
      <c r="Y84" s="3" t="s">
        <v>62</v>
      </c>
      <c r="Z84" s="131">
        <v>43000.21</v>
      </c>
      <c r="AA84" s="129">
        <v>1</v>
      </c>
      <c r="AB84" s="157">
        <v>94.47</v>
      </c>
      <c r="AD84" s="131">
        <v>40.622</v>
      </c>
      <c r="AG84" s="6" t="s">
        <v>17</v>
      </c>
      <c r="AH84" s="132">
        <v>1.2799999999999999E-4</v>
      </c>
      <c r="AI84" s="132">
        <v>2.6354462192636299E-3</v>
      </c>
      <c r="AJ84" s="132">
        <v>5.9553730459883697E-4</v>
      </c>
    </row>
    <row r="85" spans="1:36" x14ac:dyDescent="0.2">
      <c r="A85" s="6">
        <v>13710</v>
      </c>
      <c r="B85" s="6">
        <v>13711</v>
      </c>
      <c r="C85" s="6" t="s">
        <v>1841</v>
      </c>
      <c r="D85" s="6" t="s">
        <v>1842</v>
      </c>
      <c r="E85" s="3" t="s">
        <v>1477</v>
      </c>
      <c r="F85" s="6" t="s">
        <v>1843</v>
      </c>
      <c r="G85" s="6" t="s">
        <v>1844</v>
      </c>
      <c r="H85" s="6" t="s">
        <v>76</v>
      </c>
      <c r="I85" s="6" t="s">
        <v>229</v>
      </c>
      <c r="J85" s="6" t="s">
        <v>53</v>
      </c>
      <c r="K85" s="6" t="s">
        <v>53</v>
      </c>
      <c r="L85" s="6" t="s">
        <v>805</v>
      </c>
      <c r="M85" s="6" t="s">
        <v>311</v>
      </c>
      <c r="N85" s="6" t="s">
        <v>635</v>
      </c>
      <c r="O85" s="6" t="s">
        <v>62</v>
      </c>
      <c r="P85" s="6" t="s">
        <v>1533</v>
      </c>
      <c r="Q85" s="6" t="s">
        <v>65</v>
      </c>
      <c r="R85" s="6" t="s">
        <v>57</v>
      </c>
      <c r="S85" s="6" t="s">
        <v>1219</v>
      </c>
      <c r="T85" s="131">
        <v>1.7569999999999999</v>
      </c>
      <c r="U85" s="6" t="s">
        <v>1845</v>
      </c>
      <c r="V85" s="134">
        <v>1.5800000000000002E-2</v>
      </c>
      <c r="W85" s="132">
        <v>2.7789999999999999E-2</v>
      </c>
      <c r="X85" s="3" t="s">
        <v>620</v>
      </c>
      <c r="Y85" s="3" t="s">
        <v>62</v>
      </c>
      <c r="Z85" s="131">
        <v>22000</v>
      </c>
      <c r="AA85" s="129">
        <v>1</v>
      </c>
      <c r="AB85" s="157">
        <v>116.04</v>
      </c>
      <c r="AD85" s="131">
        <v>25.529</v>
      </c>
      <c r="AG85" s="6" t="s">
        <v>17</v>
      </c>
      <c r="AH85" s="132">
        <v>5.5999999999999999E-5</v>
      </c>
      <c r="AI85" s="132">
        <v>1.6562277890181699E-3</v>
      </c>
      <c r="AJ85" s="132">
        <v>3.7426126401819199E-4</v>
      </c>
    </row>
    <row r="86" spans="1:36" x14ac:dyDescent="0.2">
      <c r="A86" s="6">
        <v>13710</v>
      </c>
      <c r="B86" s="6">
        <v>13711</v>
      </c>
      <c r="C86" s="6" t="s">
        <v>1841</v>
      </c>
      <c r="D86" s="6" t="s">
        <v>1842</v>
      </c>
      <c r="E86" s="3" t="s">
        <v>1477</v>
      </c>
      <c r="F86" s="6" t="s">
        <v>1846</v>
      </c>
      <c r="G86" s="6" t="s">
        <v>1847</v>
      </c>
      <c r="H86" s="6" t="s">
        <v>76</v>
      </c>
      <c r="I86" s="6" t="s">
        <v>228</v>
      </c>
      <c r="J86" s="6" t="s">
        <v>53</v>
      </c>
      <c r="K86" s="6" t="s">
        <v>53</v>
      </c>
      <c r="L86" s="6" t="s">
        <v>805</v>
      </c>
      <c r="M86" s="6" t="s">
        <v>311</v>
      </c>
      <c r="N86" s="6" t="s">
        <v>635</v>
      </c>
      <c r="O86" s="6" t="s">
        <v>62</v>
      </c>
      <c r="P86" s="6" t="s">
        <v>1577</v>
      </c>
      <c r="Q86" s="6" t="s">
        <v>65</v>
      </c>
      <c r="R86" s="6" t="s">
        <v>57</v>
      </c>
      <c r="S86" s="6" t="s">
        <v>1219</v>
      </c>
      <c r="T86" s="131">
        <v>1.121</v>
      </c>
      <c r="U86" s="6" t="s">
        <v>1848</v>
      </c>
      <c r="V86" s="134">
        <v>5.0500000000000003E-2</v>
      </c>
      <c r="W86" s="132">
        <v>4.7960000000000003E-2</v>
      </c>
      <c r="X86" s="3" t="s">
        <v>620</v>
      </c>
      <c r="Y86" s="3" t="s">
        <v>62</v>
      </c>
      <c r="Z86" s="131">
        <v>11000.33</v>
      </c>
      <c r="AA86" s="129">
        <v>1</v>
      </c>
      <c r="AB86" s="157">
        <v>102.04</v>
      </c>
      <c r="AD86" s="131">
        <v>11.225</v>
      </c>
      <c r="AG86" s="6" t="s">
        <v>17</v>
      </c>
      <c r="AH86" s="132">
        <v>5.8999999999999998E-5</v>
      </c>
      <c r="AI86" s="132">
        <v>7.2822541208170501E-4</v>
      </c>
      <c r="AJ86" s="132">
        <v>1.6455862232418901E-4</v>
      </c>
    </row>
    <row r="87" spans="1:36" x14ac:dyDescent="0.2">
      <c r="A87" s="6">
        <v>13710</v>
      </c>
      <c r="B87" s="6">
        <v>13711</v>
      </c>
      <c r="C87" s="6" t="s">
        <v>1849</v>
      </c>
      <c r="D87" s="6" t="s">
        <v>1850</v>
      </c>
      <c r="E87" s="3" t="s">
        <v>1477</v>
      </c>
      <c r="F87" s="6" t="s">
        <v>1851</v>
      </c>
      <c r="G87" s="6" t="s">
        <v>1852</v>
      </c>
      <c r="H87" s="6" t="s">
        <v>76</v>
      </c>
      <c r="I87" s="6" t="s">
        <v>607</v>
      </c>
      <c r="J87" s="6" t="s">
        <v>53</v>
      </c>
      <c r="K87" s="6" t="s">
        <v>53</v>
      </c>
      <c r="L87" s="6" t="s">
        <v>805</v>
      </c>
      <c r="M87" s="6" t="s">
        <v>311</v>
      </c>
      <c r="N87" s="6" t="s">
        <v>269</v>
      </c>
      <c r="O87" s="6" t="s">
        <v>62</v>
      </c>
      <c r="P87" s="6" t="s">
        <v>1577</v>
      </c>
      <c r="Q87" s="6" t="s">
        <v>65</v>
      </c>
      <c r="R87" s="6" t="s">
        <v>57</v>
      </c>
      <c r="S87" s="6" t="s">
        <v>1219</v>
      </c>
      <c r="T87" s="131">
        <v>2.6040000000000001</v>
      </c>
      <c r="U87" s="6" t="s">
        <v>1608</v>
      </c>
      <c r="V87" s="134">
        <v>2.8000000000000001E-2</v>
      </c>
      <c r="W87" s="132">
        <v>1E-4</v>
      </c>
      <c r="X87" s="3" t="s">
        <v>620</v>
      </c>
      <c r="Y87" s="3" t="s">
        <v>62</v>
      </c>
      <c r="Z87" s="131">
        <v>146000</v>
      </c>
      <c r="AA87" s="129">
        <v>1</v>
      </c>
      <c r="AB87" s="157">
        <v>183.2</v>
      </c>
      <c r="AD87" s="131">
        <v>267.47199999999998</v>
      </c>
      <c r="AG87" s="6" t="s">
        <v>17</v>
      </c>
      <c r="AH87" s="132">
        <v>9.7300000000000002E-4</v>
      </c>
      <c r="AI87" s="132">
        <v>1.7352737268664001E-2</v>
      </c>
      <c r="AJ87" s="132">
        <v>3.9212344023014803E-3</v>
      </c>
    </row>
    <row r="88" spans="1:36" x14ac:dyDescent="0.2">
      <c r="A88" s="6">
        <v>13710</v>
      </c>
      <c r="B88" s="6">
        <v>13711</v>
      </c>
      <c r="C88" s="6" t="s">
        <v>1220</v>
      </c>
      <c r="D88" s="6" t="s">
        <v>1483</v>
      </c>
      <c r="E88" s="3" t="s">
        <v>1477</v>
      </c>
      <c r="F88" s="6" t="s">
        <v>1853</v>
      </c>
      <c r="G88" s="6" t="s">
        <v>1854</v>
      </c>
      <c r="H88" s="6" t="s">
        <v>76</v>
      </c>
      <c r="I88" s="6" t="s">
        <v>229</v>
      </c>
      <c r="J88" s="6" t="s">
        <v>53</v>
      </c>
      <c r="K88" s="6" t="s">
        <v>53</v>
      </c>
      <c r="L88" s="6" t="s">
        <v>805</v>
      </c>
      <c r="M88" s="6" t="s">
        <v>311</v>
      </c>
      <c r="N88" s="6" t="s">
        <v>256</v>
      </c>
      <c r="O88" s="6" t="s">
        <v>62</v>
      </c>
      <c r="P88" s="6" t="s">
        <v>1213</v>
      </c>
      <c r="Q88" s="6" t="s">
        <v>65</v>
      </c>
      <c r="R88" s="6" t="s">
        <v>57</v>
      </c>
      <c r="S88" s="6" t="s">
        <v>1219</v>
      </c>
      <c r="T88" s="131">
        <v>2.0920000000000001</v>
      </c>
      <c r="U88" s="6" t="s">
        <v>1299</v>
      </c>
      <c r="V88" s="134">
        <v>1.8599999999999998E-2</v>
      </c>
      <c r="W88" s="132">
        <v>2.5680000000000001E-2</v>
      </c>
      <c r="X88" s="3" t="s">
        <v>620</v>
      </c>
      <c r="Y88" s="3" t="s">
        <v>62</v>
      </c>
      <c r="Z88" s="131">
        <v>585000</v>
      </c>
      <c r="AA88" s="129">
        <v>1</v>
      </c>
      <c r="AB88" s="157">
        <v>104.2</v>
      </c>
      <c r="AD88" s="131">
        <v>609.57000000000005</v>
      </c>
      <c r="AG88" s="6" t="s">
        <v>17</v>
      </c>
      <c r="AH88" s="132">
        <v>2.04E-4</v>
      </c>
      <c r="AI88" s="132">
        <v>3.9546973353694899E-2</v>
      </c>
      <c r="AJ88" s="132">
        <v>8.9365124372304799E-3</v>
      </c>
    </row>
    <row r="89" spans="1:36" x14ac:dyDescent="0.2">
      <c r="A89" s="6">
        <v>13710</v>
      </c>
      <c r="B89" s="6">
        <v>13711</v>
      </c>
      <c r="C89" s="6" t="s">
        <v>1220</v>
      </c>
      <c r="D89" s="6" t="s">
        <v>1483</v>
      </c>
      <c r="E89" s="3" t="s">
        <v>1477</v>
      </c>
      <c r="F89" s="6" t="s">
        <v>1855</v>
      </c>
      <c r="G89" s="6" t="s">
        <v>1856</v>
      </c>
      <c r="H89" s="6" t="s">
        <v>76</v>
      </c>
      <c r="I89" s="6" t="s">
        <v>229</v>
      </c>
      <c r="J89" s="6" t="s">
        <v>53</v>
      </c>
      <c r="K89" s="6" t="s">
        <v>53</v>
      </c>
      <c r="L89" s="6" t="s">
        <v>805</v>
      </c>
      <c r="M89" s="6" t="s">
        <v>311</v>
      </c>
      <c r="N89" s="6" t="s">
        <v>256</v>
      </c>
      <c r="O89" s="6" t="s">
        <v>62</v>
      </c>
      <c r="P89" s="6" t="s">
        <v>1213</v>
      </c>
      <c r="Q89" s="6" t="s">
        <v>65</v>
      </c>
      <c r="R89" s="6" t="s">
        <v>57</v>
      </c>
      <c r="S89" s="6" t="s">
        <v>1219</v>
      </c>
      <c r="T89" s="131">
        <v>0.995</v>
      </c>
      <c r="U89" s="6" t="s">
        <v>1595</v>
      </c>
      <c r="V89" s="134">
        <v>8.3000000000000001E-3</v>
      </c>
      <c r="W89" s="132">
        <v>2.4899999999999999E-2</v>
      </c>
      <c r="X89" s="3" t="s">
        <v>620</v>
      </c>
      <c r="Y89" s="3" t="s">
        <v>62</v>
      </c>
      <c r="Z89" s="131">
        <v>83000</v>
      </c>
      <c r="AA89" s="129">
        <v>1</v>
      </c>
      <c r="AB89" s="157">
        <v>115.16</v>
      </c>
      <c r="AD89" s="131">
        <v>95.582999999999998</v>
      </c>
      <c r="AG89" s="6" t="s">
        <v>17</v>
      </c>
      <c r="AH89" s="132">
        <v>5.5000000000000002E-5</v>
      </c>
      <c r="AI89" s="132">
        <v>6.20110970794421E-3</v>
      </c>
      <c r="AJ89" s="132">
        <v>1.40127775478668E-3</v>
      </c>
    </row>
    <row r="90" spans="1:36" x14ac:dyDescent="0.2">
      <c r="A90" s="6">
        <v>13710</v>
      </c>
      <c r="B90" s="6">
        <v>13711</v>
      </c>
      <c r="C90" s="6" t="s">
        <v>1220</v>
      </c>
      <c r="D90" s="6" t="s">
        <v>1483</v>
      </c>
      <c r="E90" s="3" t="s">
        <v>1477</v>
      </c>
      <c r="F90" s="6" t="s">
        <v>1857</v>
      </c>
      <c r="G90" s="6" t="s">
        <v>1858</v>
      </c>
      <c r="H90" s="6" t="s">
        <v>76</v>
      </c>
      <c r="I90" s="6" t="s">
        <v>228</v>
      </c>
      <c r="J90" s="6" t="s">
        <v>53</v>
      </c>
      <c r="K90" s="6" t="s">
        <v>53</v>
      </c>
      <c r="L90" s="6" t="s">
        <v>805</v>
      </c>
      <c r="M90" s="6" t="s">
        <v>311</v>
      </c>
      <c r="N90" s="6" t="s">
        <v>256</v>
      </c>
      <c r="O90" s="6" t="s">
        <v>62</v>
      </c>
      <c r="P90" s="6" t="s">
        <v>1213</v>
      </c>
      <c r="Q90" s="6" t="s">
        <v>65</v>
      </c>
      <c r="R90" s="6" t="s">
        <v>57</v>
      </c>
      <c r="S90" s="6" t="s">
        <v>1219</v>
      </c>
      <c r="T90" s="131">
        <v>2.4529999999999998</v>
      </c>
      <c r="U90" s="6" t="s">
        <v>1859</v>
      </c>
      <c r="V90" s="134">
        <v>2.76E-2</v>
      </c>
      <c r="W90" s="132">
        <v>4.3869999999999999E-2</v>
      </c>
      <c r="X90" s="3" t="s">
        <v>620</v>
      </c>
      <c r="Y90" s="3" t="s">
        <v>62</v>
      </c>
      <c r="Z90" s="131">
        <v>129000</v>
      </c>
      <c r="AA90" s="129">
        <v>1</v>
      </c>
      <c r="AB90" s="157">
        <v>96.65</v>
      </c>
      <c r="AD90" s="131">
        <v>124.679</v>
      </c>
      <c r="AG90" s="6" t="s">
        <v>17</v>
      </c>
      <c r="AH90" s="132">
        <v>5.8999999999999998E-5</v>
      </c>
      <c r="AI90" s="132">
        <v>8.0887466858254996E-3</v>
      </c>
      <c r="AJ90" s="132">
        <v>1.82783103811743E-3</v>
      </c>
    </row>
    <row r="91" spans="1:36" x14ac:dyDescent="0.2">
      <c r="A91" s="6">
        <v>13710</v>
      </c>
      <c r="B91" s="6">
        <v>13711</v>
      </c>
      <c r="C91" s="6" t="s">
        <v>1220</v>
      </c>
      <c r="D91" s="6" t="s">
        <v>1483</v>
      </c>
      <c r="E91" s="3" t="s">
        <v>1477</v>
      </c>
      <c r="F91" s="6" t="s">
        <v>1860</v>
      </c>
      <c r="G91" s="6" t="s">
        <v>1861</v>
      </c>
      <c r="H91" s="6" t="s">
        <v>76</v>
      </c>
      <c r="I91" s="6" t="s">
        <v>229</v>
      </c>
      <c r="J91" s="6" t="s">
        <v>53</v>
      </c>
      <c r="K91" s="6" t="s">
        <v>53</v>
      </c>
      <c r="L91" s="6" t="s">
        <v>805</v>
      </c>
      <c r="M91" s="6" t="s">
        <v>311</v>
      </c>
      <c r="N91" s="6" t="s">
        <v>256</v>
      </c>
      <c r="O91" s="6" t="s">
        <v>62</v>
      </c>
      <c r="P91" s="6" t="s">
        <v>1213</v>
      </c>
      <c r="Q91" s="6" t="s">
        <v>65</v>
      </c>
      <c r="R91" s="6" t="s">
        <v>57</v>
      </c>
      <c r="S91" s="6" t="s">
        <v>1219</v>
      </c>
      <c r="T91" s="131">
        <v>4.3879999999999999</v>
      </c>
      <c r="U91" s="6" t="s">
        <v>1862</v>
      </c>
      <c r="V91" s="134">
        <v>2.0199999999999999E-2</v>
      </c>
      <c r="W91" s="132">
        <v>2.6360000000000001E-2</v>
      </c>
      <c r="X91" s="3" t="s">
        <v>620</v>
      </c>
      <c r="Y91" s="3" t="s">
        <v>62</v>
      </c>
      <c r="Z91" s="131">
        <v>90000</v>
      </c>
      <c r="AA91" s="129">
        <v>1</v>
      </c>
      <c r="AB91" s="157">
        <v>102.52</v>
      </c>
      <c r="AD91" s="131">
        <v>92.268000000000001</v>
      </c>
      <c r="AG91" s="6" t="s">
        <v>17</v>
      </c>
      <c r="AH91" s="132">
        <v>2.5000000000000001E-5</v>
      </c>
      <c r="AI91" s="132">
        <v>5.98605596961583E-3</v>
      </c>
      <c r="AJ91" s="132">
        <v>1.35268161090339E-3</v>
      </c>
    </row>
    <row r="92" spans="1:36" x14ac:dyDescent="0.2">
      <c r="A92" s="6">
        <v>13710</v>
      </c>
      <c r="B92" s="6">
        <v>13711</v>
      </c>
      <c r="C92" s="6" t="s">
        <v>1220</v>
      </c>
      <c r="D92" s="6" t="s">
        <v>1483</v>
      </c>
      <c r="E92" s="3" t="s">
        <v>1477</v>
      </c>
      <c r="F92" s="6" t="s">
        <v>1863</v>
      </c>
      <c r="G92" s="6" t="s">
        <v>1864</v>
      </c>
      <c r="H92" s="6" t="s">
        <v>76</v>
      </c>
      <c r="I92" s="6" t="s">
        <v>229</v>
      </c>
      <c r="J92" s="6" t="s">
        <v>53</v>
      </c>
      <c r="K92" s="6" t="s">
        <v>53</v>
      </c>
      <c r="L92" s="6" t="s">
        <v>805</v>
      </c>
      <c r="M92" s="6" t="s">
        <v>311</v>
      </c>
      <c r="N92" s="6" t="s">
        <v>256</v>
      </c>
      <c r="O92" s="6" t="s">
        <v>62</v>
      </c>
      <c r="P92" s="6" t="s">
        <v>1213</v>
      </c>
      <c r="Q92" s="6" t="s">
        <v>65</v>
      </c>
      <c r="R92" s="6" t="s">
        <v>57</v>
      </c>
      <c r="S92" s="6" t="s">
        <v>1219</v>
      </c>
      <c r="T92" s="131">
        <v>4.3920000000000003</v>
      </c>
      <c r="U92" s="6" t="s">
        <v>1865</v>
      </c>
      <c r="V92" s="134">
        <v>1E-3</v>
      </c>
      <c r="W92" s="132">
        <v>2.581E-2</v>
      </c>
      <c r="X92" s="3" t="s">
        <v>620</v>
      </c>
      <c r="Y92" s="3" t="s">
        <v>62</v>
      </c>
      <c r="Z92" s="131">
        <v>117000</v>
      </c>
      <c r="AA92" s="129">
        <v>1</v>
      </c>
      <c r="AB92" s="157">
        <v>102.6</v>
      </c>
      <c r="AD92" s="131">
        <v>120.042</v>
      </c>
      <c r="AG92" s="6" t="s">
        <v>17</v>
      </c>
      <c r="AH92" s="132">
        <v>2.6999999999999999E-5</v>
      </c>
      <c r="AI92" s="132">
        <v>7.7879452324166997E-3</v>
      </c>
      <c r="AJ92" s="132">
        <v>1.75985830337783E-3</v>
      </c>
    </row>
    <row r="93" spans="1:36" x14ac:dyDescent="0.2">
      <c r="A93" s="6">
        <v>13710</v>
      </c>
      <c r="B93" s="6">
        <v>13711</v>
      </c>
      <c r="C93" s="6" t="s">
        <v>1866</v>
      </c>
      <c r="D93" s="6" t="s">
        <v>1867</v>
      </c>
      <c r="E93" s="3" t="s">
        <v>1477</v>
      </c>
      <c r="F93" s="6" t="s">
        <v>1868</v>
      </c>
      <c r="G93" s="6" t="s">
        <v>1869</v>
      </c>
      <c r="H93" s="6" t="s">
        <v>76</v>
      </c>
      <c r="I93" s="6" t="s">
        <v>228</v>
      </c>
      <c r="J93" s="6" t="s">
        <v>53</v>
      </c>
      <c r="K93" s="6" t="s">
        <v>53</v>
      </c>
      <c r="L93" s="6" t="s">
        <v>805</v>
      </c>
      <c r="M93" s="6" t="s">
        <v>311</v>
      </c>
      <c r="N93" s="6" t="s">
        <v>140</v>
      </c>
      <c r="O93" s="6" t="s">
        <v>62</v>
      </c>
      <c r="P93" s="6" t="s">
        <v>298</v>
      </c>
      <c r="Q93" s="6" t="s">
        <v>298</v>
      </c>
      <c r="R93" s="6" t="s">
        <v>298</v>
      </c>
      <c r="S93" s="6" t="s">
        <v>1219</v>
      </c>
      <c r="T93" s="131">
        <v>3.8039999999999998</v>
      </c>
      <c r="U93" s="6" t="s">
        <v>1870</v>
      </c>
      <c r="V93" s="134">
        <v>6.7299999999999999E-2</v>
      </c>
      <c r="W93" s="132">
        <v>5.4149999999999997E-2</v>
      </c>
      <c r="X93" s="3" t="s">
        <v>620</v>
      </c>
      <c r="Y93" s="3" t="s">
        <v>62</v>
      </c>
      <c r="Z93" s="131">
        <v>20779</v>
      </c>
      <c r="AA93" s="129">
        <v>1</v>
      </c>
      <c r="AB93" s="157">
        <v>105.77</v>
      </c>
      <c r="AD93" s="131">
        <v>21.978000000000002</v>
      </c>
      <c r="AG93" s="6" t="s">
        <v>17</v>
      </c>
      <c r="AH93" s="132">
        <v>8.0000000000000007E-5</v>
      </c>
      <c r="AI93" s="132">
        <v>1.42585976309363E-3</v>
      </c>
      <c r="AJ93" s="132">
        <v>3.2220451847656299E-4</v>
      </c>
    </row>
    <row r="94" spans="1:36" x14ac:dyDescent="0.2">
      <c r="A94" s="6">
        <v>13710</v>
      </c>
      <c r="B94" s="6">
        <v>13711</v>
      </c>
      <c r="C94" s="6" t="s">
        <v>1871</v>
      </c>
      <c r="D94" s="6" t="s">
        <v>1872</v>
      </c>
      <c r="E94" s="3" t="s">
        <v>1477</v>
      </c>
      <c r="F94" s="6" t="s">
        <v>1873</v>
      </c>
      <c r="G94" s="6" t="s">
        <v>1874</v>
      </c>
      <c r="H94" s="6" t="s">
        <v>76</v>
      </c>
      <c r="I94" s="6" t="s">
        <v>228</v>
      </c>
      <c r="J94" s="6" t="s">
        <v>53</v>
      </c>
      <c r="K94" s="6" t="s">
        <v>53</v>
      </c>
      <c r="L94" s="6" t="s">
        <v>805</v>
      </c>
      <c r="M94" s="6" t="s">
        <v>311</v>
      </c>
      <c r="N94" s="6" t="s">
        <v>692</v>
      </c>
      <c r="O94" s="6" t="s">
        <v>62</v>
      </c>
      <c r="P94" s="6" t="s">
        <v>298</v>
      </c>
      <c r="Q94" s="6" t="s">
        <v>298</v>
      </c>
      <c r="R94" s="6" t="s">
        <v>298</v>
      </c>
      <c r="S94" s="6" t="s">
        <v>1219</v>
      </c>
      <c r="T94" s="131">
        <v>0.499</v>
      </c>
      <c r="U94" s="6" t="s">
        <v>1499</v>
      </c>
      <c r="V94" s="134">
        <v>3.5000000000000003E-2</v>
      </c>
      <c r="W94" s="132">
        <v>5.0310000000000001E-2</v>
      </c>
      <c r="X94" s="3" t="s">
        <v>620</v>
      </c>
      <c r="Y94" s="3" t="s">
        <v>62</v>
      </c>
      <c r="Z94" s="131">
        <v>21480</v>
      </c>
      <c r="AA94" s="129">
        <v>1</v>
      </c>
      <c r="AB94" s="157">
        <v>99.29</v>
      </c>
      <c r="AD94" s="131">
        <v>21.327000000000002</v>
      </c>
      <c r="AG94" s="6" t="s">
        <v>17</v>
      </c>
      <c r="AH94" s="132">
        <v>5.3700000000000004E-4</v>
      </c>
      <c r="AI94" s="132">
        <v>1.3836602159311301E-3</v>
      </c>
      <c r="AJ94" s="132">
        <v>3.1266859837743598E-4</v>
      </c>
    </row>
    <row r="95" spans="1:36" x14ac:dyDescent="0.2">
      <c r="A95" s="6">
        <v>13710</v>
      </c>
      <c r="B95" s="6">
        <v>13711</v>
      </c>
      <c r="C95" s="6" t="s">
        <v>1875</v>
      </c>
      <c r="D95" s="6" t="s">
        <v>1876</v>
      </c>
      <c r="E95" s="3" t="s">
        <v>1477</v>
      </c>
      <c r="F95" s="6" t="s">
        <v>1877</v>
      </c>
      <c r="G95" s="6" t="s">
        <v>1878</v>
      </c>
      <c r="H95" s="6" t="s">
        <v>76</v>
      </c>
      <c r="I95" s="6" t="s">
        <v>229</v>
      </c>
      <c r="J95" s="6" t="s">
        <v>53</v>
      </c>
      <c r="K95" s="6" t="s">
        <v>53</v>
      </c>
      <c r="L95" s="6" t="s">
        <v>805</v>
      </c>
      <c r="M95" s="6" t="s">
        <v>311</v>
      </c>
      <c r="N95" s="6" t="s">
        <v>635</v>
      </c>
      <c r="O95" s="6" t="s">
        <v>62</v>
      </c>
      <c r="P95" s="6" t="s">
        <v>298</v>
      </c>
      <c r="Q95" s="6" t="s">
        <v>298</v>
      </c>
      <c r="R95" s="6" t="s">
        <v>298</v>
      </c>
      <c r="S95" s="6" t="s">
        <v>1219</v>
      </c>
      <c r="T95" s="131">
        <v>2.2250000000000001</v>
      </c>
      <c r="U95" s="6" t="s">
        <v>1605</v>
      </c>
      <c r="V95" s="134">
        <v>6.0999999999999999E-2</v>
      </c>
      <c r="W95" s="132">
        <v>3.9820000000000001E-2</v>
      </c>
      <c r="X95" s="3" t="s">
        <v>620</v>
      </c>
      <c r="Y95" s="3" t="s">
        <v>62</v>
      </c>
      <c r="Z95" s="131">
        <v>24000</v>
      </c>
      <c r="AA95" s="129">
        <v>1</v>
      </c>
      <c r="AB95" s="157">
        <v>110.19</v>
      </c>
      <c r="AD95" s="131">
        <v>26.446000000000002</v>
      </c>
      <c r="AG95" s="6" t="s">
        <v>17</v>
      </c>
      <c r="AH95" s="132">
        <v>2.8299999999999999E-4</v>
      </c>
      <c r="AI95" s="132">
        <v>1.7157068729144701E-3</v>
      </c>
      <c r="AJ95" s="132">
        <v>3.8770187724137102E-4</v>
      </c>
    </row>
    <row r="96" spans="1:36" x14ac:dyDescent="0.2">
      <c r="A96" s="6">
        <v>13710</v>
      </c>
      <c r="B96" s="6">
        <v>13711</v>
      </c>
      <c r="C96" s="6" t="s">
        <v>1875</v>
      </c>
      <c r="D96" s="6" t="s">
        <v>1876</v>
      </c>
      <c r="E96" s="3" t="s">
        <v>1477</v>
      </c>
      <c r="F96" s="6" t="s">
        <v>1879</v>
      </c>
      <c r="G96" s="6" t="s">
        <v>1880</v>
      </c>
      <c r="H96" s="6" t="s">
        <v>76</v>
      </c>
      <c r="I96" s="6" t="s">
        <v>229</v>
      </c>
      <c r="J96" s="6" t="s">
        <v>53</v>
      </c>
      <c r="K96" s="6" t="s">
        <v>53</v>
      </c>
      <c r="L96" s="6" t="s">
        <v>805</v>
      </c>
      <c r="M96" s="6" t="s">
        <v>311</v>
      </c>
      <c r="N96" s="6" t="s">
        <v>635</v>
      </c>
      <c r="O96" s="6" t="s">
        <v>62</v>
      </c>
      <c r="P96" s="6" t="s">
        <v>298</v>
      </c>
      <c r="Q96" s="6" t="s">
        <v>298</v>
      </c>
      <c r="R96" s="6" t="s">
        <v>298</v>
      </c>
      <c r="S96" s="6" t="s">
        <v>1219</v>
      </c>
      <c r="T96" s="131">
        <v>2.5059999999999998</v>
      </c>
      <c r="U96" s="6" t="s">
        <v>1544</v>
      </c>
      <c r="V96" s="134">
        <v>0.06</v>
      </c>
      <c r="W96" s="132">
        <v>3.2570000000000002E-2</v>
      </c>
      <c r="X96" s="3" t="s">
        <v>620</v>
      </c>
      <c r="Y96" s="3" t="s">
        <v>62</v>
      </c>
      <c r="Z96" s="131">
        <v>7200</v>
      </c>
      <c r="AA96" s="129">
        <v>1</v>
      </c>
      <c r="AB96" s="157">
        <v>113.39</v>
      </c>
      <c r="AD96" s="131">
        <v>8.1639999999999997</v>
      </c>
      <c r="AG96" s="6" t="s">
        <v>17</v>
      </c>
      <c r="AH96" s="132">
        <v>1.0399999999999999E-4</v>
      </c>
      <c r="AI96" s="132">
        <v>5.2965968505246899E-4</v>
      </c>
      <c r="AJ96" s="132">
        <v>1.19688308903891E-4</v>
      </c>
    </row>
    <row r="97" spans="1:36" x14ac:dyDescent="0.2">
      <c r="A97" s="6">
        <v>13710</v>
      </c>
      <c r="B97" s="6">
        <v>13711</v>
      </c>
      <c r="C97" s="6" t="s">
        <v>1881</v>
      </c>
      <c r="D97" s="6" t="s">
        <v>1882</v>
      </c>
      <c r="E97" s="3" t="s">
        <v>1477</v>
      </c>
      <c r="F97" s="6" t="s">
        <v>1883</v>
      </c>
      <c r="G97" s="6" t="s">
        <v>1884</v>
      </c>
      <c r="H97" s="6" t="s">
        <v>76</v>
      </c>
      <c r="I97" s="6" t="s">
        <v>229</v>
      </c>
      <c r="J97" s="6" t="s">
        <v>53</v>
      </c>
      <c r="K97" s="6" t="s">
        <v>53</v>
      </c>
      <c r="L97" s="6" t="s">
        <v>805</v>
      </c>
      <c r="M97" s="6" t="s">
        <v>311</v>
      </c>
      <c r="N97" s="6" t="s">
        <v>635</v>
      </c>
      <c r="O97" s="6" t="s">
        <v>62</v>
      </c>
      <c r="P97" s="6" t="s">
        <v>1533</v>
      </c>
      <c r="Q97" s="6" t="s">
        <v>65</v>
      </c>
      <c r="R97" s="6" t="s">
        <v>57</v>
      </c>
      <c r="S97" s="6" t="s">
        <v>1219</v>
      </c>
      <c r="T97" s="131">
        <v>1.6419999999999999</v>
      </c>
      <c r="U97" s="6" t="s">
        <v>1285</v>
      </c>
      <c r="V97" s="134">
        <v>2.5999999999999999E-2</v>
      </c>
      <c r="W97" s="132">
        <v>2.768E-2</v>
      </c>
      <c r="X97" s="3" t="s">
        <v>620</v>
      </c>
      <c r="Y97" s="3" t="s">
        <v>62</v>
      </c>
      <c r="Z97" s="131">
        <v>44962.12</v>
      </c>
      <c r="AA97" s="129">
        <v>1</v>
      </c>
      <c r="AB97" s="157">
        <v>118.58</v>
      </c>
      <c r="AD97" s="131">
        <v>53.316000000000003</v>
      </c>
      <c r="AG97" s="6" t="s">
        <v>17</v>
      </c>
      <c r="AH97" s="132">
        <v>1.3300000000000001E-4</v>
      </c>
      <c r="AI97" s="132">
        <v>3.4589787392170401E-3</v>
      </c>
      <c r="AJ97" s="132">
        <v>7.8163267379956799E-4</v>
      </c>
    </row>
    <row r="98" spans="1:36" x14ac:dyDescent="0.2">
      <c r="A98" s="6">
        <v>13710</v>
      </c>
      <c r="B98" s="6">
        <v>13711</v>
      </c>
      <c r="C98" s="6" t="s">
        <v>1881</v>
      </c>
      <c r="D98" s="6" t="s">
        <v>1882</v>
      </c>
      <c r="E98" s="3" t="s">
        <v>1477</v>
      </c>
      <c r="F98" s="6" t="s">
        <v>1885</v>
      </c>
      <c r="G98" s="6" t="s">
        <v>1886</v>
      </c>
      <c r="H98" s="6" t="s">
        <v>76</v>
      </c>
      <c r="I98" s="6" t="s">
        <v>229</v>
      </c>
      <c r="J98" s="6" t="s">
        <v>53</v>
      </c>
      <c r="K98" s="6" t="s">
        <v>53</v>
      </c>
      <c r="L98" s="6" t="s">
        <v>805</v>
      </c>
      <c r="M98" s="6" t="s">
        <v>311</v>
      </c>
      <c r="N98" s="6" t="s">
        <v>635</v>
      </c>
      <c r="O98" s="6" t="s">
        <v>62</v>
      </c>
      <c r="P98" s="6" t="s">
        <v>1533</v>
      </c>
      <c r="Q98" s="6" t="s">
        <v>65</v>
      </c>
      <c r="R98" s="6" t="s">
        <v>57</v>
      </c>
      <c r="S98" s="6" t="s">
        <v>1219</v>
      </c>
      <c r="T98" s="131">
        <v>1.1559999999999999</v>
      </c>
      <c r="U98" s="6" t="s">
        <v>1578</v>
      </c>
      <c r="V98" s="134">
        <v>2.4E-2</v>
      </c>
      <c r="W98" s="132">
        <v>2.861E-2</v>
      </c>
      <c r="X98" s="3" t="s">
        <v>620</v>
      </c>
      <c r="Y98" s="3" t="s">
        <v>62</v>
      </c>
      <c r="Z98" s="131">
        <v>142550.01999999999</v>
      </c>
      <c r="AA98" s="129">
        <v>1</v>
      </c>
      <c r="AB98" s="157">
        <v>117.85</v>
      </c>
      <c r="AD98" s="131">
        <v>167.995</v>
      </c>
      <c r="AG98" s="6" t="s">
        <v>17</v>
      </c>
      <c r="AH98" s="132">
        <v>2.6499999999999999E-4</v>
      </c>
      <c r="AI98" s="132">
        <v>1.08989970657947E-2</v>
      </c>
      <c r="AJ98" s="132">
        <v>2.4628692052033499E-3</v>
      </c>
    </row>
    <row r="99" spans="1:36" x14ac:dyDescent="0.2">
      <c r="A99" s="6">
        <v>13710</v>
      </c>
      <c r="B99" s="6">
        <v>13711</v>
      </c>
      <c r="C99" s="6" t="s">
        <v>1887</v>
      </c>
      <c r="D99" s="6" t="s">
        <v>1888</v>
      </c>
      <c r="E99" s="3" t="s">
        <v>1477</v>
      </c>
      <c r="F99" s="6" t="s">
        <v>1889</v>
      </c>
      <c r="G99" s="6" t="s">
        <v>1890</v>
      </c>
      <c r="H99" s="6" t="s">
        <v>76</v>
      </c>
      <c r="I99" s="6" t="s">
        <v>228</v>
      </c>
      <c r="J99" s="6" t="s">
        <v>53</v>
      </c>
      <c r="K99" s="6" t="s">
        <v>53</v>
      </c>
      <c r="L99" s="6" t="s">
        <v>805</v>
      </c>
      <c r="M99" s="6" t="s">
        <v>311</v>
      </c>
      <c r="N99" s="6" t="s">
        <v>269</v>
      </c>
      <c r="O99" s="6" t="s">
        <v>62</v>
      </c>
      <c r="P99" s="6" t="s">
        <v>1521</v>
      </c>
      <c r="Q99" s="6" t="s">
        <v>70</v>
      </c>
      <c r="R99" s="6" t="s">
        <v>57</v>
      </c>
      <c r="S99" s="6" t="s">
        <v>1219</v>
      </c>
      <c r="T99" s="131">
        <v>0.499</v>
      </c>
      <c r="U99" s="6" t="s">
        <v>1499</v>
      </c>
      <c r="V99" s="134">
        <v>2.63E-2</v>
      </c>
      <c r="W99" s="132">
        <v>4.7759999999999997E-2</v>
      </c>
      <c r="X99" s="3" t="s">
        <v>620</v>
      </c>
      <c r="Y99" s="3" t="s">
        <v>62</v>
      </c>
      <c r="Z99" s="131">
        <v>170000</v>
      </c>
      <c r="AA99" s="129">
        <v>1</v>
      </c>
      <c r="AB99" s="157">
        <v>100.27</v>
      </c>
      <c r="AD99" s="131">
        <v>170.459</v>
      </c>
      <c r="AG99" s="6" t="s">
        <v>17</v>
      </c>
      <c r="AH99" s="132">
        <v>3.4699999999999998E-4</v>
      </c>
      <c r="AI99" s="132">
        <v>1.10588407088562E-2</v>
      </c>
      <c r="AJ99" s="132">
        <v>2.4989894081694801E-3</v>
      </c>
    </row>
    <row r="100" spans="1:36" x14ac:dyDescent="0.2">
      <c r="A100" s="6">
        <v>13710</v>
      </c>
      <c r="B100" s="6">
        <v>13711</v>
      </c>
      <c r="C100" s="6" t="s">
        <v>1489</v>
      </c>
      <c r="D100" s="6" t="s">
        <v>1490</v>
      </c>
      <c r="E100" s="3" t="s">
        <v>1477</v>
      </c>
      <c r="F100" s="6" t="s">
        <v>1891</v>
      </c>
      <c r="G100" s="6" t="s">
        <v>1892</v>
      </c>
      <c r="H100" s="6" t="s">
        <v>76</v>
      </c>
      <c r="I100" s="6" t="s">
        <v>229</v>
      </c>
      <c r="J100" s="6" t="s">
        <v>53</v>
      </c>
      <c r="K100" s="6" t="s">
        <v>53</v>
      </c>
      <c r="L100" s="6" t="s">
        <v>805</v>
      </c>
      <c r="M100" s="6" t="s">
        <v>311</v>
      </c>
      <c r="N100" s="6" t="s">
        <v>635</v>
      </c>
      <c r="O100" s="6" t="s">
        <v>62</v>
      </c>
      <c r="P100" s="6" t="s">
        <v>1577</v>
      </c>
      <c r="Q100" s="6" t="s">
        <v>65</v>
      </c>
      <c r="R100" s="6" t="s">
        <v>57</v>
      </c>
      <c r="S100" s="6" t="s">
        <v>1219</v>
      </c>
      <c r="T100" s="131">
        <v>1.3939999999999999</v>
      </c>
      <c r="U100" s="6" t="s">
        <v>1285</v>
      </c>
      <c r="V100" s="134">
        <v>1.4E-2</v>
      </c>
      <c r="W100" s="132">
        <v>2.8840000000000001E-2</v>
      </c>
      <c r="X100" s="3" t="s">
        <v>620</v>
      </c>
      <c r="Y100" s="3" t="s">
        <v>62</v>
      </c>
      <c r="Z100" s="131">
        <v>105300</v>
      </c>
      <c r="AA100" s="129">
        <v>1</v>
      </c>
      <c r="AB100" s="157">
        <v>115.68</v>
      </c>
      <c r="AD100" s="131">
        <v>121.81100000000001</v>
      </c>
      <c r="AG100" s="6" t="s">
        <v>17</v>
      </c>
      <c r="AH100" s="132">
        <v>1.74E-4</v>
      </c>
      <c r="AI100" s="132">
        <v>7.9027149516312598E-3</v>
      </c>
      <c r="AJ100" s="132">
        <v>1.7857930573223399E-3</v>
      </c>
    </row>
    <row r="101" spans="1:36" x14ac:dyDescent="0.2">
      <c r="A101" s="6">
        <v>13710</v>
      </c>
      <c r="B101" s="6">
        <v>13711</v>
      </c>
      <c r="C101" s="6" t="s">
        <v>1489</v>
      </c>
      <c r="D101" s="6" t="s">
        <v>1490</v>
      </c>
      <c r="E101" s="3" t="s">
        <v>1477</v>
      </c>
      <c r="F101" s="6" t="s">
        <v>1893</v>
      </c>
      <c r="G101" s="6" t="s">
        <v>1894</v>
      </c>
      <c r="H101" s="6" t="s">
        <v>76</v>
      </c>
      <c r="I101" s="6" t="s">
        <v>229</v>
      </c>
      <c r="J101" s="6" t="s">
        <v>53</v>
      </c>
      <c r="K101" s="6" t="s">
        <v>53</v>
      </c>
      <c r="L101" s="6" t="s">
        <v>805</v>
      </c>
      <c r="M101" s="6" t="s">
        <v>1227</v>
      </c>
      <c r="N101" s="6" t="s">
        <v>635</v>
      </c>
      <c r="O101" s="6" t="s">
        <v>62</v>
      </c>
      <c r="P101" s="6" t="s">
        <v>1577</v>
      </c>
      <c r="Q101" s="6" t="s">
        <v>65</v>
      </c>
      <c r="R101" s="6" t="s">
        <v>57</v>
      </c>
      <c r="S101" s="6" t="s">
        <v>1219</v>
      </c>
      <c r="T101" s="131">
        <v>5.0170000000000003</v>
      </c>
      <c r="U101" s="6" t="s">
        <v>1895</v>
      </c>
      <c r="V101" s="134">
        <v>3.1800000000000002E-2</v>
      </c>
      <c r="W101" s="132">
        <v>2.9229999999999999E-2</v>
      </c>
      <c r="X101" s="3" t="s">
        <v>620</v>
      </c>
      <c r="Y101" s="3" t="s">
        <v>62</v>
      </c>
      <c r="Z101" s="131">
        <v>25000</v>
      </c>
      <c r="AA101" s="129">
        <v>1</v>
      </c>
      <c r="AB101" s="157">
        <v>104.39</v>
      </c>
      <c r="AD101" s="131">
        <v>26.097999999999999</v>
      </c>
      <c r="AG101" s="6" t="s">
        <v>17</v>
      </c>
      <c r="AH101" s="132">
        <v>5.5000000000000002E-5</v>
      </c>
      <c r="AI101" s="132">
        <v>1.6931232460554999E-3</v>
      </c>
      <c r="AJ101" s="132">
        <v>3.8259860775730802E-4</v>
      </c>
    </row>
    <row r="102" spans="1:36" x14ac:dyDescent="0.2">
      <c r="A102" s="6">
        <v>13710</v>
      </c>
      <c r="B102" s="6">
        <v>13711</v>
      </c>
      <c r="C102" s="6" t="s">
        <v>1896</v>
      </c>
      <c r="D102" s="6" t="s">
        <v>1897</v>
      </c>
      <c r="E102" s="3" t="s">
        <v>1477</v>
      </c>
      <c r="F102" s="6" t="s">
        <v>1898</v>
      </c>
      <c r="G102" s="6" t="s">
        <v>1899</v>
      </c>
      <c r="H102" s="6" t="s">
        <v>76</v>
      </c>
      <c r="I102" s="6" t="s">
        <v>229</v>
      </c>
      <c r="J102" s="6" t="s">
        <v>53</v>
      </c>
      <c r="K102" s="6" t="s">
        <v>53</v>
      </c>
      <c r="L102" s="6" t="s">
        <v>805</v>
      </c>
      <c r="M102" s="6" t="s">
        <v>311</v>
      </c>
      <c r="N102" s="6" t="s">
        <v>635</v>
      </c>
      <c r="O102" s="6" t="s">
        <v>62</v>
      </c>
      <c r="P102" s="6" t="s">
        <v>1515</v>
      </c>
      <c r="Q102" s="6" t="s">
        <v>65</v>
      </c>
      <c r="R102" s="6" t="s">
        <v>57</v>
      </c>
      <c r="S102" s="6" t="s">
        <v>1219</v>
      </c>
      <c r="T102" s="131">
        <v>0.499</v>
      </c>
      <c r="U102" s="6" t="s">
        <v>1499</v>
      </c>
      <c r="V102" s="134">
        <v>1E-3</v>
      </c>
      <c r="W102" s="132">
        <v>1E-4</v>
      </c>
      <c r="X102" s="3" t="s">
        <v>620</v>
      </c>
      <c r="Y102" s="3" t="s">
        <v>62</v>
      </c>
      <c r="Z102" s="131">
        <v>65000</v>
      </c>
      <c r="AA102" s="129">
        <v>1</v>
      </c>
      <c r="AB102" s="157">
        <v>119.66</v>
      </c>
      <c r="AD102" s="131">
        <v>77.778999999999996</v>
      </c>
      <c r="AG102" s="6" t="s">
        <v>17</v>
      </c>
      <c r="AH102" s="132">
        <v>1.13E-4</v>
      </c>
      <c r="AI102" s="132">
        <v>5.0460554825156002E-3</v>
      </c>
      <c r="AJ102" s="132">
        <v>1.1402677311143101E-3</v>
      </c>
    </row>
    <row r="103" spans="1:36" x14ac:dyDescent="0.2">
      <c r="A103" s="6">
        <v>13710</v>
      </c>
      <c r="B103" s="6">
        <v>13711</v>
      </c>
      <c r="C103" s="6" t="s">
        <v>1896</v>
      </c>
      <c r="D103" s="6" t="s">
        <v>1897</v>
      </c>
      <c r="E103" s="3" t="s">
        <v>1477</v>
      </c>
      <c r="F103" s="6" t="s">
        <v>1900</v>
      </c>
      <c r="G103" s="6" t="s">
        <v>1901</v>
      </c>
      <c r="H103" s="6" t="s">
        <v>76</v>
      </c>
      <c r="I103" s="6" t="s">
        <v>229</v>
      </c>
      <c r="J103" s="6" t="s">
        <v>53</v>
      </c>
      <c r="K103" s="6" t="s">
        <v>53</v>
      </c>
      <c r="L103" s="6" t="s">
        <v>805</v>
      </c>
      <c r="M103" s="6" t="s">
        <v>311</v>
      </c>
      <c r="N103" s="6" t="s">
        <v>635</v>
      </c>
      <c r="O103" s="6" t="s">
        <v>62</v>
      </c>
      <c r="P103" s="6" t="s">
        <v>1515</v>
      </c>
      <c r="Q103" s="6" t="s">
        <v>65</v>
      </c>
      <c r="R103" s="6" t="s">
        <v>57</v>
      </c>
      <c r="S103" s="6" t="s">
        <v>1219</v>
      </c>
      <c r="T103" s="131">
        <v>1.7410000000000001</v>
      </c>
      <c r="U103" s="6" t="s">
        <v>1285</v>
      </c>
      <c r="V103" s="134">
        <v>3.0000000000000001E-3</v>
      </c>
      <c r="W103" s="132">
        <v>2.954E-2</v>
      </c>
      <c r="X103" s="3" t="s">
        <v>620</v>
      </c>
      <c r="Y103" s="3" t="s">
        <v>62</v>
      </c>
      <c r="Z103" s="131">
        <v>17000</v>
      </c>
      <c r="AA103" s="129">
        <v>1</v>
      </c>
      <c r="AB103" s="157">
        <v>108.03</v>
      </c>
      <c r="AD103" s="131">
        <v>18.364999999999998</v>
      </c>
      <c r="AG103" s="6" t="s">
        <v>17</v>
      </c>
      <c r="AH103" s="132">
        <v>3.3000000000000003E-5</v>
      </c>
      <c r="AI103" s="132">
        <v>1.19146959387428E-3</v>
      </c>
      <c r="AJ103" s="132">
        <v>2.6923888078642598E-4</v>
      </c>
    </row>
    <row r="104" spans="1:36" x14ac:dyDescent="0.2">
      <c r="A104" s="6">
        <v>13710</v>
      </c>
      <c r="B104" s="6">
        <v>13711</v>
      </c>
      <c r="C104" s="6" t="s">
        <v>1896</v>
      </c>
      <c r="D104" s="6" t="s">
        <v>1897</v>
      </c>
      <c r="E104" s="3" t="s">
        <v>1477</v>
      </c>
      <c r="F104" s="6" t="s">
        <v>1902</v>
      </c>
      <c r="G104" s="6" t="s">
        <v>1903</v>
      </c>
      <c r="H104" s="6" t="s">
        <v>76</v>
      </c>
      <c r="I104" s="6" t="s">
        <v>229</v>
      </c>
      <c r="J104" s="6" t="s">
        <v>53</v>
      </c>
      <c r="K104" s="6" t="s">
        <v>53</v>
      </c>
      <c r="L104" s="6" t="s">
        <v>805</v>
      </c>
      <c r="M104" s="6" t="s">
        <v>311</v>
      </c>
      <c r="N104" s="6" t="s">
        <v>635</v>
      </c>
      <c r="O104" s="6" t="s">
        <v>62</v>
      </c>
      <c r="P104" s="6" t="s">
        <v>1515</v>
      </c>
      <c r="Q104" s="6" t="s">
        <v>65</v>
      </c>
      <c r="R104" s="6" t="s">
        <v>57</v>
      </c>
      <c r="S104" s="6" t="s">
        <v>1219</v>
      </c>
      <c r="T104" s="131">
        <v>1.244</v>
      </c>
      <c r="U104" s="6" t="s">
        <v>1578</v>
      </c>
      <c r="V104" s="134">
        <v>3.0000000000000001E-3</v>
      </c>
      <c r="W104" s="132">
        <v>2.963E-2</v>
      </c>
      <c r="X104" s="3" t="s">
        <v>620</v>
      </c>
      <c r="Y104" s="3" t="s">
        <v>62</v>
      </c>
      <c r="Z104" s="131">
        <v>19000</v>
      </c>
      <c r="AA104" s="129">
        <v>1</v>
      </c>
      <c r="AB104" s="157">
        <v>105.16</v>
      </c>
      <c r="AD104" s="131">
        <v>19.98</v>
      </c>
      <c r="AG104" s="6" t="s">
        <v>17</v>
      </c>
      <c r="AH104" s="132">
        <v>4.3999999999999999E-5</v>
      </c>
      <c r="AI104" s="132">
        <v>1.2962651482129499E-3</v>
      </c>
      <c r="AJ104" s="132">
        <v>2.9291975179362501E-4</v>
      </c>
    </row>
    <row r="105" spans="1:36" x14ac:dyDescent="0.2">
      <c r="A105" s="6">
        <v>13710</v>
      </c>
      <c r="B105" s="6">
        <v>13711</v>
      </c>
      <c r="C105" s="6" t="s">
        <v>1896</v>
      </c>
      <c r="D105" s="6" t="s">
        <v>1897</v>
      </c>
      <c r="E105" s="3" t="s">
        <v>1477</v>
      </c>
      <c r="F105" s="6" t="s">
        <v>1904</v>
      </c>
      <c r="G105" s="6" t="s">
        <v>1905</v>
      </c>
      <c r="H105" s="6" t="s">
        <v>76</v>
      </c>
      <c r="I105" s="6" t="s">
        <v>229</v>
      </c>
      <c r="J105" s="6" t="s">
        <v>53</v>
      </c>
      <c r="K105" s="6" t="s">
        <v>53</v>
      </c>
      <c r="L105" s="6" t="s">
        <v>805</v>
      </c>
      <c r="M105" s="6" t="s">
        <v>311</v>
      </c>
      <c r="N105" s="6" t="s">
        <v>635</v>
      </c>
      <c r="O105" s="6" t="s">
        <v>62</v>
      </c>
      <c r="P105" s="6" t="s">
        <v>1515</v>
      </c>
      <c r="Q105" s="6" t="s">
        <v>65</v>
      </c>
      <c r="R105" s="6" t="s">
        <v>57</v>
      </c>
      <c r="S105" s="6" t="s">
        <v>1219</v>
      </c>
      <c r="T105" s="131">
        <v>1.496</v>
      </c>
      <c r="U105" s="6" t="s">
        <v>1516</v>
      </c>
      <c r="V105" s="134">
        <v>3.0000000000000001E-3</v>
      </c>
      <c r="W105" s="132">
        <v>2.7779999999999999E-2</v>
      </c>
      <c r="X105" s="3" t="s">
        <v>620</v>
      </c>
      <c r="Y105" s="3" t="s">
        <v>62</v>
      </c>
      <c r="Z105" s="131">
        <v>33000</v>
      </c>
      <c r="AA105" s="129">
        <v>1</v>
      </c>
      <c r="AB105" s="157">
        <v>101.38</v>
      </c>
      <c r="AD105" s="131">
        <v>33.454999999999998</v>
      </c>
      <c r="AG105" s="6" t="s">
        <v>17</v>
      </c>
      <c r="AH105" s="132">
        <v>9.1000000000000003E-5</v>
      </c>
      <c r="AI105" s="132">
        <v>2.1704805228885998E-3</v>
      </c>
      <c r="AJ105" s="132">
        <v>4.9046803187906295E-4</v>
      </c>
    </row>
    <row r="106" spans="1:36" x14ac:dyDescent="0.2">
      <c r="A106" s="6">
        <v>13710</v>
      </c>
      <c r="B106" s="6">
        <v>13711</v>
      </c>
      <c r="C106" s="6" t="s">
        <v>1906</v>
      </c>
      <c r="D106" s="6" t="s">
        <v>1907</v>
      </c>
      <c r="E106" s="3" t="s">
        <v>1477</v>
      </c>
      <c r="F106" s="6" t="s">
        <v>1908</v>
      </c>
      <c r="G106" s="6" t="s">
        <v>1909</v>
      </c>
      <c r="H106" s="6" t="s">
        <v>76</v>
      </c>
      <c r="I106" s="6" t="s">
        <v>229</v>
      </c>
      <c r="J106" s="6" t="s">
        <v>53</v>
      </c>
      <c r="K106" s="6" t="s">
        <v>53</v>
      </c>
      <c r="L106" s="6" t="s">
        <v>805</v>
      </c>
      <c r="M106" s="6" t="s">
        <v>1227</v>
      </c>
      <c r="N106" s="6" t="s">
        <v>261</v>
      </c>
      <c r="O106" s="6" t="s">
        <v>62</v>
      </c>
      <c r="P106" s="6" t="s">
        <v>298</v>
      </c>
      <c r="Q106" s="6" t="s">
        <v>298</v>
      </c>
      <c r="R106" s="6" t="s">
        <v>298</v>
      </c>
      <c r="S106" s="6" t="s">
        <v>1219</v>
      </c>
      <c r="T106" s="131">
        <v>3.9620000000000002</v>
      </c>
      <c r="U106" s="6" t="s">
        <v>1713</v>
      </c>
      <c r="V106" s="134">
        <v>4.0899999999999999E-2</v>
      </c>
      <c r="W106" s="132">
        <v>3.2349999999999997E-2</v>
      </c>
      <c r="X106" s="3" t="s">
        <v>620</v>
      </c>
      <c r="Y106" s="3" t="s">
        <v>62</v>
      </c>
      <c r="Z106" s="131">
        <v>19000</v>
      </c>
      <c r="AA106" s="129">
        <v>1</v>
      </c>
      <c r="AB106" s="157">
        <v>105.02</v>
      </c>
      <c r="AD106" s="131">
        <v>19.954000000000001</v>
      </c>
      <c r="AG106" s="6" t="s">
        <v>17</v>
      </c>
      <c r="AH106" s="132">
        <v>5.5999999999999999E-5</v>
      </c>
      <c r="AI106" s="132">
        <v>1.2945394243564399E-3</v>
      </c>
      <c r="AJ106" s="132">
        <v>2.9252978635761198E-4</v>
      </c>
    </row>
    <row r="107" spans="1:36" x14ac:dyDescent="0.2">
      <c r="A107" s="6">
        <v>13710</v>
      </c>
      <c r="B107" s="6">
        <v>13711</v>
      </c>
      <c r="C107" s="6" t="s">
        <v>1910</v>
      </c>
      <c r="D107" s="6" t="s">
        <v>1911</v>
      </c>
      <c r="E107" s="3" t="s">
        <v>1477</v>
      </c>
      <c r="F107" s="6" t="s">
        <v>1912</v>
      </c>
      <c r="G107" s="6" t="s">
        <v>1913</v>
      </c>
      <c r="H107" s="6" t="s">
        <v>76</v>
      </c>
      <c r="I107" s="6" t="s">
        <v>229</v>
      </c>
      <c r="J107" s="6" t="s">
        <v>53</v>
      </c>
      <c r="K107" s="6" t="s">
        <v>53</v>
      </c>
      <c r="L107" s="6" t="s">
        <v>805</v>
      </c>
      <c r="M107" s="6" t="s">
        <v>311</v>
      </c>
      <c r="N107" s="6" t="s">
        <v>256</v>
      </c>
      <c r="O107" s="6" t="s">
        <v>62</v>
      </c>
      <c r="P107" s="6" t="s">
        <v>1213</v>
      </c>
      <c r="Q107" s="6" t="s">
        <v>65</v>
      </c>
      <c r="R107" s="6" t="s">
        <v>57</v>
      </c>
      <c r="S107" s="6" t="s">
        <v>1219</v>
      </c>
      <c r="T107" s="131">
        <v>2.2040000000000002</v>
      </c>
      <c r="U107" s="6" t="s">
        <v>1914</v>
      </c>
      <c r="V107" s="134">
        <v>1.2200000000000001E-2</v>
      </c>
      <c r="W107" s="132">
        <v>2.5080000000000002E-2</v>
      </c>
      <c r="X107" s="3" t="s">
        <v>620</v>
      </c>
      <c r="Y107" s="3" t="s">
        <v>62</v>
      </c>
      <c r="Z107" s="131">
        <v>119000</v>
      </c>
      <c r="AA107" s="129">
        <v>1</v>
      </c>
      <c r="AB107" s="157">
        <v>116.02</v>
      </c>
      <c r="AD107" s="131">
        <v>138.06399999999999</v>
      </c>
      <c r="AG107" s="6" t="s">
        <v>17</v>
      </c>
      <c r="AH107" s="132">
        <v>3.8999999999999999E-5</v>
      </c>
      <c r="AI107" s="132">
        <v>8.9571426082482204E-3</v>
      </c>
      <c r="AJ107" s="132">
        <v>2.0240642843829299E-3</v>
      </c>
    </row>
    <row r="108" spans="1:36" x14ac:dyDescent="0.2">
      <c r="A108" s="6">
        <v>13710</v>
      </c>
      <c r="B108" s="6">
        <v>13711</v>
      </c>
      <c r="C108" s="6" t="s">
        <v>1910</v>
      </c>
      <c r="D108" s="6" t="s">
        <v>1911</v>
      </c>
      <c r="E108" s="3" t="s">
        <v>1477</v>
      </c>
      <c r="F108" s="6" t="s">
        <v>1915</v>
      </c>
      <c r="G108" s="6" t="s">
        <v>1916</v>
      </c>
      <c r="H108" s="6" t="s">
        <v>76</v>
      </c>
      <c r="I108" s="6" t="s">
        <v>229</v>
      </c>
      <c r="J108" s="6" t="s">
        <v>53</v>
      </c>
      <c r="K108" s="6" t="s">
        <v>53</v>
      </c>
      <c r="L108" s="6" t="s">
        <v>805</v>
      </c>
      <c r="M108" s="6" t="s">
        <v>311</v>
      </c>
      <c r="N108" s="6" t="s">
        <v>256</v>
      </c>
      <c r="O108" s="6" t="s">
        <v>62</v>
      </c>
      <c r="P108" s="6" t="s">
        <v>1213</v>
      </c>
      <c r="Q108" s="6" t="s">
        <v>65</v>
      </c>
      <c r="R108" s="6" t="s">
        <v>57</v>
      </c>
      <c r="S108" s="6" t="s">
        <v>1219</v>
      </c>
      <c r="T108" s="131">
        <v>3.3029999999999999</v>
      </c>
      <c r="U108" s="6" t="s">
        <v>1917</v>
      </c>
      <c r="V108" s="134">
        <v>1E-3</v>
      </c>
      <c r="W108" s="132">
        <v>2.5829999999999999E-2</v>
      </c>
      <c r="X108" s="3" t="s">
        <v>620</v>
      </c>
      <c r="Y108" s="3" t="s">
        <v>62</v>
      </c>
      <c r="Z108" s="131">
        <v>40000</v>
      </c>
      <c r="AA108" s="129">
        <v>1</v>
      </c>
      <c r="AB108" s="157">
        <v>105.48</v>
      </c>
      <c r="AD108" s="131">
        <v>42.192</v>
      </c>
      <c r="AG108" s="6" t="s">
        <v>17</v>
      </c>
      <c r="AH108" s="132">
        <v>1.2E-5</v>
      </c>
      <c r="AI108" s="132">
        <v>2.7372834944946402E-3</v>
      </c>
      <c r="AJ108" s="132">
        <v>6.1854968707716603E-4</v>
      </c>
    </row>
    <row r="109" spans="1:36" x14ac:dyDescent="0.2">
      <c r="A109" s="6">
        <v>13710</v>
      </c>
      <c r="B109" s="6">
        <v>13711</v>
      </c>
      <c r="C109" s="6" t="s">
        <v>1910</v>
      </c>
      <c r="D109" s="6" t="s">
        <v>1911</v>
      </c>
      <c r="E109" s="3" t="s">
        <v>1477</v>
      </c>
      <c r="F109" s="6" t="s">
        <v>1918</v>
      </c>
      <c r="G109" s="6" t="s">
        <v>1919</v>
      </c>
      <c r="H109" s="6" t="s">
        <v>76</v>
      </c>
      <c r="I109" s="6" t="s">
        <v>229</v>
      </c>
      <c r="J109" s="6" t="s">
        <v>53</v>
      </c>
      <c r="K109" s="6" t="s">
        <v>53</v>
      </c>
      <c r="L109" s="6" t="s">
        <v>805</v>
      </c>
      <c r="M109" s="6" t="s">
        <v>311</v>
      </c>
      <c r="N109" s="6" t="s">
        <v>256</v>
      </c>
      <c r="O109" s="6" t="s">
        <v>62</v>
      </c>
      <c r="P109" s="6" t="s">
        <v>1213</v>
      </c>
      <c r="Q109" s="6" t="s">
        <v>65</v>
      </c>
      <c r="R109" s="6" t="s">
        <v>57</v>
      </c>
      <c r="S109" s="6" t="s">
        <v>1219</v>
      </c>
      <c r="T109" s="131">
        <v>4.2160000000000002</v>
      </c>
      <c r="U109" s="6" t="s">
        <v>1920</v>
      </c>
      <c r="V109" s="134">
        <v>2.06E-2</v>
      </c>
      <c r="W109" s="132">
        <v>2.5899999999999999E-2</v>
      </c>
      <c r="X109" s="3" t="s">
        <v>620</v>
      </c>
      <c r="Y109" s="3" t="s">
        <v>62</v>
      </c>
      <c r="Z109" s="131">
        <v>79111.11</v>
      </c>
      <c r="AA109" s="129">
        <v>1</v>
      </c>
      <c r="AB109" s="157">
        <v>103.97</v>
      </c>
      <c r="AD109" s="131">
        <v>82.251999999999995</v>
      </c>
      <c r="AG109" s="6" t="s">
        <v>17</v>
      </c>
      <c r="AH109" s="132">
        <v>4.8999999999999998E-5</v>
      </c>
      <c r="AI109" s="132">
        <v>5.3362379645152001E-3</v>
      </c>
      <c r="AJ109" s="132">
        <v>1.2058408746331E-3</v>
      </c>
    </row>
    <row r="110" spans="1:36" x14ac:dyDescent="0.2">
      <c r="A110" s="6">
        <v>13710</v>
      </c>
      <c r="B110" s="6">
        <v>13711</v>
      </c>
      <c r="C110" s="6" t="s">
        <v>1910</v>
      </c>
      <c r="D110" s="6" t="s">
        <v>1911</v>
      </c>
      <c r="E110" s="3" t="s">
        <v>1477</v>
      </c>
      <c r="F110" s="6" t="s">
        <v>1921</v>
      </c>
      <c r="G110" s="6" t="s">
        <v>1922</v>
      </c>
      <c r="H110" s="6" t="s">
        <v>76</v>
      </c>
      <c r="I110" s="6" t="s">
        <v>229</v>
      </c>
      <c r="J110" s="6" t="s">
        <v>53</v>
      </c>
      <c r="K110" s="6" t="s">
        <v>53</v>
      </c>
      <c r="L110" s="6" t="s">
        <v>805</v>
      </c>
      <c r="M110" s="6" t="s">
        <v>311</v>
      </c>
      <c r="N110" s="6" t="s">
        <v>256</v>
      </c>
      <c r="O110" s="6" t="s">
        <v>62</v>
      </c>
      <c r="P110" s="6" t="s">
        <v>1213</v>
      </c>
      <c r="Q110" s="6" t="s">
        <v>65</v>
      </c>
      <c r="R110" s="6" t="s">
        <v>57</v>
      </c>
      <c r="S110" s="6" t="s">
        <v>1219</v>
      </c>
      <c r="T110" s="131">
        <v>4.1950000000000003</v>
      </c>
      <c r="U110" s="6" t="s">
        <v>1923</v>
      </c>
      <c r="V110" s="134">
        <v>1.9900000000000001E-2</v>
      </c>
      <c r="W110" s="132">
        <v>2.581E-2</v>
      </c>
      <c r="X110" s="3" t="s">
        <v>620</v>
      </c>
      <c r="Y110" s="3" t="s">
        <v>62</v>
      </c>
      <c r="Z110" s="131">
        <v>126000</v>
      </c>
      <c r="AA110" s="129">
        <v>1</v>
      </c>
      <c r="AB110" s="157">
        <v>103.57</v>
      </c>
      <c r="AD110" s="131">
        <v>130.49799999999999</v>
      </c>
      <c r="AG110" s="6" t="s">
        <v>17</v>
      </c>
      <c r="AH110" s="132">
        <v>5.1999999999999997E-5</v>
      </c>
      <c r="AI110" s="132">
        <v>8.4663104124303203E-3</v>
      </c>
      <c r="AJ110" s="132">
        <v>1.9131499045822299E-3</v>
      </c>
    </row>
    <row r="111" spans="1:36" x14ac:dyDescent="0.2">
      <c r="A111" s="6">
        <v>13710</v>
      </c>
      <c r="B111" s="6">
        <v>13711</v>
      </c>
      <c r="C111" s="6" t="s">
        <v>1910</v>
      </c>
      <c r="D111" s="6" t="s">
        <v>1911</v>
      </c>
      <c r="E111" s="3" t="s">
        <v>1477</v>
      </c>
      <c r="F111" s="6" t="s">
        <v>1924</v>
      </c>
      <c r="G111" s="6" t="s">
        <v>1925</v>
      </c>
      <c r="H111" s="6" t="s">
        <v>76</v>
      </c>
      <c r="I111" s="6" t="s">
        <v>229</v>
      </c>
      <c r="J111" s="6" t="s">
        <v>53</v>
      </c>
      <c r="K111" s="6" t="s">
        <v>53</v>
      </c>
      <c r="L111" s="6" t="s">
        <v>805</v>
      </c>
      <c r="M111" s="6" t="s">
        <v>311</v>
      </c>
      <c r="N111" s="6" t="s">
        <v>256</v>
      </c>
      <c r="O111" s="6" t="s">
        <v>62</v>
      </c>
      <c r="P111" s="6" t="s">
        <v>1926</v>
      </c>
      <c r="Q111" s="6" t="s">
        <v>70</v>
      </c>
      <c r="R111" s="6" t="s">
        <v>57</v>
      </c>
      <c r="S111" s="6" t="s">
        <v>1219</v>
      </c>
      <c r="T111" s="131">
        <v>1.42</v>
      </c>
      <c r="U111" s="6" t="s">
        <v>1927</v>
      </c>
      <c r="V111" s="134">
        <v>5.0000000000000001E-3</v>
      </c>
      <c r="W111" s="132">
        <v>2.6210000000000001E-2</v>
      </c>
      <c r="X111" s="3" t="s">
        <v>620</v>
      </c>
      <c r="Y111" s="3" t="s">
        <v>62</v>
      </c>
      <c r="Z111" s="131">
        <v>66000</v>
      </c>
      <c r="AA111" s="129">
        <v>1</v>
      </c>
      <c r="AB111" s="157">
        <v>112.82</v>
      </c>
      <c r="AD111" s="131">
        <v>74.460999999999999</v>
      </c>
      <c r="AG111" s="6" t="s">
        <v>17</v>
      </c>
      <c r="AH111" s="132">
        <v>8.6000000000000003E-5</v>
      </c>
      <c r="AI111" s="132">
        <v>4.8308071136771002E-3</v>
      </c>
      <c r="AJ111" s="132">
        <v>1.09162760616682E-3</v>
      </c>
    </row>
    <row r="112" spans="1:36" x14ac:dyDescent="0.2">
      <c r="A112" s="6">
        <v>13710</v>
      </c>
      <c r="B112" s="6">
        <v>13711</v>
      </c>
      <c r="C112" s="6" t="s">
        <v>1910</v>
      </c>
      <c r="D112" s="6" t="s">
        <v>1911</v>
      </c>
      <c r="E112" s="3" t="s">
        <v>1477</v>
      </c>
      <c r="F112" s="6" t="s">
        <v>1928</v>
      </c>
      <c r="G112" s="6" t="s">
        <v>1929</v>
      </c>
      <c r="H112" s="6" t="s">
        <v>76</v>
      </c>
      <c r="I112" s="6" t="s">
        <v>229</v>
      </c>
      <c r="J112" s="6" t="s">
        <v>53</v>
      </c>
      <c r="K112" s="6" t="s">
        <v>53</v>
      </c>
      <c r="L112" s="6" t="s">
        <v>805</v>
      </c>
      <c r="M112" s="6" t="s">
        <v>311</v>
      </c>
      <c r="N112" s="6" t="s">
        <v>256</v>
      </c>
      <c r="O112" s="6" t="s">
        <v>62</v>
      </c>
      <c r="P112" s="6" t="s">
        <v>1213</v>
      </c>
      <c r="Q112" s="6" t="s">
        <v>65</v>
      </c>
      <c r="R112" s="6" t="s">
        <v>57</v>
      </c>
      <c r="S112" s="6" t="s">
        <v>1219</v>
      </c>
      <c r="T112" s="131">
        <v>4.9790000000000001</v>
      </c>
      <c r="U112" s="6" t="s">
        <v>1930</v>
      </c>
      <c r="V112" s="134">
        <v>2E-3</v>
      </c>
      <c r="W112" s="132">
        <v>2.6159999999999999E-2</v>
      </c>
      <c r="X112" s="3" t="s">
        <v>620</v>
      </c>
      <c r="Y112" s="3" t="s">
        <v>62</v>
      </c>
      <c r="Z112" s="131">
        <v>160000</v>
      </c>
      <c r="AA112" s="129">
        <v>1</v>
      </c>
      <c r="AB112" s="157">
        <v>104.05</v>
      </c>
      <c r="AC112" s="131">
        <v>0.375</v>
      </c>
      <c r="AD112" s="131">
        <v>166.85499999999999</v>
      </c>
      <c r="AG112" s="6" t="s">
        <v>17</v>
      </c>
      <c r="AH112" s="132">
        <v>4.6E-5</v>
      </c>
      <c r="AI112" s="132">
        <v>1.08250181016675E-2</v>
      </c>
      <c r="AJ112" s="132">
        <v>2.4461520236606902E-3</v>
      </c>
    </row>
    <row r="113" spans="1:36" x14ac:dyDescent="0.2">
      <c r="A113" s="6">
        <v>13710</v>
      </c>
      <c r="B113" s="6">
        <v>13711</v>
      </c>
      <c r="C113" s="6" t="s">
        <v>1910</v>
      </c>
      <c r="D113" s="6" t="s">
        <v>1911</v>
      </c>
      <c r="E113" s="3" t="s">
        <v>1477</v>
      </c>
      <c r="F113" s="6" t="s">
        <v>1931</v>
      </c>
      <c r="G113" s="6" t="s">
        <v>1932</v>
      </c>
      <c r="H113" s="6" t="s">
        <v>76</v>
      </c>
      <c r="I113" s="6" t="s">
        <v>229</v>
      </c>
      <c r="J113" s="6" t="s">
        <v>53</v>
      </c>
      <c r="K113" s="6" t="s">
        <v>53</v>
      </c>
      <c r="L113" s="6" t="s">
        <v>805</v>
      </c>
      <c r="M113" s="6" t="s">
        <v>311</v>
      </c>
      <c r="N113" s="6" t="s">
        <v>256</v>
      </c>
      <c r="O113" s="6" t="s">
        <v>62</v>
      </c>
      <c r="P113" s="6" t="s">
        <v>1213</v>
      </c>
      <c r="Q113" s="6" t="s">
        <v>65</v>
      </c>
      <c r="R113" s="6" t="s">
        <v>57</v>
      </c>
      <c r="S113" s="6" t="s">
        <v>1219</v>
      </c>
      <c r="T113" s="131">
        <v>3.2730000000000001</v>
      </c>
      <c r="U113" s="6" t="s">
        <v>1933</v>
      </c>
      <c r="V113" s="134">
        <v>1.6400000000000001E-2</v>
      </c>
      <c r="W113" s="132">
        <v>2.6179999999999998E-2</v>
      </c>
      <c r="X113" s="3" t="s">
        <v>620</v>
      </c>
      <c r="Y113" s="3" t="s">
        <v>62</v>
      </c>
      <c r="Z113" s="131">
        <v>102000.29</v>
      </c>
      <c r="AA113" s="129">
        <v>1</v>
      </c>
      <c r="AB113" s="157">
        <v>106.26</v>
      </c>
      <c r="AD113" s="131">
        <v>108.386</v>
      </c>
      <c r="AG113" s="6" t="s">
        <v>17</v>
      </c>
      <c r="AH113" s="132">
        <v>1.08E-4</v>
      </c>
      <c r="AI113" s="132">
        <v>7.0317089143050399E-3</v>
      </c>
      <c r="AJ113" s="132">
        <v>1.5889699979227401E-3</v>
      </c>
    </row>
    <row r="114" spans="1:36" x14ac:dyDescent="0.2">
      <c r="A114" s="6">
        <v>13710</v>
      </c>
      <c r="B114" s="6">
        <v>13711</v>
      </c>
      <c r="C114" s="6" t="s">
        <v>1910</v>
      </c>
      <c r="D114" s="6" t="s">
        <v>1911</v>
      </c>
      <c r="E114" s="3" t="s">
        <v>1477</v>
      </c>
      <c r="F114" s="6" t="s">
        <v>1934</v>
      </c>
      <c r="G114" s="6" t="s">
        <v>1935</v>
      </c>
      <c r="H114" s="6" t="s">
        <v>76</v>
      </c>
      <c r="I114" s="6" t="s">
        <v>229</v>
      </c>
      <c r="J114" s="6" t="s">
        <v>53</v>
      </c>
      <c r="K114" s="6" t="s">
        <v>53</v>
      </c>
      <c r="L114" s="6" t="s">
        <v>805</v>
      </c>
      <c r="M114" s="6" t="s">
        <v>311</v>
      </c>
      <c r="N114" s="6" t="s">
        <v>256</v>
      </c>
      <c r="O114" s="6" t="s">
        <v>62</v>
      </c>
      <c r="P114" s="6" t="s">
        <v>1213</v>
      </c>
      <c r="Q114" s="6" t="s">
        <v>65</v>
      </c>
      <c r="R114" s="6" t="s">
        <v>57</v>
      </c>
      <c r="S114" s="6" t="s">
        <v>1219</v>
      </c>
      <c r="T114" s="131">
        <v>0.97499999999999998</v>
      </c>
      <c r="U114" s="6" t="s">
        <v>1936</v>
      </c>
      <c r="V114" s="134">
        <v>3.8E-3</v>
      </c>
      <c r="W114" s="132">
        <v>2.5610000000000001E-2</v>
      </c>
      <c r="X114" s="3" t="s">
        <v>620</v>
      </c>
      <c r="Y114" s="3" t="s">
        <v>62</v>
      </c>
      <c r="Z114" s="131">
        <v>294000</v>
      </c>
      <c r="AA114" s="129">
        <v>1</v>
      </c>
      <c r="AB114" s="157">
        <v>112.93</v>
      </c>
      <c r="AD114" s="131">
        <v>332.01400000000001</v>
      </c>
      <c r="AG114" s="6" t="s">
        <v>17</v>
      </c>
      <c r="AH114" s="132">
        <v>9.7999999999999997E-5</v>
      </c>
      <c r="AI114" s="132">
        <v>2.1540031039008398E-2</v>
      </c>
      <c r="AJ114" s="132">
        <v>4.8674459498287796E-3</v>
      </c>
    </row>
    <row r="115" spans="1:36" x14ac:dyDescent="0.2">
      <c r="A115" s="6">
        <v>13710</v>
      </c>
      <c r="B115" s="6">
        <v>13711</v>
      </c>
      <c r="C115" s="6" t="s">
        <v>1910</v>
      </c>
      <c r="D115" s="6" t="s">
        <v>1911</v>
      </c>
      <c r="E115" s="3" t="s">
        <v>1477</v>
      </c>
      <c r="F115" s="6" t="s">
        <v>1937</v>
      </c>
      <c r="G115" s="6" t="s">
        <v>1938</v>
      </c>
      <c r="H115" s="6" t="s">
        <v>76</v>
      </c>
      <c r="I115" s="6" t="s">
        <v>229</v>
      </c>
      <c r="J115" s="6" t="s">
        <v>53</v>
      </c>
      <c r="K115" s="6" t="s">
        <v>53</v>
      </c>
      <c r="L115" s="6" t="s">
        <v>805</v>
      </c>
      <c r="M115" s="6" t="s">
        <v>311</v>
      </c>
      <c r="N115" s="6" t="s">
        <v>256</v>
      </c>
      <c r="O115" s="6" t="s">
        <v>62</v>
      </c>
      <c r="P115" s="6" t="s">
        <v>1213</v>
      </c>
      <c r="Q115" s="6" t="s">
        <v>65</v>
      </c>
      <c r="R115" s="6" t="s">
        <v>57</v>
      </c>
      <c r="S115" s="6" t="s">
        <v>1219</v>
      </c>
      <c r="T115" s="131">
        <v>3.2029999999999998</v>
      </c>
      <c r="U115" s="6" t="s">
        <v>1939</v>
      </c>
      <c r="V115" s="134">
        <v>1E-3</v>
      </c>
      <c r="W115" s="132">
        <v>2.5860000000000001E-2</v>
      </c>
      <c r="X115" s="3" t="s">
        <v>620</v>
      </c>
      <c r="Y115" s="3" t="s">
        <v>62</v>
      </c>
      <c r="Z115" s="131">
        <v>394294.19</v>
      </c>
      <c r="AA115" s="129">
        <v>1</v>
      </c>
      <c r="AB115" s="157">
        <v>104.36</v>
      </c>
      <c r="AD115" s="131">
        <v>411.48500000000001</v>
      </c>
      <c r="AG115" s="6" t="s">
        <v>17</v>
      </c>
      <c r="AH115" s="132">
        <v>1.7699999999999999E-4</v>
      </c>
      <c r="AI115" s="132">
        <v>2.6695872187010802E-2</v>
      </c>
      <c r="AJ115" s="132">
        <v>6.0325221778229398E-3</v>
      </c>
    </row>
    <row r="116" spans="1:36" x14ac:dyDescent="0.2">
      <c r="A116" s="6">
        <v>13710</v>
      </c>
      <c r="B116" s="6">
        <v>13711</v>
      </c>
      <c r="C116" s="6" t="s">
        <v>1940</v>
      </c>
      <c r="D116" s="6" t="s">
        <v>1941</v>
      </c>
      <c r="E116" s="3" t="s">
        <v>1477</v>
      </c>
      <c r="F116" s="6" t="s">
        <v>1942</v>
      </c>
      <c r="G116" s="6" t="s">
        <v>1943</v>
      </c>
      <c r="H116" s="6" t="s">
        <v>76</v>
      </c>
      <c r="I116" s="6" t="s">
        <v>229</v>
      </c>
      <c r="J116" s="6" t="s">
        <v>53</v>
      </c>
      <c r="K116" s="6" t="s">
        <v>53</v>
      </c>
      <c r="L116" s="6" t="s">
        <v>805</v>
      </c>
      <c r="M116" s="6" t="s">
        <v>311</v>
      </c>
      <c r="N116" s="6" t="s">
        <v>633</v>
      </c>
      <c r="O116" s="6" t="s">
        <v>62</v>
      </c>
      <c r="P116" s="6" t="s">
        <v>1521</v>
      </c>
      <c r="Q116" s="6" t="s">
        <v>70</v>
      </c>
      <c r="R116" s="6" t="s">
        <v>57</v>
      </c>
      <c r="S116" s="6" t="s">
        <v>1219</v>
      </c>
      <c r="T116" s="131">
        <v>0.499</v>
      </c>
      <c r="U116" s="6" t="s">
        <v>1499</v>
      </c>
      <c r="V116" s="134">
        <v>1.8499999999999999E-2</v>
      </c>
      <c r="W116" s="132">
        <v>2.7910000000000001E-2</v>
      </c>
      <c r="X116" s="3" t="s">
        <v>620</v>
      </c>
      <c r="Y116" s="3" t="s">
        <v>62</v>
      </c>
      <c r="Z116" s="131">
        <v>75428.570000000007</v>
      </c>
      <c r="AA116" s="129">
        <v>1</v>
      </c>
      <c r="AB116" s="157">
        <v>116.51</v>
      </c>
      <c r="AD116" s="131">
        <v>87.882000000000005</v>
      </c>
      <c r="AG116" s="6" t="s">
        <v>17</v>
      </c>
      <c r="AH116" s="132">
        <v>5.1099999999999995E-4</v>
      </c>
      <c r="AI116" s="132">
        <v>5.7014949340767401E-3</v>
      </c>
      <c r="AJ116" s="132">
        <v>1.2883787574207101E-3</v>
      </c>
    </row>
    <row r="117" spans="1:36" x14ac:dyDescent="0.2">
      <c r="A117" s="6">
        <v>13710</v>
      </c>
      <c r="B117" s="6">
        <v>13711</v>
      </c>
      <c r="C117" s="6" t="s">
        <v>1940</v>
      </c>
      <c r="D117" s="6" t="s">
        <v>1941</v>
      </c>
      <c r="E117" s="3" t="s">
        <v>1477</v>
      </c>
      <c r="F117" s="6" t="s">
        <v>1944</v>
      </c>
      <c r="G117" s="6" t="s">
        <v>1945</v>
      </c>
      <c r="H117" s="6" t="s">
        <v>76</v>
      </c>
      <c r="I117" s="6" t="s">
        <v>229</v>
      </c>
      <c r="J117" s="6" t="s">
        <v>53</v>
      </c>
      <c r="K117" s="6" t="s">
        <v>53</v>
      </c>
      <c r="L117" s="6" t="s">
        <v>805</v>
      </c>
      <c r="M117" s="6" t="s">
        <v>311</v>
      </c>
      <c r="N117" s="6" t="s">
        <v>633</v>
      </c>
      <c r="O117" s="6" t="s">
        <v>62</v>
      </c>
      <c r="P117" s="6" t="s">
        <v>1521</v>
      </c>
      <c r="Q117" s="6" t="s">
        <v>70</v>
      </c>
      <c r="R117" s="6" t="s">
        <v>57</v>
      </c>
      <c r="S117" s="6" t="s">
        <v>1219</v>
      </c>
      <c r="T117" s="131">
        <v>0.17899999999999999</v>
      </c>
      <c r="U117" s="6" t="s">
        <v>1946</v>
      </c>
      <c r="V117" s="134">
        <v>0.01</v>
      </c>
      <c r="W117" s="132">
        <v>3.569E-2</v>
      </c>
      <c r="X117" s="3" t="s">
        <v>620</v>
      </c>
      <c r="Y117" s="3" t="s">
        <v>62</v>
      </c>
      <c r="Z117" s="131">
        <v>58000.03</v>
      </c>
      <c r="AA117" s="129">
        <v>1</v>
      </c>
      <c r="AB117" s="157">
        <v>115.84</v>
      </c>
      <c r="AD117" s="131">
        <v>67.186999999999998</v>
      </c>
      <c r="AG117" s="6" t="s">
        <v>17</v>
      </c>
      <c r="AH117" s="132">
        <v>3.4299999999999999E-4</v>
      </c>
      <c r="AI117" s="132">
        <v>4.35889525804385E-3</v>
      </c>
      <c r="AJ117" s="132">
        <v>9.8498869528417096E-4</v>
      </c>
    </row>
    <row r="118" spans="1:36" x14ac:dyDescent="0.2">
      <c r="A118" s="6">
        <v>13710</v>
      </c>
      <c r="B118" s="6">
        <v>13711</v>
      </c>
      <c r="C118" s="6" t="s">
        <v>1947</v>
      </c>
      <c r="D118" s="6" t="s">
        <v>1948</v>
      </c>
      <c r="E118" s="3" t="s">
        <v>1477</v>
      </c>
      <c r="F118" s="6" t="s">
        <v>1949</v>
      </c>
      <c r="G118" s="6" t="s">
        <v>1950</v>
      </c>
      <c r="H118" s="6" t="s">
        <v>76</v>
      </c>
      <c r="I118" s="6" t="s">
        <v>229</v>
      </c>
      <c r="J118" s="6" t="s">
        <v>53</v>
      </c>
      <c r="K118" s="6" t="s">
        <v>53</v>
      </c>
      <c r="L118" s="6" t="s">
        <v>805</v>
      </c>
      <c r="M118" s="6" t="s">
        <v>311</v>
      </c>
      <c r="N118" s="6" t="s">
        <v>635</v>
      </c>
      <c r="O118" s="6" t="s">
        <v>62</v>
      </c>
      <c r="P118" s="6" t="s">
        <v>1533</v>
      </c>
      <c r="Q118" s="6" t="s">
        <v>65</v>
      </c>
      <c r="R118" s="6" t="s">
        <v>57</v>
      </c>
      <c r="S118" s="6" t="s">
        <v>1219</v>
      </c>
      <c r="T118" s="131">
        <v>3.7440000000000002</v>
      </c>
      <c r="U118" s="6" t="s">
        <v>1549</v>
      </c>
      <c r="V118" s="134">
        <v>1.43E-2</v>
      </c>
      <c r="W118" s="132">
        <v>2.81E-2</v>
      </c>
      <c r="X118" s="3" t="s">
        <v>620</v>
      </c>
      <c r="Y118" s="3" t="s">
        <v>62</v>
      </c>
      <c r="Z118" s="131">
        <v>49450.55</v>
      </c>
      <c r="AA118" s="129">
        <v>1</v>
      </c>
      <c r="AB118" s="157">
        <v>111.28</v>
      </c>
      <c r="AC118" s="131">
        <v>1.0609999999999999</v>
      </c>
      <c r="AD118" s="131">
        <v>56.09</v>
      </c>
      <c r="AG118" s="6" t="s">
        <v>17</v>
      </c>
      <c r="AH118" s="132">
        <v>2.5999999999999998E-5</v>
      </c>
      <c r="AI118" s="132">
        <v>3.6389444985211001E-3</v>
      </c>
      <c r="AJ118" s="132">
        <v>8.2229991353780603E-4</v>
      </c>
    </row>
    <row r="119" spans="1:36" x14ac:dyDescent="0.2">
      <c r="A119" s="6">
        <v>13710</v>
      </c>
      <c r="B119" s="6">
        <v>13711</v>
      </c>
      <c r="C119" s="6" t="s">
        <v>1947</v>
      </c>
      <c r="D119" s="6" t="s">
        <v>1948</v>
      </c>
      <c r="E119" s="3" t="s">
        <v>1477</v>
      </c>
      <c r="F119" s="6" t="s">
        <v>1951</v>
      </c>
      <c r="G119" s="6" t="s">
        <v>1952</v>
      </c>
      <c r="H119" s="6" t="s">
        <v>76</v>
      </c>
      <c r="I119" s="6" t="s">
        <v>229</v>
      </c>
      <c r="J119" s="6" t="s">
        <v>53</v>
      </c>
      <c r="K119" s="6" t="s">
        <v>53</v>
      </c>
      <c r="L119" s="6" t="s">
        <v>805</v>
      </c>
      <c r="M119" s="6" t="s">
        <v>311</v>
      </c>
      <c r="N119" s="6" t="s">
        <v>635</v>
      </c>
      <c r="O119" s="6" t="s">
        <v>62</v>
      </c>
      <c r="P119" s="6" t="s">
        <v>1533</v>
      </c>
      <c r="Q119" s="6" t="s">
        <v>65</v>
      </c>
      <c r="R119" s="6" t="s">
        <v>57</v>
      </c>
      <c r="S119" s="6" t="s">
        <v>1219</v>
      </c>
      <c r="T119" s="131">
        <v>2.1999999999999999E-2</v>
      </c>
      <c r="U119" s="6" t="s">
        <v>1953</v>
      </c>
      <c r="V119" s="134">
        <v>1.7600000000000001E-2</v>
      </c>
      <c r="W119" s="132">
        <v>9.2439999999999994E-2</v>
      </c>
      <c r="X119" s="3" t="s">
        <v>620</v>
      </c>
      <c r="Y119" s="3" t="s">
        <v>62</v>
      </c>
      <c r="Z119" s="131">
        <v>166939.03</v>
      </c>
      <c r="AA119" s="129">
        <v>1</v>
      </c>
      <c r="AB119" s="157">
        <v>119.74</v>
      </c>
      <c r="AD119" s="131">
        <v>199.893</v>
      </c>
      <c r="AG119" s="6" t="s">
        <v>17</v>
      </c>
      <c r="AH119" s="132">
        <v>6.2E-4</v>
      </c>
      <c r="AI119" s="132">
        <v>1.29684121898341E-2</v>
      </c>
      <c r="AJ119" s="132">
        <v>2.9304992771274998E-3</v>
      </c>
    </row>
    <row r="120" spans="1:36" x14ac:dyDescent="0.2">
      <c r="A120" s="6">
        <v>13710</v>
      </c>
      <c r="B120" s="6">
        <v>13711</v>
      </c>
      <c r="C120" s="6" t="s">
        <v>1947</v>
      </c>
      <c r="D120" s="6" t="s">
        <v>1948</v>
      </c>
      <c r="E120" s="3" t="s">
        <v>1477</v>
      </c>
      <c r="F120" s="6" t="s">
        <v>1954</v>
      </c>
      <c r="G120" s="6" t="s">
        <v>1955</v>
      </c>
      <c r="H120" s="6" t="s">
        <v>76</v>
      </c>
      <c r="I120" s="6" t="s">
        <v>229</v>
      </c>
      <c r="J120" s="6" t="s">
        <v>53</v>
      </c>
      <c r="K120" s="6" t="s">
        <v>53</v>
      </c>
      <c r="L120" s="6" t="s">
        <v>805</v>
      </c>
      <c r="M120" s="6" t="s">
        <v>311</v>
      </c>
      <c r="N120" s="6" t="s">
        <v>635</v>
      </c>
      <c r="O120" s="6" t="s">
        <v>62</v>
      </c>
      <c r="P120" s="6" t="s">
        <v>1533</v>
      </c>
      <c r="Q120" s="6" t="s">
        <v>65</v>
      </c>
      <c r="R120" s="6" t="s">
        <v>57</v>
      </c>
      <c r="S120" s="6" t="s">
        <v>1219</v>
      </c>
      <c r="T120" s="131">
        <v>2.1999999999999999E-2</v>
      </c>
      <c r="U120" s="6" t="s">
        <v>1953</v>
      </c>
      <c r="V120" s="134">
        <v>2.3E-2</v>
      </c>
      <c r="W120" s="132">
        <v>4.793E-2</v>
      </c>
      <c r="X120" s="3" t="s">
        <v>620</v>
      </c>
      <c r="Y120" s="3" t="s">
        <v>62</v>
      </c>
      <c r="Z120" s="131">
        <v>76000.320000000007</v>
      </c>
      <c r="AA120" s="129">
        <v>1</v>
      </c>
      <c r="AB120" s="157">
        <v>120.17</v>
      </c>
      <c r="AD120" s="131">
        <v>91.33</v>
      </c>
      <c r="AG120" s="6" t="s">
        <v>17</v>
      </c>
      <c r="AH120" s="132">
        <v>9.6000000000000002E-5</v>
      </c>
      <c r="AI120" s="132">
        <v>5.9251745433101998E-3</v>
      </c>
      <c r="AJ120" s="132">
        <v>1.33892410742745E-3</v>
      </c>
    </row>
    <row r="121" spans="1:36" x14ac:dyDescent="0.2">
      <c r="A121" s="6">
        <v>13710</v>
      </c>
      <c r="B121" s="6">
        <v>13711</v>
      </c>
      <c r="C121" s="6" t="s">
        <v>1947</v>
      </c>
      <c r="D121" s="6" t="s">
        <v>1948</v>
      </c>
      <c r="E121" s="3" t="s">
        <v>1477</v>
      </c>
      <c r="F121" s="6" t="s">
        <v>1956</v>
      </c>
      <c r="G121" s="6" t="s">
        <v>1957</v>
      </c>
      <c r="H121" s="6" t="s">
        <v>76</v>
      </c>
      <c r="I121" s="6" t="s">
        <v>229</v>
      </c>
      <c r="J121" s="6" t="s">
        <v>53</v>
      </c>
      <c r="K121" s="6" t="s">
        <v>53</v>
      </c>
      <c r="L121" s="6" t="s">
        <v>805</v>
      </c>
      <c r="M121" s="6" t="s">
        <v>311</v>
      </c>
      <c r="N121" s="6" t="s">
        <v>635</v>
      </c>
      <c r="O121" s="6" t="s">
        <v>62</v>
      </c>
      <c r="P121" s="6" t="s">
        <v>1533</v>
      </c>
      <c r="Q121" s="6" t="s">
        <v>65</v>
      </c>
      <c r="R121" s="6" t="s">
        <v>57</v>
      </c>
      <c r="S121" s="6" t="s">
        <v>1219</v>
      </c>
      <c r="T121" s="131">
        <v>0.80800000000000005</v>
      </c>
      <c r="U121" s="6" t="s">
        <v>1958</v>
      </c>
      <c r="V121" s="134">
        <v>2.1499999999999998E-2</v>
      </c>
      <c r="W121" s="132">
        <v>3.1850000000000003E-2</v>
      </c>
      <c r="X121" s="3" t="s">
        <v>620</v>
      </c>
      <c r="Y121" s="3" t="s">
        <v>62</v>
      </c>
      <c r="Z121" s="131">
        <v>153388.65</v>
      </c>
      <c r="AA121" s="129">
        <v>1</v>
      </c>
      <c r="AB121" s="157">
        <v>118.67</v>
      </c>
      <c r="AD121" s="131">
        <v>182.02600000000001</v>
      </c>
      <c r="AG121" s="6" t="s">
        <v>17</v>
      </c>
      <c r="AH121" s="132">
        <v>1.3200000000000001E-4</v>
      </c>
      <c r="AI121" s="132">
        <v>1.18092912528648E-2</v>
      </c>
      <c r="AJ121" s="132">
        <v>2.6685702901267099E-3</v>
      </c>
    </row>
    <row r="122" spans="1:36" x14ac:dyDescent="0.2">
      <c r="A122" s="6">
        <v>13710</v>
      </c>
      <c r="B122" s="6">
        <v>13711</v>
      </c>
      <c r="C122" s="6" t="s">
        <v>1947</v>
      </c>
      <c r="D122" s="6" t="s">
        <v>1948</v>
      </c>
      <c r="E122" s="3" t="s">
        <v>1477</v>
      </c>
      <c r="F122" s="6" t="s">
        <v>1959</v>
      </c>
      <c r="G122" s="6" t="s">
        <v>1960</v>
      </c>
      <c r="H122" s="6" t="s">
        <v>76</v>
      </c>
      <c r="I122" s="6" t="s">
        <v>229</v>
      </c>
      <c r="J122" s="6" t="s">
        <v>53</v>
      </c>
      <c r="K122" s="6" t="s">
        <v>53</v>
      </c>
      <c r="L122" s="6" t="s">
        <v>805</v>
      </c>
      <c r="M122" s="6" t="s">
        <v>311</v>
      </c>
      <c r="N122" s="6" t="s">
        <v>635</v>
      </c>
      <c r="O122" s="6" t="s">
        <v>62</v>
      </c>
      <c r="P122" s="6" t="s">
        <v>1533</v>
      </c>
      <c r="Q122" s="6" t="s">
        <v>65</v>
      </c>
      <c r="R122" s="6" t="s">
        <v>57</v>
      </c>
      <c r="S122" s="6" t="s">
        <v>1219</v>
      </c>
      <c r="T122" s="131">
        <v>1.6779999999999999</v>
      </c>
      <c r="U122" s="6" t="s">
        <v>1663</v>
      </c>
      <c r="V122" s="134">
        <v>2.35E-2</v>
      </c>
      <c r="W122" s="132">
        <v>2.7459999999999998E-2</v>
      </c>
      <c r="X122" s="3" t="s">
        <v>620</v>
      </c>
      <c r="Y122" s="3" t="s">
        <v>62</v>
      </c>
      <c r="Z122" s="131">
        <v>121536.22</v>
      </c>
      <c r="AA122" s="129">
        <v>1</v>
      </c>
      <c r="AB122" s="157">
        <v>118.4</v>
      </c>
      <c r="AD122" s="131">
        <v>143.899</v>
      </c>
      <c r="AG122" s="6" t="s">
        <v>17</v>
      </c>
      <c r="AH122" s="132">
        <v>1.3300000000000001E-4</v>
      </c>
      <c r="AI122" s="132">
        <v>9.3357044312498694E-3</v>
      </c>
      <c r="AJ122" s="132">
        <v>2.10960869278198E-3</v>
      </c>
    </row>
    <row r="123" spans="1:36" x14ac:dyDescent="0.2">
      <c r="A123" s="6">
        <v>13710</v>
      </c>
      <c r="B123" s="6">
        <v>13711</v>
      </c>
      <c r="C123" s="6" t="s">
        <v>1961</v>
      </c>
      <c r="D123" s="6" t="s">
        <v>1962</v>
      </c>
      <c r="E123" s="3" t="s">
        <v>1477</v>
      </c>
      <c r="F123" s="6" t="s">
        <v>1963</v>
      </c>
      <c r="G123" s="6" t="s">
        <v>1964</v>
      </c>
      <c r="H123" s="6" t="s">
        <v>76</v>
      </c>
      <c r="I123" s="6" t="s">
        <v>229</v>
      </c>
      <c r="J123" s="6" t="s">
        <v>53</v>
      </c>
      <c r="K123" s="6" t="s">
        <v>53</v>
      </c>
      <c r="L123" s="6" t="s">
        <v>805</v>
      </c>
      <c r="M123" s="6" t="s">
        <v>311</v>
      </c>
      <c r="N123" s="6" t="s">
        <v>635</v>
      </c>
      <c r="O123" s="6" t="s">
        <v>62</v>
      </c>
      <c r="P123" s="6" t="s">
        <v>1965</v>
      </c>
      <c r="Q123" s="6" t="s">
        <v>70</v>
      </c>
      <c r="R123" s="6" t="s">
        <v>57</v>
      </c>
      <c r="S123" s="6" t="s">
        <v>1219</v>
      </c>
      <c r="T123" s="131">
        <v>2.2509999999999999</v>
      </c>
      <c r="U123" s="6" t="s">
        <v>1605</v>
      </c>
      <c r="V123" s="134">
        <v>2.75E-2</v>
      </c>
      <c r="W123" s="132">
        <v>2.869E-2</v>
      </c>
      <c r="X123" s="3" t="s">
        <v>620</v>
      </c>
      <c r="Y123" s="3" t="s">
        <v>62</v>
      </c>
      <c r="Z123" s="131">
        <v>93177.01</v>
      </c>
      <c r="AA123" s="129">
        <v>1</v>
      </c>
      <c r="AB123" s="157">
        <v>116.1</v>
      </c>
      <c r="AD123" s="131">
        <v>108.179</v>
      </c>
      <c r="AG123" s="6" t="s">
        <v>17</v>
      </c>
      <c r="AH123" s="132">
        <v>1.6699999999999999E-4</v>
      </c>
      <c r="AI123" s="132">
        <v>7.0182794386897803E-3</v>
      </c>
      <c r="AJ123" s="132">
        <v>1.5859353111772399E-3</v>
      </c>
    </row>
    <row r="124" spans="1:36" x14ac:dyDescent="0.2">
      <c r="A124" s="6">
        <v>13710</v>
      </c>
      <c r="B124" s="6">
        <v>13711</v>
      </c>
      <c r="C124" s="6" t="s">
        <v>1966</v>
      </c>
      <c r="D124" s="6" t="s">
        <v>1967</v>
      </c>
      <c r="E124" s="3" t="s">
        <v>1477</v>
      </c>
      <c r="F124" s="6" t="s">
        <v>1968</v>
      </c>
      <c r="G124" s="6" t="s">
        <v>1969</v>
      </c>
      <c r="H124" s="6" t="s">
        <v>76</v>
      </c>
      <c r="I124" s="6" t="s">
        <v>228</v>
      </c>
      <c r="J124" s="6" t="s">
        <v>53</v>
      </c>
      <c r="K124" s="6" t="s">
        <v>53</v>
      </c>
      <c r="L124" s="6" t="s">
        <v>805</v>
      </c>
      <c r="M124" s="6" t="s">
        <v>311</v>
      </c>
      <c r="N124" s="6" t="s">
        <v>633</v>
      </c>
      <c r="O124" s="6" t="s">
        <v>62</v>
      </c>
      <c r="P124" s="6" t="s">
        <v>1604</v>
      </c>
      <c r="Q124" s="6" t="s">
        <v>70</v>
      </c>
      <c r="R124" s="6" t="s">
        <v>57</v>
      </c>
      <c r="S124" s="6" t="s">
        <v>1219</v>
      </c>
      <c r="T124" s="131">
        <v>0.73099999999999998</v>
      </c>
      <c r="U124" s="6" t="s">
        <v>1578</v>
      </c>
      <c r="V124" s="134">
        <v>0.114</v>
      </c>
      <c r="W124" s="132">
        <v>5.91E-2</v>
      </c>
      <c r="X124" s="3" t="s">
        <v>620</v>
      </c>
      <c r="Y124" s="3" t="s">
        <v>62</v>
      </c>
      <c r="Z124" s="131">
        <v>37000</v>
      </c>
      <c r="AA124" s="129">
        <v>1</v>
      </c>
      <c r="AB124" s="157">
        <v>102.52</v>
      </c>
      <c r="AD124" s="131">
        <v>37.932000000000002</v>
      </c>
      <c r="AG124" s="6" t="s">
        <v>17</v>
      </c>
      <c r="AH124" s="132">
        <v>1.5300000000000001E-4</v>
      </c>
      <c r="AI124" s="132">
        <v>2.46093412084206E-3</v>
      </c>
      <c r="AJ124" s="132">
        <v>5.5610244003806203E-4</v>
      </c>
    </row>
    <row r="125" spans="1:36" x14ac:dyDescent="0.2">
      <c r="A125" s="6">
        <v>13710</v>
      </c>
      <c r="B125" s="6">
        <v>13711</v>
      </c>
      <c r="C125" s="6" t="s">
        <v>1970</v>
      </c>
      <c r="D125" s="6" t="s">
        <v>1971</v>
      </c>
      <c r="E125" s="3" t="s">
        <v>1477</v>
      </c>
      <c r="F125" s="6" t="s">
        <v>1972</v>
      </c>
      <c r="G125" s="6" t="s">
        <v>1973</v>
      </c>
      <c r="H125" s="6" t="s">
        <v>76</v>
      </c>
      <c r="I125" s="6" t="s">
        <v>229</v>
      </c>
      <c r="J125" s="6" t="s">
        <v>53</v>
      </c>
      <c r="K125" s="6" t="s">
        <v>53</v>
      </c>
      <c r="L125" s="6" t="s">
        <v>805</v>
      </c>
      <c r="M125" s="6" t="s">
        <v>311</v>
      </c>
      <c r="N125" s="6" t="s">
        <v>258</v>
      </c>
      <c r="O125" s="6" t="s">
        <v>62</v>
      </c>
      <c r="P125" s="6" t="s">
        <v>1213</v>
      </c>
      <c r="Q125" s="6" t="s">
        <v>65</v>
      </c>
      <c r="R125" s="6" t="s">
        <v>57</v>
      </c>
      <c r="S125" s="6" t="s">
        <v>1219</v>
      </c>
      <c r="T125" s="131">
        <v>1.4810000000000001</v>
      </c>
      <c r="U125" s="6" t="s">
        <v>1605</v>
      </c>
      <c r="V125" s="134">
        <v>1E-3</v>
      </c>
      <c r="W125" s="132">
        <v>2.6009999999999998E-2</v>
      </c>
      <c r="X125" s="3" t="s">
        <v>620</v>
      </c>
      <c r="Y125" s="3" t="s">
        <v>62</v>
      </c>
      <c r="Z125" s="131">
        <v>270000</v>
      </c>
      <c r="AA125" s="129">
        <v>1</v>
      </c>
      <c r="AB125" s="157">
        <v>111.15</v>
      </c>
      <c r="AD125" s="131">
        <v>300.10500000000002</v>
      </c>
      <c r="AG125" s="6" t="s">
        <v>17</v>
      </c>
      <c r="AH125" s="132">
        <v>4.2000000000000002E-4</v>
      </c>
      <c r="AI125" s="132">
        <v>1.9469863081041702E-2</v>
      </c>
      <c r="AJ125" s="132">
        <v>4.3996457584445604E-3</v>
      </c>
    </row>
    <row r="126" spans="1:36" x14ac:dyDescent="0.2">
      <c r="A126" s="6">
        <v>13710</v>
      </c>
      <c r="B126" s="6">
        <v>13711</v>
      </c>
      <c r="C126" s="6" t="s">
        <v>1970</v>
      </c>
      <c r="D126" s="6" t="s">
        <v>1971</v>
      </c>
      <c r="E126" s="3" t="s">
        <v>1477</v>
      </c>
      <c r="F126" s="6" t="s">
        <v>1974</v>
      </c>
      <c r="G126" s="6" t="s">
        <v>1975</v>
      </c>
      <c r="H126" s="6" t="s">
        <v>76</v>
      </c>
      <c r="I126" s="6" t="s">
        <v>229</v>
      </c>
      <c r="J126" s="6" t="s">
        <v>53</v>
      </c>
      <c r="K126" s="6" t="s">
        <v>53</v>
      </c>
      <c r="L126" s="6" t="s">
        <v>805</v>
      </c>
      <c r="M126" s="6" t="s">
        <v>311</v>
      </c>
      <c r="N126" s="6" t="s">
        <v>258</v>
      </c>
      <c r="O126" s="6" t="s">
        <v>62</v>
      </c>
      <c r="P126" s="6" t="s">
        <v>1213</v>
      </c>
      <c r="Q126" s="6" t="s">
        <v>65</v>
      </c>
      <c r="R126" s="6" t="s">
        <v>57</v>
      </c>
      <c r="S126" s="6" t="s">
        <v>1219</v>
      </c>
      <c r="T126" s="131">
        <v>11.726000000000001</v>
      </c>
      <c r="U126" s="6" t="s">
        <v>1976</v>
      </c>
      <c r="V126" s="134">
        <v>2.07E-2</v>
      </c>
      <c r="W126" s="132">
        <v>2.776E-2</v>
      </c>
      <c r="X126" s="3" t="s">
        <v>620</v>
      </c>
      <c r="Y126" s="3" t="s">
        <v>62</v>
      </c>
      <c r="Z126" s="131">
        <v>94484.23</v>
      </c>
      <c r="AA126" s="129">
        <v>1</v>
      </c>
      <c r="AB126" s="157">
        <v>106.32</v>
      </c>
      <c r="AD126" s="131">
        <v>100.456</v>
      </c>
      <c r="AG126" s="6" t="s">
        <v>17</v>
      </c>
      <c r="AH126" s="132">
        <v>1.7E-5</v>
      </c>
      <c r="AI126" s="132">
        <v>6.5172437206019599E-3</v>
      </c>
      <c r="AJ126" s="132">
        <v>1.4727152200682901E-3</v>
      </c>
    </row>
    <row r="127" spans="1:36" x14ac:dyDescent="0.2">
      <c r="A127" s="6">
        <v>13710</v>
      </c>
      <c r="B127" s="6">
        <v>13711</v>
      </c>
      <c r="C127" s="6" t="s">
        <v>1977</v>
      </c>
      <c r="D127" s="6" t="s">
        <v>1978</v>
      </c>
      <c r="E127" s="3" t="s">
        <v>1477</v>
      </c>
      <c r="F127" s="6" t="s">
        <v>1979</v>
      </c>
      <c r="G127" s="6" t="s">
        <v>1980</v>
      </c>
      <c r="H127" s="6" t="s">
        <v>76</v>
      </c>
      <c r="I127" s="6" t="s">
        <v>229</v>
      </c>
      <c r="J127" s="6" t="s">
        <v>53</v>
      </c>
      <c r="K127" s="6" t="s">
        <v>53</v>
      </c>
      <c r="L127" s="6" t="s">
        <v>805</v>
      </c>
      <c r="M127" s="6" t="s">
        <v>311</v>
      </c>
      <c r="N127" s="6" t="s">
        <v>256</v>
      </c>
      <c r="O127" s="6" t="s">
        <v>62</v>
      </c>
      <c r="P127" s="6" t="s">
        <v>1213</v>
      </c>
      <c r="Q127" s="6" t="s">
        <v>65</v>
      </c>
      <c r="R127" s="6" t="s">
        <v>57</v>
      </c>
      <c r="S127" s="6" t="s">
        <v>1219</v>
      </c>
      <c r="T127" s="131">
        <v>2.5089999999999999</v>
      </c>
      <c r="U127" s="6" t="s">
        <v>1981</v>
      </c>
      <c r="V127" s="134">
        <v>1.4999999999999999E-2</v>
      </c>
      <c r="W127" s="132">
        <v>2.5399999999999999E-2</v>
      </c>
      <c r="X127" s="3" t="s">
        <v>620</v>
      </c>
      <c r="Y127" s="3" t="s">
        <v>62</v>
      </c>
      <c r="Z127" s="131">
        <v>78638.97</v>
      </c>
      <c r="AA127" s="129">
        <v>1</v>
      </c>
      <c r="AB127" s="157">
        <v>114.77</v>
      </c>
      <c r="AD127" s="131">
        <v>90.254000000000005</v>
      </c>
      <c r="AG127" s="6" t="s">
        <v>17</v>
      </c>
      <c r="AH127" s="132">
        <v>3.3799999999999998E-4</v>
      </c>
      <c r="AI127" s="132">
        <v>5.8553905086325903E-3</v>
      </c>
      <c r="AJ127" s="132">
        <v>1.32315486288276E-3</v>
      </c>
    </row>
    <row r="128" spans="1:36" x14ac:dyDescent="0.2">
      <c r="A128" s="6">
        <v>13710</v>
      </c>
      <c r="B128" s="6">
        <v>13711</v>
      </c>
      <c r="C128" s="6" t="s">
        <v>1982</v>
      </c>
      <c r="D128" s="6" t="s">
        <v>1983</v>
      </c>
      <c r="E128" s="3" t="s">
        <v>1477</v>
      </c>
      <c r="F128" s="6" t="s">
        <v>1984</v>
      </c>
      <c r="G128" s="6" t="s">
        <v>1985</v>
      </c>
      <c r="H128" s="6" t="s">
        <v>76</v>
      </c>
      <c r="I128" s="6" t="s">
        <v>229</v>
      </c>
      <c r="J128" s="6" t="s">
        <v>53</v>
      </c>
      <c r="K128" s="6" t="s">
        <v>53</v>
      </c>
      <c r="L128" s="6" t="s">
        <v>805</v>
      </c>
      <c r="M128" s="6" t="s">
        <v>311</v>
      </c>
      <c r="N128" s="6" t="s">
        <v>156</v>
      </c>
      <c r="O128" s="6" t="s">
        <v>62</v>
      </c>
      <c r="P128" s="6" t="s">
        <v>298</v>
      </c>
      <c r="Q128" s="6" t="s">
        <v>298</v>
      </c>
      <c r="R128" s="6" t="s">
        <v>298</v>
      </c>
      <c r="S128" s="6" t="s">
        <v>1219</v>
      </c>
      <c r="T128" s="131">
        <v>0.72399999999999998</v>
      </c>
      <c r="U128" s="6" t="s">
        <v>1718</v>
      </c>
      <c r="V128" s="134">
        <v>1.6400000000000001E-2</v>
      </c>
      <c r="W128" s="132">
        <v>2.809E-2</v>
      </c>
      <c r="X128" s="3" t="s">
        <v>620</v>
      </c>
      <c r="Y128" s="3" t="s">
        <v>62</v>
      </c>
      <c r="Z128" s="131">
        <v>51498.32</v>
      </c>
      <c r="AA128" s="129">
        <v>1</v>
      </c>
      <c r="AB128" s="157">
        <v>116.68</v>
      </c>
      <c r="AD128" s="131">
        <v>60.088000000000001</v>
      </c>
      <c r="AG128" s="6" t="s">
        <v>17</v>
      </c>
      <c r="AH128" s="132">
        <v>2.1699999999999999E-4</v>
      </c>
      <c r="AI128" s="132">
        <v>3.8983349201763598E-3</v>
      </c>
      <c r="AJ128" s="132">
        <v>8.8091491065753105E-4</v>
      </c>
    </row>
    <row r="129" spans="1:36" x14ac:dyDescent="0.2">
      <c r="A129" s="6">
        <v>13710</v>
      </c>
      <c r="B129" s="6">
        <v>13711</v>
      </c>
      <c r="C129" s="6" t="s">
        <v>1986</v>
      </c>
      <c r="D129" s="6" t="s">
        <v>1987</v>
      </c>
      <c r="E129" s="3" t="s">
        <v>1477</v>
      </c>
      <c r="F129" s="6" t="s">
        <v>1988</v>
      </c>
      <c r="G129" s="6" t="s">
        <v>1989</v>
      </c>
      <c r="H129" s="6" t="s">
        <v>76</v>
      </c>
      <c r="I129" s="6" t="s">
        <v>228</v>
      </c>
      <c r="J129" s="6" t="s">
        <v>53</v>
      </c>
      <c r="K129" s="6" t="s">
        <v>53</v>
      </c>
      <c r="L129" s="6" t="s">
        <v>805</v>
      </c>
      <c r="M129" s="6" t="s">
        <v>311</v>
      </c>
      <c r="N129" s="6" t="s">
        <v>633</v>
      </c>
      <c r="O129" s="6" t="s">
        <v>62</v>
      </c>
      <c r="P129" s="6" t="s">
        <v>1628</v>
      </c>
      <c r="Q129" s="6" t="s">
        <v>65</v>
      </c>
      <c r="R129" s="6" t="s">
        <v>57</v>
      </c>
      <c r="S129" s="6" t="s">
        <v>1219</v>
      </c>
      <c r="T129" s="131">
        <v>6.29</v>
      </c>
      <c r="U129" s="6" t="s">
        <v>1797</v>
      </c>
      <c r="V129" s="134">
        <v>1.55E-2</v>
      </c>
      <c r="W129" s="132">
        <v>5.4399999999999997E-2</v>
      </c>
      <c r="X129" s="3" t="s">
        <v>620</v>
      </c>
      <c r="Y129" s="3" t="s">
        <v>62</v>
      </c>
      <c r="Z129" s="131">
        <v>30666.67</v>
      </c>
      <c r="AA129" s="129">
        <v>1</v>
      </c>
      <c r="AB129" s="157">
        <v>98.94</v>
      </c>
      <c r="AD129" s="131">
        <v>30.341999999999999</v>
      </c>
      <c r="AG129" s="6" t="s">
        <v>17</v>
      </c>
      <c r="AH129" s="132">
        <v>9.4799999999999995E-4</v>
      </c>
      <c r="AI129" s="132">
        <v>1.9684672427028702E-3</v>
      </c>
      <c r="AJ129" s="132">
        <v>4.4481866764783397E-4</v>
      </c>
    </row>
    <row r="130" spans="1:36" x14ac:dyDescent="0.2">
      <c r="A130" s="6">
        <v>13710</v>
      </c>
      <c r="B130" s="6">
        <v>13711</v>
      </c>
      <c r="C130" s="6" t="s">
        <v>1990</v>
      </c>
      <c r="D130" s="6" t="s">
        <v>1991</v>
      </c>
      <c r="E130" s="3" t="s">
        <v>432</v>
      </c>
      <c r="F130" s="6" t="s">
        <v>1992</v>
      </c>
      <c r="G130" s="6" t="s">
        <v>1993</v>
      </c>
      <c r="H130" s="6" t="s">
        <v>76</v>
      </c>
      <c r="I130" s="6" t="s">
        <v>228</v>
      </c>
      <c r="J130" s="6" t="s">
        <v>53</v>
      </c>
      <c r="K130" s="6" t="s">
        <v>53</v>
      </c>
      <c r="L130" s="6" t="s">
        <v>805</v>
      </c>
      <c r="M130" s="6" t="s">
        <v>102</v>
      </c>
      <c r="N130" s="6" t="s">
        <v>267</v>
      </c>
      <c r="O130" s="6" t="s">
        <v>62</v>
      </c>
      <c r="P130" s="6" t="s">
        <v>1994</v>
      </c>
      <c r="Q130" s="6" t="s">
        <v>65</v>
      </c>
      <c r="R130" s="6" t="s">
        <v>57</v>
      </c>
      <c r="S130" s="6" t="s">
        <v>1219</v>
      </c>
      <c r="T130" s="131">
        <v>3.9449999999999998</v>
      </c>
      <c r="U130" s="6" t="s">
        <v>1713</v>
      </c>
      <c r="V130" s="134">
        <v>0.06</v>
      </c>
      <c r="W130" s="132">
        <v>6.25E-2</v>
      </c>
      <c r="X130" s="3" t="s">
        <v>620</v>
      </c>
      <c r="Y130" s="3" t="s">
        <v>62</v>
      </c>
      <c r="Z130" s="131">
        <v>40000</v>
      </c>
      <c r="AA130" s="129">
        <v>1</v>
      </c>
      <c r="AB130" s="157">
        <v>100.526</v>
      </c>
      <c r="AD130" s="131">
        <v>40.21</v>
      </c>
      <c r="AG130" s="6" t="s">
        <v>17</v>
      </c>
      <c r="AH130" s="132">
        <v>0</v>
      </c>
      <c r="AI130" s="132">
        <v>2.6087244608090101E-3</v>
      </c>
      <c r="AJ130" s="132">
        <v>5.8949893284687899E-4</v>
      </c>
    </row>
    <row r="131" spans="1:36" x14ac:dyDescent="0.2">
      <c r="A131" s="6">
        <v>13710</v>
      </c>
      <c r="B131" s="6">
        <v>13711</v>
      </c>
      <c r="C131" s="6" t="s">
        <v>1990</v>
      </c>
      <c r="D131" s="6" t="s">
        <v>1991</v>
      </c>
      <c r="E131" s="3" t="s">
        <v>432</v>
      </c>
      <c r="F131" s="6" t="s">
        <v>1995</v>
      </c>
      <c r="G131" s="6" t="s">
        <v>1996</v>
      </c>
      <c r="H131" s="6" t="s">
        <v>76</v>
      </c>
      <c r="I131" s="6" t="s">
        <v>228</v>
      </c>
      <c r="J131" s="6" t="s">
        <v>53</v>
      </c>
      <c r="K131" s="6" t="s">
        <v>53</v>
      </c>
      <c r="L131" s="6" t="s">
        <v>805</v>
      </c>
      <c r="M131" s="6" t="s">
        <v>1227</v>
      </c>
      <c r="N131" s="6" t="s">
        <v>267</v>
      </c>
      <c r="O131" s="6" t="s">
        <v>62</v>
      </c>
      <c r="P131" s="6" t="s">
        <v>1515</v>
      </c>
      <c r="Q131" s="6" t="s">
        <v>65</v>
      </c>
      <c r="R131" s="6" t="s">
        <v>57</v>
      </c>
      <c r="S131" s="6" t="s">
        <v>1219</v>
      </c>
      <c r="T131" s="131">
        <v>3.129</v>
      </c>
      <c r="U131" s="6" t="s">
        <v>1997</v>
      </c>
      <c r="V131" s="134">
        <v>6.7000000000000004E-2</v>
      </c>
      <c r="W131" s="132">
        <v>5.1139999999999998E-2</v>
      </c>
      <c r="X131" s="3" t="s">
        <v>620</v>
      </c>
      <c r="Y131" s="3" t="s">
        <v>62</v>
      </c>
      <c r="Z131" s="131">
        <v>28000</v>
      </c>
      <c r="AA131" s="129">
        <v>1</v>
      </c>
      <c r="AB131" s="157">
        <v>106.88</v>
      </c>
      <c r="AD131" s="131">
        <v>29.925999999999998</v>
      </c>
      <c r="AG131" s="6" t="s">
        <v>17</v>
      </c>
      <c r="AH131" s="132">
        <v>3.1000000000000001E-5</v>
      </c>
      <c r="AI131" s="132">
        <v>1.9415301661368099E-3</v>
      </c>
      <c r="AJ131" s="132">
        <v>4.3873164001104702E-4</v>
      </c>
    </row>
    <row r="132" spans="1:36" x14ac:dyDescent="0.2">
      <c r="A132" s="6">
        <v>13710</v>
      </c>
      <c r="B132" s="6">
        <v>13711</v>
      </c>
      <c r="C132" s="6" t="s">
        <v>1998</v>
      </c>
      <c r="D132" s="6" t="s">
        <v>1999</v>
      </c>
      <c r="E132" s="3" t="s">
        <v>1477</v>
      </c>
      <c r="F132" s="6" t="s">
        <v>2000</v>
      </c>
      <c r="G132" s="6" t="s">
        <v>2001</v>
      </c>
      <c r="H132" s="6" t="s">
        <v>76</v>
      </c>
      <c r="I132" s="6" t="s">
        <v>607</v>
      </c>
      <c r="J132" s="6" t="s">
        <v>53</v>
      </c>
      <c r="K132" s="6" t="s">
        <v>53</v>
      </c>
      <c r="L132" s="6" t="s">
        <v>805</v>
      </c>
      <c r="M132" s="6" t="s">
        <v>311</v>
      </c>
      <c r="N132" s="6" t="s">
        <v>631</v>
      </c>
      <c r="O132" s="6" t="s">
        <v>62</v>
      </c>
      <c r="P132" s="6" t="s">
        <v>1604</v>
      </c>
      <c r="Q132" s="6" t="s">
        <v>70</v>
      </c>
      <c r="R132" s="6" t="s">
        <v>57</v>
      </c>
      <c r="S132" s="6" t="s">
        <v>1219</v>
      </c>
      <c r="T132" s="131">
        <v>3.26</v>
      </c>
      <c r="U132" s="6" t="s">
        <v>1509</v>
      </c>
      <c r="V132" s="134">
        <v>0.05</v>
      </c>
      <c r="W132" s="132">
        <v>3.0509999999999999E-2</v>
      </c>
      <c r="X132" s="3" t="s">
        <v>620</v>
      </c>
      <c r="Y132" s="3" t="s">
        <v>62</v>
      </c>
      <c r="Z132" s="131">
        <v>19000</v>
      </c>
      <c r="AA132" s="129">
        <v>1</v>
      </c>
      <c r="AB132" s="157">
        <v>106.5</v>
      </c>
      <c r="AD132" s="131">
        <v>20.234999999999999</v>
      </c>
      <c r="AG132" s="6" t="s">
        <v>17</v>
      </c>
      <c r="AH132" s="132">
        <v>3.8000000000000002E-5</v>
      </c>
      <c r="AI132" s="132">
        <v>1.3127827908394701E-3</v>
      </c>
      <c r="AJ132" s="132">
        <v>2.9665227810974699E-4</v>
      </c>
    </row>
    <row r="133" spans="1:36" x14ac:dyDescent="0.2">
      <c r="A133" s="6">
        <v>13710</v>
      </c>
      <c r="B133" s="6">
        <v>13711</v>
      </c>
      <c r="C133" s="6" t="s">
        <v>2002</v>
      </c>
      <c r="D133" s="6" t="s">
        <v>2003</v>
      </c>
      <c r="E133" s="3" t="s">
        <v>1477</v>
      </c>
      <c r="F133" s="6" t="s">
        <v>2004</v>
      </c>
      <c r="G133" s="6" t="s">
        <v>2005</v>
      </c>
      <c r="H133" s="6" t="s">
        <v>76</v>
      </c>
      <c r="I133" s="6" t="s">
        <v>229</v>
      </c>
      <c r="J133" s="6" t="s">
        <v>53</v>
      </c>
      <c r="K133" s="6" t="s">
        <v>53</v>
      </c>
      <c r="L133" s="6" t="s">
        <v>805</v>
      </c>
      <c r="M133" s="6" t="s">
        <v>311</v>
      </c>
      <c r="N133" s="6" t="s">
        <v>635</v>
      </c>
      <c r="O133" s="6" t="s">
        <v>62</v>
      </c>
      <c r="P133" s="6" t="s">
        <v>1213</v>
      </c>
      <c r="Q133" s="6" t="s">
        <v>65</v>
      </c>
      <c r="R133" s="6" t="s">
        <v>57</v>
      </c>
      <c r="S133" s="6" t="s">
        <v>1219</v>
      </c>
      <c r="T133" s="131">
        <v>4.3220000000000001</v>
      </c>
      <c r="U133" s="6" t="s">
        <v>2006</v>
      </c>
      <c r="V133" s="134">
        <v>1.6500000000000001E-2</v>
      </c>
      <c r="W133" s="132">
        <v>2.512E-2</v>
      </c>
      <c r="X133" s="3" t="s">
        <v>620</v>
      </c>
      <c r="Y133" s="3" t="s">
        <v>62</v>
      </c>
      <c r="Z133" s="131">
        <v>97000</v>
      </c>
      <c r="AA133" s="129">
        <v>1</v>
      </c>
      <c r="AB133" s="157">
        <v>113.88</v>
      </c>
      <c r="AD133" s="131">
        <v>110.464</v>
      </c>
      <c r="AG133" s="6" t="s">
        <v>17</v>
      </c>
      <c r="AH133" s="132">
        <v>4.6E-5</v>
      </c>
      <c r="AI133" s="132">
        <v>7.1665289396676598E-3</v>
      </c>
      <c r="AJ133" s="132">
        <v>1.61943556156184E-3</v>
      </c>
    </row>
    <row r="134" spans="1:36" x14ac:dyDescent="0.2">
      <c r="A134" s="6">
        <v>13710</v>
      </c>
      <c r="B134" s="6">
        <v>13711</v>
      </c>
      <c r="C134" s="6" t="s">
        <v>2002</v>
      </c>
      <c r="D134" s="6" t="s">
        <v>2003</v>
      </c>
      <c r="E134" s="3" t="s">
        <v>1477</v>
      </c>
      <c r="F134" s="6" t="s">
        <v>2007</v>
      </c>
      <c r="G134" s="6" t="s">
        <v>2008</v>
      </c>
      <c r="H134" s="6" t="s">
        <v>76</v>
      </c>
      <c r="I134" s="6" t="s">
        <v>229</v>
      </c>
      <c r="J134" s="6" t="s">
        <v>53</v>
      </c>
      <c r="K134" s="6" t="s">
        <v>53</v>
      </c>
      <c r="L134" s="6" t="s">
        <v>805</v>
      </c>
      <c r="M134" s="6" t="s">
        <v>311</v>
      </c>
      <c r="N134" s="6" t="s">
        <v>635</v>
      </c>
      <c r="O134" s="6" t="s">
        <v>62</v>
      </c>
      <c r="P134" s="6" t="s">
        <v>1213</v>
      </c>
      <c r="Q134" s="6" t="s">
        <v>65</v>
      </c>
      <c r="R134" s="6" t="s">
        <v>57</v>
      </c>
      <c r="S134" s="6" t="s">
        <v>1219</v>
      </c>
      <c r="T134" s="131">
        <v>12.792</v>
      </c>
      <c r="U134" s="6" t="s">
        <v>2009</v>
      </c>
      <c r="V134" s="134">
        <v>9.5999999999999992E-3</v>
      </c>
      <c r="W134" s="132">
        <v>2.7550000000000002E-2</v>
      </c>
      <c r="X134" s="3" t="s">
        <v>620</v>
      </c>
      <c r="Y134" s="3" t="s">
        <v>62</v>
      </c>
      <c r="Z134" s="131">
        <v>180000</v>
      </c>
      <c r="AA134" s="129">
        <v>1</v>
      </c>
      <c r="AB134" s="157">
        <v>92.47</v>
      </c>
      <c r="AD134" s="131">
        <v>166.446</v>
      </c>
      <c r="AG134" s="6" t="s">
        <v>17</v>
      </c>
      <c r="AH134" s="132">
        <v>1.65E-4</v>
      </c>
      <c r="AI134" s="132">
        <v>1.0798489963136501E-2</v>
      </c>
      <c r="AJ134" s="132">
        <v>2.4401574046086002E-3</v>
      </c>
    </row>
    <row r="135" spans="1:36" x14ac:dyDescent="0.2">
      <c r="A135" s="6">
        <v>13710</v>
      </c>
      <c r="B135" s="6">
        <v>13711</v>
      </c>
      <c r="C135" s="6" t="s">
        <v>2010</v>
      </c>
      <c r="D135" s="6" t="s">
        <v>2011</v>
      </c>
      <c r="E135" s="3" t="s">
        <v>1477</v>
      </c>
      <c r="F135" s="6" t="s">
        <v>2012</v>
      </c>
      <c r="G135" s="6" t="s">
        <v>2013</v>
      </c>
      <c r="H135" s="6" t="s">
        <v>76</v>
      </c>
      <c r="I135" s="6" t="s">
        <v>229</v>
      </c>
      <c r="J135" s="6" t="s">
        <v>53</v>
      </c>
      <c r="K135" s="6" t="s">
        <v>53</v>
      </c>
      <c r="L135" s="6" t="s">
        <v>805</v>
      </c>
      <c r="M135" s="6" t="s">
        <v>311</v>
      </c>
      <c r="N135" s="6" t="s">
        <v>258</v>
      </c>
      <c r="O135" s="6" t="s">
        <v>62</v>
      </c>
      <c r="P135" s="6" t="s">
        <v>1339</v>
      </c>
      <c r="Q135" s="6" t="s">
        <v>65</v>
      </c>
      <c r="R135" s="6" t="s">
        <v>57</v>
      </c>
      <c r="S135" s="6" t="s">
        <v>1219</v>
      </c>
      <c r="T135" s="131">
        <v>5.0430000000000001</v>
      </c>
      <c r="U135" s="6" t="s">
        <v>1788</v>
      </c>
      <c r="V135" s="134">
        <v>2.6499999999999999E-2</v>
      </c>
      <c r="W135" s="132">
        <v>2.5250000000000002E-2</v>
      </c>
      <c r="X135" s="3" t="s">
        <v>620</v>
      </c>
      <c r="Y135" s="3" t="s">
        <v>62</v>
      </c>
      <c r="Z135" s="131">
        <v>2874.74</v>
      </c>
      <c r="AA135" s="129">
        <v>1</v>
      </c>
      <c r="AB135" s="157">
        <v>118.55</v>
      </c>
      <c r="AD135" s="131">
        <v>3.4079999999999999</v>
      </c>
      <c r="AG135" s="6" t="s">
        <v>17</v>
      </c>
      <c r="AH135" s="132">
        <v>1.9999999999999999E-6</v>
      </c>
      <c r="AI135" s="132">
        <v>2.2110053653389799E-4</v>
      </c>
      <c r="AJ135" s="132">
        <v>4.9962551544514298E-5</v>
      </c>
    </row>
    <row r="136" spans="1:36" x14ac:dyDescent="0.2">
      <c r="A136" s="6">
        <v>13710</v>
      </c>
      <c r="B136" s="6">
        <v>13711</v>
      </c>
      <c r="C136" s="6" t="s">
        <v>2014</v>
      </c>
      <c r="D136" s="6" t="s">
        <v>2015</v>
      </c>
      <c r="E136" s="3" t="s">
        <v>1477</v>
      </c>
      <c r="F136" s="6" t="s">
        <v>2016</v>
      </c>
      <c r="G136" s="6" t="s">
        <v>2017</v>
      </c>
      <c r="H136" s="6" t="s">
        <v>76</v>
      </c>
      <c r="I136" s="6" t="s">
        <v>228</v>
      </c>
      <c r="J136" s="6" t="s">
        <v>53</v>
      </c>
      <c r="K136" s="6" t="s">
        <v>53</v>
      </c>
      <c r="L136" s="6" t="s">
        <v>805</v>
      </c>
      <c r="M136" s="6" t="s">
        <v>311</v>
      </c>
      <c r="N136" s="6" t="s">
        <v>140</v>
      </c>
      <c r="O136" s="6" t="s">
        <v>62</v>
      </c>
      <c r="P136" s="6" t="s">
        <v>298</v>
      </c>
      <c r="Q136" s="6" t="s">
        <v>298</v>
      </c>
      <c r="R136" s="6" t="s">
        <v>298</v>
      </c>
      <c r="S136" s="6" t="s">
        <v>1219</v>
      </c>
      <c r="T136" s="131">
        <v>2.7589999999999999</v>
      </c>
      <c r="U136" s="6" t="s">
        <v>1549</v>
      </c>
      <c r="V136" s="134">
        <v>6.5000000000000002E-2</v>
      </c>
      <c r="W136" s="132">
        <v>6.5180000000000002E-2</v>
      </c>
      <c r="X136" s="3" t="s">
        <v>620</v>
      </c>
      <c r="Y136" s="3" t="s">
        <v>62</v>
      </c>
      <c r="Z136" s="131">
        <v>14000</v>
      </c>
      <c r="AA136" s="129">
        <v>1</v>
      </c>
      <c r="AB136" s="157">
        <v>100.24</v>
      </c>
      <c r="AD136" s="131">
        <v>14.034000000000001</v>
      </c>
      <c r="AG136" s="6" t="s">
        <v>17</v>
      </c>
      <c r="AH136" s="132">
        <v>7.6000000000000004E-5</v>
      </c>
      <c r="AI136" s="132">
        <v>9.1045557566220899E-4</v>
      </c>
      <c r="AJ136" s="132">
        <v>2.05737554241708E-4</v>
      </c>
    </row>
    <row r="137" spans="1:36" x14ac:dyDescent="0.2">
      <c r="A137" s="6">
        <v>13710</v>
      </c>
      <c r="B137" s="6">
        <v>13711</v>
      </c>
      <c r="C137" s="6" t="s">
        <v>2014</v>
      </c>
      <c r="D137" s="6" t="s">
        <v>2015</v>
      </c>
      <c r="E137" s="3" t="s">
        <v>1477</v>
      </c>
      <c r="F137" s="6" t="s">
        <v>2018</v>
      </c>
      <c r="G137" s="6" t="s">
        <v>2019</v>
      </c>
      <c r="H137" s="6" t="s">
        <v>76</v>
      </c>
      <c r="I137" s="6" t="s">
        <v>228</v>
      </c>
      <c r="J137" s="6" t="s">
        <v>53</v>
      </c>
      <c r="K137" s="6" t="s">
        <v>53</v>
      </c>
      <c r="L137" s="6" t="s">
        <v>805</v>
      </c>
      <c r="M137" s="6" t="s">
        <v>1227</v>
      </c>
      <c r="N137" s="6" t="s">
        <v>140</v>
      </c>
      <c r="O137" s="6" t="s">
        <v>62</v>
      </c>
      <c r="P137" s="6" t="s">
        <v>298</v>
      </c>
      <c r="Q137" s="6" t="s">
        <v>298</v>
      </c>
      <c r="R137" s="6" t="s">
        <v>298</v>
      </c>
      <c r="S137" s="6" t="s">
        <v>1219</v>
      </c>
      <c r="T137" s="131">
        <v>3.5529999999999999</v>
      </c>
      <c r="U137" s="6" t="s">
        <v>1564</v>
      </c>
      <c r="V137" s="134">
        <v>6.5000000000000002E-2</v>
      </c>
      <c r="W137" s="132">
        <v>6.8769999999999998E-2</v>
      </c>
      <c r="X137" s="3" t="s">
        <v>620</v>
      </c>
      <c r="Y137" s="3" t="s">
        <v>62</v>
      </c>
      <c r="Z137" s="131">
        <v>31000</v>
      </c>
      <c r="AA137" s="129">
        <v>1</v>
      </c>
      <c r="AB137" s="157">
        <v>101.5</v>
      </c>
      <c r="AD137" s="131">
        <v>31.465</v>
      </c>
      <c r="AG137" s="6" t="s">
        <v>17</v>
      </c>
      <c r="AH137" s="132">
        <v>1.55E-4</v>
      </c>
      <c r="AI137" s="132">
        <v>2.04134966709978E-3</v>
      </c>
      <c r="AJ137" s="132">
        <v>4.6128806180989397E-4</v>
      </c>
    </row>
    <row r="138" spans="1:36" x14ac:dyDescent="0.2">
      <c r="A138" s="6">
        <v>13710</v>
      </c>
      <c r="B138" s="6">
        <v>13711</v>
      </c>
      <c r="C138" s="6" t="s">
        <v>2020</v>
      </c>
      <c r="D138" s="6" t="s">
        <v>2021</v>
      </c>
      <c r="E138" s="3" t="s">
        <v>1477</v>
      </c>
      <c r="F138" s="6" t="s">
        <v>2022</v>
      </c>
      <c r="G138" s="6" t="s">
        <v>2023</v>
      </c>
      <c r="H138" s="6" t="s">
        <v>76</v>
      </c>
      <c r="I138" s="6" t="s">
        <v>228</v>
      </c>
      <c r="J138" s="6" t="s">
        <v>53</v>
      </c>
      <c r="K138" s="6" t="s">
        <v>317</v>
      </c>
      <c r="L138" s="6" t="s">
        <v>805</v>
      </c>
      <c r="M138" s="6" t="s">
        <v>311</v>
      </c>
      <c r="N138" s="6" t="s">
        <v>636</v>
      </c>
      <c r="O138" s="6" t="s">
        <v>62</v>
      </c>
      <c r="P138" s="6" t="s">
        <v>2024</v>
      </c>
      <c r="Q138" s="6" t="s">
        <v>70</v>
      </c>
      <c r="R138" s="6" t="s">
        <v>57</v>
      </c>
      <c r="S138" s="6" t="s">
        <v>1219</v>
      </c>
      <c r="T138" s="131">
        <v>1.421</v>
      </c>
      <c r="U138" s="6" t="s">
        <v>1516</v>
      </c>
      <c r="V138" s="134">
        <v>2.75E-2</v>
      </c>
      <c r="W138" s="132">
        <v>5.0349999999999999E-2</v>
      </c>
      <c r="X138" s="3" t="s">
        <v>620</v>
      </c>
      <c r="Y138" s="3" t="s">
        <v>62</v>
      </c>
      <c r="Z138" s="131">
        <v>21199.82</v>
      </c>
      <c r="AA138" s="129">
        <v>1</v>
      </c>
      <c r="AB138" s="157">
        <v>96.95</v>
      </c>
      <c r="AD138" s="131">
        <v>20.553000000000001</v>
      </c>
      <c r="AG138" s="6" t="s">
        <v>17</v>
      </c>
      <c r="AH138" s="132">
        <v>2.8600000000000001E-4</v>
      </c>
      <c r="AI138" s="132">
        <v>1.3334282539913601E-3</v>
      </c>
      <c r="AJ138" s="132">
        <v>3.0131757667960598E-4</v>
      </c>
    </row>
    <row r="139" spans="1:36" x14ac:dyDescent="0.2">
      <c r="A139" s="6">
        <v>13710</v>
      </c>
      <c r="B139" s="6">
        <v>13711</v>
      </c>
      <c r="C139" s="6" t="s">
        <v>2025</v>
      </c>
      <c r="D139" s="6" t="s">
        <v>2026</v>
      </c>
      <c r="E139" s="3" t="s">
        <v>1477</v>
      </c>
      <c r="F139" s="6" t="s">
        <v>2027</v>
      </c>
      <c r="G139" s="6" t="s">
        <v>2028</v>
      </c>
      <c r="H139" s="6" t="s">
        <v>76</v>
      </c>
      <c r="I139" s="6" t="s">
        <v>229</v>
      </c>
      <c r="J139" s="6" t="s">
        <v>53</v>
      </c>
      <c r="K139" s="6" t="s">
        <v>53</v>
      </c>
      <c r="L139" s="6" t="s">
        <v>805</v>
      </c>
      <c r="M139" s="6" t="s">
        <v>102</v>
      </c>
      <c r="N139" s="6" t="s">
        <v>631</v>
      </c>
      <c r="O139" s="6" t="s">
        <v>62</v>
      </c>
      <c r="P139" s="6" t="s">
        <v>298</v>
      </c>
      <c r="Q139" s="6" t="s">
        <v>298</v>
      </c>
      <c r="R139" s="6" t="s">
        <v>298</v>
      </c>
      <c r="S139" s="6" t="s">
        <v>1219</v>
      </c>
      <c r="T139" s="131">
        <v>3.996</v>
      </c>
      <c r="U139" s="6" t="s">
        <v>1713</v>
      </c>
      <c r="V139" s="134">
        <v>4.9000000000000002E-2</v>
      </c>
      <c r="W139" s="132">
        <v>4.4699999999999997E-2</v>
      </c>
      <c r="X139" s="3" t="s">
        <v>620</v>
      </c>
      <c r="Y139" s="3" t="s">
        <v>62</v>
      </c>
      <c r="Z139" s="131">
        <v>91000</v>
      </c>
      <c r="AA139" s="129">
        <v>1</v>
      </c>
      <c r="AB139" s="157">
        <v>103.5</v>
      </c>
      <c r="AD139" s="131">
        <v>94.185000000000002</v>
      </c>
      <c r="AG139" s="6" t="s">
        <v>17</v>
      </c>
      <c r="AH139" s="132">
        <v>2.0000000000000001E-4</v>
      </c>
      <c r="AI139" s="132">
        <v>6.1104248655901002E-3</v>
      </c>
      <c r="AJ139" s="132">
        <v>1.3807855109348401E-3</v>
      </c>
    </row>
    <row r="140" spans="1:36" x14ac:dyDescent="0.2">
      <c r="A140" s="6">
        <v>13710</v>
      </c>
      <c r="B140" s="6">
        <v>13711</v>
      </c>
      <c r="C140" s="6" t="s">
        <v>2029</v>
      </c>
      <c r="D140" s="6" t="s">
        <v>2030</v>
      </c>
      <c r="E140" s="3" t="s">
        <v>78</v>
      </c>
      <c r="F140" s="6" t="s">
        <v>2031</v>
      </c>
      <c r="G140" s="6" t="s">
        <v>2032</v>
      </c>
      <c r="H140" s="6" t="s">
        <v>76</v>
      </c>
      <c r="I140" s="6" t="s">
        <v>230</v>
      </c>
      <c r="J140" s="6" t="s">
        <v>53</v>
      </c>
      <c r="K140" s="6" t="s">
        <v>314</v>
      </c>
      <c r="L140" s="6" t="s">
        <v>805</v>
      </c>
      <c r="M140" s="6" t="s">
        <v>311</v>
      </c>
      <c r="N140" s="6" t="s">
        <v>633</v>
      </c>
      <c r="O140" s="6" t="s">
        <v>62</v>
      </c>
      <c r="P140" s="6" t="s">
        <v>1521</v>
      </c>
      <c r="Q140" s="6" t="s">
        <v>70</v>
      </c>
      <c r="R140" s="6" t="s">
        <v>57</v>
      </c>
      <c r="S140" s="6" t="s">
        <v>1219</v>
      </c>
      <c r="T140" s="131">
        <v>1.1160000000000001</v>
      </c>
      <c r="U140" s="6" t="s">
        <v>2033</v>
      </c>
      <c r="V140" s="134">
        <v>7.9135999999999998E-2</v>
      </c>
      <c r="W140" s="132">
        <v>5.5309999999999998E-2</v>
      </c>
      <c r="X140" s="3" t="s">
        <v>620</v>
      </c>
      <c r="Y140" s="3" t="s">
        <v>62</v>
      </c>
      <c r="Z140" s="131">
        <v>5000</v>
      </c>
      <c r="AA140" s="129">
        <v>1</v>
      </c>
      <c r="AB140" s="157">
        <v>95.62</v>
      </c>
      <c r="AD140" s="131">
        <v>4.7809999999999997</v>
      </c>
      <c r="AG140" s="6" t="s">
        <v>17</v>
      </c>
      <c r="AH140" s="132">
        <v>1.2E-5</v>
      </c>
      <c r="AI140" s="132">
        <v>3.10176156313492E-4</v>
      </c>
      <c r="AJ140" s="132">
        <v>7.0091155999145205E-5</v>
      </c>
    </row>
    <row r="141" spans="1:36" x14ac:dyDescent="0.2">
      <c r="A141" s="6">
        <v>13710</v>
      </c>
      <c r="B141" s="6">
        <v>13711</v>
      </c>
      <c r="C141" s="6" t="s">
        <v>2034</v>
      </c>
      <c r="D141" s="6" t="s">
        <v>2035</v>
      </c>
      <c r="E141" s="3" t="s">
        <v>1477</v>
      </c>
      <c r="F141" s="6" t="s">
        <v>2036</v>
      </c>
      <c r="G141" s="6" t="s">
        <v>2037</v>
      </c>
      <c r="H141" s="6" t="s">
        <v>76</v>
      </c>
      <c r="I141" s="6" t="s">
        <v>229</v>
      </c>
      <c r="J141" s="6" t="s">
        <v>53</v>
      </c>
      <c r="K141" s="6" t="s">
        <v>53</v>
      </c>
      <c r="L141" s="6" t="s">
        <v>805</v>
      </c>
      <c r="M141" s="6" t="s">
        <v>311</v>
      </c>
      <c r="N141" s="6" t="s">
        <v>635</v>
      </c>
      <c r="O141" s="6" t="s">
        <v>62</v>
      </c>
      <c r="P141" s="6" t="s">
        <v>1965</v>
      </c>
      <c r="Q141" s="6" t="s">
        <v>70</v>
      </c>
      <c r="R141" s="6" t="s">
        <v>57</v>
      </c>
      <c r="S141" s="6" t="s">
        <v>1219</v>
      </c>
      <c r="T141" s="131">
        <v>2.21</v>
      </c>
      <c r="U141" s="6" t="s">
        <v>2038</v>
      </c>
      <c r="V141" s="134">
        <v>1.9599999999999999E-2</v>
      </c>
      <c r="W141" s="132">
        <v>2.9499999999999998E-2</v>
      </c>
      <c r="X141" s="3" t="s">
        <v>620</v>
      </c>
      <c r="Y141" s="3" t="s">
        <v>62</v>
      </c>
      <c r="Z141" s="131">
        <v>90000</v>
      </c>
      <c r="AA141" s="129">
        <v>1</v>
      </c>
      <c r="AB141" s="157">
        <v>115.75</v>
      </c>
      <c r="AD141" s="131">
        <v>104.175</v>
      </c>
      <c r="AG141" s="6" t="s">
        <v>17</v>
      </c>
      <c r="AH141" s="132">
        <v>7.8999999999999996E-5</v>
      </c>
      <c r="AI141" s="132">
        <v>6.7585444643292296E-3</v>
      </c>
      <c r="AJ141" s="132">
        <v>1.52724245476071E-3</v>
      </c>
    </row>
    <row r="142" spans="1:36" x14ac:dyDescent="0.2">
      <c r="A142" s="6">
        <v>13710</v>
      </c>
      <c r="B142" s="6">
        <v>13711</v>
      </c>
      <c r="C142" s="6" t="s">
        <v>2034</v>
      </c>
      <c r="D142" s="6" t="s">
        <v>2035</v>
      </c>
      <c r="E142" s="3" t="s">
        <v>1477</v>
      </c>
      <c r="F142" s="6" t="s">
        <v>2039</v>
      </c>
      <c r="G142" s="6" t="s">
        <v>2040</v>
      </c>
      <c r="H142" s="6" t="s">
        <v>76</v>
      </c>
      <c r="I142" s="6" t="s">
        <v>229</v>
      </c>
      <c r="J142" s="6" t="s">
        <v>53</v>
      </c>
      <c r="K142" s="6" t="s">
        <v>53</v>
      </c>
      <c r="L142" s="6" t="s">
        <v>805</v>
      </c>
      <c r="M142" s="6" t="s">
        <v>311</v>
      </c>
      <c r="N142" s="6" t="s">
        <v>635</v>
      </c>
      <c r="O142" s="6" t="s">
        <v>62</v>
      </c>
      <c r="P142" s="6" t="s">
        <v>1965</v>
      </c>
      <c r="Q142" s="6" t="s">
        <v>70</v>
      </c>
      <c r="R142" s="6" t="s">
        <v>57</v>
      </c>
      <c r="S142" s="6" t="s">
        <v>1219</v>
      </c>
      <c r="T142" s="131">
        <v>5.9009999999999998</v>
      </c>
      <c r="U142" s="6" t="s">
        <v>2041</v>
      </c>
      <c r="V142" s="134">
        <v>1.5800000000000002E-2</v>
      </c>
      <c r="W142" s="132">
        <v>3.0099999999999998E-2</v>
      </c>
      <c r="X142" s="3" t="s">
        <v>620</v>
      </c>
      <c r="Y142" s="3" t="s">
        <v>62</v>
      </c>
      <c r="Z142" s="131">
        <v>12000.93</v>
      </c>
      <c r="AA142" s="129">
        <v>1</v>
      </c>
      <c r="AB142" s="157">
        <v>108.34</v>
      </c>
      <c r="AD142" s="131">
        <v>13.002000000000001</v>
      </c>
      <c r="AG142" s="6" t="s">
        <v>17</v>
      </c>
      <c r="AH142" s="132">
        <v>1.1E-5</v>
      </c>
      <c r="AI142" s="132">
        <v>8.43516146142827E-4</v>
      </c>
      <c r="AJ142" s="132">
        <v>1.9061111108533899E-4</v>
      </c>
    </row>
    <row r="143" spans="1:36" x14ac:dyDescent="0.2">
      <c r="A143" s="6">
        <v>13710</v>
      </c>
      <c r="B143" s="6">
        <v>13711</v>
      </c>
      <c r="C143" s="6" t="s">
        <v>2034</v>
      </c>
      <c r="D143" s="6" t="s">
        <v>2035</v>
      </c>
      <c r="E143" s="3" t="s">
        <v>1477</v>
      </c>
      <c r="F143" s="6" t="s">
        <v>2042</v>
      </c>
      <c r="G143" s="6" t="s">
        <v>2043</v>
      </c>
      <c r="H143" s="6" t="s">
        <v>76</v>
      </c>
      <c r="I143" s="6" t="s">
        <v>229</v>
      </c>
      <c r="J143" s="6" t="s">
        <v>53</v>
      </c>
      <c r="K143" s="6" t="s">
        <v>53</v>
      </c>
      <c r="L143" s="6" t="s">
        <v>805</v>
      </c>
      <c r="M143" s="6" t="s">
        <v>1227</v>
      </c>
      <c r="N143" s="6" t="s">
        <v>635</v>
      </c>
      <c r="O143" s="6" t="s">
        <v>62</v>
      </c>
      <c r="P143" s="6" t="s">
        <v>1533</v>
      </c>
      <c r="Q143" s="6" t="s">
        <v>65</v>
      </c>
      <c r="R143" s="6" t="s">
        <v>57</v>
      </c>
      <c r="S143" s="6" t="s">
        <v>1219</v>
      </c>
      <c r="T143" s="131">
        <v>7.1980000000000004</v>
      </c>
      <c r="U143" s="6" t="s">
        <v>2044</v>
      </c>
      <c r="V143" s="134">
        <v>0.03</v>
      </c>
      <c r="W143" s="132">
        <v>3.1690000000000003E-2</v>
      </c>
      <c r="X143" s="3" t="s">
        <v>620</v>
      </c>
      <c r="Y143" s="3" t="s">
        <v>62</v>
      </c>
      <c r="Z143" s="131">
        <v>28800</v>
      </c>
      <c r="AA143" s="129">
        <v>1</v>
      </c>
      <c r="AB143" s="157">
        <v>104.37</v>
      </c>
      <c r="AD143" s="131">
        <v>30.059000000000001</v>
      </c>
      <c r="AG143" s="6" t="s">
        <v>17</v>
      </c>
      <c r="AH143" s="132">
        <v>6.4999999999999994E-5</v>
      </c>
      <c r="AI143" s="132">
        <v>1.95010428887649E-3</v>
      </c>
      <c r="AJ143" s="132">
        <v>4.4066915249313198E-4</v>
      </c>
    </row>
    <row r="144" spans="1:36" x14ac:dyDescent="0.2">
      <c r="A144" s="6">
        <v>13710</v>
      </c>
      <c r="B144" s="6">
        <v>13711</v>
      </c>
      <c r="C144" s="6" t="s">
        <v>2045</v>
      </c>
      <c r="D144" s="6" t="s">
        <v>2046</v>
      </c>
      <c r="E144" s="3" t="s">
        <v>1477</v>
      </c>
      <c r="F144" s="6" t="s">
        <v>2047</v>
      </c>
      <c r="G144" s="6" t="s">
        <v>2048</v>
      </c>
      <c r="H144" s="6" t="s">
        <v>76</v>
      </c>
      <c r="I144" s="6" t="s">
        <v>228</v>
      </c>
      <c r="J144" s="6" t="s">
        <v>53</v>
      </c>
      <c r="K144" s="6" t="s">
        <v>53</v>
      </c>
      <c r="L144" s="6" t="s">
        <v>805</v>
      </c>
      <c r="M144" s="6" t="s">
        <v>311</v>
      </c>
      <c r="N144" s="6" t="s">
        <v>260</v>
      </c>
      <c r="O144" s="6" t="s">
        <v>62</v>
      </c>
      <c r="P144" s="6" t="s">
        <v>1493</v>
      </c>
      <c r="Q144" s="6" t="s">
        <v>65</v>
      </c>
      <c r="R144" s="6" t="s">
        <v>57</v>
      </c>
      <c r="S144" s="6" t="s">
        <v>1219</v>
      </c>
      <c r="T144" s="131">
        <v>1.0999999999999999E-2</v>
      </c>
      <c r="U144" s="6" t="s">
        <v>2049</v>
      </c>
      <c r="V144" s="134">
        <v>4.1399999999999999E-2</v>
      </c>
      <c r="W144" s="132">
        <v>0.11332</v>
      </c>
      <c r="X144" s="3" t="s">
        <v>620</v>
      </c>
      <c r="Y144" s="3" t="s">
        <v>62</v>
      </c>
      <c r="Z144" s="131">
        <v>116000</v>
      </c>
      <c r="AA144" s="129">
        <v>1</v>
      </c>
      <c r="AB144" s="157">
        <v>101.95</v>
      </c>
      <c r="AD144" s="131">
        <v>118.262</v>
      </c>
      <c r="AG144" s="6" t="s">
        <v>17</v>
      </c>
      <c r="AH144" s="132">
        <v>1.031E-3</v>
      </c>
      <c r="AI144" s="132">
        <v>7.6724644630717896E-3</v>
      </c>
      <c r="AJ144" s="132">
        <v>1.73376287194539E-3</v>
      </c>
    </row>
    <row r="145" spans="1:36" x14ac:dyDescent="0.2">
      <c r="A145" s="6">
        <v>13710</v>
      </c>
      <c r="B145" s="6">
        <v>13711</v>
      </c>
      <c r="C145" s="6" t="s">
        <v>2050</v>
      </c>
      <c r="D145" s="6" t="s">
        <v>2051</v>
      </c>
      <c r="E145" s="3" t="s">
        <v>767</v>
      </c>
      <c r="F145" s="6" t="s">
        <v>2052</v>
      </c>
      <c r="G145" s="6" t="s">
        <v>2053</v>
      </c>
      <c r="H145" s="6" t="s">
        <v>76</v>
      </c>
      <c r="I145" s="6" t="s">
        <v>228</v>
      </c>
      <c r="J145" s="6" t="s">
        <v>53</v>
      </c>
      <c r="K145" s="6" t="s">
        <v>53</v>
      </c>
      <c r="L145" s="6" t="s">
        <v>805</v>
      </c>
      <c r="M145" s="6" t="s">
        <v>1227</v>
      </c>
      <c r="N145" s="6" t="s">
        <v>636</v>
      </c>
      <c r="O145" s="6" t="s">
        <v>62</v>
      </c>
      <c r="P145" s="6" t="s">
        <v>1493</v>
      </c>
      <c r="Q145" s="6" t="s">
        <v>65</v>
      </c>
      <c r="R145" s="6" t="s">
        <v>57</v>
      </c>
      <c r="S145" s="6" t="s">
        <v>1219</v>
      </c>
      <c r="T145" s="131">
        <v>2.948</v>
      </c>
      <c r="U145" s="6" t="s">
        <v>2054</v>
      </c>
      <c r="V145" s="134">
        <v>6.3899999999999998E-2</v>
      </c>
      <c r="W145" s="132">
        <v>5.4820000000000001E-2</v>
      </c>
      <c r="X145" s="3" t="s">
        <v>620</v>
      </c>
      <c r="Y145" s="3" t="s">
        <v>62</v>
      </c>
      <c r="Z145" s="131">
        <v>28000</v>
      </c>
      <c r="AA145" s="129">
        <v>1</v>
      </c>
      <c r="AB145" s="157">
        <v>104.47</v>
      </c>
      <c r="AD145" s="131">
        <v>29.251999999999999</v>
      </c>
      <c r="AG145" s="6" t="s">
        <v>17</v>
      </c>
      <c r="AH145" s="132">
        <v>6.7999999999999999E-5</v>
      </c>
      <c r="AI145" s="132">
        <v>1.89775127672448E-3</v>
      </c>
      <c r="AJ145" s="132">
        <v>4.2883883263430099E-4</v>
      </c>
    </row>
    <row r="146" spans="1:36" x14ac:dyDescent="0.2">
      <c r="A146" s="6">
        <v>13710</v>
      </c>
      <c r="B146" s="6">
        <v>13711</v>
      </c>
      <c r="C146" s="6" t="s">
        <v>2050</v>
      </c>
      <c r="D146" s="6" t="s">
        <v>2051</v>
      </c>
      <c r="E146" s="3" t="s">
        <v>767</v>
      </c>
      <c r="F146" s="6" t="s">
        <v>2055</v>
      </c>
      <c r="G146" s="6" t="s">
        <v>2056</v>
      </c>
      <c r="H146" s="6" t="s">
        <v>76</v>
      </c>
      <c r="I146" s="6" t="s">
        <v>228</v>
      </c>
      <c r="J146" s="6" t="s">
        <v>53</v>
      </c>
      <c r="K146" s="6" t="s">
        <v>314</v>
      </c>
      <c r="L146" s="6" t="s">
        <v>805</v>
      </c>
      <c r="M146" s="6" t="s">
        <v>102</v>
      </c>
      <c r="N146" s="6" t="s">
        <v>636</v>
      </c>
      <c r="O146" s="6" t="s">
        <v>62</v>
      </c>
      <c r="P146" s="6" t="s">
        <v>1493</v>
      </c>
      <c r="Q146" s="6" t="s">
        <v>65</v>
      </c>
      <c r="R146" s="6" t="s">
        <v>57</v>
      </c>
      <c r="S146" s="6" t="s">
        <v>1219</v>
      </c>
      <c r="T146" s="131">
        <v>2.097</v>
      </c>
      <c r="U146" s="6" t="s">
        <v>1280</v>
      </c>
      <c r="V146" s="134">
        <v>6.4399999999999999E-2</v>
      </c>
      <c r="W146" s="132">
        <v>5.6160000000000002E-2</v>
      </c>
      <c r="X146" s="3" t="s">
        <v>620</v>
      </c>
      <c r="Y146" s="3" t="s">
        <v>62</v>
      </c>
      <c r="Z146" s="131">
        <v>21527.67</v>
      </c>
      <c r="AA146" s="129">
        <v>1</v>
      </c>
      <c r="AB146" s="157">
        <v>103.5</v>
      </c>
      <c r="AD146" s="131">
        <v>22.280999999999999</v>
      </c>
      <c r="AG146" s="6" t="s">
        <v>17</v>
      </c>
      <c r="AH146" s="132">
        <v>4.8000000000000001E-5</v>
      </c>
      <c r="AI146" s="132">
        <v>1.44552978094745E-3</v>
      </c>
      <c r="AJ146" s="132">
        <v>3.2664939362842498E-4</v>
      </c>
    </row>
    <row r="147" spans="1:36" x14ac:dyDescent="0.2">
      <c r="A147" s="6">
        <v>13710</v>
      </c>
      <c r="B147" s="6">
        <v>13711</v>
      </c>
      <c r="C147" s="6" t="s">
        <v>2057</v>
      </c>
      <c r="D147" s="6" t="s">
        <v>2058</v>
      </c>
      <c r="E147" s="3" t="s">
        <v>1477</v>
      </c>
      <c r="F147" s="6" t="s">
        <v>2059</v>
      </c>
      <c r="G147" s="6" t="s">
        <v>2060</v>
      </c>
      <c r="H147" s="6" t="s">
        <v>76</v>
      </c>
      <c r="I147" s="6" t="s">
        <v>229</v>
      </c>
      <c r="J147" s="6" t="s">
        <v>53</v>
      </c>
      <c r="K147" s="6" t="s">
        <v>53</v>
      </c>
      <c r="L147" s="6" t="s">
        <v>805</v>
      </c>
      <c r="M147" s="6" t="s">
        <v>311</v>
      </c>
      <c r="N147" s="6" t="s">
        <v>635</v>
      </c>
      <c r="O147" s="6" t="s">
        <v>62</v>
      </c>
      <c r="P147" s="6" t="s">
        <v>1339</v>
      </c>
      <c r="Q147" s="6" t="s">
        <v>65</v>
      </c>
      <c r="R147" s="6" t="s">
        <v>57</v>
      </c>
      <c r="S147" s="6" t="s">
        <v>1219</v>
      </c>
      <c r="T147" s="131">
        <v>2.6779999999999999</v>
      </c>
      <c r="U147" s="6" t="s">
        <v>2061</v>
      </c>
      <c r="V147" s="134">
        <v>1.34E-2</v>
      </c>
      <c r="W147" s="132">
        <v>2.8029999999999999E-2</v>
      </c>
      <c r="X147" s="3" t="s">
        <v>620</v>
      </c>
      <c r="Y147" s="3" t="s">
        <v>62</v>
      </c>
      <c r="Z147" s="131">
        <v>163637.04</v>
      </c>
      <c r="AA147" s="129">
        <v>1</v>
      </c>
      <c r="AB147" s="157">
        <v>114.07</v>
      </c>
      <c r="AC147" s="131">
        <v>20.831</v>
      </c>
      <c r="AD147" s="131">
        <v>207.49199999999999</v>
      </c>
      <c r="AG147" s="6" t="s">
        <v>17</v>
      </c>
      <c r="AH147" s="132">
        <v>7.3999999999999996E-5</v>
      </c>
      <c r="AI147" s="132">
        <v>1.34614389747966E-2</v>
      </c>
      <c r="AJ147" s="132">
        <v>3.0419095728358601E-3</v>
      </c>
    </row>
    <row r="148" spans="1:36" x14ac:dyDescent="0.2">
      <c r="A148" s="6">
        <v>13710</v>
      </c>
      <c r="B148" s="6">
        <v>13711</v>
      </c>
      <c r="C148" s="6" t="s">
        <v>2057</v>
      </c>
      <c r="D148" s="6" t="s">
        <v>2058</v>
      </c>
      <c r="E148" s="3" t="s">
        <v>1477</v>
      </c>
      <c r="F148" s="6" t="s">
        <v>2062</v>
      </c>
      <c r="G148" s="6" t="s">
        <v>2063</v>
      </c>
      <c r="H148" s="6" t="s">
        <v>76</v>
      </c>
      <c r="I148" s="6" t="s">
        <v>229</v>
      </c>
      <c r="J148" s="6" t="s">
        <v>53</v>
      </c>
      <c r="K148" s="6" t="s">
        <v>53</v>
      </c>
      <c r="L148" s="6" t="s">
        <v>805</v>
      </c>
      <c r="M148" s="6" t="s">
        <v>311</v>
      </c>
      <c r="N148" s="6" t="s">
        <v>635</v>
      </c>
      <c r="O148" s="6" t="s">
        <v>62</v>
      </c>
      <c r="P148" s="6" t="s">
        <v>2024</v>
      </c>
      <c r="Q148" s="6" t="s">
        <v>70</v>
      </c>
      <c r="R148" s="6" t="s">
        <v>57</v>
      </c>
      <c r="S148" s="6" t="s">
        <v>1219</v>
      </c>
      <c r="T148" s="131">
        <v>1.9570000000000001</v>
      </c>
      <c r="U148" s="6" t="s">
        <v>1544</v>
      </c>
      <c r="V148" s="134">
        <v>1.77E-2</v>
      </c>
      <c r="W148" s="132">
        <v>2.8219999999999999E-2</v>
      </c>
      <c r="X148" s="3" t="s">
        <v>620</v>
      </c>
      <c r="Y148" s="3" t="s">
        <v>62</v>
      </c>
      <c r="Z148" s="131">
        <v>113548.25</v>
      </c>
      <c r="AA148" s="129">
        <v>1</v>
      </c>
      <c r="AB148" s="157">
        <v>114.73</v>
      </c>
      <c r="AD148" s="131">
        <v>130.274</v>
      </c>
      <c r="AG148" s="6" t="s">
        <v>17</v>
      </c>
      <c r="AH148" s="132">
        <v>4.6999999999999997E-5</v>
      </c>
      <c r="AI148" s="132">
        <v>8.4517590066912705E-3</v>
      </c>
      <c r="AJ148" s="132">
        <v>1.90986169293571E-3</v>
      </c>
    </row>
    <row r="149" spans="1:36" x14ac:dyDescent="0.2">
      <c r="A149" s="6">
        <v>13710</v>
      </c>
      <c r="B149" s="6">
        <v>13711</v>
      </c>
      <c r="C149" s="6" t="s">
        <v>2064</v>
      </c>
      <c r="D149" s="6" t="s">
        <v>2065</v>
      </c>
      <c r="E149" s="3" t="s">
        <v>1477</v>
      </c>
      <c r="F149" s="6" t="s">
        <v>2066</v>
      </c>
      <c r="G149" s="6" t="s">
        <v>2067</v>
      </c>
      <c r="H149" s="6" t="s">
        <v>76</v>
      </c>
      <c r="I149" s="6" t="s">
        <v>228</v>
      </c>
      <c r="J149" s="6" t="s">
        <v>53</v>
      </c>
      <c r="K149" s="6" t="s">
        <v>53</v>
      </c>
      <c r="L149" s="6" t="s">
        <v>805</v>
      </c>
      <c r="M149" s="6" t="s">
        <v>311</v>
      </c>
      <c r="N149" s="6" t="s">
        <v>635</v>
      </c>
      <c r="O149" s="6" t="s">
        <v>62</v>
      </c>
      <c r="P149" s="6" t="s">
        <v>1213</v>
      </c>
      <c r="Q149" s="6" t="s">
        <v>65</v>
      </c>
      <c r="R149" s="6" t="s">
        <v>57</v>
      </c>
      <c r="S149" s="6" t="s">
        <v>1219</v>
      </c>
      <c r="T149" s="131">
        <v>1.4550000000000001</v>
      </c>
      <c r="U149" s="6" t="s">
        <v>1733</v>
      </c>
      <c r="V149" s="134">
        <v>1.44E-2</v>
      </c>
      <c r="W149" s="132">
        <v>4.3180000000000003E-2</v>
      </c>
      <c r="X149" s="3" t="s">
        <v>620</v>
      </c>
      <c r="Y149" s="3" t="s">
        <v>62</v>
      </c>
      <c r="Z149" s="131">
        <v>272000.68</v>
      </c>
      <c r="AA149" s="129">
        <v>1</v>
      </c>
      <c r="AB149" s="157">
        <v>96.34</v>
      </c>
      <c r="AD149" s="131">
        <v>262.04500000000002</v>
      </c>
      <c r="AG149" s="6" t="s">
        <v>17</v>
      </c>
      <c r="AH149" s="132">
        <v>9.0700000000000004E-4</v>
      </c>
      <c r="AI149" s="132">
        <v>1.7000680202062302E-2</v>
      </c>
      <c r="AJ149" s="132">
        <v>3.8416793292453798E-3</v>
      </c>
    </row>
    <row r="150" spans="1:36" x14ac:dyDescent="0.2">
      <c r="A150" s="6">
        <v>13710</v>
      </c>
      <c r="B150" s="6">
        <v>13711</v>
      </c>
      <c r="C150" s="6" t="s">
        <v>2068</v>
      </c>
      <c r="D150" s="6" t="s">
        <v>2069</v>
      </c>
      <c r="E150" s="3" t="s">
        <v>1477</v>
      </c>
      <c r="F150" s="6" t="s">
        <v>2070</v>
      </c>
      <c r="G150" s="6" t="s">
        <v>2071</v>
      </c>
      <c r="H150" s="6" t="s">
        <v>76</v>
      </c>
      <c r="I150" s="6" t="s">
        <v>228</v>
      </c>
      <c r="J150" s="6" t="s">
        <v>53</v>
      </c>
      <c r="K150" s="6" t="s">
        <v>53</v>
      </c>
      <c r="L150" s="6" t="s">
        <v>805</v>
      </c>
      <c r="M150" s="6" t="s">
        <v>311</v>
      </c>
      <c r="N150" s="6" t="s">
        <v>140</v>
      </c>
      <c r="O150" s="6" t="s">
        <v>62</v>
      </c>
      <c r="P150" s="6" t="s">
        <v>1604</v>
      </c>
      <c r="Q150" s="6" t="s">
        <v>70</v>
      </c>
      <c r="R150" s="6" t="s">
        <v>57</v>
      </c>
      <c r="S150" s="6" t="s">
        <v>1219</v>
      </c>
      <c r="T150" s="131">
        <v>1.5840000000000001</v>
      </c>
      <c r="U150" s="6" t="s">
        <v>1605</v>
      </c>
      <c r="V150" s="134">
        <v>7.3999999999999996E-2</v>
      </c>
      <c r="W150" s="132">
        <v>5.2659999999999998E-2</v>
      </c>
      <c r="X150" s="3" t="s">
        <v>620</v>
      </c>
      <c r="Y150" s="3" t="s">
        <v>62</v>
      </c>
      <c r="Z150" s="131">
        <v>10000</v>
      </c>
      <c r="AA150" s="129">
        <v>1</v>
      </c>
      <c r="AB150" s="157">
        <v>103.44</v>
      </c>
      <c r="AD150" s="131">
        <v>10.343999999999999</v>
      </c>
      <c r="AG150" s="6" t="s">
        <v>17</v>
      </c>
      <c r="AH150" s="132">
        <v>9.5000000000000005E-5</v>
      </c>
      <c r="AI150" s="132">
        <v>6.7108599893469199E-4</v>
      </c>
      <c r="AJ150" s="132">
        <v>1.5164670940287801E-4</v>
      </c>
    </row>
    <row r="151" spans="1:36" x14ac:dyDescent="0.2">
      <c r="A151" s="6">
        <v>13710</v>
      </c>
      <c r="B151" s="6">
        <v>13711</v>
      </c>
      <c r="C151" s="6" t="s">
        <v>2072</v>
      </c>
      <c r="D151" s="6" t="s">
        <v>2073</v>
      </c>
      <c r="E151" s="3" t="s">
        <v>1477</v>
      </c>
      <c r="F151" s="6" t="s">
        <v>2074</v>
      </c>
      <c r="G151" s="6" t="s">
        <v>2075</v>
      </c>
      <c r="H151" s="6" t="s">
        <v>76</v>
      </c>
      <c r="I151" s="6" t="s">
        <v>228</v>
      </c>
      <c r="J151" s="6" t="s">
        <v>53</v>
      </c>
      <c r="K151" s="6" t="s">
        <v>53</v>
      </c>
      <c r="L151" s="6" t="s">
        <v>805</v>
      </c>
      <c r="M151" s="6" t="s">
        <v>102</v>
      </c>
      <c r="N151" s="6" t="s">
        <v>256</v>
      </c>
      <c r="O151" s="6" t="s">
        <v>62</v>
      </c>
      <c r="P151" s="6" t="s">
        <v>1213</v>
      </c>
      <c r="Q151" s="6" t="s">
        <v>65</v>
      </c>
      <c r="R151" s="6" t="s">
        <v>57</v>
      </c>
      <c r="S151" s="6" t="s">
        <v>1219</v>
      </c>
      <c r="T151" s="131">
        <v>4.7919999999999998</v>
      </c>
      <c r="U151" s="6" t="s">
        <v>2076</v>
      </c>
      <c r="V151" s="134">
        <v>4.8800000000000003E-2</v>
      </c>
      <c r="W151" s="132">
        <v>4.4699999999999997E-2</v>
      </c>
      <c r="X151" s="3" t="s">
        <v>620</v>
      </c>
      <c r="Y151" s="3" t="s">
        <v>62</v>
      </c>
      <c r="Z151" s="131">
        <v>125000</v>
      </c>
      <c r="AA151" s="129">
        <v>1</v>
      </c>
      <c r="AB151" s="157">
        <v>102.07</v>
      </c>
      <c r="AD151" s="131">
        <v>127.587</v>
      </c>
      <c r="AG151" s="6" t="s">
        <v>17</v>
      </c>
      <c r="AH151" s="132">
        <v>7.8999999999999996E-5</v>
      </c>
      <c r="AI151" s="132">
        <v>8.2774734038167097E-3</v>
      </c>
      <c r="AJ151" s="132">
        <v>1.8704780100482999E-3</v>
      </c>
    </row>
    <row r="152" spans="1:36" x14ac:dyDescent="0.2">
      <c r="A152" s="6">
        <v>13710</v>
      </c>
      <c r="B152" s="6">
        <v>13711</v>
      </c>
      <c r="C152" s="6" t="s">
        <v>2072</v>
      </c>
      <c r="D152" s="6" t="s">
        <v>2073</v>
      </c>
      <c r="E152" s="3" t="s">
        <v>1477</v>
      </c>
      <c r="F152" s="6" t="s">
        <v>2077</v>
      </c>
      <c r="G152" s="6" t="s">
        <v>2078</v>
      </c>
      <c r="H152" s="6" t="s">
        <v>76</v>
      </c>
      <c r="I152" s="6" t="s">
        <v>229</v>
      </c>
      <c r="J152" s="6" t="s">
        <v>53</v>
      </c>
      <c r="K152" s="6" t="s">
        <v>53</v>
      </c>
      <c r="L152" s="6" t="s">
        <v>805</v>
      </c>
      <c r="M152" s="6" t="s">
        <v>311</v>
      </c>
      <c r="N152" s="6" t="s">
        <v>256</v>
      </c>
      <c r="O152" s="6" t="s">
        <v>62</v>
      </c>
      <c r="P152" s="6" t="s">
        <v>1213</v>
      </c>
      <c r="Q152" s="6" t="s">
        <v>65</v>
      </c>
      <c r="R152" s="6" t="s">
        <v>57</v>
      </c>
      <c r="S152" s="6" t="s">
        <v>1219</v>
      </c>
      <c r="T152" s="131">
        <v>3.335</v>
      </c>
      <c r="U152" s="6" t="s">
        <v>2079</v>
      </c>
      <c r="V152" s="134">
        <v>1E-3</v>
      </c>
      <c r="W152" s="132">
        <v>2.5729999999999999E-2</v>
      </c>
      <c r="X152" s="3" t="s">
        <v>620</v>
      </c>
      <c r="Y152" s="3" t="s">
        <v>62</v>
      </c>
      <c r="Z152" s="131">
        <v>107722.22</v>
      </c>
      <c r="AA152" s="129">
        <v>1</v>
      </c>
      <c r="AB152" s="157">
        <v>105.19</v>
      </c>
      <c r="AD152" s="131">
        <v>113.313</v>
      </c>
      <c r="AG152" s="6" t="s">
        <v>17</v>
      </c>
      <c r="AH152" s="132">
        <v>1.0900000000000001E-4</v>
      </c>
      <c r="AI152" s="132">
        <v>7.3513892069645703E-3</v>
      </c>
      <c r="AJ152" s="132">
        <v>1.6612088235274001E-3</v>
      </c>
    </row>
    <row r="153" spans="1:36" x14ac:dyDescent="0.2">
      <c r="A153" s="6">
        <v>13710</v>
      </c>
      <c r="B153" s="6">
        <v>13711</v>
      </c>
      <c r="C153" s="6" t="s">
        <v>2072</v>
      </c>
      <c r="D153" s="6" t="s">
        <v>2073</v>
      </c>
      <c r="E153" s="3" t="s">
        <v>1477</v>
      </c>
      <c r="F153" s="6" t="s">
        <v>2080</v>
      </c>
      <c r="G153" s="6" t="s">
        <v>2081</v>
      </c>
      <c r="H153" s="6" t="s">
        <v>76</v>
      </c>
      <c r="I153" s="6" t="s">
        <v>229</v>
      </c>
      <c r="J153" s="6" t="s">
        <v>53</v>
      </c>
      <c r="K153" s="6" t="s">
        <v>53</v>
      </c>
      <c r="L153" s="6" t="s">
        <v>805</v>
      </c>
      <c r="M153" s="6" t="s">
        <v>311</v>
      </c>
      <c r="N153" s="6" t="s">
        <v>256</v>
      </c>
      <c r="O153" s="6" t="s">
        <v>62</v>
      </c>
      <c r="P153" s="6" t="s">
        <v>1213</v>
      </c>
      <c r="Q153" s="6" t="s">
        <v>65</v>
      </c>
      <c r="R153" s="6" t="s">
        <v>57</v>
      </c>
      <c r="S153" s="6" t="s">
        <v>1219</v>
      </c>
      <c r="T153" s="131">
        <v>3.7149999999999999</v>
      </c>
      <c r="U153" s="6" t="s">
        <v>2082</v>
      </c>
      <c r="V153" s="134">
        <v>1.3899999999999999E-2</v>
      </c>
      <c r="W153" s="132">
        <v>2.511E-2</v>
      </c>
      <c r="X153" s="3" t="s">
        <v>620</v>
      </c>
      <c r="Y153" s="3" t="s">
        <v>62</v>
      </c>
      <c r="Z153" s="131">
        <v>61000.89</v>
      </c>
      <c r="AA153" s="129">
        <v>1</v>
      </c>
      <c r="AB153" s="157">
        <v>105.13</v>
      </c>
      <c r="AD153" s="131">
        <v>64.13</v>
      </c>
      <c r="AG153" s="6" t="s">
        <v>17</v>
      </c>
      <c r="AH153" s="132">
        <v>3.8000000000000002E-5</v>
      </c>
      <c r="AI153" s="132">
        <v>4.16056682693301E-3</v>
      </c>
      <c r="AJ153" s="132">
        <v>9.4017200411979302E-4</v>
      </c>
    </row>
    <row r="154" spans="1:36" x14ac:dyDescent="0.2">
      <c r="A154" s="6">
        <v>13710</v>
      </c>
      <c r="B154" s="6">
        <v>13711</v>
      </c>
      <c r="C154" s="6" t="s">
        <v>2072</v>
      </c>
      <c r="D154" s="6" t="s">
        <v>2073</v>
      </c>
      <c r="E154" s="3" t="s">
        <v>1477</v>
      </c>
      <c r="F154" s="6" t="s">
        <v>2083</v>
      </c>
      <c r="G154" s="6" t="s">
        <v>2084</v>
      </c>
      <c r="H154" s="6" t="s">
        <v>76</v>
      </c>
      <c r="I154" s="6" t="s">
        <v>229</v>
      </c>
      <c r="J154" s="6" t="s">
        <v>53</v>
      </c>
      <c r="K154" s="6" t="s">
        <v>53</v>
      </c>
      <c r="L154" s="6" t="s">
        <v>805</v>
      </c>
      <c r="M154" s="6" t="s">
        <v>311</v>
      </c>
      <c r="N154" s="6" t="s">
        <v>256</v>
      </c>
      <c r="O154" s="6" t="s">
        <v>62</v>
      </c>
      <c r="P154" s="6" t="s">
        <v>1213</v>
      </c>
      <c r="Q154" s="6" t="s">
        <v>65</v>
      </c>
      <c r="R154" s="6" t="s">
        <v>57</v>
      </c>
      <c r="S154" s="6" t="s">
        <v>1219</v>
      </c>
      <c r="T154" s="131">
        <v>1.806</v>
      </c>
      <c r="U154" s="6" t="s">
        <v>2085</v>
      </c>
      <c r="V154" s="134">
        <v>6.0000000000000001E-3</v>
      </c>
      <c r="W154" s="132">
        <v>2.4760000000000001E-2</v>
      </c>
      <c r="X154" s="3" t="s">
        <v>620</v>
      </c>
      <c r="Y154" s="3" t="s">
        <v>62</v>
      </c>
      <c r="Z154" s="131">
        <v>308000.5</v>
      </c>
      <c r="AA154" s="129">
        <v>1</v>
      </c>
      <c r="AB154" s="157">
        <v>114.32</v>
      </c>
      <c r="AD154" s="131">
        <v>352.10599999999999</v>
      </c>
      <c r="AG154" s="6" t="s">
        <v>17</v>
      </c>
      <c r="AH154" s="132">
        <v>4.6200000000000001E-4</v>
      </c>
      <c r="AI154" s="132">
        <v>2.28435345996961E-2</v>
      </c>
      <c r="AJ154" s="132">
        <v>5.1620013808570103E-3</v>
      </c>
    </row>
    <row r="155" spans="1:36" x14ac:dyDescent="0.2">
      <c r="A155" s="6">
        <v>13710</v>
      </c>
      <c r="B155" s="6">
        <v>13711</v>
      </c>
      <c r="C155" s="6" t="s">
        <v>2072</v>
      </c>
      <c r="D155" s="6" t="s">
        <v>2073</v>
      </c>
      <c r="E155" s="3" t="s">
        <v>1477</v>
      </c>
      <c r="F155" s="6" t="s">
        <v>2086</v>
      </c>
      <c r="G155" s="6" t="s">
        <v>2087</v>
      </c>
      <c r="H155" s="6" t="s">
        <v>76</v>
      </c>
      <c r="I155" s="6" t="s">
        <v>229</v>
      </c>
      <c r="J155" s="6" t="s">
        <v>53</v>
      </c>
      <c r="K155" s="6" t="s">
        <v>53</v>
      </c>
      <c r="L155" s="6" t="s">
        <v>805</v>
      </c>
      <c r="M155" s="6" t="s">
        <v>311</v>
      </c>
      <c r="N155" s="6" t="s">
        <v>256</v>
      </c>
      <c r="O155" s="6" t="s">
        <v>62</v>
      </c>
      <c r="P155" s="6" t="s">
        <v>1213</v>
      </c>
      <c r="Q155" s="6" t="s">
        <v>65</v>
      </c>
      <c r="R155" s="6" t="s">
        <v>57</v>
      </c>
      <c r="S155" s="6" t="s">
        <v>1219</v>
      </c>
      <c r="T155" s="131">
        <v>2.8039999999999998</v>
      </c>
      <c r="U155" s="6" t="s">
        <v>2088</v>
      </c>
      <c r="V155" s="134">
        <v>1.7500000000000002E-2</v>
      </c>
      <c r="W155" s="132">
        <v>2.4469999999999999E-2</v>
      </c>
      <c r="X155" s="3" t="s">
        <v>620</v>
      </c>
      <c r="Y155" s="3" t="s">
        <v>62</v>
      </c>
      <c r="Z155" s="131">
        <v>302000.05</v>
      </c>
      <c r="AA155" s="129">
        <v>1</v>
      </c>
      <c r="AB155" s="157">
        <v>115.29</v>
      </c>
      <c r="AD155" s="131">
        <v>348.17599999999999</v>
      </c>
      <c r="AG155" s="6" t="s">
        <v>17</v>
      </c>
      <c r="AH155" s="132">
        <v>1.35E-4</v>
      </c>
      <c r="AI155" s="132">
        <v>2.2588548263016001E-2</v>
      </c>
      <c r="AJ155" s="132">
        <v>5.1043815840476599E-3</v>
      </c>
    </row>
    <row r="156" spans="1:36" x14ac:dyDescent="0.2">
      <c r="A156" s="6">
        <v>13710</v>
      </c>
      <c r="B156" s="6">
        <v>13711</v>
      </c>
      <c r="C156" s="6" t="s">
        <v>2089</v>
      </c>
      <c r="D156" s="6" t="s">
        <v>2090</v>
      </c>
      <c r="E156" s="3" t="s">
        <v>1477</v>
      </c>
      <c r="F156" s="6" t="s">
        <v>2091</v>
      </c>
      <c r="G156" s="6" t="s">
        <v>2092</v>
      </c>
      <c r="H156" s="6" t="s">
        <v>76</v>
      </c>
      <c r="I156" s="6" t="s">
        <v>228</v>
      </c>
      <c r="J156" s="6" t="s">
        <v>53</v>
      </c>
      <c r="K156" s="6" t="s">
        <v>53</v>
      </c>
      <c r="L156" s="6" t="s">
        <v>805</v>
      </c>
      <c r="M156" s="6" t="s">
        <v>311</v>
      </c>
      <c r="N156" s="6" t="s">
        <v>252</v>
      </c>
      <c r="O156" s="6" t="s">
        <v>62</v>
      </c>
      <c r="P156" s="6" t="s">
        <v>1577</v>
      </c>
      <c r="Q156" s="6" t="s">
        <v>65</v>
      </c>
      <c r="R156" s="6" t="s">
        <v>57</v>
      </c>
      <c r="S156" s="6" t="s">
        <v>1219</v>
      </c>
      <c r="T156" s="131">
        <v>0.90200000000000002</v>
      </c>
      <c r="U156" s="6" t="s">
        <v>2093</v>
      </c>
      <c r="V156" s="134">
        <v>2.29E-2</v>
      </c>
      <c r="W156" s="132">
        <v>4.7030000000000002E-2</v>
      </c>
      <c r="X156" s="3" t="s">
        <v>620</v>
      </c>
      <c r="Y156" s="3" t="s">
        <v>62</v>
      </c>
      <c r="Z156" s="131">
        <v>149000.71</v>
      </c>
      <c r="AA156" s="129">
        <v>1</v>
      </c>
      <c r="AB156" s="157">
        <v>98.11</v>
      </c>
      <c r="AD156" s="131">
        <v>146.185</v>
      </c>
      <c r="AG156" s="6" t="s">
        <v>17</v>
      </c>
      <c r="AH156" s="132">
        <v>4.4999999999999999E-4</v>
      </c>
      <c r="AI156" s="132">
        <v>9.4839942019939397E-3</v>
      </c>
      <c r="AJ156" s="132">
        <v>2.1431180430100298E-3</v>
      </c>
    </row>
    <row r="157" spans="1:36" x14ac:dyDescent="0.2">
      <c r="A157" s="6">
        <v>13710</v>
      </c>
      <c r="B157" s="6">
        <v>13711</v>
      </c>
      <c r="C157" s="6" t="s">
        <v>2094</v>
      </c>
      <c r="D157" s="6" t="s">
        <v>2095</v>
      </c>
      <c r="E157" s="3" t="s">
        <v>1477</v>
      </c>
      <c r="F157" s="6" t="s">
        <v>2096</v>
      </c>
      <c r="G157" s="6" t="s">
        <v>2097</v>
      </c>
      <c r="H157" s="6" t="s">
        <v>76</v>
      </c>
      <c r="I157" s="6" t="s">
        <v>228</v>
      </c>
      <c r="J157" s="6" t="s">
        <v>53</v>
      </c>
      <c r="K157" s="6" t="s">
        <v>53</v>
      </c>
      <c r="L157" s="6" t="s">
        <v>805</v>
      </c>
      <c r="M157" s="6" t="s">
        <v>311</v>
      </c>
      <c r="N157" s="6" t="s">
        <v>156</v>
      </c>
      <c r="O157" s="6" t="s">
        <v>62</v>
      </c>
      <c r="P157" s="6" t="s">
        <v>298</v>
      </c>
      <c r="Q157" s="6" t="s">
        <v>298</v>
      </c>
      <c r="R157" s="6" t="s">
        <v>298</v>
      </c>
      <c r="S157" s="6" t="s">
        <v>1219</v>
      </c>
      <c r="T157" s="131">
        <v>2.0819999999999999</v>
      </c>
      <c r="U157" s="6" t="s">
        <v>1634</v>
      </c>
      <c r="V157" s="134">
        <v>0.10539999999999999</v>
      </c>
      <c r="W157" s="132">
        <v>4.4450000000000003E-2</v>
      </c>
      <c r="X157" s="3" t="s">
        <v>620</v>
      </c>
      <c r="Y157" s="3" t="s">
        <v>62</v>
      </c>
      <c r="Z157" s="131">
        <v>20491</v>
      </c>
      <c r="AA157" s="129">
        <v>1</v>
      </c>
      <c r="AB157" s="157">
        <v>138.33000000000001</v>
      </c>
      <c r="AD157" s="131">
        <v>28.344999999999999</v>
      </c>
      <c r="AG157" s="6" t="s">
        <v>17</v>
      </c>
      <c r="AH157" s="132">
        <v>9.8999999999999994E-5</v>
      </c>
      <c r="AI157" s="132">
        <v>1.8389469313930199E-3</v>
      </c>
      <c r="AJ157" s="132">
        <v>4.1555069149849799E-4</v>
      </c>
    </row>
    <row r="158" spans="1:36" x14ac:dyDescent="0.2">
      <c r="A158" s="6">
        <v>13710</v>
      </c>
      <c r="B158" s="6">
        <v>13711</v>
      </c>
      <c r="C158" s="6" t="s">
        <v>2098</v>
      </c>
      <c r="D158" s="6" t="s">
        <v>2099</v>
      </c>
      <c r="E158" s="3" t="s">
        <v>1477</v>
      </c>
      <c r="F158" s="6" t="s">
        <v>2100</v>
      </c>
      <c r="G158" s="6" t="s">
        <v>2101</v>
      </c>
      <c r="H158" s="6" t="s">
        <v>76</v>
      </c>
      <c r="I158" s="6" t="s">
        <v>228</v>
      </c>
      <c r="J158" s="6" t="s">
        <v>53</v>
      </c>
      <c r="K158" s="6" t="s">
        <v>53</v>
      </c>
      <c r="L158" s="6" t="s">
        <v>805</v>
      </c>
      <c r="M158" s="6" t="s">
        <v>311</v>
      </c>
      <c r="N158" s="6" t="s">
        <v>269</v>
      </c>
      <c r="O158" s="6" t="s">
        <v>62</v>
      </c>
      <c r="P158" s="6" t="s">
        <v>1533</v>
      </c>
      <c r="Q158" s="6" t="s">
        <v>65</v>
      </c>
      <c r="R158" s="6" t="s">
        <v>57</v>
      </c>
      <c r="S158" s="6" t="s">
        <v>1219</v>
      </c>
      <c r="T158" s="131">
        <v>7.9000000000000001E-2</v>
      </c>
      <c r="U158" s="6" t="s">
        <v>2102</v>
      </c>
      <c r="V158" s="134">
        <v>3.61E-2</v>
      </c>
      <c r="W158" s="132">
        <v>5.4059999999999997E-2</v>
      </c>
      <c r="X158" s="3" t="s">
        <v>620</v>
      </c>
      <c r="Y158" s="3" t="s">
        <v>62</v>
      </c>
      <c r="Z158" s="131">
        <v>154000</v>
      </c>
      <c r="AA158" s="129">
        <v>1</v>
      </c>
      <c r="AB158" s="157">
        <v>101.38</v>
      </c>
      <c r="AD158" s="131">
        <v>156.125</v>
      </c>
      <c r="AG158" s="6" t="s">
        <v>17</v>
      </c>
      <c r="AH158" s="132">
        <v>2.0100000000000001E-4</v>
      </c>
      <c r="AI158" s="132">
        <v>1.0128909106813499E-2</v>
      </c>
      <c r="AJ158" s="132">
        <v>2.2888508154356299E-3</v>
      </c>
    </row>
    <row r="159" spans="1:36" x14ac:dyDescent="0.2">
      <c r="A159" s="6">
        <v>13710</v>
      </c>
      <c r="B159" s="6">
        <v>13711</v>
      </c>
      <c r="C159" s="6" t="s">
        <v>2103</v>
      </c>
      <c r="D159" s="6" t="s">
        <v>2104</v>
      </c>
      <c r="E159" s="3" t="s">
        <v>1477</v>
      </c>
      <c r="F159" s="6" t="s">
        <v>2105</v>
      </c>
      <c r="G159" s="6" t="s">
        <v>2106</v>
      </c>
      <c r="H159" s="6" t="s">
        <v>76</v>
      </c>
      <c r="I159" s="6" t="s">
        <v>228</v>
      </c>
      <c r="J159" s="6" t="s">
        <v>53</v>
      </c>
      <c r="K159" s="6" t="s">
        <v>317</v>
      </c>
      <c r="L159" s="6" t="s">
        <v>805</v>
      </c>
      <c r="M159" s="6" t="s">
        <v>311</v>
      </c>
      <c r="N159" s="6" t="s">
        <v>254</v>
      </c>
      <c r="O159" s="6" t="s">
        <v>62</v>
      </c>
      <c r="P159" s="6" t="s">
        <v>298</v>
      </c>
      <c r="Q159" s="6" t="s">
        <v>298</v>
      </c>
      <c r="R159" s="6" t="s">
        <v>298</v>
      </c>
      <c r="S159" s="6" t="s">
        <v>1219</v>
      </c>
      <c r="T159" s="131">
        <v>0.499</v>
      </c>
      <c r="U159" s="6" t="s">
        <v>1499</v>
      </c>
      <c r="V159" s="134">
        <v>1.9900000000000001E-2</v>
      </c>
      <c r="W159" s="132">
        <v>5.1869999999999999E-2</v>
      </c>
      <c r="X159" s="3" t="s">
        <v>620</v>
      </c>
      <c r="Y159" s="3" t="s">
        <v>62</v>
      </c>
      <c r="Z159" s="131">
        <v>67249</v>
      </c>
      <c r="AA159" s="129">
        <v>1</v>
      </c>
      <c r="AB159" s="157">
        <v>98.48</v>
      </c>
      <c r="AD159" s="131">
        <v>66.227000000000004</v>
      </c>
      <c r="AG159" s="6" t="s">
        <v>17</v>
      </c>
      <c r="AH159" s="132">
        <v>4.4799999999999999E-4</v>
      </c>
      <c r="AI159" s="132">
        <v>4.2965862755950596E-3</v>
      </c>
      <c r="AJ159" s="132">
        <v>9.7090860395518896E-4</v>
      </c>
    </row>
    <row r="160" spans="1:36" x14ac:dyDescent="0.2">
      <c r="A160" s="6">
        <v>13710</v>
      </c>
      <c r="B160" s="6">
        <v>13711</v>
      </c>
      <c r="C160" s="6" t="s">
        <v>2107</v>
      </c>
      <c r="D160" s="6" t="s">
        <v>2108</v>
      </c>
      <c r="E160" s="3" t="s">
        <v>1477</v>
      </c>
      <c r="F160" s="6" t="s">
        <v>2109</v>
      </c>
      <c r="G160" s="6" t="s">
        <v>2110</v>
      </c>
      <c r="H160" s="6" t="s">
        <v>76</v>
      </c>
      <c r="I160" s="6" t="s">
        <v>607</v>
      </c>
      <c r="J160" s="6" t="s">
        <v>53</v>
      </c>
      <c r="K160" s="6" t="s">
        <v>53</v>
      </c>
      <c r="L160" s="6" t="s">
        <v>805</v>
      </c>
      <c r="M160" s="6" t="s">
        <v>311</v>
      </c>
      <c r="N160" s="6" t="s">
        <v>631</v>
      </c>
      <c r="O160" s="6" t="s">
        <v>62</v>
      </c>
      <c r="P160" s="6" t="s">
        <v>298</v>
      </c>
      <c r="Q160" s="6" t="s">
        <v>298</v>
      </c>
      <c r="R160" s="6" t="s">
        <v>298</v>
      </c>
      <c r="S160" s="6" t="s">
        <v>1219</v>
      </c>
      <c r="T160" s="131">
        <v>0.98699999999999999</v>
      </c>
      <c r="U160" s="6" t="s">
        <v>1595</v>
      </c>
      <c r="V160" s="134">
        <v>0.03</v>
      </c>
      <c r="W160" s="132">
        <v>5.7160000000000002E-2</v>
      </c>
      <c r="X160" s="3" t="s">
        <v>620</v>
      </c>
      <c r="Y160" s="3" t="s">
        <v>62</v>
      </c>
      <c r="Z160" s="131">
        <v>5000</v>
      </c>
      <c r="AA160" s="129">
        <v>1</v>
      </c>
      <c r="AB160" s="157">
        <v>97.5</v>
      </c>
      <c r="AD160" s="131">
        <v>4.875</v>
      </c>
      <c r="AG160" s="6" t="s">
        <v>17</v>
      </c>
      <c r="AH160" s="132">
        <v>1.75E-4</v>
      </c>
      <c r="AI160" s="132">
        <v>3.1627457896429102E-4</v>
      </c>
      <c r="AJ160" s="132">
        <v>7.1469229344453601E-5</v>
      </c>
    </row>
    <row r="161" spans="1:36" x14ac:dyDescent="0.2">
      <c r="A161" s="6">
        <v>13710</v>
      </c>
      <c r="B161" s="6">
        <v>13711</v>
      </c>
      <c r="C161" s="6" t="s">
        <v>2111</v>
      </c>
      <c r="D161" s="6" t="s">
        <v>2112</v>
      </c>
      <c r="E161" s="3" t="s">
        <v>1477</v>
      </c>
      <c r="F161" s="6" t="s">
        <v>2113</v>
      </c>
      <c r="G161" s="6" t="s">
        <v>2114</v>
      </c>
      <c r="H161" s="6" t="s">
        <v>76</v>
      </c>
      <c r="I161" s="6" t="s">
        <v>228</v>
      </c>
      <c r="J161" s="6" t="s">
        <v>53</v>
      </c>
      <c r="K161" s="6" t="s">
        <v>53</v>
      </c>
      <c r="L161" s="6" t="s">
        <v>805</v>
      </c>
      <c r="M161" s="6" t="s">
        <v>1227</v>
      </c>
      <c r="N161" s="6" t="s">
        <v>140</v>
      </c>
      <c r="O161" s="6" t="s">
        <v>62</v>
      </c>
      <c r="P161" s="6" t="s">
        <v>1527</v>
      </c>
      <c r="Q161" s="6" t="s">
        <v>70</v>
      </c>
      <c r="R161" s="6" t="s">
        <v>57</v>
      </c>
      <c r="S161" s="6" t="s">
        <v>1219</v>
      </c>
      <c r="T161" s="131">
        <v>4.7699999999999996</v>
      </c>
      <c r="U161" s="6" t="s">
        <v>2006</v>
      </c>
      <c r="V161" s="134">
        <v>5.8799999999999998E-2</v>
      </c>
      <c r="W161" s="132">
        <v>5.3900000000000003E-2</v>
      </c>
      <c r="X161" s="3" t="s">
        <v>620</v>
      </c>
      <c r="Y161" s="3" t="s">
        <v>62</v>
      </c>
      <c r="Z161" s="131">
        <v>28000</v>
      </c>
      <c r="AA161" s="129">
        <v>1</v>
      </c>
      <c r="AB161" s="157">
        <v>102.87</v>
      </c>
      <c r="AD161" s="131">
        <v>28.803999999999998</v>
      </c>
      <c r="AG161" s="6" t="s">
        <v>17</v>
      </c>
      <c r="AH161" s="132">
        <v>9.2999999999999997E-5</v>
      </c>
      <c r="AI161" s="132">
        <v>1.86868645387812E-3</v>
      </c>
      <c r="AJ161" s="132">
        <v>4.2227099371197998E-4</v>
      </c>
    </row>
    <row r="162" spans="1:36" x14ac:dyDescent="0.2">
      <c r="A162" s="6">
        <v>13710</v>
      </c>
      <c r="B162" s="6">
        <v>13711</v>
      </c>
      <c r="C162" s="6" t="s">
        <v>2115</v>
      </c>
      <c r="D162" s="6" t="s">
        <v>2116</v>
      </c>
      <c r="E162" s="3" t="s">
        <v>1477</v>
      </c>
      <c r="F162" s="6" t="s">
        <v>2117</v>
      </c>
      <c r="G162" s="6" t="s">
        <v>2118</v>
      </c>
      <c r="H162" s="6" t="s">
        <v>76</v>
      </c>
      <c r="I162" s="6" t="s">
        <v>228</v>
      </c>
      <c r="J162" s="6" t="s">
        <v>53</v>
      </c>
      <c r="K162" s="6" t="s">
        <v>53</v>
      </c>
      <c r="L162" s="6" t="s">
        <v>805</v>
      </c>
      <c r="M162" s="6" t="s">
        <v>311</v>
      </c>
      <c r="N162" s="6" t="s">
        <v>636</v>
      </c>
      <c r="O162" s="6" t="s">
        <v>62</v>
      </c>
      <c r="P162" s="6" t="s">
        <v>1527</v>
      </c>
      <c r="Q162" s="6" t="s">
        <v>70</v>
      </c>
      <c r="R162" s="6" t="s">
        <v>57</v>
      </c>
      <c r="S162" s="6" t="s">
        <v>1219</v>
      </c>
      <c r="T162" s="131">
        <v>0.121</v>
      </c>
      <c r="U162" s="6" t="s">
        <v>2119</v>
      </c>
      <c r="V162" s="134">
        <v>3.5000000000000003E-2</v>
      </c>
      <c r="W162" s="132">
        <v>2.7310000000000001E-2</v>
      </c>
      <c r="X162" s="3" t="s">
        <v>620</v>
      </c>
      <c r="Y162" s="3" t="s">
        <v>62</v>
      </c>
      <c r="Z162" s="131">
        <v>6000.5</v>
      </c>
      <c r="AA162" s="129">
        <v>1</v>
      </c>
      <c r="AB162" s="157">
        <v>101.42</v>
      </c>
      <c r="AD162" s="131">
        <v>6.0860000000000003</v>
      </c>
      <c r="AG162" s="6" t="s">
        <v>17</v>
      </c>
      <c r="AH162" s="132">
        <v>1.25E-4</v>
      </c>
      <c r="AI162" s="132">
        <v>3.9482142579538398E-4</v>
      </c>
      <c r="AJ162" s="132">
        <v>8.9218624913450195E-5</v>
      </c>
    </row>
    <row r="163" spans="1:36" x14ac:dyDescent="0.2">
      <c r="A163" s="6">
        <v>13710</v>
      </c>
      <c r="B163" s="6">
        <v>13711</v>
      </c>
      <c r="C163" s="6" t="s">
        <v>2115</v>
      </c>
      <c r="D163" s="6" t="s">
        <v>2116</v>
      </c>
      <c r="E163" s="3" t="s">
        <v>1477</v>
      </c>
      <c r="F163" s="6" t="s">
        <v>2120</v>
      </c>
      <c r="G163" s="6" t="s">
        <v>2121</v>
      </c>
      <c r="H163" s="6" t="s">
        <v>76</v>
      </c>
      <c r="I163" s="6" t="s">
        <v>228</v>
      </c>
      <c r="J163" s="6" t="s">
        <v>53</v>
      </c>
      <c r="K163" s="6" t="s">
        <v>53</v>
      </c>
      <c r="L163" s="6" t="s">
        <v>805</v>
      </c>
      <c r="M163" s="6" t="s">
        <v>311</v>
      </c>
      <c r="N163" s="6" t="s">
        <v>636</v>
      </c>
      <c r="O163" s="6" t="s">
        <v>62</v>
      </c>
      <c r="P163" s="6" t="s">
        <v>1527</v>
      </c>
      <c r="Q163" s="6" t="s">
        <v>70</v>
      </c>
      <c r="R163" s="6" t="s">
        <v>57</v>
      </c>
      <c r="S163" s="6" t="s">
        <v>1219</v>
      </c>
      <c r="T163" s="131">
        <v>1.014</v>
      </c>
      <c r="U163" s="6" t="s">
        <v>1578</v>
      </c>
      <c r="V163" s="134">
        <v>4.99E-2</v>
      </c>
      <c r="W163" s="132">
        <v>4.6120000000000001E-2</v>
      </c>
      <c r="X163" s="3" t="s">
        <v>620</v>
      </c>
      <c r="Y163" s="3" t="s">
        <v>62</v>
      </c>
      <c r="Z163" s="131">
        <v>185000.7</v>
      </c>
      <c r="AA163" s="129">
        <v>1</v>
      </c>
      <c r="AB163" s="157">
        <v>101.69</v>
      </c>
      <c r="AD163" s="131">
        <v>188.12700000000001</v>
      </c>
      <c r="AG163" s="6" t="s">
        <v>17</v>
      </c>
      <c r="AH163" s="132">
        <v>7.4700000000000005E-4</v>
      </c>
      <c r="AI163" s="132">
        <v>1.22050984027198E-2</v>
      </c>
      <c r="AJ163" s="132">
        <v>2.7580116611714599E-3</v>
      </c>
    </row>
    <row r="164" spans="1:36" x14ac:dyDescent="0.2">
      <c r="A164" s="6">
        <v>13710</v>
      </c>
      <c r="B164" s="6">
        <v>13711</v>
      </c>
      <c r="C164" s="6" t="s">
        <v>2122</v>
      </c>
      <c r="D164" s="6" t="s">
        <v>2123</v>
      </c>
      <c r="E164" s="3" t="s">
        <v>1477</v>
      </c>
      <c r="F164" s="6" t="s">
        <v>2124</v>
      </c>
      <c r="G164" s="6" t="s">
        <v>2125</v>
      </c>
      <c r="H164" s="6" t="s">
        <v>76</v>
      </c>
      <c r="I164" s="6" t="s">
        <v>228</v>
      </c>
      <c r="J164" s="6" t="s">
        <v>53</v>
      </c>
      <c r="K164" s="6" t="s">
        <v>53</v>
      </c>
      <c r="L164" s="6" t="s">
        <v>805</v>
      </c>
      <c r="M164" s="6" t="s">
        <v>311</v>
      </c>
      <c r="N164" s="6" t="s">
        <v>259</v>
      </c>
      <c r="O164" s="6" t="s">
        <v>62</v>
      </c>
      <c r="P164" s="6" t="s">
        <v>1527</v>
      </c>
      <c r="Q164" s="6" t="s">
        <v>70</v>
      </c>
      <c r="R164" s="6" t="s">
        <v>57</v>
      </c>
      <c r="S164" s="6" t="s">
        <v>1219</v>
      </c>
      <c r="T164" s="131">
        <v>0.98399999999999999</v>
      </c>
      <c r="U164" s="6" t="s">
        <v>1516</v>
      </c>
      <c r="V164" s="134">
        <v>3.2500000000000001E-2</v>
      </c>
      <c r="W164" s="132">
        <v>4.8820000000000002E-2</v>
      </c>
      <c r="X164" s="3" t="s">
        <v>620</v>
      </c>
      <c r="Y164" s="3" t="s">
        <v>62</v>
      </c>
      <c r="Z164" s="131">
        <v>14630.67</v>
      </c>
      <c r="AA164" s="129">
        <v>1</v>
      </c>
      <c r="AB164" s="157">
        <v>98.5</v>
      </c>
      <c r="AD164" s="131">
        <v>14.411</v>
      </c>
      <c r="AG164" s="6" t="s">
        <v>17</v>
      </c>
      <c r="AH164" s="132">
        <v>9.2E-5</v>
      </c>
      <c r="AI164" s="132">
        <v>9.3495371472866599E-4</v>
      </c>
      <c r="AJ164" s="132">
        <v>2.11273450061051E-4</v>
      </c>
    </row>
    <row r="165" spans="1:36" x14ac:dyDescent="0.2">
      <c r="A165" s="6">
        <v>13710</v>
      </c>
      <c r="B165" s="6">
        <v>13711</v>
      </c>
      <c r="C165" s="6" t="s">
        <v>2126</v>
      </c>
      <c r="D165" s="6" t="s">
        <v>2127</v>
      </c>
      <c r="E165" s="3" t="s">
        <v>1477</v>
      </c>
      <c r="F165" s="6" t="s">
        <v>2128</v>
      </c>
      <c r="G165" s="6" t="s">
        <v>2129</v>
      </c>
      <c r="H165" s="6" t="s">
        <v>76</v>
      </c>
      <c r="I165" s="6" t="s">
        <v>229</v>
      </c>
      <c r="J165" s="6" t="s">
        <v>53</v>
      </c>
      <c r="K165" s="6" t="s">
        <v>53</v>
      </c>
      <c r="L165" s="6" t="s">
        <v>805</v>
      </c>
      <c r="M165" s="6" t="s">
        <v>311</v>
      </c>
      <c r="N165" s="6" t="s">
        <v>140</v>
      </c>
      <c r="O165" s="6" t="s">
        <v>62</v>
      </c>
      <c r="P165" s="6" t="s">
        <v>298</v>
      </c>
      <c r="Q165" s="6" t="s">
        <v>298</v>
      </c>
      <c r="R165" s="6" t="s">
        <v>298</v>
      </c>
      <c r="S165" s="6" t="s">
        <v>1219</v>
      </c>
      <c r="T165" s="131">
        <v>0.93500000000000005</v>
      </c>
      <c r="U165" s="6" t="s">
        <v>1629</v>
      </c>
      <c r="V165" s="134">
        <v>2.8500000000000001E-2</v>
      </c>
      <c r="W165" s="132">
        <v>1E-4</v>
      </c>
      <c r="X165" s="3" t="s">
        <v>620</v>
      </c>
      <c r="Y165" s="3" t="s">
        <v>62</v>
      </c>
      <c r="Z165" s="131">
        <v>9449.17</v>
      </c>
      <c r="AA165" s="129">
        <v>1</v>
      </c>
      <c r="AB165" s="157">
        <v>122.1</v>
      </c>
      <c r="AD165" s="131">
        <v>11.537000000000001</v>
      </c>
      <c r="AG165" s="6" t="s">
        <v>17</v>
      </c>
      <c r="AH165" s="132">
        <v>7.7000000000000001E-5</v>
      </c>
      <c r="AI165" s="132">
        <v>7.4851238841106905E-4</v>
      </c>
      <c r="AJ165" s="132">
        <v>1.6914291287557301E-4</v>
      </c>
    </row>
    <row r="166" spans="1:36" x14ac:dyDescent="0.2">
      <c r="A166" s="6">
        <v>13710</v>
      </c>
      <c r="B166" s="6">
        <v>13711</v>
      </c>
      <c r="C166" s="6" t="s">
        <v>2130</v>
      </c>
      <c r="D166" s="6" t="s">
        <v>2131</v>
      </c>
      <c r="E166" s="3" t="s">
        <v>1477</v>
      </c>
      <c r="F166" s="6" t="s">
        <v>2132</v>
      </c>
      <c r="G166" s="6" t="s">
        <v>2133</v>
      </c>
      <c r="H166" s="6" t="s">
        <v>76</v>
      </c>
      <c r="I166" s="6" t="s">
        <v>228</v>
      </c>
      <c r="J166" s="6" t="s">
        <v>53</v>
      </c>
      <c r="K166" s="6" t="s">
        <v>53</v>
      </c>
      <c r="L166" s="6" t="s">
        <v>805</v>
      </c>
      <c r="M166" s="6" t="s">
        <v>311</v>
      </c>
      <c r="N166" s="6" t="s">
        <v>140</v>
      </c>
      <c r="O166" s="6" t="s">
        <v>62</v>
      </c>
      <c r="P166" s="6" t="s">
        <v>1515</v>
      </c>
      <c r="Q166" s="6" t="s">
        <v>65</v>
      </c>
      <c r="R166" s="6" t="s">
        <v>57</v>
      </c>
      <c r="S166" s="6" t="s">
        <v>1219</v>
      </c>
      <c r="T166" s="131">
        <v>0.499</v>
      </c>
      <c r="U166" s="6" t="s">
        <v>1499</v>
      </c>
      <c r="V166" s="134">
        <v>4.9500000000000002E-2</v>
      </c>
      <c r="W166" s="132">
        <v>6.0859999999999997E-2</v>
      </c>
      <c r="X166" s="3" t="s">
        <v>620</v>
      </c>
      <c r="Y166" s="3" t="s">
        <v>62</v>
      </c>
      <c r="Z166" s="131">
        <v>5000</v>
      </c>
      <c r="AA166" s="129">
        <v>1</v>
      </c>
      <c r="AB166" s="157">
        <v>99.5</v>
      </c>
      <c r="AD166" s="131">
        <v>4.9749999999999996</v>
      </c>
      <c r="AG166" s="6" t="s">
        <v>17</v>
      </c>
      <c r="AH166" s="132">
        <v>2.2699999999999999E-4</v>
      </c>
      <c r="AI166" s="132">
        <v>3.2276226263535301E-4</v>
      </c>
      <c r="AJ166" s="132">
        <v>7.2935264818185994E-5</v>
      </c>
    </row>
    <row r="167" spans="1:36" x14ac:dyDescent="0.2">
      <c r="A167" s="6">
        <v>13710</v>
      </c>
      <c r="B167" s="6">
        <v>13711</v>
      </c>
      <c r="C167" s="6" t="s">
        <v>2134</v>
      </c>
      <c r="D167" s="6" t="s">
        <v>2135</v>
      </c>
      <c r="E167" s="3" t="s">
        <v>1477</v>
      </c>
      <c r="F167" s="6" t="s">
        <v>2136</v>
      </c>
      <c r="G167" s="6" t="s">
        <v>2137</v>
      </c>
      <c r="H167" s="6" t="s">
        <v>76</v>
      </c>
      <c r="I167" s="6" t="s">
        <v>228</v>
      </c>
      <c r="J167" s="6" t="s">
        <v>53</v>
      </c>
      <c r="K167" s="6" t="s">
        <v>53</v>
      </c>
      <c r="L167" s="6" t="s">
        <v>805</v>
      </c>
      <c r="M167" s="6" t="s">
        <v>102</v>
      </c>
      <c r="N167" s="6" t="s">
        <v>692</v>
      </c>
      <c r="O167" s="6" t="s">
        <v>62</v>
      </c>
      <c r="P167" s="6" t="s">
        <v>1493</v>
      </c>
      <c r="Q167" s="6" t="s">
        <v>65</v>
      </c>
      <c r="R167" s="6" t="s">
        <v>57</v>
      </c>
      <c r="S167" s="6" t="s">
        <v>1219</v>
      </c>
      <c r="T167" s="131">
        <v>4.9429999999999996</v>
      </c>
      <c r="U167" s="6" t="s">
        <v>1522</v>
      </c>
      <c r="V167" s="134">
        <v>5.8799999999999998E-2</v>
      </c>
      <c r="W167" s="132">
        <v>5.5820000000000002E-2</v>
      </c>
      <c r="X167" s="3" t="s">
        <v>620</v>
      </c>
      <c r="Y167" s="3" t="s">
        <v>62</v>
      </c>
      <c r="Z167" s="131">
        <v>30000</v>
      </c>
      <c r="AA167" s="129">
        <v>1</v>
      </c>
      <c r="AB167" s="157">
        <v>103.90900000000001</v>
      </c>
      <c r="AD167" s="131">
        <v>31.172999999999998</v>
      </c>
      <c r="AG167" s="6" t="s">
        <v>17</v>
      </c>
      <c r="AH167" s="132">
        <v>0</v>
      </c>
      <c r="AI167" s="132">
        <v>2.0223873518612802E-3</v>
      </c>
      <c r="AJ167" s="132">
        <v>4.5700310770096901E-4</v>
      </c>
    </row>
    <row r="168" spans="1:36" x14ac:dyDescent="0.2">
      <c r="A168" s="6">
        <v>13710</v>
      </c>
      <c r="B168" s="6">
        <v>13711</v>
      </c>
      <c r="C168" s="6" t="s">
        <v>2138</v>
      </c>
      <c r="D168" s="6" t="s">
        <v>2139</v>
      </c>
      <c r="E168" s="3" t="s">
        <v>1477</v>
      </c>
      <c r="F168" s="6" t="s">
        <v>2140</v>
      </c>
      <c r="G168" s="6" t="s">
        <v>2141</v>
      </c>
      <c r="H168" s="6" t="s">
        <v>76</v>
      </c>
      <c r="I168" s="6" t="s">
        <v>228</v>
      </c>
      <c r="J168" s="6" t="s">
        <v>53</v>
      </c>
      <c r="K168" s="6" t="s">
        <v>53</v>
      </c>
      <c r="L168" s="6" t="s">
        <v>805</v>
      </c>
      <c r="M168" s="6" t="s">
        <v>311</v>
      </c>
      <c r="N168" s="6" t="s">
        <v>75</v>
      </c>
      <c r="O168" s="6" t="s">
        <v>62</v>
      </c>
      <c r="P168" s="6" t="s">
        <v>1577</v>
      </c>
      <c r="Q168" s="6" t="s">
        <v>65</v>
      </c>
      <c r="R168" s="6" t="s">
        <v>57</v>
      </c>
      <c r="S168" s="6" t="s">
        <v>1219</v>
      </c>
      <c r="T168" s="131">
        <v>0.65700000000000003</v>
      </c>
      <c r="U168" s="6" t="s">
        <v>1621</v>
      </c>
      <c r="V168" s="134">
        <v>2.75E-2</v>
      </c>
      <c r="W168" s="132">
        <v>5.0619999999999998E-2</v>
      </c>
      <c r="X168" s="3" t="s">
        <v>620</v>
      </c>
      <c r="Y168" s="3" t="s">
        <v>62</v>
      </c>
      <c r="Z168" s="131">
        <v>67232.55</v>
      </c>
      <c r="AA168" s="129">
        <v>1</v>
      </c>
      <c r="AB168" s="157">
        <v>99.46</v>
      </c>
      <c r="AD168" s="131">
        <v>66.869</v>
      </c>
      <c r="AG168" s="6" t="s">
        <v>17</v>
      </c>
      <c r="AH168" s="132">
        <v>4.9600000000000002E-4</v>
      </c>
      <c r="AI168" s="132">
        <v>4.3382812580817099E-3</v>
      </c>
      <c r="AJ168" s="132">
        <v>9.8033050651722808E-4</v>
      </c>
    </row>
    <row r="169" spans="1:36" x14ac:dyDescent="0.2">
      <c r="A169" s="6">
        <v>13710</v>
      </c>
      <c r="B169" s="6">
        <v>13711</v>
      </c>
      <c r="C169" s="6" t="s">
        <v>2138</v>
      </c>
      <c r="D169" s="6" t="s">
        <v>2139</v>
      </c>
      <c r="E169" s="3" t="s">
        <v>1477</v>
      </c>
      <c r="F169" s="6" t="s">
        <v>2142</v>
      </c>
      <c r="G169" s="6" t="s">
        <v>2143</v>
      </c>
      <c r="H169" s="6" t="s">
        <v>76</v>
      </c>
      <c r="I169" s="6" t="s">
        <v>228</v>
      </c>
      <c r="J169" s="6" t="s">
        <v>53</v>
      </c>
      <c r="K169" s="6" t="s">
        <v>53</v>
      </c>
      <c r="L169" s="6" t="s">
        <v>805</v>
      </c>
      <c r="M169" s="6" t="s">
        <v>311</v>
      </c>
      <c r="N169" s="6" t="s">
        <v>75</v>
      </c>
      <c r="O169" s="6" t="s">
        <v>62</v>
      </c>
      <c r="P169" s="6" t="s">
        <v>1577</v>
      </c>
      <c r="Q169" s="6" t="s">
        <v>65</v>
      </c>
      <c r="R169" s="6" t="s">
        <v>57</v>
      </c>
      <c r="S169" s="6" t="s">
        <v>1219</v>
      </c>
      <c r="T169" s="131">
        <v>1.694</v>
      </c>
      <c r="U169" s="6" t="s">
        <v>2144</v>
      </c>
      <c r="V169" s="134">
        <v>2.1499999999999998E-2</v>
      </c>
      <c r="W169" s="132">
        <v>4.9500000000000002E-2</v>
      </c>
      <c r="X169" s="3" t="s">
        <v>620</v>
      </c>
      <c r="Y169" s="3" t="s">
        <v>62</v>
      </c>
      <c r="Z169" s="131">
        <v>27491.64</v>
      </c>
      <c r="AA169" s="129">
        <v>1</v>
      </c>
      <c r="AB169" s="157">
        <v>95.52</v>
      </c>
      <c r="AC169" s="131">
        <v>2.2690000000000001</v>
      </c>
      <c r="AD169" s="131">
        <v>28.529</v>
      </c>
      <c r="AG169" s="6" t="s">
        <v>17</v>
      </c>
      <c r="AH169" s="132">
        <v>3.8999999999999999E-5</v>
      </c>
      <c r="AI169" s="132">
        <v>1.85087091951133E-3</v>
      </c>
      <c r="AJ169" s="132">
        <v>4.1824518007965001E-4</v>
      </c>
    </row>
    <row r="170" spans="1:36" x14ac:dyDescent="0.2">
      <c r="A170" s="6">
        <v>13710</v>
      </c>
      <c r="B170" s="6">
        <v>13711</v>
      </c>
      <c r="C170" s="6" t="s">
        <v>2145</v>
      </c>
      <c r="D170" s="6" t="s">
        <v>2146</v>
      </c>
      <c r="E170" s="3" t="s">
        <v>1477</v>
      </c>
      <c r="F170" s="6" t="s">
        <v>2147</v>
      </c>
      <c r="G170" s="6" t="s">
        <v>2148</v>
      </c>
      <c r="H170" s="6" t="s">
        <v>76</v>
      </c>
      <c r="I170" s="6" t="s">
        <v>229</v>
      </c>
      <c r="J170" s="6" t="s">
        <v>53</v>
      </c>
      <c r="K170" s="6" t="s">
        <v>53</v>
      </c>
      <c r="L170" s="6" t="s">
        <v>805</v>
      </c>
      <c r="M170" s="6" t="s">
        <v>311</v>
      </c>
      <c r="N170" s="6" t="s">
        <v>635</v>
      </c>
      <c r="O170" s="6" t="s">
        <v>62</v>
      </c>
      <c r="P170" s="6" t="s">
        <v>1533</v>
      </c>
      <c r="Q170" s="6" t="s">
        <v>65</v>
      </c>
      <c r="R170" s="6" t="s">
        <v>57</v>
      </c>
      <c r="S170" s="6" t="s">
        <v>1219</v>
      </c>
      <c r="T170" s="131">
        <v>0.91700000000000004</v>
      </c>
      <c r="U170" s="6" t="s">
        <v>2149</v>
      </c>
      <c r="V170" s="134">
        <v>1.6E-2</v>
      </c>
      <c r="W170" s="132">
        <v>2.7320000000000001E-2</v>
      </c>
      <c r="X170" s="3" t="s">
        <v>620</v>
      </c>
      <c r="Y170" s="3" t="s">
        <v>62</v>
      </c>
      <c r="Z170" s="131">
        <v>86289.06</v>
      </c>
      <c r="AA170" s="129">
        <v>1</v>
      </c>
      <c r="AB170" s="157">
        <v>117.65</v>
      </c>
      <c r="AD170" s="131">
        <v>101.51900000000001</v>
      </c>
      <c r="AG170" s="6" t="s">
        <v>17</v>
      </c>
      <c r="AH170" s="132">
        <v>3.0400000000000002E-4</v>
      </c>
      <c r="AI170" s="132">
        <v>6.5862367171348303E-3</v>
      </c>
      <c r="AJ170" s="132">
        <v>1.48830571206583E-3</v>
      </c>
    </row>
    <row r="171" spans="1:36" x14ac:dyDescent="0.2">
      <c r="A171" s="6">
        <v>13710</v>
      </c>
      <c r="B171" s="6">
        <v>13711</v>
      </c>
      <c r="C171" s="6" t="s">
        <v>2145</v>
      </c>
      <c r="D171" s="6" t="s">
        <v>2146</v>
      </c>
      <c r="E171" s="3" t="s">
        <v>1477</v>
      </c>
      <c r="F171" s="6" t="s">
        <v>2150</v>
      </c>
      <c r="G171" s="6" t="s">
        <v>2151</v>
      </c>
      <c r="H171" s="6" t="s">
        <v>76</v>
      </c>
      <c r="I171" s="6" t="s">
        <v>229</v>
      </c>
      <c r="J171" s="6" t="s">
        <v>53</v>
      </c>
      <c r="K171" s="6" t="s">
        <v>53</v>
      </c>
      <c r="L171" s="6" t="s">
        <v>805</v>
      </c>
      <c r="M171" s="6" t="s">
        <v>311</v>
      </c>
      <c r="N171" s="6" t="s">
        <v>635</v>
      </c>
      <c r="O171" s="6" t="s">
        <v>62</v>
      </c>
      <c r="P171" s="6" t="s">
        <v>1533</v>
      </c>
      <c r="Q171" s="6" t="s">
        <v>65</v>
      </c>
      <c r="R171" s="6" t="s">
        <v>57</v>
      </c>
      <c r="S171" s="6" t="s">
        <v>1219</v>
      </c>
      <c r="T171" s="131">
        <v>2.0529999999999999</v>
      </c>
      <c r="U171" s="6" t="s">
        <v>1311</v>
      </c>
      <c r="V171" s="134">
        <v>1.4200000000000001E-2</v>
      </c>
      <c r="W171" s="132">
        <v>2.8410000000000001E-2</v>
      </c>
      <c r="X171" s="3" t="s">
        <v>620</v>
      </c>
      <c r="Y171" s="3" t="s">
        <v>62</v>
      </c>
      <c r="Z171" s="131">
        <v>90630.48</v>
      </c>
      <c r="AA171" s="129">
        <v>1</v>
      </c>
      <c r="AB171" s="157">
        <v>114.01</v>
      </c>
      <c r="AD171" s="131">
        <v>103.328</v>
      </c>
      <c r="AG171" s="6" t="s">
        <v>17</v>
      </c>
      <c r="AH171" s="132">
        <v>8.8999999999999995E-5</v>
      </c>
      <c r="AI171" s="132">
        <v>6.7035814731258104E-3</v>
      </c>
      <c r="AJ171" s="132">
        <v>1.5148223524665599E-3</v>
      </c>
    </row>
    <row r="172" spans="1:36" x14ac:dyDescent="0.2">
      <c r="A172" s="6">
        <v>13710</v>
      </c>
      <c r="B172" s="6">
        <v>13711</v>
      </c>
      <c r="C172" s="6" t="s">
        <v>2152</v>
      </c>
      <c r="D172" s="6" t="s">
        <v>2153</v>
      </c>
      <c r="E172" s="3" t="s">
        <v>1477</v>
      </c>
      <c r="F172" s="6" t="s">
        <v>2154</v>
      </c>
      <c r="G172" s="6" t="s">
        <v>2155</v>
      </c>
      <c r="H172" s="6" t="s">
        <v>76</v>
      </c>
      <c r="I172" s="6" t="s">
        <v>228</v>
      </c>
      <c r="J172" s="6" t="s">
        <v>53</v>
      </c>
      <c r="K172" s="6" t="s">
        <v>53</v>
      </c>
      <c r="L172" s="6" t="s">
        <v>805</v>
      </c>
      <c r="M172" s="6" t="s">
        <v>311</v>
      </c>
      <c r="N172" s="6" t="s">
        <v>140</v>
      </c>
      <c r="O172" s="6" t="s">
        <v>62</v>
      </c>
      <c r="P172" s="6" t="s">
        <v>1604</v>
      </c>
      <c r="Q172" s="6" t="s">
        <v>70</v>
      </c>
      <c r="R172" s="6" t="s">
        <v>57</v>
      </c>
      <c r="S172" s="6" t="s">
        <v>1219</v>
      </c>
      <c r="T172" s="131">
        <v>3.3000000000000002E-2</v>
      </c>
      <c r="U172" s="6" t="s">
        <v>2156</v>
      </c>
      <c r="V172" s="134">
        <v>4.3499999999999997E-2</v>
      </c>
      <c r="W172" s="132">
        <v>9.1929999999999998E-2</v>
      </c>
      <c r="X172" s="3" t="s">
        <v>620</v>
      </c>
      <c r="Y172" s="3" t="s">
        <v>62</v>
      </c>
      <c r="Z172" s="131">
        <v>3333.33</v>
      </c>
      <c r="AA172" s="129">
        <v>1</v>
      </c>
      <c r="AB172" s="157">
        <v>101.88</v>
      </c>
      <c r="AD172" s="131">
        <v>3.3959999999999999</v>
      </c>
      <c r="AG172" s="6" t="s">
        <v>17</v>
      </c>
      <c r="AH172" s="132">
        <v>1.3899999999999999E-4</v>
      </c>
      <c r="AI172" s="132">
        <v>2.2032151714754101E-4</v>
      </c>
      <c r="AJ172" s="132">
        <v>4.9786514901386997E-5</v>
      </c>
    </row>
    <row r="173" spans="1:36" x14ac:dyDescent="0.2">
      <c r="A173" s="6">
        <v>13710</v>
      </c>
      <c r="B173" s="6">
        <v>13711</v>
      </c>
      <c r="C173" s="6" t="s">
        <v>2157</v>
      </c>
      <c r="D173" s="6" t="s">
        <v>2158</v>
      </c>
      <c r="E173" s="3" t="s">
        <v>1477</v>
      </c>
      <c r="F173" s="6" t="s">
        <v>2159</v>
      </c>
      <c r="G173" s="6" t="s">
        <v>2160</v>
      </c>
      <c r="H173" s="6" t="s">
        <v>76</v>
      </c>
      <c r="I173" s="6" t="s">
        <v>229</v>
      </c>
      <c r="J173" s="6" t="s">
        <v>53</v>
      </c>
      <c r="K173" s="6" t="s">
        <v>53</v>
      </c>
      <c r="L173" s="6" t="s">
        <v>805</v>
      </c>
      <c r="M173" s="6" t="s">
        <v>311</v>
      </c>
      <c r="N173" s="6" t="s">
        <v>635</v>
      </c>
      <c r="O173" s="6" t="s">
        <v>62</v>
      </c>
      <c r="P173" s="6" t="s">
        <v>1533</v>
      </c>
      <c r="Q173" s="6" t="s">
        <v>65</v>
      </c>
      <c r="R173" s="6" t="s">
        <v>57</v>
      </c>
      <c r="S173" s="6" t="s">
        <v>1219</v>
      </c>
      <c r="T173" s="131">
        <v>3.0139999999999998</v>
      </c>
      <c r="U173" s="6" t="s">
        <v>2161</v>
      </c>
      <c r="V173" s="134">
        <v>3.5000000000000003E-2</v>
      </c>
      <c r="W173" s="132">
        <v>2.8129999999999999E-2</v>
      </c>
      <c r="X173" s="3" t="s">
        <v>620</v>
      </c>
      <c r="Y173" s="3" t="s">
        <v>62</v>
      </c>
      <c r="Z173" s="131">
        <v>83000.240000000005</v>
      </c>
      <c r="AA173" s="129">
        <v>1</v>
      </c>
      <c r="AB173" s="157">
        <v>122.62</v>
      </c>
      <c r="AD173" s="131">
        <v>101.77500000000001</v>
      </c>
      <c r="AG173" s="6" t="s">
        <v>17</v>
      </c>
      <c r="AH173" s="132">
        <v>1.0399999999999999E-4</v>
      </c>
      <c r="AI173" s="132">
        <v>6.6028331979635698E-3</v>
      </c>
      <c r="AJ173" s="132">
        <v>1.49205605361571E-3</v>
      </c>
    </row>
    <row r="174" spans="1:36" x14ac:dyDescent="0.2">
      <c r="A174" s="6">
        <v>13710</v>
      </c>
      <c r="B174" s="6">
        <v>13711</v>
      </c>
      <c r="C174" s="6" t="s">
        <v>2157</v>
      </c>
      <c r="D174" s="6" t="s">
        <v>2158</v>
      </c>
      <c r="E174" s="3" t="s">
        <v>1477</v>
      </c>
      <c r="F174" s="6" t="s">
        <v>2162</v>
      </c>
      <c r="G174" s="6" t="s">
        <v>2163</v>
      </c>
      <c r="H174" s="6" t="s">
        <v>76</v>
      </c>
      <c r="I174" s="6" t="s">
        <v>229</v>
      </c>
      <c r="J174" s="6" t="s">
        <v>53</v>
      </c>
      <c r="K174" s="6" t="s">
        <v>53</v>
      </c>
      <c r="L174" s="6" t="s">
        <v>805</v>
      </c>
      <c r="M174" s="6" t="s">
        <v>311</v>
      </c>
      <c r="N174" s="6" t="s">
        <v>635</v>
      </c>
      <c r="O174" s="6" t="s">
        <v>62</v>
      </c>
      <c r="P174" s="6" t="s">
        <v>1533</v>
      </c>
      <c r="Q174" s="6" t="s">
        <v>65</v>
      </c>
      <c r="R174" s="6" t="s">
        <v>57</v>
      </c>
      <c r="S174" s="6" t="s">
        <v>1219</v>
      </c>
      <c r="T174" s="131">
        <v>1.6539999999999999</v>
      </c>
      <c r="U174" s="6" t="s">
        <v>2164</v>
      </c>
      <c r="V174" s="134">
        <v>0.04</v>
      </c>
      <c r="W174" s="132">
        <v>2.929E-2</v>
      </c>
      <c r="X174" s="3" t="s">
        <v>620</v>
      </c>
      <c r="Y174" s="3" t="s">
        <v>62</v>
      </c>
      <c r="Z174" s="131">
        <v>78153.490000000005</v>
      </c>
      <c r="AA174" s="129">
        <v>1</v>
      </c>
      <c r="AB174" s="157">
        <v>121.17</v>
      </c>
      <c r="AD174" s="131">
        <v>94.698999999999998</v>
      </c>
      <c r="AG174" s="6" t="s">
        <v>17</v>
      </c>
      <c r="AH174" s="132">
        <v>9.2999999999999997E-5</v>
      </c>
      <c r="AI174" s="132">
        <v>6.1437445600608601E-3</v>
      </c>
      <c r="AJ174" s="132">
        <v>1.38831483211398E-3</v>
      </c>
    </row>
    <row r="175" spans="1:36" x14ac:dyDescent="0.2">
      <c r="A175" s="6">
        <v>13710</v>
      </c>
      <c r="B175" s="6">
        <v>13711</v>
      </c>
      <c r="C175" s="6" t="s">
        <v>2165</v>
      </c>
      <c r="D175" s="6" t="s">
        <v>2166</v>
      </c>
      <c r="E175" s="3" t="s">
        <v>1477</v>
      </c>
      <c r="F175" s="6" t="s">
        <v>2167</v>
      </c>
      <c r="G175" s="6" t="s">
        <v>2168</v>
      </c>
      <c r="H175" s="6" t="s">
        <v>76</v>
      </c>
      <c r="I175" s="6" t="s">
        <v>228</v>
      </c>
      <c r="J175" s="6" t="s">
        <v>53</v>
      </c>
      <c r="K175" s="6" t="s">
        <v>53</v>
      </c>
      <c r="L175" s="6" t="s">
        <v>805</v>
      </c>
      <c r="M175" s="6" t="s">
        <v>102</v>
      </c>
      <c r="N175" s="6" t="s">
        <v>635</v>
      </c>
      <c r="O175" s="6" t="s">
        <v>62</v>
      </c>
      <c r="P175" s="6" t="s">
        <v>298</v>
      </c>
      <c r="Q175" s="6" t="s">
        <v>298</v>
      </c>
      <c r="R175" s="6" t="s">
        <v>298</v>
      </c>
      <c r="S175" s="6" t="s">
        <v>1219</v>
      </c>
      <c r="T175" s="131">
        <v>3.1549999999999998</v>
      </c>
      <c r="U175" s="6" t="s">
        <v>1713</v>
      </c>
      <c r="V175" s="134">
        <v>6.3500000000000001E-2</v>
      </c>
      <c r="W175" s="132">
        <v>6.0040000000000003E-2</v>
      </c>
      <c r="X175" s="3" t="s">
        <v>620</v>
      </c>
      <c r="Y175" s="3" t="s">
        <v>62</v>
      </c>
      <c r="Z175" s="131">
        <v>30000</v>
      </c>
      <c r="AA175" s="129">
        <v>1</v>
      </c>
      <c r="AB175" s="157">
        <v>101.72</v>
      </c>
      <c r="AD175" s="131">
        <v>30.515999999999998</v>
      </c>
      <c r="AG175" s="6" t="s">
        <v>17</v>
      </c>
      <c r="AH175" s="132">
        <v>1.54E-4</v>
      </c>
      <c r="AI175" s="132">
        <v>1.97978154906139E-3</v>
      </c>
      <c r="AJ175" s="132">
        <v>4.4737538516417401E-4</v>
      </c>
    </row>
    <row r="176" spans="1:36" x14ac:dyDescent="0.2">
      <c r="A176" s="6">
        <v>13710</v>
      </c>
      <c r="B176" s="6">
        <v>13711</v>
      </c>
      <c r="C176" s="6" t="s">
        <v>2169</v>
      </c>
      <c r="D176" s="6" t="s">
        <v>2170</v>
      </c>
      <c r="E176" s="3" t="s">
        <v>1477</v>
      </c>
      <c r="F176" s="6" t="s">
        <v>2171</v>
      </c>
      <c r="G176" s="6" t="s">
        <v>2172</v>
      </c>
      <c r="H176" s="6" t="s">
        <v>76</v>
      </c>
      <c r="I176" s="6" t="s">
        <v>229</v>
      </c>
      <c r="J176" s="6" t="s">
        <v>53</v>
      </c>
      <c r="K176" s="6" t="s">
        <v>53</v>
      </c>
      <c r="L176" s="6" t="s">
        <v>805</v>
      </c>
      <c r="M176" s="6" t="s">
        <v>311</v>
      </c>
      <c r="N176" s="6" t="s">
        <v>258</v>
      </c>
      <c r="O176" s="6" t="s">
        <v>62</v>
      </c>
      <c r="P176" s="6" t="s">
        <v>1213</v>
      </c>
      <c r="Q176" s="6" t="s">
        <v>65</v>
      </c>
      <c r="R176" s="6" t="s">
        <v>57</v>
      </c>
      <c r="S176" s="6" t="s">
        <v>1219</v>
      </c>
      <c r="T176" s="131">
        <v>3.4020000000000001</v>
      </c>
      <c r="U176" s="6" t="s">
        <v>2173</v>
      </c>
      <c r="V176" s="134">
        <v>7.0000000000000001E-3</v>
      </c>
      <c r="W176" s="132">
        <v>2.5940000000000001E-2</v>
      </c>
      <c r="X176" s="3" t="s">
        <v>620</v>
      </c>
      <c r="Y176" s="3" t="s">
        <v>62</v>
      </c>
      <c r="Z176" s="131">
        <v>12000</v>
      </c>
      <c r="AA176" s="129">
        <v>1</v>
      </c>
      <c r="AB176" s="157">
        <v>108.28</v>
      </c>
      <c r="AD176" s="131">
        <v>12.994</v>
      </c>
      <c r="AG176" s="6" t="s">
        <v>17</v>
      </c>
      <c r="AH176" s="132">
        <v>2.0000000000000001E-4</v>
      </c>
      <c r="AI176" s="132">
        <v>8.4298366548316104E-4</v>
      </c>
      <c r="AJ176" s="132">
        <v>1.90490785314891E-4</v>
      </c>
    </row>
    <row r="177" spans="1:36" x14ac:dyDescent="0.2">
      <c r="A177" s="6">
        <v>13710</v>
      </c>
      <c r="B177" s="6">
        <v>13711</v>
      </c>
      <c r="C177" s="6" t="s">
        <v>2174</v>
      </c>
      <c r="D177" s="6" t="s">
        <v>2175</v>
      </c>
      <c r="E177" s="3" t="s">
        <v>1477</v>
      </c>
      <c r="F177" s="6" t="s">
        <v>2176</v>
      </c>
      <c r="G177" s="6" t="s">
        <v>2177</v>
      </c>
      <c r="H177" s="6" t="s">
        <v>76</v>
      </c>
      <c r="I177" s="6" t="s">
        <v>228</v>
      </c>
      <c r="J177" s="6" t="s">
        <v>53</v>
      </c>
      <c r="K177" s="6" t="s">
        <v>53</v>
      </c>
      <c r="L177" s="6" t="s">
        <v>805</v>
      </c>
      <c r="M177" s="6" t="s">
        <v>311</v>
      </c>
      <c r="N177" s="6" t="s">
        <v>261</v>
      </c>
      <c r="O177" s="6" t="s">
        <v>62</v>
      </c>
      <c r="P177" s="6" t="s">
        <v>1339</v>
      </c>
      <c r="Q177" s="6" t="s">
        <v>65</v>
      </c>
      <c r="R177" s="6" t="s">
        <v>57</v>
      </c>
      <c r="S177" s="6" t="s">
        <v>1219</v>
      </c>
      <c r="T177" s="131">
        <v>1.468</v>
      </c>
      <c r="U177" s="6" t="s">
        <v>1644</v>
      </c>
      <c r="V177" s="134">
        <v>2.6100000000000002E-2</v>
      </c>
      <c r="W177" s="132">
        <v>4.471E-2</v>
      </c>
      <c r="X177" s="3" t="s">
        <v>620</v>
      </c>
      <c r="Y177" s="3" t="s">
        <v>62</v>
      </c>
      <c r="Z177" s="131">
        <v>113579.56</v>
      </c>
      <c r="AA177" s="129">
        <v>1</v>
      </c>
      <c r="AB177" s="157">
        <v>97.43</v>
      </c>
      <c r="AD177" s="131">
        <v>110.661</v>
      </c>
      <c r="AG177" s="6" t="s">
        <v>17</v>
      </c>
      <c r="AH177" s="132">
        <v>4.7100000000000001E-4</v>
      </c>
      <c r="AI177" s="132">
        <v>7.1793074257924302E-3</v>
      </c>
      <c r="AJ177" s="132">
        <v>1.6223231428480699E-3</v>
      </c>
    </row>
    <row r="178" spans="1:36" x14ac:dyDescent="0.2">
      <c r="A178" s="6">
        <v>13710</v>
      </c>
      <c r="B178" s="6">
        <v>13711</v>
      </c>
      <c r="C178" s="6" t="s">
        <v>2174</v>
      </c>
      <c r="D178" s="6" t="s">
        <v>2175</v>
      </c>
      <c r="E178" s="3" t="s">
        <v>1477</v>
      </c>
      <c r="F178" s="6" t="s">
        <v>2178</v>
      </c>
      <c r="G178" s="6" t="s">
        <v>2179</v>
      </c>
      <c r="H178" s="6" t="s">
        <v>76</v>
      </c>
      <c r="I178" s="6" t="s">
        <v>228</v>
      </c>
      <c r="J178" s="6" t="s">
        <v>53</v>
      </c>
      <c r="K178" s="6" t="s">
        <v>53</v>
      </c>
      <c r="L178" s="6" t="s">
        <v>805</v>
      </c>
      <c r="M178" s="6" t="s">
        <v>311</v>
      </c>
      <c r="N178" s="6" t="s">
        <v>261</v>
      </c>
      <c r="O178" s="6" t="s">
        <v>62</v>
      </c>
      <c r="P178" s="6" t="s">
        <v>1339</v>
      </c>
      <c r="Q178" s="6" t="s">
        <v>65</v>
      </c>
      <c r="R178" s="6" t="s">
        <v>57</v>
      </c>
      <c r="S178" s="6" t="s">
        <v>1219</v>
      </c>
      <c r="T178" s="131">
        <v>6.056</v>
      </c>
      <c r="U178" s="6" t="s">
        <v>2180</v>
      </c>
      <c r="V178" s="134">
        <v>1.9E-2</v>
      </c>
      <c r="W178" s="132">
        <v>4.6149999999999997E-2</v>
      </c>
      <c r="X178" s="3" t="s">
        <v>620</v>
      </c>
      <c r="Y178" s="3" t="s">
        <v>62</v>
      </c>
      <c r="Z178" s="131">
        <v>28421.05</v>
      </c>
      <c r="AA178" s="129">
        <v>1</v>
      </c>
      <c r="AB178" s="157">
        <v>85</v>
      </c>
      <c r="AD178" s="131">
        <v>24.158000000000001</v>
      </c>
      <c r="AG178" s="6" t="s">
        <v>17</v>
      </c>
      <c r="AH178" s="132">
        <v>1.9000000000000001E-5</v>
      </c>
      <c r="AI178" s="132">
        <v>1.5672876469953001E-3</v>
      </c>
      <c r="AJ178" s="132">
        <v>3.5416327375613398E-4</v>
      </c>
    </row>
    <row r="179" spans="1:36" x14ac:dyDescent="0.2">
      <c r="A179" s="6">
        <v>13710</v>
      </c>
      <c r="B179" s="6">
        <v>13711</v>
      </c>
      <c r="C179" s="6" t="s">
        <v>2181</v>
      </c>
      <c r="D179" s="6" t="s">
        <v>2182</v>
      </c>
      <c r="E179" s="3" t="s">
        <v>1477</v>
      </c>
      <c r="F179" s="6" t="s">
        <v>2183</v>
      </c>
      <c r="G179" s="6" t="s">
        <v>2184</v>
      </c>
      <c r="H179" s="6" t="s">
        <v>76</v>
      </c>
      <c r="I179" s="6" t="s">
        <v>228</v>
      </c>
      <c r="J179" s="6" t="s">
        <v>53</v>
      </c>
      <c r="K179" s="6" t="s">
        <v>53</v>
      </c>
      <c r="L179" s="6" t="s">
        <v>805</v>
      </c>
      <c r="M179" s="6" t="s">
        <v>311</v>
      </c>
      <c r="N179" s="6" t="s">
        <v>258</v>
      </c>
      <c r="O179" s="6" t="s">
        <v>62</v>
      </c>
      <c r="P179" s="6" t="s">
        <v>1533</v>
      </c>
      <c r="Q179" s="6" t="s">
        <v>65</v>
      </c>
      <c r="R179" s="6" t="s">
        <v>57</v>
      </c>
      <c r="S179" s="6" t="s">
        <v>1219</v>
      </c>
      <c r="T179" s="131">
        <v>0.58899999999999997</v>
      </c>
      <c r="U179" s="6" t="s">
        <v>2185</v>
      </c>
      <c r="V179" s="134">
        <v>2.7E-2</v>
      </c>
      <c r="W179" s="132">
        <v>4.5679999999999998E-2</v>
      </c>
      <c r="X179" s="3" t="s">
        <v>620</v>
      </c>
      <c r="Y179" s="3" t="s">
        <v>62</v>
      </c>
      <c r="Z179" s="131">
        <v>174625.21</v>
      </c>
      <c r="AA179" s="129">
        <v>1</v>
      </c>
      <c r="AB179" s="157">
        <v>99.04</v>
      </c>
      <c r="AD179" s="131">
        <v>172.94900000000001</v>
      </c>
      <c r="AG179" s="6" t="s">
        <v>17</v>
      </c>
      <c r="AH179" s="132">
        <v>2.7929999999999999E-3</v>
      </c>
      <c r="AI179" s="132">
        <v>1.1220371574875E-2</v>
      </c>
      <c r="AJ179" s="132">
        <v>2.5354908764427401E-3</v>
      </c>
    </row>
    <row r="180" spans="1:36" x14ac:dyDescent="0.2">
      <c r="A180" s="6">
        <v>13710</v>
      </c>
      <c r="B180" s="6">
        <v>13711</v>
      </c>
      <c r="C180" s="6" t="s">
        <v>2181</v>
      </c>
      <c r="D180" s="6" t="s">
        <v>2182</v>
      </c>
      <c r="E180" s="3" t="s">
        <v>1477</v>
      </c>
      <c r="F180" s="6" t="s">
        <v>2186</v>
      </c>
      <c r="G180" s="6" t="s">
        <v>2187</v>
      </c>
      <c r="H180" s="6" t="s">
        <v>76</v>
      </c>
      <c r="I180" s="6" t="s">
        <v>229</v>
      </c>
      <c r="J180" s="6" t="s">
        <v>53</v>
      </c>
      <c r="K180" s="6" t="s">
        <v>53</v>
      </c>
      <c r="L180" s="6" t="s">
        <v>805</v>
      </c>
      <c r="M180" s="6" t="s">
        <v>311</v>
      </c>
      <c r="N180" s="6" t="s">
        <v>258</v>
      </c>
      <c r="O180" s="6" t="s">
        <v>62</v>
      </c>
      <c r="P180" s="6" t="s">
        <v>1533</v>
      </c>
      <c r="Q180" s="6" t="s">
        <v>65</v>
      </c>
      <c r="R180" s="6" t="s">
        <v>57</v>
      </c>
      <c r="S180" s="6" t="s">
        <v>1219</v>
      </c>
      <c r="T180" s="131">
        <v>0.59099999999999997</v>
      </c>
      <c r="U180" s="6" t="s">
        <v>2185</v>
      </c>
      <c r="V180" s="134">
        <v>1.7999999999999999E-2</v>
      </c>
      <c r="W180" s="132">
        <v>2.9579999999999999E-2</v>
      </c>
      <c r="X180" s="3" t="s">
        <v>620</v>
      </c>
      <c r="Y180" s="3" t="s">
        <v>62</v>
      </c>
      <c r="Z180" s="131">
        <v>14494.88</v>
      </c>
      <c r="AA180" s="129">
        <v>1</v>
      </c>
      <c r="AB180" s="157">
        <v>116.91</v>
      </c>
      <c r="AD180" s="131">
        <v>16.946000000000002</v>
      </c>
      <c r="AG180" s="6" t="s">
        <v>17</v>
      </c>
      <c r="AH180" s="132">
        <v>4.5000000000000003E-5</v>
      </c>
      <c r="AI180" s="132">
        <v>1.09940055282649E-3</v>
      </c>
      <c r="AJ180" s="132">
        <v>2.4843384665527301E-4</v>
      </c>
    </row>
    <row r="181" spans="1:36" x14ac:dyDescent="0.2">
      <c r="A181" s="6">
        <v>13710</v>
      </c>
      <c r="B181" s="6">
        <v>13711</v>
      </c>
      <c r="C181" s="6" t="s">
        <v>2188</v>
      </c>
      <c r="D181" s="6" t="s">
        <v>2189</v>
      </c>
      <c r="E181" s="3" t="s">
        <v>767</v>
      </c>
      <c r="F181" s="6" t="s">
        <v>2190</v>
      </c>
      <c r="G181" s="6" t="s">
        <v>2191</v>
      </c>
      <c r="H181" s="6" t="s">
        <v>76</v>
      </c>
      <c r="I181" s="6" t="s">
        <v>230</v>
      </c>
      <c r="J181" s="6" t="s">
        <v>53</v>
      </c>
      <c r="K181" s="6" t="s">
        <v>315</v>
      </c>
      <c r="L181" s="6" t="s">
        <v>805</v>
      </c>
      <c r="M181" s="6" t="s">
        <v>311</v>
      </c>
      <c r="N181" s="6" t="s">
        <v>636</v>
      </c>
      <c r="O181" s="6" t="s">
        <v>62</v>
      </c>
      <c r="P181" s="6" t="s">
        <v>1965</v>
      </c>
      <c r="Q181" s="6" t="s">
        <v>70</v>
      </c>
      <c r="R181" s="6" t="s">
        <v>57</v>
      </c>
      <c r="S181" s="6" t="s">
        <v>1219</v>
      </c>
      <c r="T181" s="131">
        <v>2.456</v>
      </c>
      <c r="U181" s="6" t="s">
        <v>2192</v>
      </c>
      <c r="V181" s="134">
        <v>4.2999999999999997E-2</v>
      </c>
      <c r="W181" s="132">
        <v>7.0510000000000003E-2</v>
      </c>
      <c r="X181" s="3" t="s">
        <v>620</v>
      </c>
      <c r="Y181" s="3" t="s">
        <v>62</v>
      </c>
      <c r="Z181" s="131">
        <v>16411.82</v>
      </c>
      <c r="AA181" s="129">
        <v>1</v>
      </c>
      <c r="AB181" s="157">
        <v>91.8</v>
      </c>
      <c r="AD181" s="131">
        <v>15.066000000000001</v>
      </c>
      <c r="AG181" s="6" t="s">
        <v>17</v>
      </c>
      <c r="AH181" s="132">
        <v>1.5E-5</v>
      </c>
      <c r="AI181" s="132">
        <v>9.7743771503048908E-4</v>
      </c>
      <c r="AJ181" s="132">
        <v>2.20873648632127E-4</v>
      </c>
    </row>
    <row r="182" spans="1:36" x14ac:dyDescent="0.2">
      <c r="A182" s="6">
        <v>13710</v>
      </c>
      <c r="B182" s="6">
        <v>13711</v>
      </c>
      <c r="C182" s="6" t="s">
        <v>2193</v>
      </c>
      <c r="D182" s="6" t="s">
        <v>2194</v>
      </c>
      <c r="E182" s="3" t="s">
        <v>1477</v>
      </c>
      <c r="F182" s="6" t="s">
        <v>2195</v>
      </c>
      <c r="G182" s="6" t="s">
        <v>2196</v>
      </c>
      <c r="H182" s="6" t="s">
        <v>76</v>
      </c>
      <c r="I182" s="6" t="s">
        <v>228</v>
      </c>
      <c r="J182" s="6" t="s">
        <v>53</v>
      </c>
      <c r="K182" s="6" t="s">
        <v>53</v>
      </c>
      <c r="L182" s="6" t="s">
        <v>805</v>
      </c>
      <c r="M182" s="6" t="s">
        <v>311</v>
      </c>
      <c r="N182" s="6" t="s">
        <v>263</v>
      </c>
      <c r="O182" s="6" t="s">
        <v>62</v>
      </c>
      <c r="P182" s="6" t="s">
        <v>1493</v>
      </c>
      <c r="Q182" s="6" t="s">
        <v>65</v>
      </c>
      <c r="R182" s="6" t="s">
        <v>57</v>
      </c>
      <c r="S182" s="6" t="s">
        <v>1219</v>
      </c>
      <c r="T182" s="131">
        <v>0.255</v>
      </c>
      <c r="U182" s="6" t="s">
        <v>2197</v>
      </c>
      <c r="V182" s="134">
        <v>3.3500000000000002E-2</v>
      </c>
      <c r="W182" s="132">
        <v>5.5300000000000002E-2</v>
      </c>
      <c r="X182" s="3" t="s">
        <v>620</v>
      </c>
      <c r="Y182" s="3" t="s">
        <v>62</v>
      </c>
      <c r="Z182" s="131">
        <v>35000</v>
      </c>
      <c r="AA182" s="129">
        <v>1</v>
      </c>
      <c r="AB182" s="157">
        <v>100.29</v>
      </c>
      <c r="AD182" s="131">
        <v>35.101999999999997</v>
      </c>
      <c r="AG182" s="6" t="s">
        <v>17</v>
      </c>
      <c r="AH182" s="132">
        <v>5.0900000000000001E-4</v>
      </c>
      <c r="AI182" s="132">
        <v>2.2772742837979601E-3</v>
      </c>
      <c r="AJ182" s="132">
        <v>5.1460044181217196E-4</v>
      </c>
    </row>
    <row r="183" spans="1:36" x14ac:dyDescent="0.2">
      <c r="A183" s="6">
        <v>13710</v>
      </c>
      <c r="B183" s="6">
        <v>13711</v>
      </c>
      <c r="C183" s="6" t="s">
        <v>2198</v>
      </c>
      <c r="D183" s="6" t="s">
        <v>2199</v>
      </c>
      <c r="E183" s="3" t="s">
        <v>1477</v>
      </c>
      <c r="F183" s="6" t="s">
        <v>2200</v>
      </c>
      <c r="G183" s="6" t="s">
        <v>2201</v>
      </c>
      <c r="H183" s="6" t="s">
        <v>76</v>
      </c>
      <c r="I183" s="6" t="s">
        <v>230</v>
      </c>
      <c r="J183" s="6" t="s">
        <v>53</v>
      </c>
      <c r="K183" s="6" t="s">
        <v>53</v>
      </c>
      <c r="L183" s="6" t="s">
        <v>805</v>
      </c>
      <c r="M183" s="6" t="s">
        <v>311</v>
      </c>
      <c r="N183" s="6" t="s">
        <v>267</v>
      </c>
      <c r="O183" s="6" t="s">
        <v>62</v>
      </c>
      <c r="P183" s="6" t="s">
        <v>1965</v>
      </c>
      <c r="Q183" s="6" t="s">
        <v>70</v>
      </c>
      <c r="R183" s="6" t="s">
        <v>57</v>
      </c>
      <c r="S183" s="6" t="s">
        <v>1219</v>
      </c>
      <c r="T183" s="131">
        <v>2.2320000000000002</v>
      </c>
      <c r="U183" s="6" t="s">
        <v>2202</v>
      </c>
      <c r="V183" s="134">
        <v>5.4800000000000001E-2</v>
      </c>
      <c r="W183" s="132">
        <v>5.919E-2</v>
      </c>
      <c r="X183" s="3" t="s">
        <v>620</v>
      </c>
      <c r="Y183" s="3" t="s">
        <v>62</v>
      </c>
      <c r="Z183" s="131">
        <v>75708.600000000006</v>
      </c>
      <c r="AA183" s="129">
        <v>1</v>
      </c>
      <c r="AB183" s="157">
        <v>95.79</v>
      </c>
      <c r="AD183" s="131">
        <v>72.521000000000001</v>
      </c>
      <c r="AG183" s="6" t="s">
        <v>17</v>
      </c>
      <c r="AH183" s="132">
        <v>2.8200000000000002E-4</v>
      </c>
      <c r="AI183" s="132">
        <v>4.7049504581907703E-3</v>
      </c>
      <c r="AJ183" s="132">
        <v>1.0631875140009099E-3</v>
      </c>
    </row>
    <row r="184" spans="1:36" x14ac:dyDescent="0.2">
      <c r="A184" s="6">
        <v>13710</v>
      </c>
      <c r="B184" s="6">
        <v>13711</v>
      </c>
      <c r="C184" s="6" t="s">
        <v>2203</v>
      </c>
      <c r="D184" s="6" t="s">
        <v>2204</v>
      </c>
      <c r="E184" s="3" t="s">
        <v>1477</v>
      </c>
      <c r="F184" s="6" t="s">
        <v>2205</v>
      </c>
      <c r="G184" s="6" t="s">
        <v>2206</v>
      </c>
      <c r="H184" s="6" t="s">
        <v>76</v>
      </c>
      <c r="I184" s="6" t="s">
        <v>230</v>
      </c>
      <c r="J184" s="6" t="s">
        <v>53</v>
      </c>
      <c r="K184" s="6" t="s">
        <v>53</v>
      </c>
      <c r="L184" s="6" t="s">
        <v>805</v>
      </c>
      <c r="M184" s="6" t="s">
        <v>311</v>
      </c>
      <c r="N184" s="6" t="s">
        <v>267</v>
      </c>
      <c r="O184" s="6" t="s">
        <v>62</v>
      </c>
      <c r="P184" s="6" t="s">
        <v>1521</v>
      </c>
      <c r="Q184" s="6" t="s">
        <v>70</v>
      </c>
      <c r="R184" s="6" t="s">
        <v>57</v>
      </c>
      <c r="S184" s="6" t="s">
        <v>1219</v>
      </c>
      <c r="T184" s="131">
        <v>2.4249999999999998</v>
      </c>
      <c r="U184" s="6" t="s">
        <v>2202</v>
      </c>
      <c r="V184" s="134">
        <v>4.6899999999999997E-2</v>
      </c>
      <c r="W184" s="132">
        <v>6.2420000000000003E-2</v>
      </c>
      <c r="X184" s="3" t="s">
        <v>620</v>
      </c>
      <c r="Y184" s="3" t="s">
        <v>62</v>
      </c>
      <c r="Z184" s="131">
        <v>37234.47</v>
      </c>
      <c r="AA184" s="129">
        <v>1</v>
      </c>
      <c r="AB184" s="157">
        <v>94.12</v>
      </c>
      <c r="AD184" s="131">
        <v>35.045000000000002</v>
      </c>
      <c r="AG184" s="6" t="s">
        <v>17</v>
      </c>
      <c r="AH184" s="132">
        <v>2.8E-5</v>
      </c>
      <c r="AI184" s="132">
        <v>2.2736141379410598E-3</v>
      </c>
      <c r="AJ184" s="132">
        <v>5.1377335098325497E-4</v>
      </c>
    </row>
    <row r="185" spans="1:36" x14ac:dyDescent="0.2">
      <c r="A185" s="6">
        <v>13710</v>
      </c>
      <c r="B185" s="6">
        <v>13711</v>
      </c>
      <c r="C185" s="6" t="s">
        <v>2207</v>
      </c>
      <c r="D185" s="6" t="s">
        <v>2208</v>
      </c>
      <c r="E185" s="3" t="s">
        <v>1477</v>
      </c>
      <c r="F185" s="6" t="s">
        <v>2209</v>
      </c>
      <c r="G185" s="6" t="s">
        <v>2210</v>
      </c>
      <c r="H185" s="6" t="s">
        <v>76</v>
      </c>
      <c r="I185" s="6" t="s">
        <v>228</v>
      </c>
      <c r="J185" s="6" t="s">
        <v>53</v>
      </c>
      <c r="K185" s="6" t="s">
        <v>53</v>
      </c>
      <c r="L185" s="6" t="s">
        <v>805</v>
      </c>
      <c r="M185" s="6" t="s">
        <v>311</v>
      </c>
      <c r="N185" s="6" t="s">
        <v>638</v>
      </c>
      <c r="O185" s="6" t="s">
        <v>62</v>
      </c>
      <c r="P185" s="6" t="s">
        <v>1213</v>
      </c>
      <c r="Q185" s="6" t="s">
        <v>65</v>
      </c>
      <c r="R185" s="6" t="s">
        <v>57</v>
      </c>
      <c r="S185" s="6" t="s">
        <v>1219</v>
      </c>
      <c r="T185" s="131">
        <v>0.41599999999999998</v>
      </c>
      <c r="U185" s="6" t="s">
        <v>1685</v>
      </c>
      <c r="V185" s="134">
        <v>5.45E-2</v>
      </c>
      <c r="W185" s="132">
        <v>4.4229999999999998E-2</v>
      </c>
      <c r="X185" s="3" t="s">
        <v>620</v>
      </c>
      <c r="Y185" s="3" t="s">
        <v>62</v>
      </c>
      <c r="Z185" s="131">
        <v>12961.01</v>
      </c>
      <c r="AA185" s="129">
        <v>1</v>
      </c>
      <c r="AB185" s="157">
        <v>100.89</v>
      </c>
      <c r="AD185" s="131">
        <v>13.076000000000001</v>
      </c>
      <c r="AG185" s="6" t="s">
        <v>17</v>
      </c>
      <c r="AH185" s="132">
        <v>8.3999999999999995E-5</v>
      </c>
      <c r="AI185" s="132">
        <v>8.4835306640619699E-4</v>
      </c>
      <c r="AJ185" s="132">
        <v>1.9170412009275199E-4</v>
      </c>
    </row>
    <row r="186" spans="1:36" x14ac:dyDescent="0.2">
      <c r="A186" s="6">
        <v>13710</v>
      </c>
      <c r="B186" s="6">
        <v>13711</v>
      </c>
      <c r="C186" s="6" t="s">
        <v>2211</v>
      </c>
      <c r="D186" s="6" t="s">
        <v>2212</v>
      </c>
      <c r="E186" s="3" t="s">
        <v>430</v>
      </c>
      <c r="F186" s="6" t="s">
        <v>2213</v>
      </c>
      <c r="G186" s="6" t="s">
        <v>2214</v>
      </c>
      <c r="H186" s="6" t="s">
        <v>76</v>
      </c>
      <c r="I186" s="6" t="s">
        <v>230</v>
      </c>
      <c r="J186" s="6" t="s">
        <v>61</v>
      </c>
      <c r="K186" s="6" t="s">
        <v>315</v>
      </c>
      <c r="L186" s="6" t="s">
        <v>805</v>
      </c>
      <c r="M186" s="6" t="s">
        <v>102</v>
      </c>
      <c r="N186" s="6" t="s">
        <v>2215</v>
      </c>
      <c r="O186" s="6" t="s">
        <v>62</v>
      </c>
      <c r="P186" s="6" t="s">
        <v>2216</v>
      </c>
      <c r="Q186" s="6" t="s">
        <v>84</v>
      </c>
      <c r="R186" s="6" t="s">
        <v>57</v>
      </c>
      <c r="S186" s="6" t="s">
        <v>1217</v>
      </c>
      <c r="T186" s="131">
        <v>2.9129999999999998</v>
      </c>
      <c r="U186" s="6" t="s">
        <v>2217</v>
      </c>
      <c r="V186" s="134">
        <v>8.1250000000000003E-2</v>
      </c>
      <c r="W186" s="132">
        <v>7.3950000000000002E-2</v>
      </c>
      <c r="X186" s="3" t="s">
        <v>620</v>
      </c>
      <c r="Y186" s="3" t="s">
        <v>62</v>
      </c>
      <c r="Z186" s="131">
        <v>15000</v>
      </c>
      <c r="AA186" s="129">
        <v>3.3719999999999999</v>
      </c>
      <c r="AB186" s="157">
        <v>103.986</v>
      </c>
      <c r="AD186" s="131">
        <v>52.595999999999997</v>
      </c>
      <c r="AG186" s="6" t="s">
        <v>17</v>
      </c>
      <c r="AH186" s="132">
        <v>2.0000000000000002E-5</v>
      </c>
      <c r="AI186" s="132">
        <v>3.4122602509830701E-3</v>
      </c>
      <c r="AJ186" s="132">
        <v>7.7107559911733005E-4</v>
      </c>
    </row>
    <row r="187" spans="1:36" x14ac:dyDescent="0.2">
      <c r="A187" s="6">
        <v>13710</v>
      </c>
      <c r="B187" s="6">
        <v>13711</v>
      </c>
      <c r="C187" s="6" t="s">
        <v>2218</v>
      </c>
      <c r="D187" s="6" t="s">
        <v>2219</v>
      </c>
      <c r="E187" s="3" t="s">
        <v>430</v>
      </c>
      <c r="F187" s="6" t="s">
        <v>2220</v>
      </c>
      <c r="G187" s="6" t="s">
        <v>2221</v>
      </c>
      <c r="H187" s="6" t="s">
        <v>76</v>
      </c>
      <c r="I187" s="6" t="s">
        <v>230</v>
      </c>
      <c r="J187" s="6" t="s">
        <v>61</v>
      </c>
      <c r="K187" s="6" t="s">
        <v>314</v>
      </c>
      <c r="L187" s="6" t="s">
        <v>805</v>
      </c>
      <c r="M187" s="6" t="s">
        <v>102</v>
      </c>
      <c r="N187" s="6" t="s">
        <v>2222</v>
      </c>
      <c r="O187" s="6" t="s">
        <v>62</v>
      </c>
      <c r="P187" s="6" t="s">
        <v>2223</v>
      </c>
      <c r="Q187" s="6" t="s">
        <v>96</v>
      </c>
      <c r="R187" s="6" t="s">
        <v>57</v>
      </c>
      <c r="S187" s="6" t="s">
        <v>1217</v>
      </c>
      <c r="T187" s="131">
        <v>2.6230000000000002</v>
      </c>
      <c r="U187" s="6" t="s">
        <v>2224</v>
      </c>
      <c r="V187" s="134">
        <v>7.9500000000000001E-2</v>
      </c>
      <c r="W187" s="132">
        <v>5.6099999999999997E-2</v>
      </c>
      <c r="X187" s="3" t="s">
        <v>620</v>
      </c>
      <c r="Y187" s="3" t="s">
        <v>62</v>
      </c>
      <c r="Z187" s="131">
        <v>7000</v>
      </c>
      <c r="AA187" s="129">
        <v>3.3719999999999999</v>
      </c>
      <c r="AB187" s="157">
        <v>106.99299999999999</v>
      </c>
      <c r="AD187" s="131">
        <v>25.254999999999999</v>
      </c>
      <c r="AG187" s="6" t="s">
        <v>17</v>
      </c>
      <c r="AH187" s="132">
        <v>1.1E-5</v>
      </c>
      <c r="AI187" s="132">
        <v>1.6384467467070801E-3</v>
      </c>
      <c r="AJ187" s="132">
        <v>3.7024324462796402E-4</v>
      </c>
    </row>
    <row r="188" spans="1:36" x14ac:dyDescent="0.2">
      <c r="A188" s="6">
        <v>13710</v>
      </c>
      <c r="B188" s="6">
        <v>13711</v>
      </c>
      <c r="C188" s="6" t="s">
        <v>2218</v>
      </c>
      <c r="D188" s="6" t="s">
        <v>2219</v>
      </c>
      <c r="E188" s="3" t="s">
        <v>430</v>
      </c>
      <c r="F188" s="6" t="s">
        <v>2225</v>
      </c>
      <c r="G188" s="6" t="s">
        <v>2226</v>
      </c>
      <c r="H188" s="6" t="s">
        <v>76</v>
      </c>
      <c r="I188" s="6" t="s">
        <v>230</v>
      </c>
      <c r="J188" s="6" t="s">
        <v>61</v>
      </c>
      <c r="K188" s="6" t="s">
        <v>314</v>
      </c>
      <c r="L188" s="6" t="s">
        <v>805</v>
      </c>
      <c r="M188" s="6" t="s">
        <v>102</v>
      </c>
      <c r="N188" s="6" t="s">
        <v>2222</v>
      </c>
      <c r="O188" s="6" t="s">
        <v>62</v>
      </c>
      <c r="P188" s="6" t="s">
        <v>2223</v>
      </c>
      <c r="Q188" s="6" t="s">
        <v>96</v>
      </c>
      <c r="R188" s="6" t="s">
        <v>57</v>
      </c>
      <c r="S188" s="6" t="s">
        <v>1217</v>
      </c>
      <c r="T188" s="131">
        <v>4.649</v>
      </c>
      <c r="U188" s="6" t="s">
        <v>2227</v>
      </c>
      <c r="V188" s="134">
        <v>6.6500000000000004E-2</v>
      </c>
      <c r="W188" s="132">
        <v>6.1460000000000001E-2</v>
      </c>
      <c r="X188" s="3" t="s">
        <v>620</v>
      </c>
      <c r="Y188" s="3" t="s">
        <v>62</v>
      </c>
      <c r="Z188" s="131">
        <v>5000</v>
      </c>
      <c r="AA188" s="129">
        <v>3.3719999999999999</v>
      </c>
      <c r="AB188" s="157">
        <v>112.43300000000001</v>
      </c>
      <c r="AD188" s="131">
        <v>18.956</v>
      </c>
      <c r="AG188" s="6" t="s">
        <v>17</v>
      </c>
      <c r="AH188" s="132">
        <v>6.9999999999999999E-6</v>
      </c>
      <c r="AI188" s="132">
        <v>1.22981845108003E-3</v>
      </c>
      <c r="AJ188" s="132">
        <v>2.7790465240711898E-4</v>
      </c>
    </row>
    <row r="189" spans="1:36" x14ac:dyDescent="0.2">
      <c r="A189" s="6">
        <v>13710</v>
      </c>
      <c r="B189" s="6">
        <v>13711</v>
      </c>
      <c r="C189" s="6" t="s">
        <v>2228</v>
      </c>
      <c r="D189" s="6" t="s">
        <v>2229</v>
      </c>
      <c r="E189" s="3" t="s">
        <v>430</v>
      </c>
      <c r="F189" s="6" t="s">
        <v>2230</v>
      </c>
      <c r="G189" s="6" t="s">
        <v>2231</v>
      </c>
      <c r="H189" s="6" t="s">
        <v>76</v>
      </c>
      <c r="I189" s="6" t="s">
        <v>230</v>
      </c>
      <c r="J189" s="6" t="s">
        <v>61</v>
      </c>
      <c r="K189" s="6" t="s">
        <v>313</v>
      </c>
      <c r="L189" s="6" t="s">
        <v>805</v>
      </c>
      <c r="M189" s="6" t="s">
        <v>476</v>
      </c>
      <c r="N189" s="6" t="s">
        <v>865</v>
      </c>
      <c r="O189" s="6" t="s">
        <v>62</v>
      </c>
      <c r="P189" s="6" t="s">
        <v>1778</v>
      </c>
      <c r="Q189" s="6" t="s">
        <v>96</v>
      </c>
      <c r="R189" s="6" t="s">
        <v>57</v>
      </c>
      <c r="S189" s="6" t="s">
        <v>1217</v>
      </c>
      <c r="T189" s="131">
        <v>5.7140000000000004</v>
      </c>
      <c r="U189" s="6" t="s">
        <v>2232</v>
      </c>
      <c r="V189" s="134">
        <v>7.3779999999999998E-2</v>
      </c>
      <c r="W189" s="132">
        <v>5.4050000000000001E-2</v>
      </c>
      <c r="X189" s="3" t="s">
        <v>620</v>
      </c>
      <c r="Y189" s="3" t="s">
        <v>62</v>
      </c>
      <c r="Z189" s="131">
        <v>5000</v>
      </c>
      <c r="AA189" s="129">
        <v>3.3719999999999999</v>
      </c>
      <c r="AB189" s="157">
        <v>111.904</v>
      </c>
      <c r="AD189" s="131">
        <v>18.867000000000001</v>
      </c>
      <c r="AG189" s="6" t="s">
        <v>17</v>
      </c>
      <c r="AH189" s="132">
        <v>7.9999999999999996E-6</v>
      </c>
      <c r="AI189" s="132">
        <v>1.2240294122577099E-3</v>
      </c>
      <c r="AJ189" s="132">
        <v>2.7659649117383001E-4</v>
      </c>
    </row>
    <row r="190" spans="1:36" x14ac:dyDescent="0.2">
      <c r="A190" s="6">
        <v>13710</v>
      </c>
      <c r="B190" s="6">
        <v>13711</v>
      </c>
      <c r="C190" s="6" t="s">
        <v>2233</v>
      </c>
      <c r="D190" s="6" t="s">
        <v>2234</v>
      </c>
      <c r="E190" s="3" t="s">
        <v>430</v>
      </c>
      <c r="F190" s="6" t="s">
        <v>2235</v>
      </c>
      <c r="G190" s="6" t="s">
        <v>2236</v>
      </c>
      <c r="H190" s="6" t="s">
        <v>76</v>
      </c>
      <c r="I190" s="6" t="s">
        <v>230</v>
      </c>
      <c r="J190" s="6" t="s">
        <v>61</v>
      </c>
      <c r="K190" s="6" t="s">
        <v>314</v>
      </c>
      <c r="L190" s="6" t="s">
        <v>805</v>
      </c>
      <c r="M190" s="6" t="s">
        <v>102</v>
      </c>
      <c r="N190" s="6" t="s">
        <v>903</v>
      </c>
      <c r="O190" s="6" t="s">
        <v>62</v>
      </c>
      <c r="P190" s="6" t="s">
        <v>1577</v>
      </c>
      <c r="Q190" s="6" t="s">
        <v>96</v>
      </c>
      <c r="R190" s="6" t="s">
        <v>57</v>
      </c>
      <c r="S190" s="6" t="s">
        <v>1217</v>
      </c>
      <c r="T190" s="131">
        <v>2.641</v>
      </c>
      <c r="U190" s="6" t="s">
        <v>2237</v>
      </c>
      <c r="V190" s="134">
        <v>4.5999999999999999E-2</v>
      </c>
      <c r="W190" s="132">
        <v>3.9879999999999999E-2</v>
      </c>
      <c r="X190" s="3" t="s">
        <v>620</v>
      </c>
      <c r="Y190" s="3" t="s">
        <v>62</v>
      </c>
      <c r="Z190" s="131">
        <v>2000</v>
      </c>
      <c r="AA190" s="129">
        <v>3.3719999999999999</v>
      </c>
      <c r="AB190" s="157">
        <v>102.379</v>
      </c>
      <c r="AD190" s="131">
        <v>6.9039999999999999</v>
      </c>
      <c r="AG190" s="6" t="s">
        <v>17</v>
      </c>
      <c r="AH190" s="132">
        <v>9.9999999999999995E-7</v>
      </c>
      <c r="AI190" s="132">
        <v>4.4793724832320703E-4</v>
      </c>
      <c r="AJ190" s="132">
        <v>1.01221318631332E-4</v>
      </c>
    </row>
    <row r="191" spans="1:36" x14ac:dyDescent="0.2">
      <c r="A191" s="6">
        <v>13710</v>
      </c>
      <c r="B191" s="6">
        <v>13711</v>
      </c>
      <c r="C191" s="6" t="s">
        <v>2238</v>
      </c>
      <c r="D191" s="6" t="s">
        <v>2239</v>
      </c>
      <c r="E191" s="3" t="s">
        <v>430</v>
      </c>
      <c r="F191" s="6" t="s">
        <v>2240</v>
      </c>
      <c r="G191" s="6" t="s">
        <v>2241</v>
      </c>
      <c r="H191" s="6" t="s">
        <v>76</v>
      </c>
      <c r="I191" s="6" t="s">
        <v>230</v>
      </c>
      <c r="J191" s="6" t="s">
        <v>61</v>
      </c>
      <c r="K191" s="6" t="s">
        <v>314</v>
      </c>
      <c r="L191" s="6" t="s">
        <v>805</v>
      </c>
      <c r="M191" s="6" t="s">
        <v>102</v>
      </c>
      <c r="N191" s="6" t="s">
        <v>882</v>
      </c>
      <c r="O191" s="6" t="s">
        <v>62</v>
      </c>
      <c r="P191" s="6" t="s">
        <v>1521</v>
      </c>
      <c r="Q191" s="6" t="s">
        <v>84</v>
      </c>
      <c r="R191" s="6" t="s">
        <v>57</v>
      </c>
      <c r="S191" s="6" t="s">
        <v>1217</v>
      </c>
      <c r="T191" s="131">
        <v>2.2320000000000002</v>
      </c>
      <c r="U191" s="6" t="s">
        <v>2242</v>
      </c>
      <c r="V191" s="134">
        <v>4.5499999999999999E-2</v>
      </c>
      <c r="W191" s="132">
        <v>4.027E-2</v>
      </c>
      <c r="X191" s="3" t="s">
        <v>620</v>
      </c>
      <c r="Y191" s="3" t="s">
        <v>62</v>
      </c>
      <c r="Z191" s="131">
        <v>3000</v>
      </c>
      <c r="AA191" s="129">
        <v>3.3719999999999999</v>
      </c>
      <c r="AB191" s="157">
        <v>101.29600000000001</v>
      </c>
      <c r="AD191" s="131">
        <v>10.247</v>
      </c>
      <c r="AG191" s="6" t="s">
        <v>17</v>
      </c>
      <c r="AH191" s="132">
        <v>1.9999999999999999E-6</v>
      </c>
      <c r="AI191" s="132">
        <v>6.6479965144360402E-4</v>
      </c>
      <c r="AJ191" s="132">
        <v>1.50226170287623E-4</v>
      </c>
    </row>
    <row r="192" spans="1:36" x14ac:dyDescent="0.2">
      <c r="A192" s="6">
        <v>13710</v>
      </c>
      <c r="B192" s="6">
        <v>13711</v>
      </c>
      <c r="C192" s="6" t="s">
        <v>2243</v>
      </c>
      <c r="D192" s="6" t="s">
        <v>2244</v>
      </c>
      <c r="E192" s="3" t="s">
        <v>430</v>
      </c>
      <c r="F192" s="6" t="s">
        <v>2245</v>
      </c>
      <c r="G192" s="6" t="s">
        <v>2246</v>
      </c>
      <c r="H192" s="6" t="s">
        <v>76</v>
      </c>
      <c r="I192" s="6" t="s">
        <v>230</v>
      </c>
      <c r="J192" s="6" t="s">
        <v>61</v>
      </c>
      <c r="K192" s="6" t="s">
        <v>314</v>
      </c>
      <c r="L192" s="6" t="s">
        <v>805</v>
      </c>
      <c r="M192" s="6" t="s">
        <v>102</v>
      </c>
      <c r="N192" s="6" t="s">
        <v>1141</v>
      </c>
      <c r="O192" s="6" t="s">
        <v>62</v>
      </c>
      <c r="P192" s="6" t="s">
        <v>2223</v>
      </c>
      <c r="Q192" s="6" t="s">
        <v>96</v>
      </c>
      <c r="R192" s="6" t="s">
        <v>57</v>
      </c>
      <c r="S192" s="6" t="s">
        <v>1217</v>
      </c>
      <c r="T192" s="131">
        <v>3.2919999999999998</v>
      </c>
      <c r="U192" s="6" t="s">
        <v>2038</v>
      </c>
      <c r="V192" s="134">
        <v>6.9000000000000006E-2</v>
      </c>
      <c r="W192" s="132">
        <v>5.6759999999999998E-2</v>
      </c>
      <c r="X192" s="3" t="s">
        <v>620</v>
      </c>
      <c r="Y192" s="3" t="s">
        <v>62</v>
      </c>
      <c r="Z192" s="131">
        <v>25000</v>
      </c>
      <c r="AA192" s="129">
        <v>3.3719999999999999</v>
      </c>
      <c r="AB192" s="157">
        <v>105.711</v>
      </c>
      <c r="AD192" s="131">
        <v>89.114999999999995</v>
      </c>
      <c r="AG192" s="6" t="s">
        <v>17</v>
      </c>
      <c r="AH192" s="132">
        <v>2.5000000000000001E-5</v>
      </c>
      <c r="AI192" s="132">
        <v>5.7814818585010599E-3</v>
      </c>
      <c r="AJ192" s="132">
        <v>1.30645357034105E-3</v>
      </c>
    </row>
    <row r="193" spans="1:36" x14ac:dyDescent="0.2">
      <c r="A193" s="6">
        <v>13710</v>
      </c>
      <c r="B193" s="6">
        <v>13711</v>
      </c>
      <c r="C193" s="6" t="s">
        <v>2247</v>
      </c>
      <c r="D193" s="6" t="s">
        <v>2248</v>
      </c>
      <c r="E193" s="3" t="s">
        <v>430</v>
      </c>
      <c r="F193" s="6" t="s">
        <v>2249</v>
      </c>
      <c r="G193" s="6" t="s">
        <v>2250</v>
      </c>
      <c r="H193" s="6" t="s">
        <v>76</v>
      </c>
      <c r="I193" s="6" t="s">
        <v>230</v>
      </c>
      <c r="J193" s="6" t="s">
        <v>61</v>
      </c>
      <c r="K193" s="6" t="s">
        <v>314</v>
      </c>
      <c r="L193" s="6" t="s">
        <v>805</v>
      </c>
      <c r="M193" s="6" t="s">
        <v>102</v>
      </c>
      <c r="N193" s="6" t="s">
        <v>2251</v>
      </c>
      <c r="O193" s="6" t="s">
        <v>62</v>
      </c>
      <c r="P193" s="6" t="s">
        <v>2223</v>
      </c>
      <c r="Q193" s="6" t="s">
        <v>96</v>
      </c>
      <c r="R193" s="6" t="s">
        <v>57</v>
      </c>
      <c r="S193" s="6" t="s">
        <v>1217</v>
      </c>
      <c r="T193" s="131">
        <v>6.7709999999999999</v>
      </c>
      <c r="U193" s="6" t="s">
        <v>2252</v>
      </c>
      <c r="V193" s="134">
        <v>5.8749999999999997E-2</v>
      </c>
      <c r="W193" s="132">
        <v>5.4800000000000001E-2</v>
      </c>
      <c r="X193" s="3" t="s">
        <v>620</v>
      </c>
      <c r="Y193" s="3" t="s">
        <v>62</v>
      </c>
      <c r="Z193" s="131">
        <v>20000</v>
      </c>
      <c r="AA193" s="129">
        <v>3.3719999999999999</v>
      </c>
      <c r="AB193" s="157">
        <v>104.32899999999999</v>
      </c>
      <c r="AD193" s="131">
        <v>70.358999999999995</v>
      </c>
      <c r="AG193" s="6" t="s">
        <v>17</v>
      </c>
      <c r="AH193" s="132">
        <v>4.0000000000000003E-5</v>
      </c>
      <c r="AI193" s="132">
        <v>4.5646808911187498E-3</v>
      </c>
      <c r="AJ193" s="132">
        <v>1.03149050600252E-3</v>
      </c>
    </row>
    <row r="194" spans="1:36" x14ac:dyDescent="0.2">
      <c r="A194" s="6">
        <v>13710</v>
      </c>
      <c r="B194" s="6">
        <v>13711</v>
      </c>
      <c r="C194" s="6" t="s">
        <v>2253</v>
      </c>
      <c r="D194" s="6" t="s">
        <v>2254</v>
      </c>
      <c r="E194" s="3" t="s">
        <v>430</v>
      </c>
      <c r="F194" s="6" t="s">
        <v>2255</v>
      </c>
      <c r="G194" s="6" t="s">
        <v>2256</v>
      </c>
      <c r="H194" s="6" t="s">
        <v>76</v>
      </c>
      <c r="I194" s="6" t="s">
        <v>230</v>
      </c>
      <c r="J194" s="6" t="s">
        <v>61</v>
      </c>
      <c r="K194" s="6" t="s">
        <v>153</v>
      </c>
      <c r="L194" s="6" t="s">
        <v>805</v>
      </c>
      <c r="M194" s="6" t="s">
        <v>102</v>
      </c>
      <c r="N194" s="6" t="s">
        <v>894</v>
      </c>
      <c r="O194" s="6" t="s">
        <v>62</v>
      </c>
      <c r="P194" s="6" t="s">
        <v>1778</v>
      </c>
      <c r="Q194" s="6" t="s">
        <v>96</v>
      </c>
      <c r="R194" s="6" t="s">
        <v>57</v>
      </c>
      <c r="S194" s="6" t="s">
        <v>1217</v>
      </c>
      <c r="T194" s="131">
        <v>3.2370000000000001</v>
      </c>
      <c r="U194" s="6" t="s">
        <v>2257</v>
      </c>
      <c r="V194" s="134">
        <v>4.3749999999999997E-2</v>
      </c>
      <c r="W194" s="132">
        <v>4.7140000000000001E-2</v>
      </c>
      <c r="X194" s="3" t="s">
        <v>620</v>
      </c>
      <c r="Y194" s="3" t="s">
        <v>62</v>
      </c>
      <c r="Z194" s="131">
        <v>5000</v>
      </c>
      <c r="AA194" s="129">
        <v>3.3719999999999999</v>
      </c>
      <c r="AB194" s="157">
        <v>98.981999999999999</v>
      </c>
      <c r="AD194" s="131">
        <v>16.687999999999999</v>
      </c>
      <c r="AG194" s="6" t="s">
        <v>17</v>
      </c>
      <c r="AH194" s="132">
        <v>9.9999999999999995E-7</v>
      </c>
      <c r="AI194" s="132">
        <v>1.0826915380121799E-3</v>
      </c>
      <c r="AJ194" s="132">
        <v>2.4465807556486602E-4</v>
      </c>
    </row>
    <row r="195" spans="1:36" x14ac:dyDescent="0.2">
      <c r="A195" s="6">
        <v>13710</v>
      </c>
      <c r="B195" s="6">
        <v>13711</v>
      </c>
      <c r="C195" s="6" t="s">
        <v>2258</v>
      </c>
      <c r="D195" s="6" t="s">
        <v>2259</v>
      </c>
      <c r="E195" s="3" t="s">
        <v>430</v>
      </c>
      <c r="F195" s="6" t="s">
        <v>2260</v>
      </c>
      <c r="G195" s="6" t="s">
        <v>2261</v>
      </c>
      <c r="H195" s="6" t="s">
        <v>76</v>
      </c>
      <c r="I195" s="6" t="s">
        <v>230</v>
      </c>
      <c r="J195" s="6" t="s">
        <v>61</v>
      </c>
      <c r="K195" s="6" t="s">
        <v>314</v>
      </c>
      <c r="L195" s="6" t="s">
        <v>805</v>
      </c>
      <c r="M195" s="6" t="s">
        <v>476</v>
      </c>
      <c r="N195" s="6" t="s">
        <v>2262</v>
      </c>
      <c r="O195" s="6" t="s">
        <v>62</v>
      </c>
      <c r="P195" s="6" t="s">
        <v>2263</v>
      </c>
      <c r="Q195" s="6" t="s">
        <v>84</v>
      </c>
      <c r="R195" s="6" t="s">
        <v>57</v>
      </c>
      <c r="S195" s="6" t="s">
        <v>1217</v>
      </c>
      <c r="T195" s="131">
        <v>2.6880000000000002</v>
      </c>
      <c r="U195" s="6" t="s">
        <v>2264</v>
      </c>
      <c r="V195" s="134">
        <v>5.1999999999999998E-2</v>
      </c>
      <c r="W195" s="132">
        <v>4.5629999999999997E-2</v>
      </c>
      <c r="X195" s="3" t="s">
        <v>620</v>
      </c>
      <c r="Y195" s="3" t="s">
        <v>62</v>
      </c>
      <c r="Z195" s="131">
        <v>5000</v>
      </c>
      <c r="AA195" s="129">
        <v>3.3719999999999999</v>
      </c>
      <c r="AB195" s="157">
        <v>104.39400000000001</v>
      </c>
      <c r="AD195" s="131">
        <v>17.600999999999999</v>
      </c>
      <c r="AG195" s="6" t="s">
        <v>17</v>
      </c>
      <c r="AH195" s="132">
        <v>1.0000000000000001E-5</v>
      </c>
      <c r="AI195" s="132">
        <v>1.1418836417904101E-3</v>
      </c>
      <c r="AJ195" s="132">
        <v>2.5803383928941402E-4</v>
      </c>
    </row>
    <row r="196" spans="1:36" x14ac:dyDescent="0.2">
      <c r="A196" s="6">
        <v>13710</v>
      </c>
      <c r="B196" s="6">
        <v>13711</v>
      </c>
      <c r="C196" s="6" t="s">
        <v>2258</v>
      </c>
      <c r="D196" s="6" t="s">
        <v>2259</v>
      </c>
      <c r="E196" s="3" t="s">
        <v>430</v>
      </c>
      <c r="F196" s="6" t="s">
        <v>2265</v>
      </c>
      <c r="G196" s="6" t="s">
        <v>2266</v>
      </c>
      <c r="H196" s="6" t="s">
        <v>76</v>
      </c>
      <c r="I196" s="6" t="s">
        <v>230</v>
      </c>
      <c r="J196" s="6" t="s">
        <v>61</v>
      </c>
      <c r="K196" s="6" t="s">
        <v>314</v>
      </c>
      <c r="L196" s="6" t="s">
        <v>805</v>
      </c>
      <c r="M196" s="6" t="s">
        <v>476</v>
      </c>
      <c r="N196" s="6" t="s">
        <v>2262</v>
      </c>
      <c r="O196" s="6" t="s">
        <v>62</v>
      </c>
      <c r="P196" s="6" t="s">
        <v>2263</v>
      </c>
      <c r="Q196" s="6" t="s">
        <v>84</v>
      </c>
      <c r="R196" s="6" t="s">
        <v>57</v>
      </c>
      <c r="S196" s="6" t="s">
        <v>1217</v>
      </c>
      <c r="T196" s="131">
        <v>6.2809999999999997</v>
      </c>
      <c r="U196" s="6" t="s">
        <v>2267</v>
      </c>
      <c r="V196" s="134">
        <v>5.45E-2</v>
      </c>
      <c r="W196" s="132">
        <v>5.203E-2</v>
      </c>
      <c r="X196" s="3" t="s">
        <v>620</v>
      </c>
      <c r="Y196" s="3" t="s">
        <v>62</v>
      </c>
      <c r="Z196" s="131">
        <v>5000</v>
      </c>
      <c r="AA196" s="129">
        <v>3.3719999999999999</v>
      </c>
      <c r="AB196" s="157">
        <v>104.78100000000001</v>
      </c>
      <c r="AD196" s="131">
        <v>17.666</v>
      </c>
      <c r="AG196" s="6" t="s">
        <v>17</v>
      </c>
      <c r="AH196" s="132">
        <v>5.0000000000000004E-6</v>
      </c>
      <c r="AI196" s="132">
        <v>1.14612251399538E-3</v>
      </c>
      <c r="AJ196" s="132">
        <v>2.58991706123893E-4</v>
      </c>
    </row>
    <row r="197" spans="1:36" x14ac:dyDescent="0.2">
      <c r="A197" s="6">
        <v>13710</v>
      </c>
      <c r="B197" s="6">
        <v>13711</v>
      </c>
      <c r="C197" s="6" t="s">
        <v>2268</v>
      </c>
      <c r="D197" s="6" t="s">
        <v>2269</v>
      </c>
      <c r="E197" s="3" t="s">
        <v>430</v>
      </c>
      <c r="F197" s="6" t="s">
        <v>2270</v>
      </c>
      <c r="G197" s="6" t="s">
        <v>2271</v>
      </c>
      <c r="H197" s="6" t="s">
        <v>76</v>
      </c>
      <c r="I197" s="6" t="s">
        <v>230</v>
      </c>
      <c r="J197" s="6" t="s">
        <v>61</v>
      </c>
      <c r="K197" s="6" t="s">
        <v>314</v>
      </c>
      <c r="L197" s="6" t="s">
        <v>805</v>
      </c>
      <c r="M197" s="6" t="s">
        <v>102</v>
      </c>
      <c r="N197" s="6" t="s">
        <v>2272</v>
      </c>
      <c r="O197" s="6" t="s">
        <v>62</v>
      </c>
      <c r="P197" s="6" t="s">
        <v>2273</v>
      </c>
      <c r="Q197" s="6" t="s">
        <v>96</v>
      </c>
      <c r="R197" s="6" t="s">
        <v>57</v>
      </c>
      <c r="S197" s="6" t="s">
        <v>1217</v>
      </c>
      <c r="T197" s="131">
        <v>3.6320000000000001</v>
      </c>
      <c r="U197" s="6" t="s">
        <v>2274</v>
      </c>
      <c r="V197" s="134">
        <v>6.8750000000000006E-2</v>
      </c>
      <c r="W197" s="132">
        <v>6.2810000000000005E-2</v>
      </c>
      <c r="X197" s="3" t="s">
        <v>620</v>
      </c>
      <c r="Y197" s="3" t="s">
        <v>62</v>
      </c>
      <c r="Z197" s="131">
        <v>10000</v>
      </c>
      <c r="AA197" s="129">
        <v>3.3719999999999999</v>
      </c>
      <c r="AB197" s="157">
        <v>105.73699999999999</v>
      </c>
      <c r="AD197" s="131">
        <v>35.654000000000003</v>
      </c>
      <c r="AG197" s="6" t="s">
        <v>17</v>
      </c>
      <c r="AH197" s="132">
        <v>1.0000000000000001E-5</v>
      </c>
      <c r="AI197" s="132">
        <v>2.3131428097207698E-3</v>
      </c>
      <c r="AJ197" s="132">
        <v>5.2270572777546299E-4</v>
      </c>
    </row>
    <row r="198" spans="1:36" x14ac:dyDescent="0.2">
      <c r="A198" s="6">
        <v>13710</v>
      </c>
      <c r="B198" s="6">
        <v>13711</v>
      </c>
      <c r="C198" s="6" t="s">
        <v>2275</v>
      </c>
      <c r="D198" s="6" t="s">
        <v>2276</v>
      </c>
      <c r="E198" s="3" t="s">
        <v>430</v>
      </c>
      <c r="F198" s="6" t="s">
        <v>2277</v>
      </c>
      <c r="G198" s="6" t="s">
        <v>2278</v>
      </c>
      <c r="H198" s="6" t="s">
        <v>76</v>
      </c>
      <c r="I198" s="6" t="s">
        <v>230</v>
      </c>
      <c r="J198" s="6" t="s">
        <v>61</v>
      </c>
      <c r="K198" s="6" t="s">
        <v>203</v>
      </c>
      <c r="L198" s="6" t="s">
        <v>805</v>
      </c>
      <c r="M198" s="6" t="s">
        <v>102</v>
      </c>
      <c r="N198" s="6" t="s">
        <v>908</v>
      </c>
      <c r="O198" s="6" t="s">
        <v>62</v>
      </c>
      <c r="P198" s="6" t="s">
        <v>1778</v>
      </c>
      <c r="Q198" s="6" t="s">
        <v>96</v>
      </c>
      <c r="R198" s="6" t="s">
        <v>57</v>
      </c>
      <c r="S198" s="6" t="s">
        <v>1217</v>
      </c>
      <c r="T198" s="131">
        <v>2.6280000000000001</v>
      </c>
      <c r="U198" s="6" t="s">
        <v>2279</v>
      </c>
      <c r="V198" s="134">
        <v>5.7000000000000002E-2</v>
      </c>
      <c r="W198" s="132">
        <v>4.5949999999999998E-2</v>
      </c>
      <c r="X198" s="3" t="s">
        <v>620</v>
      </c>
      <c r="Y198" s="3" t="s">
        <v>62</v>
      </c>
      <c r="Z198" s="131">
        <v>5000</v>
      </c>
      <c r="AA198" s="129">
        <v>3.3719999999999999</v>
      </c>
      <c r="AB198" s="157">
        <v>103.504</v>
      </c>
      <c r="AD198" s="131">
        <v>17.451000000000001</v>
      </c>
      <c r="AG198" s="6" t="s">
        <v>17</v>
      </c>
      <c r="AH198" s="132">
        <v>5.0000000000000004E-6</v>
      </c>
      <c r="AI198" s="132">
        <v>1.13214922547578E-3</v>
      </c>
      <c r="AJ198" s="132">
        <v>2.5583413283686502E-4</v>
      </c>
    </row>
    <row r="199" spans="1:36" x14ac:dyDescent="0.2">
      <c r="A199" s="6">
        <v>13710</v>
      </c>
      <c r="B199" s="6">
        <v>13711</v>
      </c>
      <c r="C199" s="6" t="s">
        <v>2275</v>
      </c>
      <c r="D199" s="6" t="s">
        <v>2276</v>
      </c>
      <c r="E199" s="3" t="s">
        <v>430</v>
      </c>
      <c r="F199" s="6" t="s">
        <v>2280</v>
      </c>
      <c r="G199" s="6" t="s">
        <v>2281</v>
      </c>
      <c r="H199" s="6" t="s">
        <v>76</v>
      </c>
      <c r="I199" s="6" t="s">
        <v>230</v>
      </c>
      <c r="J199" s="6" t="s">
        <v>61</v>
      </c>
      <c r="K199" s="6" t="s">
        <v>314</v>
      </c>
      <c r="L199" s="6" t="s">
        <v>805</v>
      </c>
      <c r="M199" s="6" t="s">
        <v>102</v>
      </c>
      <c r="N199" s="6" t="s">
        <v>908</v>
      </c>
      <c r="O199" s="6" t="s">
        <v>62</v>
      </c>
      <c r="P199" s="6" t="s">
        <v>1778</v>
      </c>
      <c r="Q199" s="6" t="s">
        <v>96</v>
      </c>
      <c r="R199" s="6" t="s">
        <v>57</v>
      </c>
      <c r="S199" s="6" t="s">
        <v>1217</v>
      </c>
      <c r="T199" s="131">
        <v>2.6280000000000001</v>
      </c>
      <c r="U199" s="6" t="s">
        <v>2279</v>
      </c>
      <c r="V199" s="134">
        <v>5.7000000000000002E-2</v>
      </c>
      <c r="W199" s="132">
        <v>4.5949999999999998E-2</v>
      </c>
      <c r="X199" s="3" t="s">
        <v>620</v>
      </c>
      <c r="Y199" s="3" t="s">
        <v>62</v>
      </c>
      <c r="Z199" s="131">
        <v>5000</v>
      </c>
      <c r="AA199" s="129">
        <v>3.3719999999999999</v>
      </c>
      <c r="AB199" s="157">
        <v>103.47499999999999</v>
      </c>
      <c r="AD199" s="131">
        <v>17.446000000000002</v>
      </c>
      <c r="AG199" s="6" t="s">
        <v>17</v>
      </c>
      <c r="AH199" s="132">
        <v>5.0000000000000004E-6</v>
      </c>
      <c r="AI199" s="132">
        <v>1.1318320166703701E-3</v>
      </c>
      <c r="AJ199" s="132">
        <v>2.5576245249841199E-4</v>
      </c>
    </row>
    <row r="200" spans="1:36" x14ac:dyDescent="0.2">
      <c r="A200" s="6">
        <v>13710</v>
      </c>
      <c r="B200" s="6">
        <v>13711</v>
      </c>
      <c r="C200" s="6" t="s">
        <v>2282</v>
      </c>
      <c r="D200" s="6" t="s">
        <v>2283</v>
      </c>
      <c r="E200" s="3" t="s">
        <v>430</v>
      </c>
      <c r="F200" s="6" t="s">
        <v>2284</v>
      </c>
      <c r="G200" s="6" t="s">
        <v>2285</v>
      </c>
      <c r="H200" s="6" t="s">
        <v>76</v>
      </c>
      <c r="I200" s="6" t="s">
        <v>230</v>
      </c>
      <c r="J200" s="6" t="s">
        <v>61</v>
      </c>
      <c r="K200" s="6" t="s">
        <v>314</v>
      </c>
      <c r="L200" s="6" t="s">
        <v>805</v>
      </c>
      <c r="M200" s="6" t="s">
        <v>102</v>
      </c>
      <c r="N200" s="6" t="s">
        <v>1141</v>
      </c>
      <c r="O200" s="6" t="s">
        <v>62</v>
      </c>
      <c r="P200" s="6" t="s">
        <v>2223</v>
      </c>
      <c r="Q200" s="6" t="s">
        <v>96</v>
      </c>
      <c r="R200" s="6" t="s">
        <v>57</v>
      </c>
      <c r="S200" s="6" t="s">
        <v>1217</v>
      </c>
      <c r="T200" s="131">
        <v>3.722</v>
      </c>
      <c r="U200" s="6" t="s">
        <v>2286</v>
      </c>
      <c r="V200" s="134">
        <v>5.8000000000000003E-2</v>
      </c>
      <c r="W200" s="132">
        <v>5.8549999999999998E-2</v>
      </c>
      <c r="X200" s="3" t="s">
        <v>620</v>
      </c>
      <c r="Y200" s="3" t="s">
        <v>62</v>
      </c>
      <c r="Z200" s="131">
        <v>2000</v>
      </c>
      <c r="AA200" s="129">
        <v>3.3719999999999999</v>
      </c>
      <c r="AB200" s="157">
        <v>101.224</v>
      </c>
      <c r="AD200" s="131">
        <v>6.827</v>
      </c>
      <c r="AG200" s="6" t="s">
        <v>17</v>
      </c>
      <c r="AH200" s="132">
        <v>6.803E-3</v>
      </c>
      <c r="AI200" s="132">
        <v>4.4288474647058998E-4</v>
      </c>
      <c r="AJ200" s="132">
        <v>1.00079594200458E-4</v>
      </c>
    </row>
    <row r="201" spans="1:36" x14ac:dyDescent="0.2">
      <c r="A201" s="6">
        <v>13710</v>
      </c>
      <c r="B201" s="6">
        <v>13711</v>
      </c>
      <c r="C201" s="6" t="s">
        <v>2282</v>
      </c>
      <c r="D201" s="6" t="s">
        <v>2283</v>
      </c>
      <c r="E201" s="3" t="s">
        <v>430</v>
      </c>
      <c r="F201" s="6" t="s">
        <v>2287</v>
      </c>
      <c r="G201" s="6" t="s">
        <v>2288</v>
      </c>
      <c r="H201" s="6" t="s">
        <v>76</v>
      </c>
      <c r="I201" s="6" t="s">
        <v>230</v>
      </c>
      <c r="J201" s="6" t="s">
        <v>61</v>
      </c>
      <c r="K201" s="6" t="s">
        <v>314</v>
      </c>
      <c r="L201" s="6" t="s">
        <v>805</v>
      </c>
      <c r="M201" s="6" t="s">
        <v>102</v>
      </c>
      <c r="N201" s="6" t="s">
        <v>1141</v>
      </c>
      <c r="O201" s="6" t="s">
        <v>62</v>
      </c>
      <c r="P201" s="6" t="s">
        <v>2223</v>
      </c>
      <c r="Q201" s="6" t="s">
        <v>96</v>
      </c>
      <c r="R201" s="6" t="s">
        <v>57</v>
      </c>
      <c r="S201" s="6" t="s">
        <v>1217</v>
      </c>
      <c r="T201" s="131">
        <v>4.1929999999999996</v>
      </c>
      <c r="U201" s="6" t="s">
        <v>2289</v>
      </c>
      <c r="V201" s="134">
        <v>5.8749999999999997E-2</v>
      </c>
      <c r="W201" s="132">
        <v>6.5129999999999993E-2</v>
      </c>
      <c r="X201" s="3" t="s">
        <v>620</v>
      </c>
      <c r="Y201" s="3" t="s">
        <v>62</v>
      </c>
      <c r="Z201" s="131">
        <v>5000</v>
      </c>
      <c r="AA201" s="129">
        <v>3.3719999999999999</v>
      </c>
      <c r="AB201" s="157">
        <v>100.97499999999999</v>
      </c>
      <c r="AD201" s="131">
        <v>17.024000000000001</v>
      </c>
      <c r="AG201" s="6" t="s">
        <v>17</v>
      </c>
      <c r="AH201" s="132">
        <v>1.0000000000000001E-5</v>
      </c>
      <c r="AI201" s="132">
        <v>1.1044909803024599E-3</v>
      </c>
      <c r="AJ201" s="132">
        <v>2.4958414121872699E-4</v>
      </c>
    </row>
    <row r="202" spans="1:36" x14ac:dyDescent="0.2">
      <c r="A202" s="6">
        <v>13710</v>
      </c>
      <c r="B202" s="6">
        <v>13711</v>
      </c>
      <c r="C202" s="6" t="s">
        <v>2290</v>
      </c>
      <c r="D202" s="6" t="s">
        <v>2291</v>
      </c>
      <c r="E202" s="3" t="s">
        <v>430</v>
      </c>
      <c r="F202" s="6" t="s">
        <v>2292</v>
      </c>
      <c r="G202" s="6" t="s">
        <v>2293</v>
      </c>
      <c r="H202" s="6" t="s">
        <v>76</v>
      </c>
      <c r="I202" s="6" t="s">
        <v>230</v>
      </c>
      <c r="J202" s="6" t="s">
        <v>61</v>
      </c>
      <c r="K202" s="6" t="s">
        <v>173</v>
      </c>
      <c r="L202" s="6" t="s">
        <v>805</v>
      </c>
      <c r="M202" s="6" t="s">
        <v>486</v>
      </c>
      <c r="N202" s="6" t="s">
        <v>915</v>
      </c>
      <c r="O202" s="6" t="s">
        <v>62</v>
      </c>
      <c r="P202" s="6" t="s">
        <v>1994</v>
      </c>
      <c r="Q202" s="6" t="s">
        <v>96</v>
      </c>
      <c r="R202" s="6" t="s">
        <v>57</v>
      </c>
      <c r="S202" s="6" t="s">
        <v>1215</v>
      </c>
      <c r="T202" s="131">
        <v>2.5249999999999999</v>
      </c>
      <c r="U202" s="6" t="s">
        <v>2294</v>
      </c>
      <c r="V202" s="134">
        <v>1.25E-3</v>
      </c>
      <c r="W202" s="132">
        <v>3.0190000000000002E-2</v>
      </c>
      <c r="X202" s="3" t="s">
        <v>620</v>
      </c>
      <c r="Y202" s="3" t="s">
        <v>62</v>
      </c>
      <c r="Z202" s="131">
        <v>3000</v>
      </c>
      <c r="AA202" s="129">
        <v>3.9552</v>
      </c>
      <c r="AB202" s="157">
        <v>93.034999999999997</v>
      </c>
      <c r="AD202" s="131">
        <v>11.039</v>
      </c>
      <c r="AG202" s="6" t="s">
        <v>17</v>
      </c>
      <c r="AH202" s="132">
        <v>3.0000000000000001E-6</v>
      </c>
      <c r="AI202" s="132">
        <v>7.1618753658991895E-4</v>
      </c>
      <c r="AJ202" s="132">
        <v>1.6183839837460799E-4</v>
      </c>
    </row>
    <row r="203" spans="1:36" x14ac:dyDescent="0.2">
      <c r="A203" s="6">
        <v>13710</v>
      </c>
      <c r="B203" s="6">
        <v>13711</v>
      </c>
      <c r="C203" s="6" t="s">
        <v>2295</v>
      </c>
      <c r="D203" s="6" t="s">
        <v>2296</v>
      </c>
      <c r="E203" s="3" t="s">
        <v>1477</v>
      </c>
      <c r="F203" s="6" t="s">
        <v>2297</v>
      </c>
      <c r="G203" s="6" t="s">
        <v>2298</v>
      </c>
      <c r="H203" s="6" t="s">
        <v>76</v>
      </c>
      <c r="I203" s="6" t="s">
        <v>230</v>
      </c>
      <c r="J203" s="6" t="s">
        <v>53</v>
      </c>
      <c r="K203" s="6" t="s">
        <v>53</v>
      </c>
      <c r="L203" s="6" t="s">
        <v>805</v>
      </c>
      <c r="M203" s="6" t="s">
        <v>102</v>
      </c>
      <c r="N203" s="6" t="s">
        <v>195</v>
      </c>
      <c r="O203" s="6" t="s">
        <v>62</v>
      </c>
      <c r="P203" s="6" t="s">
        <v>1355</v>
      </c>
      <c r="Q203" s="6" t="s">
        <v>84</v>
      </c>
      <c r="R203" s="6" t="s">
        <v>57</v>
      </c>
      <c r="S203" s="6" t="s">
        <v>1217</v>
      </c>
      <c r="T203" s="131">
        <v>2.3769999999999998</v>
      </c>
      <c r="U203" s="6" t="s">
        <v>2299</v>
      </c>
      <c r="V203" s="134">
        <v>5.3749999999999999E-2</v>
      </c>
      <c r="W203" s="132">
        <v>5.4789999999999998E-2</v>
      </c>
      <c r="X203" s="3" t="s">
        <v>620</v>
      </c>
      <c r="Y203" s="3" t="s">
        <v>62</v>
      </c>
      <c r="Z203" s="131">
        <v>5000</v>
      </c>
      <c r="AA203" s="129">
        <v>3.3719999999999999</v>
      </c>
      <c r="AB203" s="157">
        <v>102.18</v>
      </c>
      <c r="AD203" s="131">
        <v>17.228000000000002</v>
      </c>
      <c r="AG203" s="6" t="s">
        <v>17</v>
      </c>
      <c r="AH203" s="132">
        <v>6.0000000000000002E-6</v>
      </c>
      <c r="AI203" s="132">
        <v>1.1176721656202401E-3</v>
      </c>
      <c r="AJ203" s="132">
        <v>2.5256272128543103E-4</v>
      </c>
    </row>
    <row r="204" spans="1:36" x14ac:dyDescent="0.2">
      <c r="A204" s="6">
        <v>13710</v>
      </c>
      <c r="B204" s="6">
        <v>13711</v>
      </c>
      <c r="C204" s="6" t="s">
        <v>2300</v>
      </c>
      <c r="D204" s="6" t="s">
        <v>2301</v>
      </c>
      <c r="E204" s="3" t="s">
        <v>430</v>
      </c>
      <c r="F204" s="6" t="s">
        <v>2302</v>
      </c>
      <c r="G204" s="6" t="s">
        <v>2303</v>
      </c>
      <c r="H204" s="6" t="s">
        <v>76</v>
      </c>
      <c r="I204" s="6" t="s">
        <v>230</v>
      </c>
      <c r="J204" s="6" t="s">
        <v>61</v>
      </c>
      <c r="K204" s="6" t="s">
        <v>314</v>
      </c>
      <c r="L204" s="6" t="s">
        <v>805</v>
      </c>
      <c r="M204" s="6" t="s">
        <v>102</v>
      </c>
      <c r="N204" s="6" t="s">
        <v>202</v>
      </c>
      <c r="O204" s="6" t="s">
        <v>62</v>
      </c>
      <c r="P204" s="6" t="s">
        <v>1994</v>
      </c>
      <c r="Q204" s="6" t="s">
        <v>96</v>
      </c>
      <c r="R204" s="6" t="s">
        <v>57</v>
      </c>
      <c r="S204" s="6" t="s">
        <v>1217</v>
      </c>
      <c r="T204" s="131">
        <v>0.59599999999999997</v>
      </c>
      <c r="U204" s="6" t="s">
        <v>2304</v>
      </c>
      <c r="V204" s="134">
        <v>4.8750000000000002E-2</v>
      </c>
      <c r="W204" s="132">
        <v>4.7559999999999998E-2</v>
      </c>
      <c r="X204" s="3" t="s">
        <v>620</v>
      </c>
      <c r="Y204" s="3" t="s">
        <v>62</v>
      </c>
      <c r="Z204" s="131">
        <v>5000</v>
      </c>
      <c r="AA204" s="129">
        <v>3.3719999999999999</v>
      </c>
      <c r="AB204" s="157">
        <v>101.84</v>
      </c>
      <c r="AD204" s="131">
        <v>17.170000000000002</v>
      </c>
      <c r="AG204" s="6" t="s">
        <v>17</v>
      </c>
      <c r="AH204" s="132">
        <v>3.0000000000000001E-6</v>
      </c>
      <c r="AI204" s="132">
        <v>1.11394800298588E-3</v>
      </c>
      <c r="AJ204" s="132">
        <v>2.5172116445116698E-4</v>
      </c>
    </row>
    <row r="205" spans="1:36" x14ac:dyDescent="0.2">
      <c r="A205" s="6">
        <v>13710</v>
      </c>
      <c r="B205" s="6">
        <v>13711</v>
      </c>
      <c r="C205" s="6" t="s">
        <v>2305</v>
      </c>
      <c r="D205" s="6" t="s">
        <v>2306</v>
      </c>
      <c r="E205" s="3" t="s">
        <v>430</v>
      </c>
      <c r="F205" s="6" t="s">
        <v>2307</v>
      </c>
      <c r="G205" s="6" t="s">
        <v>2308</v>
      </c>
      <c r="H205" s="6" t="s">
        <v>76</v>
      </c>
      <c r="I205" s="6" t="s">
        <v>230</v>
      </c>
      <c r="J205" s="6" t="s">
        <v>61</v>
      </c>
      <c r="K205" s="6" t="s">
        <v>314</v>
      </c>
      <c r="L205" s="6" t="s">
        <v>805</v>
      </c>
      <c r="M205" s="6" t="s">
        <v>102</v>
      </c>
      <c r="N205" s="6" t="s">
        <v>890</v>
      </c>
      <c r="O205" s="6" t="s">
        <v>62</v>
      </c>
      <c r="P205" s="6" t="s">
        <v>2223</v>
      </c>
      <c r="Q205" s="6" t="s">
        <v>96</v>
      </c>
      <c r="R205" s="6" t="s">
        <v>57</v>
      </c>
      <c r="S205" s="6" t="s">
        <v>1217</v>
      </c>
      <c r="T205" s="131">
        <v>2.6070000000000002</v>
      </c>
      <c r="U205" s="6" t="s">
        <v>2237</v>
      </c>
      <c r="V205" s="134">
        <v>5.7000000000000002E-2</v>
      </c>
      <c r="W205" s="132">
        <v>4.8579999999999998E-2</v>
      </c>
      <c r="X205" s="3" t="s">
        <v>620</v>
      </c>
      <c r="Y205" s="3" t="s">
        <v>62</v>
      </c>
      <c r="Z205" s="131">
        <v>5000</v>
      </c>
      <c r="AA205" s="129">
        <v>3.3719999999999999</v>
      </c>
      <c r="AB205" s="157">
        <v>103.224</v>
      </c>
      <c r="AD205" s="131">
        <v>17.404</v>
      </c>
      <c r="AG205" s="6" t="s">
        <v>17</v>
      </c>
      <c r="AH205" s="132">
        <v>0.02</v>
      </c>
      <c r="AI205" s="132">
        <v>1.1290938046326299E-3</v>
      </c>
      <c r="AJ205" s="132">
        <v>2.5514369298647402E-4</v>
      </c>
    </row>
    <row r="206" spans="1:36" x14ac:dyDescent="0.2">
      <c r="A206" s="6">
        <v>13710</v>
      </c>
      <c r="B206" s="6">
        <v>13711</v>
      </c>
      <c r="C206" s="6" t="s">
        <v>2309</v>
      </c>
      <c r="D206" s="6" t="s">
        <v>2310</v>
      </c>
      <c r="E206" s="3" t="s">
        <v>1477</v>
      </c>
      <c r="F206" s="6" t="s">
        <v>2311</v>
      </c>
      <c r="G206" s="6" t="s">
        <v>2312</v>
      </c>
      <c r="H206" s="6" t="s">
        <v>76</v>
      </c>
      <c r="I206" s="6" t="s">
        <v>230</v>
      </c>
      <c r="J206" s="6" t="s">
        <v>61</v>
      </c>
      <c r="K206" s="6" t="s">
        <v>314</v>
      </c>
      <c r="L206" s="6" t="s">
        <v>805</v>
      </c>
      <c r="M206" s="6" t="s">
        <v>102</v>
      </c>
      <c r="N206" s="6" t="s">
        <v>2215</v>
      </c>
      <c r="O206" s="6" t="s">
        <v>62</v>
      </c>
      <c r="P206" s="6" t="s">
        <v>2273</v>
      </c>
      <c r="Q206" s="6" t="s">
        <v>96</v>
      </c>
      <c r="R206" s="6" t="s">
        <v>57</v>
      </c>
      <c r="S206" s="6" t="s">
        <v>1217</v>
      </c>
      <c r="T206" s="131">
        <v>0.13300000000000001</v>
      </c>
      <c r="U206" s="6" t="s">
        <v>2313</v>
      </c>
      <c r="V206" s="134">
        <v>6.1249999999999999E-2</v>
      </c>
      <c r="W206" s="132">
        <v>0.23773</v>
      </c>
      <c r="X206" s="3" t="s">
        <v>620</v>
      </c>
      <c r="Y206" s="3" t="s">
        <v>62</v>
      </c>
      <c r="Z206" s="131">
        <v>0</v>
      </c>
      <c r="AA206" s="129">
        <v>3.3719999999999999</v>
      </c>
      <c r="AB206" s="157">
        <v>0</v>
      </c>
      <c r="AC206" s="131">
        <v>3.3330000000000002</v>
      </c>
      <c r="AD206" s="131">
        <v>11.24</v>
      </c>
      <c r="AG206" s="6" t="s">
        <v>17</v>
      </c>
      <c r="AH206" s="132">
        <v>0</v>
      </c>
      <c r="AI206" s="132">
        <v>7.2921710305870002E-4</v>
      </c>
      <c r="AJ206" s="132">
        <v>1.6478271681229399E-4</v>
      </c>
    </row>
    <row r="207" spans="1:36" x14ac:dyDescent="0.2">
      <c r="A207" s="6">
        <v>13710</v>
      </c>
      <c r="B207" s="6">
        <v>13711</v>
      </c>
      <c r="C207" s="6" t="s">
        <v>2314</v>
      </c>
      <c r="D207" s="6" t="s">
        <v>2315</v>
      </c>
      <c r="E207" s="3" t="s">
        <v>1477</v>
      </c>
      <c r="F207" s="6" t="s">
        <v>2316</v>
      </c>
      <c r="G207" s="6" t="s">
        <v>2317</v>
      </c>
      <c r="H207" s="6" t="s">
        <v>76</v>
      </c>
      <c r="I207" s="6" t="s">
        <v>307</v>
      </c>
      <c r="J207" s="6" t="s">
        <v>61</v>
      </c>
      <c r="K207" s="6" t="s">
        <v>314</v>
      </c>
      <c r="L207" s="6" t="s">
        <v>805</v>
      </c>
      <c r="M207" s="6" t="s">
        <v>102</v>
      </c>
      <c r="N207" s="6" t="s">
        <v>2318</v>
      </c>
      <c r="O207" s="6" t="s">
        <v>62</v>
      </c>
      <c r="P207" s="6" t="s">
        <v>298</v>
      </c>
      <c r="Q207" s="6" t="s">
        <v>298</v>
      </c>
      <c r="R207" s="6" t="s">
        <v>298</v>
      </c>
      <c r="S207" s="6" t="s">
        <v>1217</v>
      </c>
      <c r="T207" s="131">
        <v>0.159</v>
      </c>
      <c r="U207" s="6" t="s">
        <v>2319</v>
      </c>
      <c r="V207" s="134">
        <v>2.5000000000000001E-2</v>
      </c>
      <c r="W207" s="132">
        <v>-1.9959999999999999E-2</v>
      </c>
      <c r="X207" s="3" t="s">
        <v>620</v>
      </c>
      <c r="Y207" s="3" t="s">
        <v>62</v>
      </c>
      <c r="Z207" s="131">
        <v>15000</v>
      </c>
      <c r="AA207" s="129">
        <v>3.3719999999999999</v>
      </c>
      <c r="AB207" s="157">
        <v>112.158</v>
      </c>
      <c r="AD207" s="131">
        <v>56.728999999999999</v>
      </c>
      <c r="AG207" s="6" t="s">
        <v>17</v>
      </c>
      <c r="AH207" s="132">
        <v>3.4999999999999997E-5</v>
      </c>
      <c r="AI207" s="132">
        <v>3.68041954009732E-3</v>
      </c>
      <c r="AJ207" s="132">
        <v>8.3167211559144005E-4</v>
      </c>
    </row>
    <row r="208" spans="1:36" x14ac:dyDescent="0.2">
      <c r="A208" s="6">
        <v>13710</v>
      </c>
      <c r="B208" s="6">
        <v>13711</v>
      </c>
      <c r="C208" s="6" t="s">
        <v>2320</v>
      </c>
      <c r="D208" s="6" t="s">
        <v>2321</v>
      </c>
      <c r="E208" s="3" t="s">
        <v>430</v>
      </c>
      <c r="F208" s="6" t="s">
        <v>2322</v>
      </c>
      <c r="G208" s="6" t="s">
        <v>2323</v>
      </c>
      <c r="H208" s="6" t="s">
        <v>76</v>
      </c>
      <c r="I208" s="6" t="s">
        <v>230</v>
      </c>
      <c r="J208" s="6" t="s">
        <v>61</v>
      </c>
      <c r="K208" s="6" t="s">
        <v>314</v>
      </c>
      <c r="L208" s="6" t="s">
        <v>805</v>
      </c>
      <c r="M208" s="6" t="s">
        <v>102</v>
      </c>
      <c r="N208" s="6" t="s">
        <v>2215</v>
      </c>
      <c r="O208" s="6" t="s">
        <v>62</v>
      </c>
      <c r="P208" s="6" t="s">
        <v>2223</v>
      </c>
      <c r="Q208" s="6" t="s">
        <v>96</v>
      </c>
      <c r="R208" s="6" t="s">
        <v>57</v>
      </c>
      <c r="S208" s="6" t="s">
        <v>1217</v>
      </c>
      <c r="T208" s="131">
        <v>3.7719999999999998</v>
      </c>
      <c r="U208" s="6" t="s">
        <v>2324</v>
      </c>
      <c r="V208" s="134">
        <v>5.0259999999999999E-2</v>
      </c>
      <c r="W208" s="132">
        <v>5.0189999999999999E-2</v>
      </c>
      <c r="X208" s="3" t="s">
        <v>620</v>
      </c>
      <c r="Y208" s="3" t="s">
        <v>62</v>
      </c>
      <c r="Z208" s="131">
        <v>5000</v>
      </c>
      <c r="AA208" s="129">
        <v>3.3719999999999999</v>
      </c>
      <c r="AB208" s="157">
        <v>101.46</v>
      </c>
      <c r="AD208" s="131">
        <v>17.106000000000002</v>
      </c>
      <c r="AG208" s="6" t="s">
        <v>17</v>
      </c>
      <c r="AH208" s="132">
        <v>5.0000000000000004E-6</v>
      </c>
      <c r="AI208" s="132">
        <v>1.1097882360940399E-3</v>
      </c>
      <c r="AJ208" s="132">
        <v>2.5078117321005703E-4</v>
      </c>
    </row>
    <row r="209" spans="1:36" x14ac:dyDescent="0.2">
      <c r="A209" s="6">
        <v>13710</v>
      </c>
      <c r="B209" s="6">
        <v>13711</v>
      </c>
      <c r="C209" s="6" t="s">
        <v>2325</v>
      </c>
      <c r="D209" s="6" t="s">
        <v>2326</v>
      </c>
      <c r="E209" s="3" t="s">
        <v>1477</v>
      </c>
      <c r="F209" s="6" t="s">
        <v>2327</v>
      </c>
      <c r="G209" s="6" t="s">
        <v>2328</v>
      </c>
      <c r="H209" s="6" t="s">
        <v>76</v>
      </c>
      <c r="I209" s="6" t="s">
        <v>230</v>
      </c>
      <c r="J209" s="6" t="s">
        <v>53</v>
      </c>
      <c r="K209" s="6" t="s">
        <v>314</v>
      </c>
      <c r="L209" s="6" t="s">
        <v>805</v>
      </c>
      <c r="M209" s="6" t="s">
        <v>102</v>
      </c>
      <c r="N209" s="6" t="s">
        <v>894</v>
      </c>
      <c r="O209" s="6" t="s">
        <v>62</v>
      </c>
      <c r="P209" s="6" t="s">
        <v>2329</v>
      </c>
      <c r="Q209" s="6" t="s">
        <v>96</v>
      </c>
      <c r="R209" s="6" t="s">
        <v>57</v>
      </c>
      <c r="S209" s="6" t="s">
        <v>1215</v>
      </c>
      <c r="T209" s="131">
        <v>3.4660000000000002</v>
      </c>
      <c r="U209" s="6" t="s">
        <v>2330</v>
      </c>
      <c r="V209" s="134">
        <v>7.3749999999999996E-2</v>
      </c>
      <c r="W209" s="132">
        <v>3.9849999999999997E-2</v>
      </c>
      <c r="X209" s="3" t="s">
        <v>620</v>
      </c>
      <c r="Y209" s="3" t="s">
        <v>62</v>
      </c>
      <c r="Z209" s="131">
        <v>1000</v>
      </c>
      <c r="AA209" s="129">
        <v>3.9552</v>
      </c>
      <c r="AB209" s="157">
        <v>115.074</v>
      </c>
      <c r="AD209" s="131">
        <v>4.5510000000000002</v>
      </c>
      <c r="AG209" s="6" t="s">
        <v>17</v>
      </c>
      <c r="AH209" s="132">
        <v>1.9999999999999999E-6</v>
      </c>
      <c r="AI209" s="132">
        <v>2.9528098152165701E-4</v>
      </c>
      <c r="AJ209" s="132">
        <v>6.6725262139418905E-5</v>
      </c>
    </row>
    <row r="210" spans="1:36" x14ac:dyDescent="0.2">
      <c r="A210" s="6">
        <v>13710</v>
      </c>
      <c r="B210" s="6">
        <v>13711</v>
      </c>
      <c r="C210" s="6" t="s">
        <v>2325</v>
      </c>
      <c r="D210" s="6" t="s">
        <v>2326</v>
      </c>
      <c r="E210" s="3" t="s">
        <v>1477</v>
      </c>
      <c r="F210" s="6" t="s">
        <v>2331</v>
      </c>
      <c r="G210" s="6" t="s">
        <v>2332</v>
      </c>
      <c r="H210" s="6" t="s">
        <v>76</v>
      </c>
      <c r="I210" s="6" t="s">
        <v>230</v>
      </c>
      <c r="J210" s="6" t="s">
        <v>53</v>
      </c>
      <c r="K210" s="6" t="s">
        <v>314</v>
      </c>
      <c r="L210" s="6" t="s">
        <v>805</v>
      </c>
      <c r="M210" s="6" t="s">
        <v>102</v>
      </c>
      <c r="N210" s="6" t="s">
        <v>894</v>
      </c>
      <c r="O210" s="6" t="s">
        <v>62</v>
      </c>
      <c r="P210" s="6" t="s">
        <v>2329</v>
      </c>
      <c r="Q210" s="6" t="s">
        <v>96</v>
      </c>
      <c r="R210" s="6" t="s">
        <v>57</v>
      </c>
      <c r="S210" s="6" t="s">
        <v>1215</v>
      </c>
      <c r="T210" s="131">
        <v>4.88</v>
      </c>
      <c r="U210" s="6" t="s">
        <v>2333</v>
      </c>
      <c r="V210" s="134">
        <v>7.8750000000000001E-2</v>
      </c>
      <c r="W210" s="132">
        <v>4.3709999999999999E-2</v>
      </c>
      <c r="X210" s="3" t="s">
        <v>620</v>
      </c>
      <c r="Y210" s="3" t="s">
        <v>62</v>
      </c>
      <c r="Z210" s="131">
        <v>1000</v>
      </c>
      <c r="AA210" s="129">
        <v>3.9552</v>
      </c>
      <c r="AB210" s="157">
        <v>121.43300000000001</v>
      </c>
      <c r="AD210" s="131">
        <v>4.8029999999999999</v>
      </c>
      <c r="AG210" s="6" t="s">
        <v>17</v>
      </c>
      <c r="AH210" s="132">
        <v>1.9999999999999999E-6</v>
      </c>
      <c r="AI210" s="132">
        <v>3.1159699881474102E-4</v>
      </c>
      <c r="AJ210" s="132">
        <v>7.0412226756449205E-5</v>
      </c>
    </row>
    <row r="211" spans="1:36" x14ac:dyDescent="0.2">
      <c r="A211" s="6">
        <v>13710</v>
      </c>
      <c r="B211" s="6">
        <v>13711</v>
      </c>
      <c r="C211" s="6" t="s">
        <v>2334</v>
      </c>
      <c r="D211" s="6" t="s">
        <v>2335</v>
      </c>
      <c r="E211" s="3" t="s">
        <v>767</v>
      </c>
      <c r="F211" s="6" t="s">
        <v>2336</v>
      </c>
      <c r="G211" s="6" t="s">
        <v>2337</v>
      </c>
      <c r="H211" s="6" t="s">
        <v>76</v>
      </c>
      <c r="I211" s="6" t="s">
        <v>230</v>
      </c>
      <c r="J211" s="6" t="s">
        <v>53</v>
      </c>
      <c r="K211" s="6" t="s">
        <v>53</v>
      </c>
      <c r="L211" s="6" t="s">
        <v>805</v>
      </c>
      <c r="M211" s="6" t="s">
        <v>311</v>
      </c>
      <c r="N211" s="6" t="s">
        <v>253</v>
      </c>
      <c r="O211" s="6" t="s">
        <v>62</v>
      </c>
      <c r="P211" s="6" t="s">
        <v>1577</v>
      </c>
      <c r="Q211" s="6" t="s">
        <v>65</v>
      </c>
      <c r="R211" s="6" t="s">
        <v>57</v>
      </c>
      <c r="S211" s="6" t="s">
        <v>1219</v>
      </c>
      <c r="T211" s="131">
        <v>0.501</v>
      </c>
      <c r="U211" s="6" t="s">
        <v>2338</v>
      </c>
      <c r="V211" s="134">
        <v>3.3700000000000001E-2</v>
      </c>
      <c r="W211" s="132">
        <v>5.8880000000000002E-2</v>
      </c>
      <c r="X211" s="3" t="s">
        <v>620</v>
      </c>
      <c r="Y211" s="3" t="s">
        <v>62</v>
      </c>
      <c r="Z211" s="131">
        <v>26166.66</v>
      </c>
      <c r="AA211" s="129">
        <v>1</v>
      </c>
      <c r="AB211" s="157">
        <v>94.4</v>
      </c>
      <c r="AC211" s="131">
        <v>0.42</v>
      </c>
      <c r="AD211" s="131">
        <v>25.122</v>
      </c>
      <c r="AG211" s="6" t="s">
        <v>17</v>
      </c>
      <c r="AH211" s="132">
        <v>3.7399999999999998E-4</v>
      </c>
      <c r="AI211" s="132">
        <v>1.62982207567314E-3</v>
      </c>
      <c r="AJ211" s="132">
        <v>3.6829430964190399E-4</v>
      </c>
    </row>
    <row r="212" spans="1:36" x14ac:dyDescent="0.2">
      <c r="A212" s="6">
        <v>13710</v>
      </c>
      <c r="B212" s="6">
        <v>13711</v>
      </c>
      <c r="C212" s="6" t="s">
        <v>2111</v>
      </c>
      <c r="D212" s="6" t="s">
        <v>2112</v>
      </c>
      <c r="E212" s="3" t="s">
        <v>1477</v>
      </c>
      <c r="F212" s="6" t="s">
        <v>2339</v>
      </c>
      <c r="G212" s="6" t="s">
        <v>2340</v>
      </c>
      <c r="H212" s="6" t="s">
        <v>76</v>
      </c>
      <c r="I212" s="6" t="s">
        <v>228</v>
      </c>
      <c r="J212" s="6" t="s">
        <v>53</v>
      </c>
      <c r="K212" s="6" t="s">
        <v>53</v>
      </c>
      <c r="L212" s="6" t="s">
        <v>805</v>
      </c>
      <c r="M212" s="6" t="s">
        <v>311</v>
      </c>
      <c r="N212" s="6" t="s">
        <v>140</v>
      </c>
      <c r="O212" s="6" t="s">
        <v>62</v>
      </c>
      <c r="P212" s="6" t="s">
        <v>1527</v>
      </c>
      <c r="Q212" s="6" t="s">
        <v>70</v>
      </c>
      <c r="R212" s="6" t="s">
        <v>57</v>
      </c>
      <c r="S212" s="6" t="s">
        <v>1219</v>
      </c>
      <c r="T212" s="131">
        <v>0.99099999999999999</v>
      </c>
      <c r="U212" s="6" t="s">
        <v>1516</v>
      </c>
      <c r="V212" s="134">
        <v>0.02</v>
      </c>
      <c r="W212" s="132">
        <v>4.9880000000000001E-2</v>
      </c>
      <c r="X212" s="3" t="s">
        <v>620</v>
      </c>
      <c r="Y212" s="3" t="s">
        <v>62</v>
      </c>
      <c r="Z212" s="131">
        <v>217000</v>
      </c>
      <c r="AA212" s="129">
        <v>1</v>
      </c>
      <c r="AB212" s="157">
        <v>97.18</v>
      </c>
      <c r="AD212" s="131">
        <v>210.881</v>
      </c>
      <c r="AG212" s="6" t="s">
        <v>17</v>
      </c>
      <c r="AH212" s="132">
        <v>9.2500000000000004E-4</v>
      </c>
      <c r="AI212" s="132">
        <v>1.36812662516384E-2</v>
      </c>
      <c r="AJ212" s="132">
        <v>3.0915844032196899E-3</v>
      </c>
    </row>
    <row r="213" spans="1:36" x14ac:dyDescent="0.2">
      <c r="A213" s="6">
        <v>13710</v>
      </c>
      <c r="B213" s="6">
        <v>15444</v>
      </c>
      <c r="C213" s="6" t="s">
        <v>1505</v>
      </c>
      <c r="D213" s="6" t="s">
        <v>1506</v>
      </c>
      <c r="E213" s="3" t="s">
        <v>1477</v>
      </c>
      <c r="F213" s="6" t="s">
        <v>1507</v>
      </c>
      <c r="G213" s="6" t="s">
        <v>1508</v>
      </c>
      <c r="H213" s="6" t="s">
        <v>76</v>
      </c>
      <c r="I213" s="6" t="s">
        <v>228</v>
      </c>
      <c r="J213" s="6" t="s">
        <v>53</v>
      </c>
      <c r="K213" s="6" t="s">
        <v>53</v>
      </c>
      <c r="L213" s="6" t="s">
        <v>805</v>
      </c>
      <c r="M213" s="6" t="s">
        <v>102</v>
      </c>
      <c r="N213" s="6" t="s">
        <v>140</v>
      </c>
      <c r="O213" s="6" t="s">
        <v>62</v>
      </c>
      <c r="P213" s="6" t="s">
        <v>1355</v>
      </c>
      <c r="Q213" s="6" t="s">
        <v>70</v>
      </c>
      <c r="R213" s="6" t="s">
        <v>57</v>
      </c>
      <c r="S213" s="6" t="s">
        <v>1219</v>
      </c>
      <c r="T213" s="131">
        <v>2.2349999999999999</v>
      </c>
      <c r="U213" s="6" t="s">
        <v>1509</v>
      </c>
      <c r="V213" s="134">
        <v>0.08</v>
      </c>
      <c r="W213" s="132">
        <v>6.1850000000000002E-2</v>
      </c>
      <c r="X213" s="3" t="s">
        <v>620</v>
      </c>
      <c r="Y213" s="3" t="s">
        <v>62</v>
      </c>
      <c r="Z213" s="131">
        <v>1894.74</v>
      </c>
      <c r="AA213" s="129">
        <v>1</v>
      </c>
      <c r="AB213" s="157">
        <v>104.13200000000001</v>
      </c>
      <c r="AC213" s="131">
        <v>0.185</v>
      </c>
      <c r="AD213" s="131">
        <v>2.1579999999999999</v>
      </c>
      <c r="AG213" s="6" t="s">
        <v>17</v>
      </c>
      <c r="AH213" s="132">
        <v>0</v>
      </c>
      <c r="AI213" s="132">
        <v>1.45926095740221E-2</v>
      </c>
      <c r="AJ213" s="132">
        <v>2.5852635539595602E-4</v>
      </c>
    </row>
    <row r="214" spans="1:36" x14ac:dyDescent="0.2">
      <c r="A214" s="6">
        <v>13710</v>
      </c>
      <c r="B214" s="6">
        <v>15444</v>
      </c>
      <c r="C214" s="6" t="s">
        <v>1505</v>
      </c>
      <c r="D214" s="6" t="s">
        <v>1506</v>
      </c>
      <c r="E214" s="3" t="s">
        <v>1477</v>
      </c>
      <c r="F214" s="6" t="s">
        <v>1510</v>
      </c>
      <c r="G214" s="6" t="s">
        <v>1508</v>
      </c>
      <c r="H214" s="6" t="s">
        <v>76</v>
      </c>
      <c r="I214" s="6" t="s">
        <v>228</v>
      </c>
      <c r="J214" s="6" t="s">
        <v>53</v>
      </c>
      <c r="K214" s="6" t="s">
        <v>53</v>
      </c>
      <c r="L214" s="6" t="s">
        <v>54</v>
      </c>
      <c r="M214" s="6" t="s">
        <v>1227</v>
      </c>
      <c r="N214" s="6" t="s">
        <v>140</v>
      </c>
      <c r="O214" s="6" t="s">
        <v>62</v>
      </c>
      <c r="P214" s="6" t="s">
        <v>298</v>
      </c>
      <c r="Q214" s="6" t="s">
        <v>298</v>
      </c>
      <c r="R214" s="6" t="s">
        <v>298</v>
      </c>
      <c r="S214" s="6" t="s">
        <v>1219</v>
      </c>
      <c r="T214" s="131">
        <v>2.6429999999999998</v>
      </c>
      <c r="U214" s="6" t="s">
        <v>1509</v>
      </c>
      <c r="V214" s="134">
        <v>0.08</v>
      </c>
      <c r="W214" s="132">
        <v>6.0499999999999998E-2</v>
      </c>
      <c r="X214" s="3" t="s">
        <v>620</v>
      </c>
      <c r="Y214" s="3" t="s">
        <v>62</v>
      </c>
      <c r="Z214" s="131">
        <v>-105.26</v>
      </c>
      <c r="AA214" s="129">
        <v>1</v>
      </c>
      <c r="AB214" s="157">
        <v>106.14</v>
      </c>
      <c r="AD214" s="131">
        <v>-0.112</v>
      </c>
      <c r="AG214" s="6" t="s">
        <v>17</v>
      </c>
      <c r="AH214" s="132">
        <v>0</v>
      </c>
      <c r="AI214" s="132">
        <v>-7.5538143506575801E-4</v>
      </c>
      <c r="AJ214" s="132">
        <v>-1.3382528214074E-5</v>
      </c>
    </row>
    <row r="215" spans="1:36" x14ac:dyDescent="0.2">
      <c r="A215" s="6">
        <v>13710</v>
      </c>
      <c r="B215" s="6">
        <v>15444</v>
      </c>
      <c r="C215" s="6" t="s">
        <v>1523</v>
      </c>
      <c r="D215" s="6" t="s">
        <v>1524</v>
      </c>
      <c r="E215" s="3" t="s">
        <v>1477</v>
      </c>
      <c r="F215" s="6" t="s">
        <v>1525</v>
      </c>
      <c r="G215" s="6" t="s">
        <v>1526</v>
      </c>
      <c r="H215" s="6" t="s">
        <v>76</v>
      </c>
      <c r="I215" s="6" t="s">
        <v>228</v>
      </c>
      <c r="J215" s="6" t="s">
        <v>53</v>
      </c>
      <c r="K215" s="6" t="s">
        <v>53</v>
      </c>
      <c r="L215" s="6" t="s">
        <v>805</v>
      </c>
      <c r="M215" s="6" t="s">
        <v>311</v>
      </c>
      <c r="N215" s="6" t="s">
        <v>269</v>
      </c>
      <c r="O215" s="6" t="s">
        <v>62</v>
      </c>
      <c r="P215" s="6" t="s">
        <v>1527</v>
      </c>
      <c r="Q215" s="6" t="s">
        <v>70</v>
      </c>
      <c r="R215" s="6" t="s">
        <v>57</v>
      </c>
      <c r="S215" s="6" t="s">
        <v>1219</v>
      </c>
      <c r="T215" s="131">
        <v>0.375</v>
      </c>
      <c r="U215" s="6" t="s">
        <v>1528</v>
      </c>
      <c r="V215" s="134">
        <v>3.27E-2</v>
      </c>
      <c r="W215" s="132">
        <v>5.1979999999999998E-2</v>
      </c>
      <c r="X215" s="3" t="s">
        <v>620</v>
      </c>
      <c r="Y215" s="3" t="s">
        <v>62</v>
      </c>
      <c r="Z215" s="131">
        <v>1000</v>
      </c>
      <c r="AA215" s="129">
        <v>1</v>
      </c>
      <c r="AB215" s="157">
        <v>99.72</v>
      </c>
      <c r="AD215" s="131">
        <v>0.997</v>
      </c>
      <c r="AG215" s="6" t="s">
        <v>17</v>
      </c>
      <c r="AH215" s="132">
        <v>3.0000000000000001E-6</v>
      </c>
      <c r="AI215" s="132">
        <v>6.74226980809043E-3</v>
      </c>
      <c r="AJ215" s="132">
        <v>1.19447754134724E-4</v>
      </c>
    </row>
    <row r="216" spans="1:36" x14ac:dyDescent="0.2">
      <c r="A216" s="6">
        <v>13710</v>
      </c>
      <c r="B216" s="6">
        <v>15444</v>
      </c>
      <c r="C216" s="6" t="s">
        <v>1545</v>
      </c>
      <c r="D216" s="6" t="s">
        <v>1546</v>
      </c>
      <c r="E216" s="3" t="s">
        <v>1477</v>
      </c>
      <c r="F216" s="6" t="s">
        <v>1547</v>
      </c>
      <c r="G216" s="6" t="s">
        <v>1548</v>
      </c>
      <c r="H216" s="6" t="s">
        <v>76</v>
      </c>
      <c r="I216" s="6" t="s">
        <v>228</v>
      </c>
      <c r="J216" s="6" t="s">
        <v>53</v>
      </c>
      <c r="K216" s="6" t="s">
        <v>317</v>
      </c>
      <c r="L216" s="6" t="s">
        <v>805</v>
      </c>
      <c r="M216" s="6" t="s">
        <v>311</v>
      </c>
      <c r="N216" s="6" t="s">
        <v>638</v>
      </c>
      <c r="O216" s="6" t="s">
        <v>62</v>
      </c>
      <c r="P216" s="6" t="s">
        <v>1339</v>
      </c>
      <c r="Q216" s="6" t="s">
        <v>65</v>
      </c>
      <c r="R216" s="6" t="s">
        <v>57</v>
      </c>
      <c r="S216" s="6" t="s">
        <v>1219</v>
      </c>
      <c r="T216" s="131">
        <v>2.4220000000000002</v>
      </c>
      <c r="U216" s="6" t="s">
        <v>1549</v>
      </c>
      <c r="V216" s="134">
        <v>1.0800000000000001E-2</v>
      </c>
      <c r="W216" s="132">
        <v>4.3990000000000001E-2</v>
      </c>
      <c r="X216" s="3" t="s">
        <v>620</v>
      </c>
      <c r="Y216" s="3" t="s">
        <v>62</v>
      </c>
      <c r="Z216" s="131">
        <v>1600</v>
      </c>
      <c r="AA216" s="129">
        <v>1</v>
      </c>
      <c r="AB216" s="157">
        <v>92.42</v>
      </c>
      <c r="AD216" s="131">
        <v>1.4790000000000001</v>
      </c>
      <c r="AG216" s="6" t="s">
        <v>17</v>
      </c>
      <c r="AH216" s="132">
        <v>1.9999999999999999E-6</v>
      </c>
      <c r="AI216" s="132">
        <v>9.9979233961286391E-3</v>
      </c>
      <c r="AJ216" s="132">
        <v>1.7712573505224499E-4</v>
      </c>
    </row>
    <row r="217" spans="1:36" x14ac:dyDescent="0.2">
      <c r="A217" s="6">
        <v>13710</v>
      </c>
      <c r="B217" s="6">
        <v>15444</v>
      </c>
      <c r="C217" s="6" t="s">
        <v>1550</v>
      </c>
      <c r="D217" s="6" t="s">
        <v>1551</v>
      </c>
      <c r="E217" s="3" t="s">
        <v>1477</v>
      </c>
      <c r="F217" s="6" t="s">
        <v>1552</v>
      </c>
      <c r="G217" s="6" t="s">
        <v>1553</v>
      </c>
      <c r="H217" s="6" t="s">
        <v>76</v>
      </c>
      <c r="I217" s="6" t="s">
        <v>228</v>
      </c>
      <c r="J217" s="6" t="s">
        <v>53</v>
      </c>
      <c r="K217" s="6" t="s">
        <v>53</v>
      </c>
      <c r="L217" s="6" t="s">
        <v>805</v>
      </c>
      <c r="M217" s="6" t="s">
        <v>311</v>
      </c>
      <c r="N217" s="6" t="s">
        <v>258</v>
      </c>
      <c r="O217" s="6" t="s">
        <v>62</v>
      </c>
      <c r="P217" s="6" t="s">
        <v>1493</v>
      </c>
      <c r="Q217" s="6" t="s">
        <v>65</v>
      </c>
      <c r="R217" s="6" t="s">
        <v>57</v>
      </c>
      <c r="S217" s="6" t="s">
        <v>1219</v>
      </c>
      <c r="T217" s="131">
        <v>0.76400000000000001</v>
      </c>
      <c r="U217" s="6" t="s">
        <v>1554</v>
      </c>
      <c r="V217" s="134">
        <v>3.2500000000000001E-2</v>
      </c>
      <c r="W217" s="132">
        <v>5.1630000000000002E-2</v>
      </c>
      <c r="X217" s="3" t="s">
        <v>620</v>
      </c>
      <c r="Y217" s="3" t="s">
        <v>62</v>
      </c>
      <c r="Z217" s="131">
        <v>4000.26</v>
      </c>
      <c r="AA217" s="129">
        <v>1</v>
      </c>
      <c r="AB217" s="157">
        <v>99.33</v>
      </c>
      <c r="AD217" s="131">
        <v>3.9729999999999999</v>
      </c>
      <c r="AG217" s="6" t="s">
        <v>17</v>
      </c>
      <c r="AH217" s="132">
        <v>1.4E-5</v>
      </c>
      <c r="AI217" s="132">
        <v>2.68653506283805E-2</v>
      </c>
      <c r="AJ217" s="132">
        <v>4.7595333440249998E-4</v>
      </c>
    </row>
    <row r="218" spans="1:36" x14ac:dyDescent="0.2">
      <c r="A218" s="6">
        <v>13710</v>
      </c>
      <c r="B218" s="6">
        <v>15444</v>
      </c>
      <c r="C218" s="6" t="s">
        <v>1560</v>
      </c>
      <c r="D218" s="6" t="s">
        <v>1561</v>
      </c>
      <c r="E218" s="3" t="s">
        <v>1477</v>
      </c>
      <c r="F218" s="6" t="s">
        <v>1562</v>
      </c>
      <c r="G218" s="6" t="s">
        <v>1563</v>
      </c>
      <c r="H218" s="6" t="s">
        <v>76</v>
      </c>
      <c r="I218" s="6" t="s">
        <v>228</v>
      </c>
      <c r="J218" s="6" t="s">
        <v>53</v>
      </c>
      <c r="K218" s="6" t="s">
        <v>53</v>
      </c>
      <c r="L218" s="6" t="s">
        <v>805</v>
      </c>
      <c r="M218" s="6" t="s">
        <v>102</v>
      </c>
      <c r="N218" s="6" t="s">
        <v>692</v>
      </c>
      <c r="O218" s="6" t="s">
        <v>62</v>
      </c>
      <c r="P218" s="6" t="s">
        <v>298</v>
      </c>
      <c r="Q218" s="6" t="s">
        <v>298</v>
      </c>
      <c r="R218" s="6" t="s">
        <v>298</v>
      </c>
      <c r="S218" s="6" t="s">
        <v>1219</v>
      </c>
      <c r="T218" s="131">
        <v>4.0350000000000001</v>
      </c>
      <c r="U218" s="6" t="s">
        <v>1564</v>
      </c>
      <c r="V218" s="134">
        <v>6.5600000000000006E-2</v>
      </c>
      <c r="W218" s="132">
        <v>6.3450000000000006E-2</v>
      </c>
      <c r="X218" s="3" t="s">
        <v>620</v>
      </c>
      <c r="Y218" s="3" t="s">
        <v>62</v>
      </c>
      <c r="Z218" s="131">
        <v>2000</v>
      </c>
      <c r="AA218" s="129">
        <v>1</v>
      </c>
      <c r="AB218" s="157">
        <v>102.91</v>
      </c>
      <c r="AD218" s="131">
        <v>2.0579999999999998</v>
      </c>
      <c r="AG218" s="6" t="s">
        <v>17</v>
      </c>
      <c r="AH218" s="132">
        <v>1.5999999999999999E-5</v>
      </c>
      <c r="AI218" s="132">
        <v>1.39159042509143E-2</v>
      </c>
      <c r="AJ218" s="132">
        <v>2.4653767304461398E-4</v>
      </c>
    </row>
    <row r="219" spans="1:36" x14ac:dyDescent="0.2">
      <c r="A219" s="6">
        <v>13710</v>
      </c>
      <c r="B219" s="6">
        <v>15444</v>
      </c>
      <c r="C219" s="6" t="s">
        <v>1565</v>
      </c>
      <c r="D219" s="6" t="s">
        <v>1566</v>
      </c>
      <c r="E219" s="3" t="s">
        <v>1477</v>
      </c>
      <c r="F219" s="6" t="s">
        <v>1570</v>
      </c>
      <c r="G219" s="6" t="s">
        <v>1571</v>
      </c>
      <c r="H219" s="6" t="s">
        <v>76</v>
      </c>
      <c r="I219" s="6" t="s">
        <v>228</v>
      </c>
      <c r="J219" s="6" t="s">
        <v>53</v>
      </c>
      <c r="K219" s="6" t="s">
        <v>53</v>
      </c>
      <c r="L219" s="6" t="s">
        <v>805</v>
      </c>
      <c r="M219" s="6" t="s">
        <v>102</v>
      </c>
      <c r="N219" s="6" t="s">
        <v>631</v>
      </c>
      <c r="O219" s="6" t="s">
        <v>62</v>
      </c>
      <c r="P219" s="6" t="s">
        <v>298</v>
      </c>
      <c r="Q219" s="6" t="s">
        <v>298</v>
      </c>
      <c r="R219" s="6" t="s">
        <v>298</v>
      </c>
      <c r="S219" s="6" t="s">
        <v>1219</v>
      </c>
      <c r="T219" s="131">
        <v>4.6459999999999999</v>
      </c>
      <c r="U219" s="6" t="s">
        <v>1572</v>
      </c>
      <c r="V219" s="134">
        <v>6.3399999999999998E-2</v>
      </c>
      <c r="W219" s="132">
        <v>6.4640000000000003E-2</v>
      </c>
      <c r="X219" s="3" t="s">
        <v>620</v>
      </c>
      <c r="Y219" s="3" t="s">
        <v>62</v>
      </c>
      <c r="Z219" s="131">
        <v>5000</v>
      </c>
      <c r="AA219" s="129">
        <v>1</v>
      </c>
      <c r="AB219" s="157">
        <v>102.19</v>
      </c>
      <c r="AD219" s="131">
        <v>5.109</v>
      </c>
      <c r="AG219" s="6" t="s">
        <v>17</v>
      </c>
      <c r="AH219" s="132">
        <v>2.3E-5</v>
      </c>
      <c r="AI219" s="132">
        <v>3.4546357385116397E-2</v>
      </c>
      <c r="AJ219" s="132">
        <v>6.1203198932147204E-4</v>
      </c>
    </row>
    <row r="220" spans="1:36" x14ac:dyDescent="0.2">
      <c r="A220" s="6">
        <v>13710</v>
      </c>
      <c r="B220" s="6">
        <v>15444</v>
      </c>
      <c r="C220" s="6" t="s">
        <v>1573</v>
      </c>
      <c r="D220" s="6" t="s">
        <v>1574</v>
      </c>
      <c r="E220" s="3" t="s">
        <v>1477</v>
      </c>
      <c r="F220" s="6" t="s">
        <v>1575</v>
      </c>
      <c r="G220" s="6" t="s">
        <v>1576</v>
      </c>
      <c r="H220" s="6" t="s">
        <v>76</v>
      </c>
      <c r="I220" s="6" t="s">
        <v>228</v>
      </c>
      <c r="J220" s="6" t="s">
        <v>53</v>
      </c>
      <c r="K220" s="6" t="s">
        <v>53</v>
      </c>
      <c r="L220" s="6" t="s">
        <v>805</v>
      </c>
      <c r="M220" s="6" t="s">
        <v>311</v>
      </c>
      <c r="N220" s="6" t="s">
        <v>692</v>
      </c>
      <c r="O220" s="6" t="s">
        <v>62</v>
      </c>
      <c r="P220" s="6" t="s">
        <v>1577</v>
      </c>
      <c r="Q220" s="6" t="s">
        <v>65</v>
      </c>
      <c r="R220" s="6" t="s">
        <v>57</v>
      </c>
      <c r="S220" s="6" t="s">
        <v>1219</v>
      </c>
      <c r="T220" s="131">
        <v>0.73</v>
      </c>
      <c r="U220" s="6" t="s">
        <v>1578</v>
      </c>
      <c r="V220" s="134">
        <v>3.9E-2</v>
      </c>
      <c r="W220" s="132">
        <v>4.9660000000000003E-2</v>
      </c>
      <c r="X220" s="3" t="s">
        <v>620</v>
      </c>
      <c r="Y220" s="3" t="s">
        <v>62</v>
      </c>
      <c r="Z220" s="131">
        <v>4000</v>
      </c>
      <c r="AA220" s="129">
        <v>1</v>
      </c>
      <c r="AB220" s="157">
        <v>100.26</v>
      </c>
      <c r="AD220" s="131">
        <v>4.01</v>
      </c>
      <c r="AG220" s="6" t="s">
        <v>17</v>
      </c>
      <c r="AH220" s="132">
        <v>6.9999999999999999E-6</v>
      </c>
      <c r="AI220" s="132">
        <v>2.71151211776633E-2</v>
      </c>
      <c r="AJ220" s="132">
        <v>4.8037833251293299E-4</v>
      </c>
    </row>
    <row r="221" spans="1:36" x14ac:dyDescent="0.2">
      <c r="A221" s="6">
        <v>13710</v>
      </c>
      <c r="B221" s="6">
        <v>15444</v>
      </c>
      <c r="C221" s="6" t="s">
        <v>1579</v>
      </c>
      <c r="D221" s="6" t="s">
        <v>1580</v>
      </c>
      <c r="E221" s="3" t="s">
        <v>1477</v>
      </c>
      <c r="F221" s="6" t="s">
        <v>1581</v>
      </c>
      <c r="G221" s="6" t="s">
        <v>1582</v>
      </c>
      <c r="H221" s="6" t="s">
        <v>76</v>
      </c>
      <c r="I221" s="6" t="s">
        <v>228</v>
      </c>
      <c r="J221" s="6" t="s">
        <v>53</v>
      </c>
      <c r="K221" s="6" t="s">
        <v>53</v>
      </c>
      <c r="L221" s="6" t="s">
        <v>805</v>
      </c>
      <c r="M221" s="6" t="s">
        <v>311</v>
      </c>
      <c r="N221" s="6" t="s">
        <v>635</v>
      </c>
      <c r="O221" s="6" t="s">
        <v>62</v>
      </c>
      <c r="P221" s="6" t="s">
        <v>1577</v>
      </c>
      <c r="Q221" s="6" t="s">
        <v>65</v>
      </c>
      <c r="R221" s="6" t="s">
        <v>57</v>
      </c>
      <c r="S221" s="6" t="s">
        <v>1219</v>
      </c>
      <c r="T221" s="131">
        <v>1.141</v>
      </c>
      <c r="U221" s="6" t="s">
        <v>1583</v>
      </c>
      <c r="V221" s="134">
        <v>3.85E-2</v>
      </c>
      <c r="W221" s="132">
        <v>4.9360000000000001E-2</v>
      </c>
      <c r="X221" s="3" t="s">
        <v>620</v>
      </c>
      <c r="Y221" s="3" t="s">
        <v>62</v>
      </c>
      <c r="Z221" s="131">
        <v>2000</v>
      </c>
      <c r="AA221" s="129">
        <v>1</v>
      </c>
      <c r="AB221" s="157">
        <v>100.09</v>
      </c>
      <c r="AD221" s="131">
        <v>2.0019999999999998</v>
      </c>
      <c r="AG221" s="6" t="s">
        <v>17</v>
      </c>
      <c r="AH221" s="132">
        <v>6.0000000000000002E-6</v>
      </c>
      <c r="AI221" s="132">
        <v>1.3534572504848999E-2</v>
      </c>
      <c r="AJ221" s="132">
        <v>2.3978190355685E-4</v>
      </c>
    </row>
    <row r="222" spans="1:36" x14ac:dyDescent="0.2">
      <c r="A222" s="6">
        <v>13710</v>
      </c>
      <c r="B222" s="6">
        <v>15444</v>
      </c>
      <c r="C222" s="6" t="s">
        <v>1591</v>
      </c>
      <c r="D222" s="6" t="s">
        <v>1592</v>
      </c>
      <c r="E222" s="3" t="s">
        <v>1477</v>
      </c>
      <c r="F222" s="6" t="s">
        <v>1593</v>
      </c>
      <c r="G222" s="6" t="s">
        <v>1594</v>
      </c>
      <c r="H222" s="6" t="s">
        <v>76</v>
      </c>
      <c r="I222" s="6" t="s">
        <v>228</v>
      </c>
      <c r="J222" s="6" t="s">
        <v>53</v>
      </c>
      <c r="K222" s="6" t="s">
        <v>53</v>
      </c>
      <c r="L222" s="6" t="s">
        <v>805</v>
      </c>
      <c r="M222" s="6" t="s">
        <v>311</v>
      </c>
      <c r="N222" s="6" t="s">
        <v>140</v>
      </c>
      <c r="O222" s="6" t="s">
        <v>62</v>
      </c>
      <c r="P222" s="6" t="s">
        <v>298</v>
      </c>
      <c r="Q222" s="6" t="s">
        <v>298</v>
      </c>
      <c r="R222" s="6" t="s">
        <v>298</v>
      </c>
      <c r="S222" s="6" t="s">
        <v>1219</v>
      </c>
      <c r="T222" s="131">
        <v>0.81699999999999995</v>
      </c>
      <c r="U222" s="6" t="s">
        <v>1595</v>
      </c>
      <c r="V222" s="134">
        <v>8.2000000000000003E-2</v>
      </c>
      <c r="W222" s="132">
        <v>6.0940000000000001E-2</v>
      </c>
      <c r="X222" s="3" t="s">
        <v>620</v>
      </c>
      <c r="Y222" s="3" t="s">
        <v>62</v>
      </c>
      <c r="Z222" s="131">
        <v>750</v>
      </c>
      <c r="AA222" s="129">
        <v>1</v>
      </c>
      <c r="AB222" s="157">
        <v>101.78</v>
      </c>
      <c r="AD222" s="131">
        <v>0.76300000000000001</v>
      </c>
      <c r="AG222" s="6" t="s">
        <v>17</v>
      </c>
      <c r="AH222" s="132">
        <v>1.0000000000000001E-5</v>
      </c>
      <c r="AI222" s="132">
        <v>5.1611629141654902E-3</v>
      </c>
      <c r="AJ222" s="132">
        <v>9.1436465221361404E-5</v>
      </c>
    </row>
    <row r="223" spans="1:36" x14ac:dyDescent="0.2">
      <c r="A223" s="6">
        <v>13710</v>
      </c>
      <c r="B223" s="6">
        <v>15444</v>
      </c>
      <c r="C223" s="6" t="s">
        <v>1596</v>
      </c>
      <c r="D223" s="6" t="s">
        <v>1597</v>
      </c>
      <c r="E223" s="3" t="s">
        <v>1477</v>
      </c>
      <c r="F223" s="6" t="s">
        <v>1598</v>
      </c>
      <c r="G223" s="6" t="s">
        <v>1599</v>
      </c>
      <c r="H223" s="6" t="s">
        <v>76</v>
      </c>
      <c r="I223" s="6" t="s">
        <v>228</v>
      </c>
      <c r="J223" s="6" t="s">
        <v>53</v>
      </c>
      <c r="K223" s="6" t="s">
        <v>53</v>
      </c>
      <c r="L223" s="6" t="s">
        <v>805</v>
      </c>
      <c r="M223" s="6" t="s">
        <v>311</v>
      </c>
      <c r="N223" s="6" t="s">
        <v>692</v>
      </c>
      <c r="O223" s="6" t="s">
        <v>62</v>
      </c>
      <c r="P223" s="6" t="s">
        <v>1493</v>
      </c>
      <c r="Q223" s="6" t="s">
        <v>65</v>
      </c>
      <c r="R223" s="6" t="s">
        <v>57</v>
      </c>
      <c r="S223" s="6" t="s">
        <v>1219</v>
      </c>
      <c r="T223" s="131">
        <v>0.98499999999999999</v>
      </c>
      <c r="U223" s="6" t="s">
        <v>1595</v>
      </c>
      <c r="V223" s="134">
        <v>0.04</v>
      </c>
      <c r="W223" s="132">
        <v>4.9259999999999998E-2</v>
      </c>
      <c r="X223" s="3" t="s">
        <v>620</v>
      </c>
      <c r="Y223" s="3" t="s">
        <v>62</v>
      </c>
      <c r="Z223" s="131">
        <v>500</v>
      </c>
      <c r="AA223" s="129">
        <v>1</v>
      </c>
      <c r="AB223" s="157">
        <v>99.19</v>
      </c>
      <c r="AD223" s="131">
        <v>0.496</v>
      </c>
      <c r="AG223" s="6" t="s">
        <v>17</v>
      </c>
      <c r="AH223" s="132">
        <v>7.9999999999999996E-6</v>
      </c>
      <c r="AI223" s="132">
        <v>3.3532177209410802E-3</v>
      </c>
      <c r="AJ223" s="132">
        <v>5.9406451727954603E-5</v>
      </c>
    </row>
    <row r="224" spans="1:36" x14ac:dyDescent="0.2">
      <c r="A224" s="6">
        <v>13710</v>
      </c>
      <c r="B224" s="6">
        <v>15444</v>
      </c>
      <c r="C224" s="6" t="s">
        <v>1600</v>
      </c>
      <c r="D224" s="6" t="s">
        <v>1601</v>
      </c>
      <c r="E224" s="3" t="s">
        <v>767</v>
      </c>
      <c r="F224" s="6" t="s">
        <v>1602</v>
      </c>
      <c r="G224" s="6" t="s">
        <v>1603</v>
      </c>
      <c r="H224" s="6" t="s">
        <v>76</v>
      </c>
      <c r="I224" s="6" t="s">
        <v>228</v>
      </c>
      <c r="J224" s="6" t="s">
        <v>53</v>
      </c>
      <c r="K224" s="6" t="s">
        <v>317</v>
      </c>
      <c r="L224" s="6" t="s">
        <v>805</v>
      </c>
      <c r="M224" s="6" t="s">
        <v>102</v>
      </c>
      <c r="N224" s="6" t="s">
        <v>636</v>
      </c>
      <c r="O224" s="6" t="s">
        <v>62</v>
      </c>
      <c r="P224" s="6" t="s">
        <v>1604</v>
      </c>
      <c r="Q224" s="6" t="s">
        <v>70</v>
      </c>
      <c r="R224" s="6" t="s">
        <v>57</v>
      </c>
      <c r="S224" s="6" t="s">
        <v>1219</v>
      </c>
      <c r="T224" s="131">
        <v>2.2410000000000001</v>
      </c>
      <c r="U224" s="6" t="s">
        <v>1605</v>
      </c>
      <c r="V224" s="134">
        <v>7.9500000000000001E-2</v>
      </c>
      <c r="W224" s="132">
        <v>5.8229999999999997E-2</v>
      </c>
      <c r="X224" s="3" t="s">
        <v>620</v>
      </c>
      <c r="Y224" s="3" t="s">
        <v>62</v>
      </c>
      <c r="Z224" s="131">
        <v>1000</v>
      </c>
      <c r="AA224" s="129">
        <v>1</v>
      </c>
      <c r="AB224" s="157">
        <v>104.91</v>
      </c>
      <c r="AD224" s="131">
        <v>1.0489999999999999</v>
      </c>
      <c r="AG224" s="6" t="s">
        <v>17</v>
      </c>
      <c r="AH224" s="132">
        <v>6.0000000000000002E-6</v>
      </c>
      <c r="AI224" s="132">
        <v>7.0931761488845502E-3</v>
      </c>
      <c r="AJ224" s="132">
        <v>1.2566449946122999E-4</v>
      </c>
    </row>
    <row r="225" spans="1:36" x14ac:dyDescent="0.2">
      <c r="A225" s="6">
        <v>13710</v>
      </c>
      <c r="B225" s="6">
        <v>15444</v>
      </c>
      <c r="C225" s="6" t="s">
        <v>1600</v>
      </c>
      <c r="D225" s="6" t="s">
        <v>1601</v>
      </c>
      <c r="E225" s="3" t="s">
        <v>767</v>
      </c>
      <c r="F225" s="6" t="s">
        <v>1606</v>
      </c>
      <c r="G225" s="6" t="s">
        <v>1607</v>
      </c>
      <c r="H225" s="6" t="s">
        <v>76</v>
      </c>
      <c r="I225" s="6" t="s">
        <v>228</v>
      </c>
      <c r="J225" s="6" t="s">
        <v>53</v>
      </c>
      <c r="K225" s="6" t="s">
        <v>317</v>
      </c>
      <c r="L225" s="6" t="s">
        <v>805</v>
      </c>
      <c r="M225" s="6" t="s">
        <v>102</v>
      </c>
      <c r="N225" s="6" t="s">
        <v>636</v>
      </c>
      <c r="O225" s="6" t="s">
        <v>62</v>
      </c>
      <c r="P225" s="6" t="s">
        <v>1604</v>
      </c>
      <c r="Q225" s="6" t="s">
        <v>70</v>
      </c>
      <c r="R225" s="6" t="s">
        <v>57</v>
      </c>
      <c r="S225" s="6" t="s">
        <v>1219</v>
      </c>
      <c r="T225" s="131">
        <v>2.4500000000000002</v>
      </c>
      <c r="U225" s="6" t="s">
        <v>1608</v>
      </c>
      <c r="V225" s="134">
        <v>0.06</v>
      </c>
      <c r="W225" s="132">
        <v>5.8319999999999997E-2</v>
      </c>
      <c r="X225" s="3" t="s">
        <v>620</v>
      </c>
      <c r="Y225" s="3" t="s">
        <v>62</v>
      </c>
      <c r="Z225" s="131">
        <v>2000</v>
      </c>
      <c r="AA225" s="129">
        <v>1</v>
      </c>
      <c r="AB225" s="157">
        <v>102.71</v>
      </c>
      <c r="AD225" s="131">
        <v>2.0539999999999998</v>
      </c>
      <c r="AG225" s="6" t="s">
        <v>17</v>
      </c>
      <c r="AH225" s="132">
        <v>6.9999999999999999E-6</v>
      </c>
      <c r="AI225" s="132">
        <v>1.38888594462288E-2</v>
      </c>
      <c r="AJ225" s="132">
        <v>2.4605854045682898E-4</v>
      </c>
    </row>
    <row r="226" spans="1:36" x14ac:dyDescent="0.2">
      <c r="A226" s="6">
        <v>13710</v>
      </c>
      <c r="B226" s="6">
        <v>15444</v>
      </c>
      <c r="C226" s="6" t="s">
        <v>1609</v>
      </c>
      <c r="D226" s="6" t="s">
        <v>1610</v>
      </c>
      <c r="E226" s="3" t="s">
        <v>1477</v>
      </c>
      <c r="F226" s="6" t="s">
        <v>1614</v>
      </c>
      <c r="G226" s="6" t="s">
        <v>1615</v>
      </c>
      <c r="H226" s="6" t="s">
        <v>76</v>
      </c>
      <c r="I226" s="6" t="s">
        <v>228</v>
      </c>
      <c r="J226" s="6" t="s">
        <v>53</v>
      </c>
      <c r="K226" s="6" t="s">
        <v>53</v>
      </c>
      <c r="L226" s="6" t="s">
        <v>805</v>
      </c>
      <c r="M226" s="6" t="s">
        <v>1227</v>
      </c>
      <c r="N226" s="6" t="s">
        <v>635</v>
      </c>
      <c r="O226" s="6" t="s">
        <v>62</v>
      </c>
      <c r="P226" s="6" t="s">
        <v>1533</v>
      </c>
      <c r="Q226" s="6" t="s">
        <v>65</v>
      </c>
      <c r="R226" s="6" t="s">
        <v>57</v>
      </c>
      <c r="S226" s="6" t="s">
        <v>1219</v>
      </c>
      <c r="T226" s="131">
        <v>7.4320000000000004</v>
      </c>
      <c r="U226" s="6" t="s">
        <v>1616</v>
      </c>
      <c r="V226" s="134">
        <v>5.79E-2</v>
      </c>
      <c r="W226" s="132">
        <v>4.9489999999999999E-2</v>
      </c>
      <c r="X226" s="3" t="s">
        <v>620</v>
      </c>
      <c r="Y226" s="3" t="s">
        <v>62</v>
      </c>
      <c r="Z226" s="131">
        <v>3000</v>
      </c>
      <c r="AA226" s="129">
        <v>1</v>
      </c>
      <c r="AB226" s="157">
        <v>109</v>
      </c>
      <c r="AD226" s="131">
        <v>3.27</v>
      </c>
      <c r="AG226" s="6" t="s">
        <v>17</v>
      </c>
      <c r="AH226" s="132">
        <v>3.0000000000000001E-6</v>
      </c>
      <c r="AI226" s="132">
        <v>2.2109127830380802E-2</v>
      </c>
      <c r="AJ226" s="132">
        <v>3.9169089051398703E-4</v>
      </c>
    </row>
    <row r="227" spans="1:36" x14ac:dyDescent="0.2">
      <c r="A227" s="6">
        <v>13710</v>
      </c>
      <c r="B227" s="6">
        <v>15444</v>
      </c>
      <c r="C227" s="6" t="s">
        <v>1617</v>
      </c>
      <c r="D227" s="6" t="s">
        <v>1618</v>
      </c>
      <c r="E227" s="3" t="s">
        <v>1477</v>
      </c>
      <c r="F227" s="6" t="s">
        <v>1619</v>
      </c>
      <c r="G227" s="6" t="s">
        <v>1620</v>
      </c>
      <c r="H227" s="6" t="s">
        <v>76</v>
      </c>
      <c r="I227" s="6" t="s">
        <v>228</v>
      </c>
      <c r="J227" s="6" t="s">
        <v>53</v>
      </c>
      <c r="K227" s="6" t="s">
        <v>314</v>
      </c>
      <c r="L227" s="6" t="s">
        <v>805</v>
      </c>
      <c r="M227" s="6" t="s">
        <v>311</v>
      </c>
      <c r="N227" s="6" t="s">
        <v>631</v>
      </c>
      <c r="O227" s="6" t="s">
        <v>62</v>
      </c>
      <c r="P227" s="6" t="s">
        <v>1527</v>
      </c>
      <c r="Q227" s="6" t="s">
        <v>70</v>
      </c>
      <c r="R227" s="6" t="s">
        <v>57</v>
      </c>
      <c r="S227" s="6" t="s">
        <v>1219</v>
      </c>
      <c r="T227" s="131">
        <v>1.01</v>
      </c>
      <c r="U227" s="6" t="s">
        <v>1621</v>
      </c>
      <c r="V227" s="134">
        <v>3.4500000000000003E-2</v>
      </c>
      <c r="W227" s="132">
        <v>4.7660000000000001E-2</v>
      </c>
      <c r="X227" s="3" t="s">
        <v>620</v>
      </c>
      <c r="Y227" s="3" t="s">
        <v>62</v>
      </c>
      <c r="Z227" s="131">
        <v>2000</v>
      </c>
      <c r="AA227" s="129">
        <v>1</v>
      </c>
      <c r="AB227" s="157">
        <v>99.89</v>
      </c>
      <c r="AD227" s="131">
        <v>1.998</v>
      </c>
      <c r="AG227" s="6" t="s">
        <v>17</v>
      </c>
      <c r="AH227" s="132">
        <v>3.0000000000000001E-6</v>
      </c>
      <c r="AI227" s="132">
        <v>1.35075277001635E-2</v>
      </c>
      <c r="AJ227" s="132">
        <v>2.39302770969065E-4</v>
      </c>
    </row>
    <row r="228" spans="1:36" x14ac:dyDescent="0.2">
      <c r="A228" s="6">
        <v>13710</v>
      </c>
      <c r="B228" s="6">
        <v>15444</v>
      </c>
      <c r="C228" s="6" t="s">
        <v>1624</v>
      </c>
      <c r="D228" s="6" t="s">
        <v>1625</v>
      </c>
      <c r="E228" s="3" t="s">
        <v>767</v>
      </c>
      <c r="F228" s="6" t="s">
        <v>1626</v>
      </c>
      <c r="G228" s="6" t="s">
        <v>1627</v>
      </c>
      <c r="H228" s="6" t="s">
        <v>76</v>
      </c>
      <c r="I228" s="6" t="s">
        <v>228</v>
      </c>
      <c r="J228" s="6" t="s">
        <v>53</v>
      </c>
      <c r="K228" s="6" t="s">
        <v>314</v>
      </c>
      <c r="L228" s="6" t="s">
        <v>805</v>
      </c>
      <c r="M228" s="6" t="s">
        <v>1227</v>
      </c>
      <c r="N228" s="6" t="s">
        <v>636</v>
      </c>
      <c r="O228" s="6" t="s">
        <v>62</v>
      </c>
      <c r="P228" s="6" t="s">
        <v>1628</v>
      </c>
      <c r="Q228" s="6" t="s">
        <v>65</v>
      </c>
      <c r="R228" s="6" t="s">
        <v>57</v>
      </c>
      <c r="S228" s="6" t="s">
        <v>1219</v>
      </c>
      <c r="T228" s="131">
        <v>0.98399999999999999</v>
      </c>
      <c r="U228" s="6" t="s">
        <v>1629</v>
      </c>
      <c r="V228" s="134">
        <v>7.2499999999999995E-2</v>
      </c>
      <c r="W228" s="132">
        <v>6.1409999999999999E-2</v>
      </c>
      <c r="X228" s="3" t="s">
        <v>620</v>
      </c>
      <c r="Y228" s="3" t="s">
        <v>62</v>
      </c>
      <c r="Z228" s="131">
        <v>1000</v>
      </c>
      <c r="AA228" s="129">
        <v>1</v>
      </c>
      <c r="AB228" s="157">
        <v>104.55</v>
      </c>
      <c r="AD228" s="131">
        <v>1.046</v>
      </c>
      <c r="AG228" s="6" t="s">
        <v>17</v>
      </c>
      <c r="AH228" s="132">
        <v>6.9999999999999999E-6</v>
      </c>
      <c r="AI228" s="132">
        <v>7.0688358246676197E-3</v>
      </c>
      <c r="AJ228" s="132">
        <v>1.2523328013222399E-4</v>
      </c>
    </row>
    <row r="229" spans="1:36" x14ac:dyDescent="0.2">
      <c r="A229" s="6">
        <v>13710</v>
      </c>
      <c r="B229" s="6">
        <v>15444</v>
      </c>
      <c r="C229" s="6" t="s">
        <v>1630</v>
      </c>
      <c r="D229" s="6" t="s">
        <v>1631</v>
      </c>
      <c r="E229" s="3" t="s">
        <v>1477</v>
      </c>
      <c r="F229" s="6" t="s">
        <v>1632</v>
      </c>
      <c r="G229" s="6" t="s">
        <v>1633</v>
      </c>
      <c r="H229" s="6" t="s">
        <v>76</v>
      </c>
      <c r="I229" s="6" t="s">
        <v>607</v>
      </c>
      <c r="J229" s="6" t="s">
        <v>53</v>
      </c>
      <c r="K229" s="6" t="s">
        <v>53</v>
      </c>
      <c r="L229" s="6" t="s">
        <v>805</v>
      </c>
      <c r="M229" s="6" t="s">
        <v>311</v>
      </c>
      <c r="N229" s="6" t="s">
        <v>631</v>
      </c>
      <c r="O229" s="6" t="s">
        <v>62</v>
      </c>
      <c r="P229" s="6" t="s">
        <v>1628</v>
      </c>
      <c r="Q229" s="6" t="s">
        <v>65</v>
      </c>
      <c r="R229" s="6" t="s">
        <v>57</v>
      </c>
      <c r="S229" s="6" t="s">
        <v>1219</v>
      </c>
      <c r="T229" s="131">
        <v>2.0760000000000001</v>
      </c>
      <c r="U229" s="6" t="s">
        <v>1634</v>
      </c>
      <c r="V229" s="134">
        <v>1.25E-3</v>
      </c>
      <c r="W229" s="132">
        <v>4.8520000000000001E-2</v>
      </c>
      <c r="X229" s="3" t="s">
        <v>620</v>
      </c>
      <c r="Y229" s="3" t="s">
        <v>62</v>
      </c>
      <c r="Z229" s="131">
        <v>1000</v>
      </c>
      <c r="AA229" s="129">
        <v>1</v>
      </c>
      <c r="AB229" s="157">
        <v>91.2</v>
      </c>
      <c r="AD229" s="131">
        <v>0.91200000000000003</v>
      </c>
      <c r="AG229" s="6" t="s">
        <v>17</v>
      </c>
      <c r="AH229" s="132">
        <v>1.9999999999999999E-6</v>
      </c>
      <c r="AI229" s="132">
        <v>6.1662154682896797E-3</v>
      </c>
      <c r="AJ229" s="132">
        <v>1.0924223001491E-4</v>
      </c>
    </row>
    <row r="230" spans="1:36" x14ac:dyDescent="0.2">
      <c r="A230" s="6">
        <v>13710</v>
      </c>
      <c r="B230" s="6">
        <v>15444</v>
      </c>
      <c r="C230" s="6" t="s">
        <v>1635</v>
      </c>
      <c r="D230" s="6" t="s">
        <v>1636</v>
      </c>
      <c r="E230" s="3" t="s">
        <v>1477</v>
      </c>
      <c r="F230" s="6" t="s">
        <v>1637</v>
      </c>
      <c r="G230" s="6" t="s">
        <v>1638</v>
      </c>
      <c r="H230" s="6" t="s">
        <v>76</v>
      </c>
      <c r="I230" s="6" t="s">
        <v>228</v>
      </c>
      <c r="J230" s="6" t="s">
        <v>53</v>
      </c>
      <c r="K230" s="6" t="s">
        <v>53</v>
      </c>
      <c r="L230" s="6" t="s">
        <v>805</v>
      </c>
      <c r="M230" s="6" t="s">
        <v>311</v>
      </c>
      <c r="N230" s="6" t="s">
        <v>636</v>
      </c>
      <c r="O230" s="6" t="s">
        <v>62</v>
      </c>
      <c r="P230" s="6" t="s">
        <v>1493</v>
      </c>
      <c r="Q230" s="6" t="s">
        <v>65</v>
      </c>
      <c r="R230" s="6" t="s">
        <v>57</v>
      </c>
      <c r="S230" s="6" t="s">
        <v>1219</v>
      </c>
      <c r="T230" s="131">
        <v>2</v>
      </c>
      <c r="U230" s="6" t="s">
        <v>1639</v>
      </c>
      <c r="V230" s="134">
        <v>2.3E-2</v>
      </c>
      <c r="W230" s="132">
        <v>4.8910000000000002E-2</v>
      </c>
      <c r="X230" s="3" t="s">
        <v>620</v>
      </c>
      <c r="Y230" s="3" t="s">
        <v>62</v>
      </c>
      <c r="Z230" s="131">
        <v>3000.43</v>
      </c>
      <c r="AA230" s="129">
        <v>1</v>
      </c>
      <c r="AB230" s="157">
        <v>95.78</v>
      </c>
      <c r="AD230" s="131">
        <v>2.8740000000000001</v>
      </c>
      <c r="AG230" s="6" t="s">
        <v>17</v>
      </c>
      <c r="AH230" s="132">
        <v>3.9999999999999998E-6</v>
      </c>
      <c r="AI230" s="132">
        <v>1.9430420073562601E-2</v>
      </c>
      <c r="AJ230" s="132">
        <v>3.4423422760333701E-4</v>
      </c>
    </row>
    <row r="231" spans="1:36" x14ac:dyDescent="0.2">
      <c r="A231" s="6">
        <v>13710</v>
      </c>
      <c r="B231" s="6">
        <v>15444</v>
      </c>
      <c r="C231" s="6" t="s">
        <v>1640</v>
      </c>
      <c r="D231" s="6" t="s">
        <v>1641</v>
      </c>
      <c r="E231" s="3" t="s">
        <v>1477</v>
      </c>
      <c r="F231" s="6" t="s">
        <v>1647</v>
      </c>
      <c r="G231" s="6" t="s">
        <v>1648</v>
      </c>
      <c r="H231" s="6" t="s">
        <v>76</v>
      </c>
      <c r="I231" s="6" t="s">
        <v>228</v>
      </c>
      <c r="J231" s="6" t="s">
        <v>53</v>
      </c>
      <c r="K231" s="6" t="s">
        <v>53</v>
      </c>
      <c r="L231" s="6" t="s">
        <v>805</v>
      </c>
      <c r="M231" s="6" t="s">
        <v>102</v>
      </c>
      <c r="N231" s="6" t="s">
        <v>140</v>
      </c>
      <c r="O231" s="6" t="s">
        <v>62</v>
      </c>
      <c r="P231" s="6" t="s">
        <v>298</v>
      </c>
      <c r="Q231" s="6" t="s">
        <v>298</v>
      </c>
      <c r="R231" s="6" t="s">
        <v>298</v>
      </c>
      <c r="S231" s="6" t="s">
        <v>1219</v>
      </c>
      <c r="T231" s="131">
        <v>3.2839999999999998</v>
      </c>
      <c r="U231" s="6" t="s">
        <v>1649</v>
      </c>
      <c r="V231" s="134">
        <v>6.6900000000000001E-2</v>
      </c>
      <c r="W231" s="132">
        <v>6.5750000000000003E-2</v>
      </c>
      <c r="X231" s="3" t="s">
        <v>620</v>
      </c>
      <c r="Y231" s="3" t="s">
        <v>62</v>
      </c>
      <c r="Z231" s="131">
        <v>4000</v>
      </c>
      <c r="AA231" s="129">
        <v>1</v>
      </c>
      <c r="AB231" s="157">
        <v>100.7</v>
      </c>
      <c r="AD231" s="131">
        <v>4.0279999999999996</v>
      </c>
      <c r="AG231" s="6" t="s">
        <v>17</v>
      </c>
      <c r="AH231" s="132">
        <v>1.2999999999999999E-5</v>
      </c>
      <c r="AI231" s="132">
        <v>2.7234118318279401E-2</v>
      </c>
      <c r="AJ231" s="132">
        <v>4.8248651589918602E-4</v>
      </c>
    </row>
    <row r="232" spans="1:36" x14ac:dyDescent="0.2">
      <c r="A232" s="6">
        <v>13710</v>
      </c>
      <c r="B232" s="6">
        <v>15444</v>
      </c>
      <c r="C232" s="6" t="s">
        <v>1681</v>
      </c>
      <c r="D232" s="6" t="s">
        <v>1682</v>
      </c>
      <c r="E232" s="3" t="s">
        <v>1477</v>
      </c>
      <c r="F232" s="6" t="s">
        <v>1683</v>
      </c>
      <c r="G232" s="6" t="s">
        <v>1684</v>
      </c>
      <c r="H232" s="6" t="s">
        <v>76</v>
      </c>
      <c r="I232" s="6" t="s">
        <v>229</v>
      </c>
      <c r="J232" s="6" t="s">
        <v>53</v>
      </c>
      <c r="K232" s="6" t="s">
        <v>53</v>
      </c>
      <c r="L232" s="6" t="s">
        <v>805</v>
      </c>
      <c r="M232" s="6" t="s">
        <v>311</v>
      </c>
      <c r="N232" s="6" t="s">
        <v>260</v>
      </c>
      <c r="O232" s="6" t="s">
        <v>62</v>
      </c>
      <c r="P232" s="6" t="s">
        <v>1533</v>
      </c>
      <c r="Q232" s="6" t="s">
        <v>65</v>
      </c>
      <c r="R232" s="6" t="s">
        <v>57</v>
      </c>
      <c r="S232" s="6" t="s">
        <v>1219</v>
      </c>
      <c r="T232" s="131">
        <v>0.41599999999999998</v>
      </c>
      <c r="U232" s="6" t="s">
        <v>1685</v>
      </c>
      <c r="V232" s="134">
        <v>2.1999999999999999E-2</v>
      </c>
      <c r="W232" s="132">
        <v>1.949E-2</v>
      </c>
      <c r="X232" s="3" t="s">
        <v>620</v>
      </c>
      <c r="Y232" s="3" t="s">
        <v>62</v>
      </c>
      <c r="Z232" s="131">
        <v>1000</v>
      </c>
      <c r="AA232" s="129">
        <v>1</v>
      </c>
      <c r="AB232" s="157">
        <v>117.6</v>
      </c>
      <c r="AD232" s="131">
        <v>1.1759999999999999</v>
      </c>
      <c r="AG232" s="6" t="s">
        <v>17</v>
      </c>
      <c r="AH232" s="132">
        <v>3.9999999999999998E-6</v>
      </c>
      <c r="AI232" s="132">
        <v>7.9511725775314301E-3</v>
      </c>
      <c r="AJ232" s="132">
        <v>1.408649808087E-4</v>
      </c>
    </row>
    <row r="233" spans="1:36" x14ac:dyDescent="0.2">
      <c r="A233" s="6">
        <v>13710</v>
      </c>
      <c r="B233" s="6">
        <v>15444</v>
      </c>
      <c r="C233" s="6" t="s">
        <v>1701</v>
      </c>
      <c r="D233" s="6" t="s">
        <v>1702</v>
      </c>
      <c r="E233" s="3" t="s">
        <v>1477</v>
      </c>
      <c r="F233" s="6" t="s">
        <v>1706</v>
      </c>
      <c r="G233" s="6" t="s">
        <v>1707</v>
      </c>
      <c r="H233" s="6" t="s">
        <v>76</v>
      </c>
      <c r="I233" s="6" t="s">
        <v>229</v>
      </c>
      <c r="J233" s="6" t="s">
        <v>53</v>
      </c>
      <c r="K233" s="6" t="s">
        <v>53</v>
      </c>
      <c r="L233" s="6" t="s">
        <v>805</v>
      </c>
      <c r="M233" s="6" t="s">
        <v>311</v>
      </c>
      <c r="N233" s="6" t="s">
        <v>256</v>
      </c>
      <c r="O233" s="6" t="s">
        <v>62</v>
      </c>
      <c r="P233" s="6" t="s">
        <v>1213</v>
      </c>
      <c r="Q233" s="6" t="s">
        <v>65</v>
      </c>
      <c r="R233" s="6" t="s">
        <v>57</v>
      </c>
      <c r="S233" s="6" t="s">
        <v>1219</v>
      </c>
      <c r="T233" s="131">
        <v>1.415</v>
      </c>
      <c r="U233" s="6" t="s">
        <v>1708</v>
      </c>
      <c r="V233" s="134">
        <v>1E-3</v>
      </c>
      <c r="W233" s="132">
        <v>2.563E-2</v>
      </c>
      <c r="X233" s="3" t="s">
        <v>620</v>
      </c>
      <c r="Y233" s="3" t="s">
        <v>62</v>
      </c>
      <c r="Z233" s="131">
        <v>2000</v>
      </c>
      <c r="AA233" s="129">
        <v>1</v>
      </c>
      <c r="AB233" s="157">
        <v>110.36</v>
      </c>
      <c r="AD233" s="131">
        <v>2.2069999999999999</v>
      </c>
      <c r="AG233" s="6" t="s">
        <v>17</v>
      </c>
      <c r="AH233" s="132">
        <v>3.9999999999999998E-6</v>
      </c>
      <c r="AI233" s="132">
        <v>1.4923323225448501E-2</v>
      </c>
      <c r="AJ233" s="132">
        <v>2.6438536193959397E-4</v>
      </c>
    </row>
    <row r="234" spans="1:36" x14ac:dyDescent="0.2">
      <c r="A234" s="6">
        <v>13710</v>
      </c>
      <c r="B234" s="6">
        <v>15444</v>
      </c>
      <c r="C234" s="6" t="s">
        <v>1723</v>
      </c>
      <c r="D234" s="6" t="s">
        <v>1724</v>
      </c>
      <c r="E234" s="3" t="s">
        <v>1477</v>
      </c>
      <c r="F234" s="6" t="s">
        <v>1725</v>
      </c>
      <c r="G234" s="6" t="s">
        <v>1726</v>
      </c>
      <c r="H234" s="6" t="s">
        <v>76</v>
      </c>
      <c r="I234" s="6" t="s">
        <v>229</v>
      </c>
      <c r="J234" s="6" t="s">
        <v>53</v>
      </c>
      <c r="K234" s="6" t="s">
        <v>53</v>
      </c>
      <c r="L234" s="6" t="s">
        <v>805</v>
      </c>
      <c r="M234" s="6" t="s">
        <v>102</v>
      </c>
      <c r="N234" s="6" t="s">
        <v>636</v>
      </c>
      <c r="O234" s="6" t="s">
        <v>62</v>
      </c>
      <c r="P234" s="6" t="s">
        <v>1515</v>
      </c>
      <c r="Q234" s="6" t="s">
        <v>65</v>
      </c>
      <c r="R234" s="6" t="s">
        <v>57</v>
      </c>
      <c r="S234" s="6" t="s">
        <v>1219</v>
      </c>
      <c r="T234" s="131">
        <v>2.8919999999999999</v>
      </c>
      <c r="U234" s="6" t="s">
        <v>1569</v>
      </c>
      <c r="V234" s="134">
        <v>1.7500000000000002E-2</v>
      </c>
      <c r="W234" s="132">
        <v>5.1749999999999997E-2</v>
      </c>
      <c r="X234" s="3" t="s">
        <v>620</v>
      </c>
      <c r="Y234" s="3" t="s">
        <v>62</v>
      </c>
      <c r="Z234" s="131">
        <v>5000</v>
      </c>
      <c r="AA234" s="129">
        <v>1</v>
      </c>
      <c r="AB234" s="157">
        <v>106.47799999999999</v>
      </c>
      <c r="AD234" s="131">
        <v>5.3239999999999998</v>
      </c>
      <c r="AG234" s="6" t="s">
        <v>17</v>
      </c>
      <c r="AH234" s="132">
        <v>0</v>
      </c>
      <c r="AI234" s="132">
        <v>3.5996052694118402E-2</v>
      </c>
      <c r="AJ234" s="132">
        <v>6.3771515741898005E-4</v>
      </c>
    </row>
    <row r="235" spans="1:36" x14ac:dyDescent="0.2">
      <c r="A235" s="6">
        <v>13710</v>
      </c>
      <c r="B235" s="6">
        <v>15444</v>
      </c>
      <c r="C235" s="6" t="s">
        <v>1723</v>
      </c>
      <c r="D235" s="6" t="s">
        <v>1724</v>
      </c>
      <c r="E235" s="3" t="s">
        <v>1477</v>
      </c>
      <c r="F235" s="6" t="s">
        <v>1731</v>
      </c>
      <c r="G235" s="6" t="s">
        <v>1732</v>
      </c>
      <c r="H235" s="6" t="s">
        <v>76</v>
      </c>
      <c r="I235" s="6" t="s">
        <v>229</v>
      </c>
      <c r="J235" s="6" t="s">
        <v>53</v>
      </c>
      <c r="K235" s="6" t="s">
        <v>53</v>
      </c>
      <c r="L235" s="6" t="s">
        <v>805</v>
      </c>
      <c r="M235" s="6" t="s">
        <v>102</v>
      </c>
      <c r="N235" s="6" t="s">
        <v>636</v>
      </c>
      <c r="O235" s="6" t="s">
        <v>62</v>
      </c>
      <c r="P235" s="6" t="s">
        <v>1628</v>
      </c>
      <c r="Q235" s="6" t="s">
        <v>65</v>
      </c>
      <c r="R235" s="6" t="s">
        <v>57</v>
      </c>
      <c r="S235" s="6" t="s">
        <v>1219</v>
      </c>
      <c r="T235" s="131">
        <v>2.3660000000000001</v>
      </c>
      <c r="U235" s="6" t="s">
        <v>1733</v>
      </c>
      <c r="V235" s="134">
        <v>1.3299999999999999E-2</v>
      </c>
      <c r="W235" s="132">
        <v>3.1989999999999998E-2</v>
      </c>
      <c r="X235" s="3" t="s">
        <v>620</v>
      </c>
      <c r="Y235" s="3" t="s">
        <v>62</v>
      </c>
      <c r="Z235" s="131">
        <v>2000</v>
      </c>
      <c r="AA235" s="129">
        <v>1</v>
      </c>
      <c r="AB235" s="157">
        <v>112.72499999999999</v>
      </c>
      <c r="AD235" s="131">
        <v>2.254</v>
      </c>
      <c r="AG235" s="6" t="s">
        <v>17</v>
      </c>
      <c r="AH235" s="132">
        <v>0</v>
      </c>
      <c r="AI235" s="132">
        <v>1.52431185481278E-2</v>
      </c>
      <c r="AJ235" s="132">
        <v>2.7005093661460898E-4</v>
      </c>
    </row>
    <row r="236" spans="1:36" x14ac:dyDescent="0.2">
      <c r="A236" s="6">
        <v>13710</v>
      </c>
      <c r="B236" s="6">
        <v>15444</v>
      </c>
      <c r="C236" s="6" t="s">
        <v>1741</v>
      </c>
      <c r="D236" s="6" t="s">
        <v>1742</v>
      </c>
      <c r="E236" s="3" t="s">
        <v>1477</v>
      </c>
      <c r="F236" s="6" t="s">
        <v>1746</v>
      </c>
      <c r="G236" s="6" t="s">
        <v>1747</v>
      </c>
      <c r="H236" s="6" t="s">
        <v>76</v>
      </c>
      <c r="I236" s="6" t="s">
        <v>228</v>
      </c>
      <c r="J236" s="6" t="s">
        <v>53</v>
      </c>
      <c r="K236" s="6" t="s">
        <v>53</v>
      </c>
      <c r="L236" s="6" t="s">
        <v>805</v>
      </c>
      <c r="M236" s="6" t="s">
        <v>102</v>
      </c>
      <c r="N236" s="6" t="s">
        <v>257</v>
      </c>
      <c r="O236" s="6" t="s">
        <v>62</v>
      </c>
      <c r="P236" s="6" t="s">
        <v>1533</v>
      </c>
      <c r="Q236" s="6" t="s">
        <v>65</v>
      </c>
      <c r="R236" s="6" t="s">
        <v>57</v>
      </c>
      <c r="S236" s="6" t="s">
        <v>1219</v>
      </c>
      <c r="T236" s="131">
        <v>3.2410000000000001</v>
      </c>
      <c r="U236" s="6" t="s">
        <v>1748</v>
      </c>
      <c r="V236" s="134">
        <v>5.4600000000000003E-2</v>
      </c>
      <c r="W236" s="132">
        <v>5.6050000000000003E-2</v>
      </c>
      <c r="X236" s="3" t="s">
        <v>620</v>
      </c>
      <c r="Y236" s="3" t="s">
        <v>62</v>
      </c>
      <c r="Z236" s="131">
        <v>1000</v>
      </c>
      <c r="AA236" s="129">
        <v>1</v>
      </c>
      <c r="AB236" s="157">
        <v>99.88</v>
      </c>
      <c r="AD236" s="131">
        <v>0.999</v>
      </c>
      <c r="AG236" s="6" t="s">
        <v>17</v>
      </c>
      <c r="AH236" s="132">
        <v>3.0000000000000001E-6</v>
      </c>
      <c r="AI236" s="132">
        <v>6.7530877299646196E-3</v>
      </c>
      <c r="AJ236" s="132">
        <v>1.19639407169838E-4</v>
      </c>
    </row>
    <row r="237" spans="1:36" x14ac:dyDescent="0.2">
      <c r="A237" s="6">
        <v>13710</v>
      </c>
      <c r="B237" s="6">
        <v>15444</v>
      </c>
      <c r="C237" s="6" t="s">
        <v>1754</v>
      </c>
      <c r="D237" s="6" t="s">
        <v>1755</v>
      </c>
      <c r="E237" s="3" t="s">
        <v>78</v>
      </c>
      <c r="F237" s="6" t="s">
        <v>1756</v>
      </c>
      <c r="G237" s="6" t="s">
        <v>1757</v>
      </c>
      <c r="H237" s="6" t="s">
        <v>76</v>
      </c>
      <c r="I237" s="6" t="s">
        <v>228</v>
      </c>
      <c r="J237" s="6" t="s">
        <v>53</v>
      </c>
      <c r="K237" s="6" t="s">
        <v>314</v>
      </c>
      <c r="L237" s="6" t="s">
        <v>805</v>
      </c>
      <c r="M237" s="6" t="s">
        <v>311</v>
      </c>
      <c r="N237" s="6" t="s">
        <v>636</v>
      </c>
      <c r="O237" s="6" t="s">
        <v>62</v>
      </c>
      <c r="P237" s="6" t="s">
        <v>1628</v>
      </c>
      <c r="Q237" s="6" t="s">
        <v>65</v>
      </c>
      <c r="R237" s="6" t="s">
        <v>57</v>
      </c>
      <c r="S237" s="6" t="s">
        <v>1219</v>
      </c>
      <c r="T237" s="131">
        <v>1.4279999999999999</v>
      </c>
      <c r="U237" s="6" t="s">
        <v>1516</v>
      </c>
      <c r="V237" s="134">
        <v>6.8000000000000005E-2</v>
      </c>
      <c r="W237" s="132">
        <v>5.6610000000000001E-2</v>
      </c>
      <c r="X237" s="3" t="s">
        <v>620</v>
      </c>
      <c r="Y237" s="3" t="s">
        <v>62</v>
      </c>
      <c r="Z237" s="131">
        <v>984.29</v>
      </c>
      <c r="AA237" s="129">
        <v>1</v>
      </c>
      <c r="AB237" s="157">
        <v>101.71</v>
      </c>
      <c r="AD237" s="131">
        <v>1.0009999999999999</v>
      </c>
      <c r="AG237" s="6" t="s">
        <v>17</v>
      </c>
      <c r="AH237" s="132">
        <v>3.0000000000000001E-6</v>
      </c>
      <c r="AI237" s="132">
        <v>6.7687829051545903E-3</v>
      </c>
      <c r="AJ237" s="132">
        <v>1.1991746685605E-4</v>
      </c>
    </row>
    <row r="238" spans="1:36" x14ac:dyDescent="0.2">
      <c r="A238" s="6">
        <v>13710</v>
      </c>
      <c r="B238" s="6">
        <v>15444</v>
      </c>
      <c r="C238" s="6" t="s">
        <v>1774</v>
      </c>
      <c r="D238" s="6" t="s">
        <v>1775</v>
      </c>
      <c r="E238" s="3" t="s">
        <v>1477</v>
      </c>
      <c r="F238" s="6" t="s">
        <v>1779</v>
      </c>
      <c r="G238" s="6" t="s">
        <v>1780</v>
      </c>
      <c r="H238" s="6" t="s">
        <v>76</v>
      </c>
      <c r="I238" s="6" t="s">
        <v>228</v>
      </c>
      <c r="J238" s="6" t="s">
        <v>53</v>
      </c>
      <c r="K238" s="6" t="s">
        <v>53</v>
      </c>
      <c r="L238" s="6" t="s">
        <v>805</v>
      </c>
      <c r="M238" s="6" t="s">
        <v>311</v>
      </c>
      <c r="N238" s="6" t="s">
        <v>692</v>
      </c>
      <c r="O238" s="6" t="s">
        <v>62</v>
      </c>
      <c r="P238" s="6" t="s">
        <v>1778</v>
      </c>
      <c r="Q238" s="6" t="s">
        <v>65</v>
      </c>
      <c r="R238" s="6" t="s">
        <v>57</v>
      </c>
      <c r="S238" s="6" t="s">
        <v>1219</v>
      </c>
      <c r="T238" s="131">
        <v>0.97599999999999998</v>
      </c>
      <c r="U238" s="6" t="s">
        <v>1559</v>
      </c>
      <c r="V238" s="134">
        <v>5.8000000000000003E-2</v>
      </c>
      <c r="W238" s="132">
        <v>5.9490000000000001E-2</v>
      </c>
      <c r="X238" s="3" t="s">
        <v>620</v>
      </c>
      <c r="Y238" s="3" t="s">
        <v>62</v>
      </c>
      <c r="Z238" s="131">
        <v>2000</v>
      </c>
      <c r="AA238" s="129">
        <v>1</v>
      </c>
      <c r="AB238" s="157">
        <v>99.25</v>
      </c>
      <c r="AD238" s="131">
        <v>1.9850000000000001</v>
      </c>
      <c r="AG238" s="6" t="s">
        <v>17</v>
      </c>
      <c r="AH238" s="132">
        <v>3.9999999999999998E-6</v>
      </c>
      <c r="AI238" s="132">
        <v>1.3420984325170001E-2</v>
      </c>
      <c r="AJ238" s="132">
        <v>2.3776954668815401E-4</v>
      </c>
    </row>
    <row r="239" spans="1:36" x14ac:dyDescent="0.2">
      <c r="A239" s="6">
        <v>13710</v>
      </c>
      <c r="B239" s="6">
        <v>15444</v>
      </c>
      <c r="C239" s="6" t="s">
        <v>1781</v>
      </c>
      <c r="D239" s="6" t="s">
        <v>1782</v>
      </c>
      <c r="E239" s="3" t="s">
        <v>1477</v>
      </c>
      <c r="F239" s="6" t="s">
        <v>1786</v>
      </c>
      <c r="G239" s="6" t="s">
        <v>1787</v>
      </c>
      <c r="H239" s="6" t="s">
        <v>76</v>
      </c>
      <c r="I239" s="6" t="s">
        <v>228</v>
      </c>
      <c r="J239" s="6" t="s">
        <v>53</v>
      </c>
      <c r="K239" s="6" t="s">
        <v>53</v>
      </c>
      <c r="L239" s="6" t="s">
        <v>805</v>
      </c>
      <c r="M239" s="6" t="s">
        <v>102</v>
      </c>
      <c r="N239" s="6" t="s">
        <v>267</v>
      </c>
      <c r="O239" s="6" t="s">
        <v>62</v>
      </c>
      <c r="P239" s="6" t="s">
        <v>1515</v>
      </c>
      <c r="Q239" s="6" t="s">
        <v>65</v>
      </c>
      <c r="R239" s="6" t="s">
        <v>57</v>
      </c>
      <c r="S239" s="6" t="s">
        <v>1219</v>
      </c>
      <c r="T239" s="131">
        <v>5.4980000000000002</v>
      </c>
      <c r="U239" s="6" t="s">
        <v>1788</v>
      </c>
      <c r="V239" s="134">
        <v>5.6899999999999999E-2</v>
      </c>
      <c r="W239" s="132">
        <v>6.0490000000000002E-2</v>
      </c>
      <c r="X239" s="3" t="s">
        <v>620</v>
      </c>
      <c r="Y239" s="3" t="s">
        <v>62</v>
      </c>
      <c r="Z239" s="131">
        <v>3000</v>
      </c>
      <c r="AA239" s="129">
        <v>1</v>
      </c>
      <c r="AB239" s="157">
        <v>100.623</v>
      </c>
      <c r="AD239" s="131">
        <v>3.0190000000000001</v>
      </c>
      <c r="AG239" s="6" t="s">
        <v>17</v>
      </c>
      <c r="AH239" s="132">
        <v>0</v>
      </c>
      <c r="AI239" s="132">
        <v>2.0409889024725299E-2</v>
      </c>
      <c r="AJ239" s="132">
        <v>3.6158674682775101E-4</v>
      </c>
    </row>
    <row r="240" spans="1:36" x14ac:dyDescent="0.2">
      <c r="A240" s="6">
        <v>13710</v>
      </c>
      <c r="B240" s="6">
        <v>15444</v>
      </c>
      <c r="C240" s="6" t="s">
        <v>1789</v>
      </c>
      <c r="D240" s="6" t="s">
        <v>1790</v>
      </c>
      <c r="E240" s="3" t="s">
        <v>1477</v>
      </c>
      <c r="F240" s="6" t="s">
        <v>1791</v>
      </c>
      <c r="G240" s="6" t="s">
        <v>1792</v>
      </c>
      <c r="H240" s="6" t="s">
        <v>76</v>
      </c>
      <c r="I240" s="6" t="s">
        <v>229</v>
      </c>
      <c r="J240" s="6" t="s">
        <v>53</v>
      </c>
      <c r="K240" s="6" t="s">
        <v>53</v>
      </c>
      <c r="L240" s="6" t="s">
        <v>805</v>
      </c>
      <c r="M240" s="6" t="s">
        <v>311</v>
      </c>
      <c r="N240" s="6" t="s">
        <v>635</v>
      </c>
      <c r="O240" s="6" t="s">
        <v>62</v>
      </c>
      <c r="P240" s="6" t="s">
        <v>1628</v>
      </c>
      <c r="Q240" s="6" t="s">
        <v>65</v>
      </c>
      <c r="R240" s="6" t="s">
        <v>57</v>
      </c>
      <c r="S240" s="6" t="s">
        <v>1219</v>
      </c>
      <c r="T240" s="131">
        <v>2.8719999999999999</v>
      </c>
      <c r="U240" s="6" t="s">
        <v>1649</v>
      </c>
      <c r="V240" s="134">
        <v>2.7E-2</v>
      </c>
      <c r="W240" s="132">
        <v>2.9139999999999999E-2</v>
      </c>
      <c r="X240" s="3" t="s">
        <v>620</v>
      </c>
      <c r="Y240" s="3" t="s">
        <v>62</v>
      </c>
      <c r="Z240" s="131">
        <v>1000</v>
      </c>
      <c r="AA240" s="129">
        <v>1</v>
      </c>
      <c r="AB240" s="157">
        <v>108.07</v>
      </c>
      <c r="AD240" s="131">
        <v>1.081</v>
      </c>
      <c r="AG240" s="6" t="s">
        <v>17</v>
      </c>
      <c r="AH240" s="132">
        <v>3.0000000000000001E-6</v>
      </c>
      <c r="AI240" s="132">
        <v>7.3068301058998499E-3</v>
      </c>
      <c r="AJ240" s="132">
        <v>1.2944964690472899E-4</v>
      </c>
    </row>
    <row r="241" spans="1:36" x14ac:dyDescent="0.2">
      <c r="A241" s="6">
        <v>13710</v>
      </c>
      <c r="B241" s="6">
        <v>15444</v>
      </c>
      <c r="C241" s="6" t="s">
        <v>1802</v>
      </c>
      <c r="D241" s="6" t="s">
        <v>1803</v>
      </c>
      <c r="E241" s="3" t="s">
        <v>1477</v>
      </c>
      <c r="F241" s="6" t="s">
        <v>1804</v>
      </c>
      <c r="G241" s="6" t="s">
        <v>1805</v>
      </c>
      <c r="H241" s="6" t="s">
        <v>76</v>
      </c>
      <c r="I241" s="6" t="s">
        <v>228</v>
      </c>
      <c r="J241" s="6" t="s">
        <v>53</v>
      </c>
      <c r="K241" s="6" t="s">
        <v>53</v>
      </c>
      <c r="L241" s="6" t="s">
        <v>805</v>
      </c>
      <c r="M241" s="6" t="s">
        <v>311</v>
      </c>
      <c r="N241" s="6" t="s">
        <v>692</v>
      </c>
      <c r="O241" s="6" t="s">
        <v>62</v>
      </c>
      <c r="P241" s="6" t="s">
        <v>1493</v>
      </c>
      <c r="Q241" s="6" t="s">
        <v>65</v>
      </c>
      <c r="R241" s="6" t="s">
        <v>57</v>
      </c>
      <c r="S241" s="6" t="s">
        <v>1219</v>
      </c>
      <c r="T241" s="131">
        <v>0.76300000000000001</v>
      </c>
      <c r="U241" s="6" t="s">
        <v>1578</v>
      </c>
      <c r="V241" s="134">
        <v>3.5999999999999997E-2</v>
      </c>
      <c r="W241" s="132">
        <v>4.9209999999999997E-2</v>
      </c>
      <c r="X241" s="3" t="s">
        <v>620</v>
      </c>
      <c r="Y241" s="3" t="s">
        <v>62</v>
      </c>
      <c r="Z241" s="131">
        <v>1000</v>
      </c>
      <c r="AA241" s="129">
        <v>1</v>
      </c>
      <c r="AB241" s="157">
        <v>99.96</v>
      </c>
      <c r="AD241" s="131">
        <v>1</v>
      </c>
      <c r="AG241" s="6" t="s">
        <v>17</v>
      </c>
      <c r="AH241" s="132">
        <v>5.0000000000000004E-6</v>
      </c>
      <c r="AI241" s="132">
        <v>6.7584966909017196E-3</v>
      </c>
      <c r="AJ241" s="132">
        <v>1.19735233687395E-4</v>
      </c>
    </row>
    <row r="242" spans="1:36" x14ac:dyDescent="0.2">
      <c r="A242" s="6">
        <v>13710</v>
      </c>
      <c r="B242" s="6">
        <v>15444</v>
      </c>
      <c r="C242" s="6" t="s">
        <v>1811</v>
      </c>
      <c r="D242" s="6" t="s">
        <v>1812</v>
      </c>
      <c r="E242" s="3" t="s">
        <v>1477</v>
      </c>
      <c r="F242" s="6" t="s">
        <v>1816</v>
      </c>
      <c r="G242" s="6" t="s">
        <v>1817</v>
      </c>
      <c r="H242" s="6" t="s">
        <v>76</v>
      </c>
      <c r="I242" s="6" t="s">
        <v>228</v>
      </c>
      <c r="J242" s="6" t="s">
        <v>53</v>
      </c>
      <c r="K242" s="6" t="s">
        <v>53</v>
      </c>
      <c r="L242" s="6" t="s">
        <v>805</v>
      </c>
      <c r="M242" s="6" t="s">
        <v>311</v>
      </c>
      <c r="N242" s="6" t="s">
        <v>75</v>
      </c>
      <c r="O242" s="6" t="s">
        <v>62</v>
      </c>
      <c r="P242" s="6" t="s">
        <v>1577</v>
      </c>
      <c r="Q242" s="6" t="s">
        <v>65</v>
      </c>
      <c r="R242" s="6" t="s">
        <v>57</v>
      </c>
      <c r="S242" s="6" t="s">
        <v>1219</v>
      </c>
      <c r="T242" s="131">
        <v>1.7789999999999999</v>
      </c>
      <c r="U242" s="6" t="s">
        <v>1818</v>
      </c>
      <c r="V242" s="134">
        <v>2.18E-2</v>
      </c>
      <c r="W242" s="132">
        <v>4.8379999999999999E-2</v>
      </c>
      <c r="X242" s="3" t="s">
        <v>620</v>
      </c>
      <c r="Y242" s="3" t="s">
        <v>62</v>
      </c>
      <c r="Z242" s="131">
        <v>1000</v>
      </c>
      <c r="AA242" s="129">
        <v>1</v>
      </c>
      <c r="AB242" s="157">
        <v>95.82</v>
      </c>
      <c r="AD242" s="131">
        <v>0.95799999999999996</v>
      </c>
      <c r="AG242" s="6" t="s">
        <v>17</v>
      </c>
      <c r="AH242" s="132">
        <v>3.9999999999999998E-6</v>
      </c>
      <c r="AI242" s="132">
        <v>6.4785829624069901E-3</v>
      </c>
      <c r="AJ242" s="132">
        <v>1.14776211403823E-4</v>
      </c>
    </row>
    <row r="243" spans="1:36" x14ac:dyDescent="0.2">
      <c r="A243" s="6">
        <v>13710</v>
      </c>
      <c r="B243" s="6">
        <v>15444</v>
      </c>
      <c r="C243" s="6" t="s">
        <v>1833</v>
      </c>
      <c r="D243" s="6" t="s">
        <v>1834</v>
      </c>
      <c r="E243" s="3" t="s">
        <v>432</v>
      </c>
      <c r="F243" s="6" t="s">
        <v>1838</v>
      </c>
      <c r="G243" s="6" t="s">
        <v>1839</v>
      </c>
      <c r="H243" s="6" t="s">
        <v>76</v>
      </c>
      <c r="I243" s="6" t="s">
        <v>230</v>
      </c>
      <c r="J243" s="6" t="s">
        <v>53</v>
      </c>
      <c r="K243" s="6" t="s">
        <v>53</v>
      </c>
      <c r="L243" s="6" t="s">
        <v>805</v>
      </c>
      <c r="M243" s="6" t="s">
        <v>311</v>
      </c>
      <c r="N243" s="6" t="s">
        <v>267</v>
      </c>
      <c r="O243" s="6" t="s">
        <v>62</v>
      </c>
      <c r="P243" s="6" t="s">
        <v>1533</v>
      </c>
      <c r="Q243" s="6" t="s">
        <v>65</v>
      </c>
      <c r="R243" s="6" t="s">
        <v>57</v>
      </c>
      <c r="S243" s="6" t="s">
        <v>1219</v>
      </c>
      <c r="T243" s="131">
        <v>0.27400000000000002</v>
      </c>
      <c r="U243" s="6" t="s">
        <v>1840</v>
      </c>
      <c r="V243" s="134">
        <v>3.49E-2</v>
      </c>
      <c r="W243" s="132">
        <v>2.896E-2</v>
      </c>
      <c r="X243" s="3" t="s">
        <v>620</v>
      </c>
      <c r="Y243" s="3" t="s">
        <v>62</v>
      </c>
      <c r="Z243" s="131">
        <v>1000</v>
      </c>
      <c r="AA243" s="129">
        <v>1</v>
      </c>
      <c r="AB243" s="157">
        <v>94.47</v>
      </c>
      <c r="AD243" s="131">
        <v>0.94499999999999995</v>
      </c>
      <c r="AG243" s="6" t="s">
        <v>17</v>
      </c>
      <c r="AH243" s="132">
        <v>3.0000000000000001E-6</v>
      </c>
      <c r="AI243" s="132">
        <v>6.3873067465934899E-3</v>
      </c>
      <c r="AJ243" s="132">
        <v>1.1315913892005E-4</v>
      </c>
    </row>
    <row r="244" spans="1:36" x14ac:dyDescent="0.2">
      <c r="A244" s="6">
        <v>13710</v>
      </c>
      <c r="B244" s="6">
        <v>15444</v>
      </c>
      <c r="C244" s="6" t="s">
        <v>1849</v>
      </c>
      <c r="D244" s="6" t="s">
        <v>1850</v>
      </c>
      <c r="E244" s="3" t="s">
        <v>1477</v>
      </c>
      <c r="F244" s="6" t="s">
        <v>1851</v>
      </c>
      <c r="G244" s="6" t="s">
        <v>1852</v>
      </c>
      <c r="H244" s="6" t="s">
        <v>76</v>
      </c>
      <c r="I244" s="6" t="s">
        <v>607</v>
      </c>
      <c r="J244" s="6" t="s">
        <v>53</v>
      </c>
      <c r="K244" s="6" t="s">
        <v>53</v>
      </c>
      <c r="L244" s="6" t="s">
        <v>805</v>
      </c>
      <c r="M244" s="6" t="s">
        <v>311</v>
      </c>
      <c r="N244" s="6" t="s">
        <v>269</v>
      </c>
      <c r="O244" s="6" t="s">
        <v>62</v>
      </c>
      <c r="P244" s="6" t="s">
        <v>1577</v>
      </c>
      <c r="Q244" s="6" t="s">
        <v>65</v>
      </c>
      <c r="R244" s="6" t="s">
        <v>57</v>
      </c>
      <c r="S244" s="6" t="s">
        <v>1219</v>
      </c>
      <c r="T244" s="131">
        <v>2.6040000000000001</v>
      </c>
      <c r="U244" s="6" t="s">
        <v>1608</v>
      </c>
      <c r="V244" s="134">
        <v>2.8000000000000001E-2</v>
      </c>
      <c r="W244" s="132">
        <v>1E-4</v>
      </c>
      <c r="X244" s="3" t="s">
        <v>620</v>
      </c>
      <c r="Y244" s="3" t="s">
        <v>62</v>
      </c>
      <c r="Z244" s="131">
        <v>12000</v>
      </c>
      <c r="AA244" s="129">
        <v>1</v>
      </c>
      <c r="AB244" s="157">
        <v>183.2</v>
      </c>
      <c r="AD244" s="131">
        <v>21.984000000000002</v>
      </c>
      <c r="AG244" s="6" t="s">
        <v>17</v>
      </c>
      <c r="AH244" s="132">
        <v>8.0000000000000007E-5</v>
      </c>
      <c r="AI244" s="132">
        <v>0.14863824655140401</v>
      </c>
      <c r="AJ244" s="132">
        <v>2.6333127024646698E-3</v>
      </c>
    </row>
    <row r="245" spans="1:36" x14ac:dyDescent="0.2">
      <c r="A245" s="6">
        <v>13710</v>
      </c>
      <c r="B245" s="6">
        <v>15444</v>
      </c>
      <c r="C245" s="6" t="s">
        <v>1220</v>
      </c>
      <c r="D245" s="6" t="s">
        <v>1483</v>
      </c>
      <c r="E245" s="3" t="s">
        <v>1477</v>
      </c>
      <c r="F245" s="6" t="s">
        <v>1857</v>
      </c>
      <c r="G245" s="6" t="s">
        <v>1858</v>
      </c>
      <c r="H245" s="6" t="s">
        <v>76</v>
      </c>
      <c r="I245" s="6" t="s">
        <v>228</v>
      </c>
      <c r="J245" s="6" t="s">
        <v>53</v>
      </c>
      <c r="K245" s="6" t="s">
        <v>53</v>
      </c>
      <c r="L245" s="6" t="s">
        <v>805</v>
      </c>
      <c r="M245" s="6" t="s">
        <v>311</v>
      </c>
      <c r="N245" s="6" t="s">
        <v>256</v>
      </c>
      <c r="O245" s="6" t="s">
        <v>62</v>
      </c>
      <c r="P245" s="6" t="s">
        <v>1213</v>
      </c>
      <c r="Q245" s="6" t="s">
        <v>65</v>
      </c>
      <c r="R245" s="6" t="s">
        <v>57</v>
      </c>
      <c r="S245" s="6" t="s">
        <v>1219</v>
      </c>
      <c r="T245" s="131">
        <v>2.4529999999999998</v>
      </c>
      <c r="U245" s="6" t="s">
        <v>1859</v>
      </c>
      <c r="V245" s="134">
        <v>2.76E-2</v>
      </c>
      <c r="W245" s="132">
        <v>4.3869999999999999E-2</v>
      </c>
      <c r="X245" s="3" t="s">
        <v>620</v>
      </c>
      <c r="Y245" s="3" t="s">
        <v>62</v>
      </c>
      <c r="Z245" s="131">
        <v>2000</v>
      </c>
      <c r="AA245" s="129">
        <v>1</v>
      </c>
      <c r="AB245" s="157">
        <v>96.65</v>
      </c>
      <c r="AD245" s="131">
        <v>1.9330000000000001</v>
      </c>
      <c r="AG245" s="6" t="s">
        <v>17</v>
      </c>
      <c r="AH245" s="132">
        <v>9.9999999999999995E-7</v>
      </c>
      <c r="AI245" s="132">
        <v>1.3069401864258701E-2</v>
      </c>
      <c r="AJ245" s="132">
        <v>2.3154082304695299E-4</v>
      </c>
    </row>
    <row r="246" spans="1:36" x14ac:dyDescent="0.2">
      <c r="A246" s="6">
        <v>13710</v>
      </c>
      <c r="B246" s="6">
        <v>15444</v>
      </c>
      <c r="C246" s="6" t="s">
        <v>1220</v>
      </c>
      <c r="D246" s="6" t="s">
        <v>1483</v>
      </c>
      <c r="E246" s="3" t="s">
        <v>1477</v>
      </c>
      <c r="F246" s="6" t="s">
        <v>1863</v>
      </c>
      <c r="G246" s="6" t="s">
        <v>1864</v>
      </c>
      <c r="H246" s="6" t="s">
        <v>76</v>
      </c>
      <c r="I246" s="6" t="s">
        <v>229</v>
      </c>
      <c r="J246" s="6" t="s">
        <v>53</v>
      </c>
      <c r="K246" s="6" t="s">
        <v>53</v>
      </c>
      <c r="L246" s="6" t="s">
        <v>805</v>
      </c>
      <c r="M246" s="6" t="s">
        <v>311</v>
      </c>
      <c r="N246" s="6" t="s">
        <v>256</v>
      </c>
      <c r="O246" s="6" t="s">
        <v>62</v>
      </c>
      <c r="P246" s="6" t="s">
        <v>1213</v>
      </c>
      <c r="Q246" s="6" t="s">
        <v>65</v>
      </c>
      <c r="R246" s="6" t="s">
        <v>57</v>
      </c>
      <c r="S246" s="6" t="s">
        <v>1219</v>
      </c>
      <c r="T246" s="131">
        <v>4.3920000000000003</v>
      </c>
      <c r="U246" s="6" t="s">
        <v>1865</v>
      </c>
      <c r="V246" s="134">
        <v>1E-3</v>
      </c>
      <c r="W246" s="132">
        <v>2.581E-2</v>
      </c>
      <c r="X246" s="3" t="s">
        <v>620</v>
      </c>
      <c r="Y246" s="3" t="s">
        <v>62</v>
      </c>
      <c r="Z246" s="131">
        <v>2000</v>
      </c>
      <c r="AA246" s="129">
        <v>1</v>
      </c>
      <c r="AB246" s="157">
        <v>102.6</v>
      </c>
      <c r="AD246" s="131">
        <v>2.052</v>
      </c>
      <c r="AG246" s="6" t="s">
        <v>17</v>
      </c>
      <c r="AH246" s="132">
        <v>0</v>
      </c>
      <c r="AI246" s="132">
        <v>1.38739848036518E-2</v>
      </c>
      <c r="AJ246" s="132">
        <v>2.4579501753354801E-4</v>
      </c>
    </row>
    <row r="247" spans="1:36" x14ac:dyDescent="0.2">
      <c r="A247" s="6">
        <v>13710</v>
      </c>
      <c r="B247" s="6">
        <v>15444</v>
      </c>
      <c r="C247" s="6" t="s">
        <v>1887</v>
      </c>
      <c r="D247" s="6" t="s">
        <v>1888</v>
      </c>
      <c r="E247" s="3" t="s">
        <v>1477</v>
      </c>
      <c r="F247" s="6" t="s">
        <v>1889</v>
      </c>
      <c r="G247" s="6" t="s">
        <v>1890</v>
      </c>
      <c r="H247" s="6" t="s">
        <v>76</v>
      </c>
      <c r="I247" s="6" t="s">
        <v>228</v>
      </c>
      <c r="J247" s="6" t="s">
        <v>53</v>
      </c>
      <c r="K247" s="6" t="s">
        <v>53</v>
      </c>
      <c r="L247" s="6" t="s">
        <v>805</v>
      </c>
      <c r="M247" s="6" t="s">
        <v>311</v>
      </c>
      <c r="N247" s="6" t="s">
        <v>269</v>
      </c>
      <c r="O247" s="6" t="s">
        <v>62</v>
      </c>
      <c r="P247" s="6" t="s">
        <v>1521</v>
      </c>
      <c r="Q247" s="6" t="s">
        <v>70</v>
      </c>
      <c r="R247" s="6" t="s">
        <v>57</v>
      </c>
      <c r="S247" s="6" t="s">
        <v>1219</v>
      </c>
      <c r="T247" s="131">
        <v>0.499</v>
      </c>
      <c r="U247" s="6" t="s">
        <v>1499</v>
      </c>
      <c r="V247" s="134">
        <v>2.63E-2</v>
      </c>
      <c r="W247" s="132">
        <v>4.7759999999999997E-2</v>
      </c>
      <c r="X247" s="3" t="s">
        <v>620</v>
      </c>
      <c r="Y247" s="3" t="s">
        <v>62</v>
      </c>
      <c r="Z247" s="131">
        <v>3000</v>
      </c>
      <c r="AA247" s="129">
        <v>1</v>
      </c>
      <c r="AB247" s="157">
        <v>100.27</v>
      </c>
      <c r="AD247" s="131">
        <v>3.008</v>
      </c>
      <c r="AG247" s="6" t="s">
        <v>17</v>
      </c>
      <c r="AH247" s="132">
        <v>6.0000000000000002E-6</v>
      </c>
      <c r="AI247" s="132">
        <v>2.03383692435989E-2</v>
      </c>
      <c r="AJ247" s="132">
        <v>3.6031968432878402E-4</v>
      </c>
    </row>
    <row r="248" spans="1:36" x14ac:dyDescent="0.2">
      <c r="A248" s="6">
        <v>13710</v>
      </c>
      <c r="B248" s="6">
        <v>15444</v>
      </c>
      <c r="C248" s="6" t="s">
        <v>1940</v>
      </c>
      <c r="D248" s="6" t="s">
        <v>1941</v>
      </c>
      <c r="E248" s="3" t="s">
        <v>1477</v>
      </c>
      <c r="F248" s="6" t="s">
        <v>1942</v>
      </c>
      <c r="G248" s="6" t="s">
        <v>1943</v>
      </c>
      <c r="H248" s="6" t="s">
        <v>76</v>
      </c>
      <c r="I248" s="6" t="s">
        <v>229</v>
      </c>
      <c r="J248" s="6" t="s">
        <v>53</v>
      </c>
      <c r="K248" s="6" t="s">
        <v>53</v>
      </c>
      <c r="L248" s="6" t="s">
        <v>805</v>
      </c>
      <c r="M248" s="6" t="s">
        <v>311</v>
      </c>
      <c r="N248" s="6" t="s">
        <v>633</v>
      </c>
      <c r="O248" s="6" t="s">
        <v>62</v>
      </c>
      <c r="P248" s="6" t="s">
        <v>1521</v>
      </c>
      <c r="Q248" s="6" t="s">
        <v>70</v>
      </c>
      <c r="R248" s="6" t="s">
        <v>57</v>
      </c>
      <c r="S248" s="6" t="s">
        <v>1219</v>
      </c>
      <c r="T248" s="131">
        <v>0.499</v>
      </c>
      <c r="U248" s="6" t="s">
        <v>1499</v>
      </c>
      <c r="V248" s="134">
        <v>1.8499999999999999E-2</v>
      </c>
      <c r="W248" s="132">
        <v>2.7910000000000001E-2</v>
      </c>
      <c r="X248" s="3" t="s">
        <v>620</v>
      </c>
      <c r="Y248" s="3" t="s">
        <v>62</v>
      </c>
      <c r="Z248" s="131">
        <v>571.42999999999995</v>
      </c>
      <c r="AA248" s="129">
        <v>1</v>
      </c>
      <c r="AB248" s="157">
        <v>116.51</v>
      </c>
      <c r="AD248" s="131">
        <v>0.66600000000000004</v>
      </c>
      <c r="AG248" s="6" t="s">
        <v>17</v>
      </c>
      <c r="AH248" s="132">
        <v>3.9999999999999998E-6</v>
      </c>
      <c r="AI248" s="132">
        <v>4.5014258162584097E-3</v>
      </c>
      <c r="AJ248" s="132">
        <v>7.9748396231627298E-5</v>
      </c>
    </row>
    <row r="249" spans="1:36" x14ac:dyDescent="0.2">
      <c r="A249" s="6">
        <v>13710</v>
      </c>
      <c r="B249" s="6">
        <v>15444</v>
      </c>
      <c r="C249" s="6" t="s">
        <v>1966</v>
      </c>
      <c r="D249" s="6" t="s">
        <v>1967</v>
      </c>
      <c r="E249" s="3" t="s">
        <v>1477</v>
      </c>
      <c r="F249" s="6" t="s">
        <v>1968</v>
      </c>
      <c r="G249" s="6" t="s">
        <v>1969</v>
      </c>
      <c r="H249" s="6" t="s">
        <v>76</v>
      </c>
      <c r="I249" s="6" t="s">
        <v>228</v>
      </c>
      <c r="J249" s="6" t="s">
        <v>53</v>
      </c>
      <c r="K249" s="6" t="s">
        <v>53</v>
      </c>
      <c r="L249" s="6" t="s">
        <v>805</v>
      </c>
      <c r="M249" s="6" t="s">
        <v>311</v>
      </c>
      <c r="N249" s="6" t="s">
        <v>633</v>
      </c>
      <c r="O249" s="6" t="s">
        <v>62</v>
      </c>
      <c r="P249" s="6" t="s">
        <v>1604</v>
      </c>
      <c r="Q249" s="6" t="s">
        <v>70</v>
      </c>
      <c r="R249" s="6" t="s">
        <v>57</v>
      </c>
      <c r="S249" s="6" t="s">
        <v>1219</v>
      </c>
      <c r="T249" s="131">
        <v>0.73099999999999998</v>
      </c>
      <c r="U249" s="6" t="s">
        <v>1578</v>
      </c>
      <c r="V249" s="134">
        <v>0.114</v>
      </c>
      <c r="W249" s="132">
        <v>5.91E-2</v>
      </c>
      <c r="X249" s="3" t="s">
        <v>620</v>
      </c>
      <c r="Y249" s="3" t="s">
        <v>62</v>
      </c>
      <c r="Z249" s="131">
        <v>2000</v>
      </c>
      <c r="AA249" s="129">
        <v>1</v>
      </c>
      <c r="AB249" s="157">
        <v>102.52</v>
      </c>
      <c r="AD249" s="131">
        <v>2.0499999999999998</v>
      </c>
      <c r="AG249" s="6" t="s">
        <v>17</v>
      </c>
      <c r="AH249" s="132">
        <v>7.9999999999999996E-6</v>
      </c>
      <c r="AI249" s="132">
        <v>1.38631668817776E-2</v>
      </c>
      <c r="AJ249" s="132">
        <v>2.4560336449843399E-4</v>
      </c>
    </row>
    <row r="250" spans="1:36" x14ac:dyDescent="0.2">
      <c r="A250" s="6">
        <v>13710</v>
      </c>
      <c r="B250" s="6">
        <v>15444</v>
      </c>
      <c r="C250" s="6" t="s">
        <v>1970</v>
      </c>
      <c r="D250" s="6" t="s">
        <v>1971</v>
      </c>
      <c r="E250" s="3" t="s">
        <v>1477</v>
      </c>
      <c r="F250" s="6" t="s">
        <v>1972</v>
      </c>
      <c r="G250" s="6" t="s">
        <v>1973</v>
      </c>
      <c r="H250" s="6" t="s">
        <v>76</v>
      </c>
      <c r="I250" s="6" t="s">
        <v>229</v>
      </c>
      <c r="J250" s="6" t="s">
        <v>53</v>
      </c>
      <c r="K250" s="6" t="s">
        <v>53</v>
      </c>
      <c r="L250" s="6" t="s">
        <v>805</v>
      </c>
      <c r="M250" s="6" t="s">
        <v>311</v>
      </c>
      <c r="N250" s="6" t="s">
        <v>258</v>
      </c>
      <c r="O250" s="6" t="s">
        <v>62</v>
      </c>
      <c r="P250" s="6" t="s">
        <v>1213</v>
      </c>
      <c r="Q250" s="6" t="s">
        <v>65</v>
      </c>
      <c r="R250" s="6" t="s">
        <v>57</v>
      </c>
      <c r="S250" s="6" t="s">
        <v>1219</v>
      </c>
      <c r="T250" s="131">
        <v>1.4810000000000001</v>
      </c>
      <c r="U250" s="6" t="s">
        <v>1605</v>
      </c>
      <c r="V250" s="134">
        <v>1E-3</v>
      </c>
      <c r="W250" s="132">
        <v>2.6009999999999998E-2</v>
      </c>
      <c r="X250" s="3" t="s">
        <v>620</v>
      </c>
      <c r="Y250" s="3" t="s">
        <v>62</v>
      </c>
      <c r="Z250" s="131">
        <v>5000</v>
      </c>
      <c r="AA250" s="129">
        <v>1</v>
      </c>
      <c r="AB250" s="157">
        <v>111.15</v>
      </c>
      <c r="AD250" s="131">
        <v>5.5579999999999998</v>
      </c>
      <c r="AG250" s="6" t="s">
        <v>17</v>
      </c>
      <c r="AH250" s="132">
        <v>7.9999999999999996E-6</v>
      </c>
      <c r="AI250" s="132">
        <v>3.7575375509890298E-2</v>
      </c>
      <c r="AJ250" s="132">
        <v>6.6569483915335801E-4</v>
      </c>
    </row>
    <row r="251" spans="1:36" x14ac:dyDescent="0.2">
      <c r="A251" s="6">
        <v>13710</v>
      </c>
      <c r="B251" s="6">
        <v>15444</v>
      </c>
      <c r="C251" s="6" t="s">
        <v>1986</v>
      </c>
      <c r="D251" s="6" t="s">
        <v>1987</v>
      </c>
      <c r="E251" s="3" t="s">
        <v>1477</v>
      </c>
      <c r="F251" s="6" t="s">
        <v>1988</v>
      </c>
      <c r="G251" s="6" t="s">
        <v>1989</v>
      </c>
      <c r="H251" s="6" t="s">
        <v>76</v>
      </c>
      <c r="I251" s="6" t="s">
        <v>228</v>
      </c>
      <c r="J251" s="6" t="s">
        <v>53</v>
      </c>
      <c r="K251" s="6" t="s">
        <v>53</v>
      </c>
      <c r="L251" s="6" t="s">
        <v>805</v>
      </c>
      <c r="M251" s="6" t="s">
        <v>311</v>
      </c>
      <c r="N251" s="6" t="s">
        <v>633</v>
      </c>
      <c r="O251" s="6" t="s">
        <v>62</v>
      </c>
      <c r="P251" s="6" t="s">
        <v>1628</v>
      </c>
      <c r="Q251" s="6" t="s">
        <v>65</v>
      </c>
      <c r="R251" s="6" t="s">
        <v>57</v>
      </c>
      <c r="S251" s="6" t="s">
        <v>1219</v>
      </c>
      <c r="T251" s="131">
        <v>6.29</v>
      </c>
      <c r="U251" s="6" t="s">
        <v>1797</v>
      </c>
      <c r="V251" s="134">
        <v>1.55E-2</v>
      </c>
      <c r="W251" s="132">
        <v>5.4399999999999997E-2</v>
      </c>
      <c r="X251" s="3" t="s">
        <v>620</v>
      </c>
      <c r="Y251" s="3" t="s">
        <v>62</v>
      </c>
      <c r="Z251" s="131">
        <v>3333.33</v>
      </c>
      <c r="AA251" s="129">
        <v>1</v>
      </c>
      <c r="AB251" s="157">
        <v>98.94</v>
      </c>
      <c r="AD251" s="131">
        <v>3.298</v>
      </c>
      <c r="AG251" s="6" t="s">
        <v>17</v>
      </c>
      <c r="AH251" s="132">
        <v>1.03E-4</v>
      </c>
      <c r="AI251" s="132">
        <v>2.2298419164737699E-2</v>
      </c>
      <c r="AJ251" s="132">
        <v>3.9504442358366098E-4</v>
      </c>
    </row>
    <row r="252" spans="1:36" x14ac:dyDescent="0.2">
      <c r="A252" s="6">
        <v>13710</v>
      </c>
      <c r="B252" s="6">
        <v>15444</v>
      </c>
      <c r="C252" s="6" t="s">
        <v>1990</v>
      </c>
      <c r="D252" s="6" t="s">
        <v>1991</v>
      </c>
      <c r="E252" s="3" t="s">
        <v>432</v>
      </c>
      <c r="F252" s="6" t="s">
        <v>1992</v>
      </c>
      <c r="G252" s="6" t="s">
        <v>1993</v>
      </c>
      <c r="H252" s="6" t="s">
        <v>76</v>
      </c>
      <c r="I252" s="6" t="s">
        <v>228</v>
      </c>
      <c r="J252" s="6" t="s">
        <v>53</v>
      </c>
      <c r="K252" s="6" t="s">
        <v>53</v>
      </c>
      <c r="L252" s="6" t="s">
        <v>805</v>
      </c>
      <c r="M252" s="6" t="s">
        <v>102</v>
      </c>
      <c r="N252" s="6" t="s">
        <v>267</v>
      </c>
      <c r="O252" s="6" t="s">
        <v>62</v>
      </c>
      <c r="P252" s="6" t="s">
        <v>1994</v>
      </c>
      <c r="Q252" s="6" t="s">
        <v>65</v>
      </c>
      <c r="R252" s="6" t="s">
        <v>57</v>
      </c>
      <c r="S252" s="6" t="s">
        <v>1219</v>
      </c>
      <c r="T252" s="131">
        <v>3.9449999999999998</v>
      </c>
      <c r="U252" s="6" t="s">
        <v>1713</v>
      </c>
      <c r="V252" s="134">
        <v>0.06</v>
      </c>
      <c r="W252" s="132">
        <v>6.25E-2</v>
      </c>
      <c r="X252" s="3" t="s">
        <v>620</v>
      </c>
      <c r="Y252" s="3" t="s">
        <v>62</v>
      </c>
      <c r="Z252" s="131">
        <v>3000</v>
      </c>
      <c r="AA252" s="129">
        <v>1</v>
      </c>
      <c r="AB252" s="157">
        <v>100.526</v>
      </c>
      <c r="AD252" s="131">
        <v>3.016</v>
      </c>
      <c r="AG252" s="6" t="s">
        <v>17</v>
      </c>
      <c r="AH252" s="132">
        <v>0</v>
      </c>
      <c r="AI252" s="132">
        <v>2.0390302349601E-2</v>
      </c>
      <c r="AJ252" s="132">
        <v>3.6123974434621998E-4</v>
      </c>
    </row>
    <row r="253" spans="1:36" x14ac:dyDescent="0.2">
      <c r="A253" s="6">
        <v>13710</v>
      </c>
      <c r="B253" s="6">
        <v>15444</v>
      </c>
      <c r="C253" s="6" t="s">
        <v>1998</v>
      </c>
      <c r="D253" s="6" t="s">
        <v>1999</v>
      </c>
      <c r="E253" s="3" t="s">
        <v>1477</v>
      </c>
      <c r="F253" s="6" t="s">
        <v>2000</v>
      </c>
      <c r="G253" s="6" t="s">
        <v>2001</v>
      </c>
      <c r="H253" s="6" t="s">
        <v>76</v>
      </c>
      <c r="I253" s="6" t="s">
        <v>607</v>
      </c>
      <c r="J253" s="6" t="s">
        <v>53</v>
      </c>
      <c r="K253" s="6" t="s">
        <v>53</v>
      </c>
      <c r="L253" s="6" t="s">
        <v>805</v>
      </c>
      <c r="M253" s="6" t="s">
        <v>311</v>
      </c>
      <c r="N253" s="6" t="s">
        <v>631</v>
      </c>
      <c r="O253" s="6" t="s">
        <v>62</v>
      </c>
      <c r="P253" s="6" t="s">
        <v>1604</v>
      </c>
      <c r="Q253" s="6" t="s">
        <v>70</v>
      </c>
      <c r="R253" s="6" t="s">
        <v>57</v>
      </c>
      <c r="S253" s="6" t="s">
        <v>1219</v>
      </c>
      <c r="T253" s="131">
        <v>3.26</v>
      </c>
      <c r="U253" s="6" t="s">
        <v>1509</v>
      </c>
      <c r="V253" s="134">
        <v>0.05</v>
      </c>
      <c r="W253" s="132">
        <v>3.0509999999999999E-2</v>
      </c>
      <c r="X253" s="3" t="s">
        <v>620</v>
      </c>
      <c r="Y253" s="3" t="s">
        <v>62</v>
      </c>
      <c r="Z253" s="131">
        <v>5000</v>
      </c>
      <c r="AA253" s="129">
        <v>1</v>
      </c>
      <c r="AB253" s="157">
        <v>106.5</v>
      </c>
      <c r="AD253" s="131">
        <v>5.3250000000000002</v>
      </c>
      <c r="AG253" s="6" t="s">
        <v>17</v>
      </c>
      <c r="AH253" s="132">
        <v>1.0000000000000001E-5</v>
      </c>
      <c r="AI253" s="132">
        <v>3.6003396237546698E-2</v>
      </c>
      <c r="AJ253" s="132">
        <v>6.3784525748837302E-4</v>
      </c>
    </row>
    <row r="254" spans="1:36" x14ac:dyDescent="0.2">
      <c r="A254" s="6">
        <v>13710</v>
      </c>
      <c r="B254" s="6">
        <v>15444</v>
      </c>
      <c r="C254" s="6" t="s">
        <v>2020</v>
      </c>
      <c r="D254" s="6" t="s">
        <v>2021</v>
      </c>
      <c r="E254" s="3" t="s">
        <v>1477</v>
      </c>
      <c r="F254" s="6" t="s">
        <v>2022</v>
      </c>
      <c r="G254" s="6" t="s">
        <v>2023</v>
      </c>
      <c r="H254" s="6" t="s">
        <v>76</v>
      </c>
      <c r="I254" s="6" t="s">
        <v>228</v>
      </c>
      <c r="J254" s="6" t="s">
        <v>53</v>
      </c>
      <c r="K254" s="6" t="s">
        <v>317</v>
      </c>
      <c r="L254" s="6" t="s">
        <v>805</v>
      </c>
      <c r="M254" s="6" t="s">
        <v>311</v>
      </c>
      <c r="N254" s="6" t="s">
        <v>636</v>
      </c>
      <c r="O254" s="6" t="s">
        <v>62</v>
      </c>
      <c r="P254" s="6" t="s">
        <v>2024</v>
      </c>
      <c r="Q254" s="6" t="s">
        <v>70</v>
      </c>
      <c r="R254" s="6" t="s">
        <v>57</v>
      </c>
      <c r="S254" s="6" t="s">
        <v>1219</v>
      </c>
      <c r="T254" s="131">
        <v>1.421</v>
      </c>
      <c r="U254" s="6" t="s">
        <v>1516</v>
      </c>
      <c r="V254" s="134">
        <v>2.75E-2</v>
      </c>
      <c r="W254" s="132">
        <v>5.0349999999999999E-2</v>
      </c>
      <c r="X254" s="3" t="s">
        <v>620</v>
      </c>
      <c r="Y254" s="3" t="s">
        <v>62</v>
      </c>
      <c r="Z254" s="131">
        <v>963.56</v>
      </c>
      <c r="AA254" s="129">
        <v>1</v>
      </c>
      <c r="AB254" s="157">
        <v>96.95</v>
      </c>
      <c r="AD254" s="131">
        <v>0.93400000000000005</v>
      </c>
      <c r="AG254" s="6" t="s">
        <v>17</v>
      </c>
      <c r="AH254" s="132">
        <v>1.2999999999999999E-5</v>
      </c>
      <c r="AI254" s="132">
        <v>6.3161208991646296E-3</v>
      </c>
      <c r="AJ254" s="132">
        <v>1.11897992474775E-4</v>
      </c>
    </row>
    <row r="255" spans="1:36" x14ac:dyDescent="0.2">
      <c r="A255" s="6">
        <v>13710</v>
      </c>
      <c r="B255" s="6">
        <v>15444</v>
      </c>
      <c r="C255" s="6" t="s">
        <v>2025</v>
      </c>
      <c r="D255" s="6" t="s">
        <v>2026</v>
      </c>
      <c r="E255" s="3" t="s">
        <v>1477</v>
      </c>
      <c r="F255" s="6" t="s">
        <v>2027</v>
      </c>
      <c r="G255" s="6" t="s">
        <v>2028</v>
      </c>
      <c r="H255" s="6" t="s">
        <v>76</v>
      </c>
      <c r="I255" s="6" t="s">
        <v>229</v>
      </c>
      <c r="J255" s="6" t="s">
        <v>53</v>
      </c>
      <c r="K255" s="6" t="s">
        <v>53</v>
      </c>
      <c r="L255" s="6" t="s">
        <v>805</v>
      </c>
      <c r="M255" s="6" t="s">
        <v>102</v>
      </c>
      <c r="N255" s="6" t="s">
        <v>631</v>
      </c>
      <c r="O255" s="6" t="s">
        <v>62</v>
      </c>
      <c r="P255" s="6" t="s">
        <v>298</v>
      </c>
      <c r="Q255" s="6" t="s">
        <v>298</v>
      </c>
      <c r="R255" s="6" t="s">
        <v>298</v>
      </c>
      <c r="S255" s="6" t="s">
        <v>1219</v>
      </c>
      <c r="T255" s="131">
        <v>3.996</v>
      </c>
      <c r="U255" s="6" t="s">
        <v>1713</v>
      </c>
      <c r="V255" s="134">
        <v>4.9000000000000002E-2</v>
      </c>
      <c r="W255" s="132">
        <v>4.4699999999999997E-2</v>
      </c>
      <c r="X255" s="3" t="s">
        <v>620</v>
      </c>
      <c r="Y255" s="3" t="s">
        <v>62</v>
      </c>
      <c r="Z255" s="131">
        <v>1000</v>
      </c>
      <c r="AA255" s="129">
        <v>1</v>
      </c>
      <c r="AB255" s="157">
        <v>103.5</v>
      </c>
      <c r="AD255" s="131">
        <v>1.0349999999999999</v>
      </c>
      <c r="AG255" s="6" t="s">
        <v>17</v>
      </c>
      <c r="AH255" s="132">
        <v>1.9999999999999999E-6</v>
      </c>
      <c r="AI255" s="132">
        <v>6.9978432123682299E-3</v>
      </c>
      <c r="AJ255" s="132">
        <v>1.23975557089289E-4</v>
      </c>
    </row>
    <row r="256" spans="1:36" x14ac:dyDescent="0.2">
      <c r="A256" s="6">
        <v>13710</v>
      </c>
      <c r="B256" s="6">
        <v>15444</v>
      </c>
      <c r="C256" s="6" t="s">
        <v>2034</v>
      </c>
      <c r="D256" s="6" t="s">
        <v>2035</v>
      </c>
      <c r="E256" s="3" t="s">
        <v>1477</v>
      </c>
      <c r="F256" s="6" t="s">
        <v>2036</v>
      </c>
      <c r="G256" s="6" t="s">
        <v>2037</v>
      </c>
      <c r="H256" s="6" t="s">
        <v>76</v>
      </c>
      <c r="I256" s="6" t="s">
        <v>229</v>
      </c>
      <c r="J256" s="6" t="s">
        <v>53</v>
      </c>
      <c r="K256" s="6" t="s">
        <v>53</v>
      </c>
      <c r="L256" s="6" t="s">
        <v>805</v>
      </c>
      <c r="M256" s="6" t="s">
        <v>311</v>
      </c>
      <c r="N256" s="6" t="s">
        <v>635</v>
      </c>
      <c r="O256" s="6" t="s">
        <v>62</v>
      </c>
      <c r="P256" s="6" t="s">
        <v>1965</v>
      </c>
      <c r="Q256" s="6" t="s">
        <v>70</v>
      </c>
      <c r="R256" s="6" t="s">
        <v>57</v>
      </c>
      <c r="S256" s="6" t="s">
        <v>1219</v>
      </c>
      <c r="T256" s="131">
        <v>2.21</v>
      </c>
      <c r="U256" s="6" t="s">
        <v>2038</v>
      </c>
      <c r="V256" s="134">
        <v>1.9599999999999999E-2</v>
      </c>
      <c r="W256" s="132">
        <v>2.9499999999999998E-2</v>
      </c>
      <c r="X256" s="3" t="s">
        <v>620</v>
      </c>
      <c r="Y256" s="3" t="s">
        <v>62</v>
      </c>
      <c r="Z256" s="131">
        <v>1000</v>
      </c>
      <c r="AA256" s="129">
        <v>1</v>
      </c>
      <c r="AB256" s="157">
        <v>115.75</v>
      </c>
      <c r="AD256" s="131">
        <v>1.157</v>
      </c>
      <c r="AG256" s="6" t="s">
        <v>17</v>
      </c>
      <c r="AH256" s="132">
        <v>9.9999999999999995E-7</v>
      </c>
      <c r="AI256" s="132">
        <v>7.8260903558610793E-3</v>
      </c>
      <c r="AJ256" s="132">
        <v>1.3864899259019599E-4</v>
      </c>
    </row>
    <row r="257" spans="1:36" x14ac:dyDescent="0.2">
      <c r="A257" s="6">
        <v>13710</v>
      </c>
      <c r="B257" s="6">
        <v>15444</v>
      </c>
      <c r="C257" s="6" t="s">
        <v>2034</v>
      </c>
      <c r="D257" s="6" t="s">
        <v>2035</v>
      </c>
      <c r="E257" s="3" t="s">
        <v>1477</v>
      </c>
      <c r="F257" s="6" t="s">
        <v>2042</v>
      </c>
      <c r="G257" s="6" t="s">
        <v>2043</v>
      </c>
      <c r="H257" s="6" t="s">
        <v>76</v>
      </c>
      <c r="I257" s="6" t="s">
        <v>229</v>
      </c>
      <c r="J257" s="6" t="s">
        <v>53</v>
      </c>
      <c r="K257" s="6" t="s">
        <v>53</v>
      </c>
      <c r="L257" s="6" t="s">
        <v>805</v>
      </c>
      <c r="M257" s="6" t="s">
        <v>1227</v>
      </c>
      <c r="N257" s="6" t="s">
        <v>635</v>
      </c>
      <c r="O257" s="6" t="s">
        <v>62</v>
      </c>
      <c r="P257" s="6" t="s">
        <v>1533</v>
      </c>
      <c r="Q257" s="6" t="s">
        <v>65</v>
      </c>
      <c r="R257" s="6" t="s">
        <v>57</v>
      </c>
      <c r="S257" s="6" t="s">
        <v>1219</v>
      </c>
      <c r="T257" s="131">
        <v>7.1980000000000004</v>
      </c>
      <c r="U257" s="6" t="s">
        <v>2044</v>
      </c>
      <c r="V257" s="134">
        <v>0.03</v>
      </c>
      <c r="W257" s="132">
        <v>3.1690000000000003E-2</v>
      </c>
      <c r="X257" s="3" t="s">
        <v>620</v>
      </c>
      <c r="Y257" s="3" t="s">
        <v>62</v>
      </c>
      <c r="Z257" s="131">
        <v>1920</v>
      </c>
      <c r="AA257" s="129">
        <v>1</v>
      </c>
      <c r="AB257" s="157">
        <v>104.37</v>
      </c>
      <c r="AD257" s="131">
        <v>2.004</v>
      </c>
      <c r="AG257" s="6" t="s">
        <v>17</v>
      </c>
      <c r="AH257" s="132">
        <v>3.9999999999999998E-6</v>
      </c>
      <c r="AI257" s="132">
        <v>1.3548798072113601E-2</v>
      </c>
      <c r="AJ257" s="132">
        <v>2.40033927298024E-4</v>
      </c>
    </row>
    <row r="258" spans="1:36" x14ac:dyDescent="0.2">
      <c r="A258" s="6">
        <v>13710</v>
      </c>
      <c r="B258" s="6">
        <v>15444</v>
      </c>
      <c r="C258" s="6" t="s">
        <v>2064</v>
      </c>
      <c r="D258" s="6" t="s">
        <v>2065</v>
      </c>
      <c r="E258" s="3" t="s">
        <v>1477</v>
      </c>
      <c r="F258" s="6" t="s">
        <v>2066</v>
      </c>
      <c r="G258" s="6" t="s">
        <v>2067</v>
      </c>
      <c r="H258" s="6" t="s">
        <v>76</v>
      </c>
      <c r="I258" s="6" t="s">
        <v>228</v>
      </c>
      <c r="J258" s="6" t="s">
        <v>53</v>
      </c>
      <c r="K258" s="6" t="s">
        <v>53</v>
      </c>
      <c r="L258" s="6" t="s">
        <v>805</v>
      </c>
      <c r="M258" s="6" t="s">
        <v>311</v>
      </c>
      <c r="N258" s="6" t="s">
        <v>635</v>
      </c>
      <c r="O258" s="6" t="s">
        <v>62</v>
      </c>
      <c r="P258" s="6" t="s">
        <v>1213</v>
      </c>
      <c r="Q258" s="6" t="s">
        <v>65</v>
      </c>
      <c r="R258" s="6" t="s">
        <v>57</v>
      </c>
      <c r="S258" s="6" t="s">
        <v>1219</v>
      </c>
      <c r="T258" s="131">
        <v>1.4550000000000001</v>
      </c>
      <c r="U258" s="6" t="s">
        <v>1733</v>
      </c>
      <c r="V258" s="134">
        <v>1.44E-2</v>
      </c>
      <c r="W258" s="132">
        <v>4.3180000000000003E-2</v>
      </c>
      <c r="X258" s="3" t="s">
        <v>620</v>
      </c>
      <c r="Y258" s="3" t="s">
        <v>62</v>
      </c>
      <c r="Z258" s="131">
        <v>3000.29</v>
      </c>
      <c r="AA258" s="129">
        <v>1</v>
      </c>
      <c r="AB258" s="157">
        <v>96.34</v>
      </c>
      <c r="AD258" s="131">
        <v>2.89</v>
      </c>
      <c r="AG258" s="6" t="s">
        <v>17</v>
      </c>
      <c r="AH258" s="132">
        <v>1.0000000000000001E-5</v>
      </c>
      <c r="AI258" s="132">
        <v>1.95431126104448E-2</v>
      </c>
      <c r="AJ258" s="132">
        <v>3.4623071703812299E-4</v>
      </c>
    </row>
    <row r="259" spans="1:36" x14ac:dyDescent="0.2">
      <c r="A259" s="6">
        <v>13710</v>
      </c>
      <c r="B259" s="6">
        <v>15444</v>
      </c>
      <c r="C259" s="6" t="s">
        <v>2068</v>
      </c>
      <c r="D259" s="6" t="s">
        <v>2069</v>
      </c>
      <c r="E259" s="3" t="s">
        <v>1477</v>
      </c>
      <c r="F259" s="6" t="s">
        <v>2070</v>
      </c>
      <c r="G259" s="6" t="s">
        <v>2071</v>
      </c>
      <c r="H259" s="6" t="s">
        <v>76</v>
      </c>
      <c r="I259" s="6" t="s">
        <v>228</v>
      </c>
      <c r="J259" s="6" t="s">
        <v>53</v>
      </c>
      <c r="K259" s="6" t="s">
        <v>53</v>
      </c>
      <c r="L259" s="6" t="s">
        <v>805</v>
      </c>
      <c r="M259" s="6" t="s">
        <v>311</v>
      </c>
      <c r="N259" s="6" t="s">
        <v>140</v>
      </c>
      <c r="O259" s="6" t="s">
        <v>62</v>
      </c>
      <c r="P259" s="6" t="s">
        <v>1604</v>
      </c>
      <c r="Q259" s="6" t="s">
        <v>70</v>
      </c>
      <c r="R259" s="6" t="s">
        <v>57</v>
      </c>
      <c r="S259" s="6" t="s">
        <v>1219</v>
      </c>
      <c r="T259" s="131">
        <v>1.5840000000000001</v>
      </c>
      <c r="U259" s="6" t="s">
        <v>1605</v>
      </c>
      <c r="V259" s="134">
        <v>7.3999999999999996E-2</v>
      </c>
      <c r="W259" s="132">
        <v>5.2659999999999998E-2</v>
      </c>
      <c r="X259" s="3" t="s">
        <v>620</v>
      </c>
      <c r="Y259" s="3" t="s">
        <v>62</v>
      </c>
      <c r="Z259" s="131">
        <v>1000</v>
      </c>
      <c r="AA259" s="129">
        <v>1</v>
      </c>
      <c r="AB259" s="157">
        <v>103.44</v>
      </c>
      <c r="AD259" s="131">
        <v>1.034</v>
      </c>
      <c r="AG259" s="6" t="s">
        <v>17</v>
      </c>
      <c r="AH259" s="132">
        <v>1.0000000000000001E-5</v>
      </c>
      <c r="AI259" s="132">
        <v>6.9937864916654003E-3</v>
      </c>
      <c r="AJ259" s="132">
        <v>1.2390368720112201E-4</v>
      </c>
    </row>
    <row r="260" spans="1:36" x14ac:dyDescent="0.2">
      <c r="A260" s="6">
        <v>13710</v>
      </c>
      <c r="B260" s="6">
        <v>15444</v>
      </c>
      <c r="C260" s="6" t="s">
        <v>2072</v>
      </c>
      <c r="D260" s="6" t="s">
        <v>2073</v>
      </c>
      <c r="E260" s="3" t="s">
        <v>1477</v>
      </c>
      <c r="F260" s="6" t="s">
        <v>2074</v>
      </c>
      <c r="G260" s="6" t="s">
        <v>2075</v>
      </c>
      <c r="H260" s="6" t="s">
        <v>76</v>
      </c>
      <c r="I260" s="6" t="s">
        <v>228</v>
      </c>
      <c r="J260" s="6" t="s">
        <v>53</v>
      </c>
      <c r="K260" s="6" t="s">
        <v>53</v>
      </c>
      <c r="L260" s="6" t="s">
        <v>805</v>
      </c>
      <c r="M260" s="6" t="s">
        <v>102</v>
      </c>
      <c r="N260" s="6" t="s">
        <v>256</v>
      </c>
      <c r="O260" s="6" t="s">
        <v>62</v>
      </c>
      <c r="P260" s="6" t="s">
        <v>1213</v>
      </c>
      <c r="Q260" s="6" t="s">
        <v>65</v>
      </c>
      <c r="R260" s="6" t="s">
        <v>57</v>
      </c>
      <c r="S260" s="6" t="s">
        <v>1219</v>
      </c>
      <c r="T260" s="131">
        <v>4.7919999999999998</v>
      </c>
      <c r="U260" s="6" t="s">
        <v>2076</v>
      </c>
      <c r="V260" s="134">
        <v>4.8800000000000003E-2</v>
      </c>
      <c r="W260" s="132">
        <v>4.4699999999999997E-2</v>
      </c>
      <c r="X260" s="3" t="s">
        <v>620</v>
      </c>
      <c r="Y260" s="3" t="s">
        <v>62</v>
      </c>
      <c r="Z260" s="131">
        <v>3000</v>
      </c>
      <c r="AA260" s="129">
        <v>1</v>
      </c>
      <c r="AB260" s="157">
        <v>102.07</v>
      </c>
      <c r="AD260" s="131">
        <v>3.0619999999999998</v>
      </c>
      <c r="AG260" s="6" t="s">
        <v>17</v>
      </c>
      <c r="AH260" s="132">
        <v>1.9999999999999999E-6</v>
      </c>
      <c r="AI260" s="132">
        <v>2.0703474106852901E-2</v>
      </c>
      <c r="AJ260" s="132">
        <v>3.6678797426387702E-4</v>
      </c>
    </row>
    <row r="261" spans="1:36" x14ac:dyDescent="0.2">
      <c r="A261" s="6">
        <v>13710</v>
      </c>
      <c r="B261" s="6">
        <v>15444</v>
      </c>
      <c r="C261" s="6" t="s">
        <v>2089</v>
      </c>
      <c r="D261" s="6" t="s">
        <v>2090</v>
      </c>
      <c r="E261" s="3" t="s">
        <v>1477</v>
      </c>
      <c r="F261" s="6" t="s">
        <v>2091</v>
      </c>
      <c r="G261" s="6" t="s">
        <v>2092</v>
      </c>
      <c r="H261" s="6" t="s">
        <v>76</v>
      </c>
      <c r="I261" s="6" t="s">
        <v>228</v>
      </c>
      <c r="J261" s="6" t="s">
        <v>53</v>
      </c>
      <c r="K261" s="6" t="s">
        <v>53</v>
      </c>
      <c r="L261" s="6" t="s">
        <v>805</v>
      </c>
      <c r="M261" s="6" t="s">
        <v>311</v>
      </c>
      <c r="N261" s="6" t="s">
        <v>252</v>
      </c>
      <c r="O261" s="6" t="s">
        <v>62</v>
      </c>
      <c r="P261" s="6" t="s">
        <v>1577</v>
      </c>
      <c r="Q261" s="6" t="s">
        <v>65</v>
      </c>
      <c r="R261" s="6" t="s">
        <v>57</v>
      </c>
      <c r="S261" s="6" t="s">
        <v>1219</v>
      </c>
      <c r="T261" s="131">
        <v>0.90200000000000002</v>
      </c>
      <c r="U261" s="6" t="s">
        <v>2093</v>
      </c>
      <c r="V261" s="134">
        <v>2.29E-2</v>
      </c>
      <c r="W261" s="132">
        <v>4.7030000000000002E-2</v>
      </c>
      <c r="X261" s="3" t="s">
        <v>620</v>
      </c>
      <c r="Y261" s="3" t="s">
        <v>62</v>
      </c>
      <c r="Z261" s="131">
        <v>3000</v>
      </c>
      <c r="AA261" s="129">
        <v>1</v>
      </c>
      <c r="AB261" s="157">
        <v>98.11</v>
      </c>
      <c r="AD261" s="131">
        <v>2.9430000000000001</v>
      </c>
      <c r="AG261" s="6" t="s">
        <v>17</v>
      </c>
      <c r="AH261" s="132">
        <v>9.0000000000000002E-6</v>
      </c>
      <c r="AI261" s="132">
        <v>1.9900243407694099E-2</v>
      </c>
      <c r="AJ261" s="132">
        <v>3.52557736406672E-4</v>
      </c>
    </row>
    <row r="262" spans="1:36" x14ac:dyDescent="0.2">
      <c r="A262" s="6">
        <v>13710</v>
      </c>
      <c r="B262" s="6">
        <v>15444</v>
      </c>
      <c r="C262" s="6" t="s">
        <v>2098</v>
      </c>
      <c r="D262" s="6" t="s">
        <v>2099</v>
      </c>
      <c r="E262" s="3" t="s">
        <v>1477</v>
      </c>
      <c r="F262" s="6" t="s">
        <v>2100</v>
      </c>
      <c r="G262" s="6" t="s">
        <v>2101</v>
      </c>
      <c r="H262" s="6" t="s">
        <v>76</v>
      </c>
      <c r="I262" s="6" t="s">
        <v>228</v>
      </c>
      <c r="J262" s="6" t="s">
        <v>53</v>
      </c>
      <c r="K262" s="6" t="s">
        <v>53</v>
      </c>
      <c r="L262" s="6" t="s">
        <v>805</v>
      </c>
      <c r="M262" s="6" t="s">
        <v>311</v>
      </c>
      <c r="N262" s="6" t="s">
        <v>269</v>
      </c>
      <c r="O262" s="6" t="s">
        <v>62</v>
      </c>
      <c r="P262" s="6" t="s">
        <v>1533</v>
      </c>
      <c r="Q262" s="6" t="s">
        <v>65</v>
      </c>
      <c r="R262" s="6" t="s">
        <v>57</v>
      </c>
      <c r="S262" s="6" t="s">
        <v>1219</v>
      </c>
      <c r="T262" s="131">
        <v>7.9000000000000001E-2</v>
      </c>
      <c r="U262" s="6" t="s">
        <v>2102</v>
      </c>
      <c r="V262" s="134">
        <v>3.61E-2</v>
      </c>
      <c r="W262" s="132">
        <v>5.4059999999999997E-2</v>
      </c>
      <c r="X262" s="3" t="s">
        <v>620</v>
      </c>
      <c r="Y262" s="3" t="s">
        <v>62</v>
      </c>
      <c r="Z262" s="131">
        <v>2000</v>
      </c>
      <c r="AA262" s="129">
        <v>1</v>
      </c>
      <c r="AB262" s="157">
        <v>101.38</v>
      </c>
      <c r="AD262" s="131">
        <v>2.028</v>
      </c>
      <c r="AG262" s="6" t="s">
        <v>17</v>
      </c>
      <c r="AH262" s="132">
        <v>3.0000000000000001E-6</v>
      </c>
      <c r="AI262" s="132">
        <v>1.37090114950704E-2</v>
      </c>
      <c r="AJ262" s="132">
        <v>2.4287230874806099E-4</v>
      </c>
    </row>
    <row r="263" spans="1:36" x14ac:dyDescent="0.2">
      <c r="A263" s="6">
        <v>13710</v>
      </c>
      <c r="B263" s="6">
        <v>15444</v>
      </c>
      <c r="C263" s="6" t="s">
        <v>2115</v>
      </c>
      <c r="D263" s="6" t="s">
        <v>2116</v>
      </c>
      <c r="E263" s="3" t="s">
        <v>1477</v>
      </c>
      <c r="F263" s="6" t="s">
        <v>2117</v>
      </c>
      <c r="G263" s="6" t="s">
        <v>2118</v>
      </c>
      <c r="H263" s="6" t="s">
        <v>76</v>
      </c>
      <c r="I263" s="6" t="s">
        <v>228</v>
      </c>
      <c r="J263" s="6" t="s">
        <v>53</v>
      </c>
      <c r="K263" s="6" t="s">
        <v>53</v>
      </c>
      <c r="L263" s="6" t="s">
        <v>805</v>
      </c>
      <c r="M263" s="6" t="s">
        <v>311</v>
      </c>
      <c r="N263" s="6" t="s">
        <v>636</v>
      </c>
      <c r="O263" s="6" t="s">
        <v>62</v>
      </c>
      <c r="P263" s="6" t="s">
        <v>1527</v>
      </c>
      <c r="Q263" s="6" t="s">
        <v>70</v>
      </c>
      <c r="R263" s="6" t="s">
        <v>57</v>
      </c>
      <c r="S263" s="6" t="s">
        <v>1219</v>
      </c>
      <c r="T263" s="131">
        <v>0.121</v>
      </c>
      <c r="U263" s="6" t="s">
        <v>2119</v>
      </c>
      <c r="V263" s="134">
        <v>3.5000000000000003E-2</v>
      </c>
      <c r="W263" s="132">
        <v>2.7310000000000001E-2</v>
      </c>
      <c r="X263" s="3" t="s">
        <v>620</v>
      </c>
      <c r="Y263" s="3" t="s">
        <v>62</v>
      </c>
      <c r="Z263" s="131">
        <v>1000</v>
      </c>
      <c r="AA263" s="129">
        <v>1</v>
      </c>
      <c r="AB263" s="157">
        <v>101.42</v>
      </c>
      <c r="AD263" s="131">
        <v>1.014</v>
      </c>
      <c r="AG263" s="6" t="s">
        <v>17</v>
      </c>
      <c r="AH263" s="132">
        <v>2.0999999999999999E-5</v>
      </c>
      <c r="AI263" s="132">
        <v>6.8572102280037199E-3</v>
      </c>
      <c r="AJ263" s="132">
        <v>1.21484067632809E-4</v>
      </c>
    </row>
    <row r="264" spans="1:36" x14ac:dyDescent="0.2">
      <c r="A264" s="6">
        <v>13710</v>
      </c>
      <c r="B264" s="6">
        <v>15444</v>
      </c>
      <c r="C264" s="6" t="s">
        <v>2115</v>
      </c>
      <c r="D264" s="6" t="s">
        <v>2116</v>
      </c>
      <c r="E264" s="3" t="s">
        <v>1477</v>
      </c>
      <c r="F264" s="6" t="s">
        <v>2120</v>
      </c>
      <c r="G264" s="6" t="s">
        <v>2121</v>
      </c>
      <c r="H264" s="6" t="s">
        <v>76</v>
      </c>
      <c r="I264" s="6" t="s">
        <v>228</v>
      </c>
      <c r="J264" s="6" t="s">
        <v>53</v>
      </c>
      <c r="K264" s="6" t="s">
        <v>53</v>
      </c>
      <c r="L264" s="6" t="s">
        <v>805</v>
      </c>
      <c r="M264" s="6" t="s">
        <v>311</v>
      </c>
      <c r="N264" s="6" t="s">
        <v>636</v>
      </c>
      <c r="O264" s="6" t="s">
        <v>62</v>
      </c>
      <c r="P264" s="6" t="s">
        <v>1527</v>
      </c>
      <c r="Q264" s="6" t="s">
        <v>70</v>
      </c>
      <c r="R264" s="6" t="s">
        <v>57</v>
      </c>
      <c r="S264" s="6" t="s">
        <v>1219</v>
      </c>
      <c r="T264" s="131">
        <v>1.014</v>
      </c>
      <c r="U264" s="6" t="s">
        <v>1578</v>
      </c>
      <c r="V264" s="134">
        <v>4.99E-2</v>
      </c>
      <c r="W264" s="132">
        <v>4.6120000000000001E-2</v>
      </c>
      <c r="X264" s="3" t="s">
        <v>620</v>
      </c>
      <c r="Y264" s="3" t="s">
        <v>62</v>
      </c>
      <c r="Z264" s="131">
        <v>3000</v>
      </c>
      <c r="AA264" s="129">
        <v>1</v>
      </c>
      <c r="AB264" s="157">
        <v>101.69</v>
      </c>
      <c r="AD264" s="131">
        <v>3.0510000000000002</v>
      </c>
      <c r="AG264" s="6" t="s">
        <v>17</v>
      </c>
      <c r="AH264" s="132">
        <v>1.2E-5</v>
      </c>
      <c r="AI264" s="132">
        <v>2.0626396413499299E-2</v>
      </c>
      <c r="AJ264" s="132">
        <v>3.65422446388691E-4</v>
      </c>
    </row>
    <row r="265" spans="1:36" x14ac:dyDescent="0.2">
      <c r="A265" s="6">
        <v>13710</v>
      </c>
      <c r="B265" s="6">
        <v>15444</v>
      </c>
      <c r="C265" s="6" t="s">
        <v>2122</v>
      </c>
      <c r="D265" s="6" t="s">
        <v>2123</v>
      </c>
      <c r="E265" s="3" t="s">
        <v>1477</v>
      </c>
      <c r="F265" s="6" t="s">
        <v>2124</v>
      </c>
      <c r="G265" s="6" t="s">
        <v>2125</v>
      </c>
      <c r="H265" s="6" t="s">
        <v>76</v>
      </c>
      <c r="I265" s="6" t="s">
        <v>228</v>
      </c>
      <c r="J265" s="6" t="s">
        <v>53</v>
      </c>
      <c r="K265" s="6" t="s">
        <v>53</v>
      </c>
      <c r="L265" s="6" t="s">
        <v>805</v>
      </c>
      <c r="M265" s="6" t="s">
        <v>311</v>
      </c>
      <c r="N265" s="6" t="s">
        <v>259</v>
      </c>
      <c r="O265" s="6" t="s">
        <v>62</v>
      </c>
      <c r="P265" s="6" t="s">
        <v>1527</v>
      </c>
      <c r="Q265" s="6" t="s">
        <v>70</v>
      </c>
      <c r="R265" s="6" t="s">
        <v>57</v>
      </c>
      <c r="S265" s="6" t="s">
        <v>1219</v>
      </c>
      <c r="T265" s="131">
        <v>0.98399999999999999</v>
      </c>
      <c r="U265" s="6" t="s">
        <v>1516</v>
      </c>
      <c r="V265" s="134">
        <v>3.2500000000000001E-2</v>
      </c>
      <c r="W265" s="132">
        <v>4.8820000000000002E-2</v>
      </c>
      <c r="X265" s="3" t="s">
        <v>620</v>
      </c>
      <c r="Y265" s="3" t="s">
        <v>62</v>
      </c>
      <c r="Z265" s="131">
        <v>750.24</v>
      </c>
      <c r="AA265" s="129">
        <v>1</v>
      </c>
      <c r="AB265" s="157">
        <v>98.5</v>
      </c>
      <c r="AD265" s="131">
        <v>0.73899999999999999</v>
      </c>
      <c r="AG265" s="6" t="s">
        <v>17</v>
      </c>
      <c r="AH265" s="132">
        <v>5.0000000000000004E-6</v>
      </c>
      <c r="AI265" s="132">
        <v>4.9964357133066998E-3</v>
      </c>
      <c r="AJ265" s="132">
        <v>8.8518116542423602E-5</v>
      </c>
    </row>
    <row r="266" spans="1:36" x14ac:dyDescent="0.2">
      <c r="A266" s="6">
        <v>13710</v>
      </c>
      <c r="B266" s="6">
        <v>15444</v>
      </c>
      <c r="C266" s="6" t="s">
        <v>2134</v>
      </c>
      <c r="D266" s="6" t="s">
        <v>2135</v>
      </c>
      <c r="E266" s="3" t="s">
        <v>1477</v>
      </c>
      <c r="F266" s="6" t="s">
        <v>2136</v>
      </c>
      <c r="G266" s="6" t="s">
        <v>2137</v>
      </c>
      <c r="H266" s="6" t="s">
        <v>76</v>
      </c>
      <c r="I266" s="6" t="s">
        <v>228</v>
      </c>
      <c r="J266" s="6" t="s">
        <v>53</v>
      </c>
      <c r="K266" s="6" t="s">
        <v>53</v>
      </c>
      <c r="L266" s="6" t="s">
        <v>805</v>
      </c>
      <c r="M266" s="6" t="s">
        <v>102</v>
      </c>
      <c r="N266" s="6" t="s">
        <v>692</v>
      </c>
      <c r="O266" s="6" t="s">
        <v>62</v>
      </c>
      <c r="P266" s="6" t="s">
        <v>1493</v>
      </c>
      <c r="Q266" s="6" t="s">
        <v>65</v>
      </c>
      <c r="R266" s="6" t="s">
        <v>57</v>
      </c>
      <c r="S266" s="6" t="s">
        <v>1219</v>
      </c>
      <c r="T266" s="131">
        <v>4.9429999999999996</v>
      </c>
      <c r="U266" s="6" t="s">
        <v>1522</v>
      </c>
      <c r="V266" s="134">
        <v>5.8799999999999998E-2</v>
      </c>
      <c r="W266" s="132">
        <v>5.5820000000000002E-2</v>
      </c>
      <c r="X266" s="3" t="s">
        <v>620</v>
      </c>
      <c r="Y266" s="3" t="s">
        <v>62</v>
      </c>
      <c r="Z266" s="131">
        <v>3000</v>
      </c>
      <c r="AA266" s="129">
        <v>1</v>
      </c>
      <c r="AB266" s="157">
        <v>103.90900000000001</v>
      </c>
      <c r="AD266" s="131">
        <v>3.117</v>
      </c>
      <c r="AG266" s="6" t="s">
        <v>17</v>
      </c>
      <c r="AH266" s="132">
        <v>0</v>
      </c>
      <c r="AI266" s="132">
        <v>2.1076501916021801E-2</v>
      </c>
      <c r="AJ266" s="132">
        <v>3.7339662910909703E-4</v>
      </c>
    </row>
    <row r="267" spans="1:36" x14ac:dyDescent="0.2">
      <c r="A267" s="6">
        <v>13710</v>
      </c>
      <c r="B267" s="6">
        <v>15444</v>
      </c>
      <c r="C267" s="6" t="s">
        <v>2138</v>
      </c>
      <c r="D267" s="6" t="s">
        <v>2139</v>
      </c>
      <c r="E267" s="3" t="s">
        <v>1477</v>
      </c>
      <c r="F267" s="6" t="s">
        <v>2140</v>
      </c>
      <c r="G267" s="6" t="s">
        <v>2141</v>
      </c>
      <c r="H267" s="6" t="s">
        <v>76</v>
      </c>
      <c r="I267" s="6" t="s">
        <v>228</v>
      </c>
      <c r="J267" s="6" t="s">
        <v>53</v>
      </c>
      <c r="K267" s="6" t="s">
        <v>53</v>
      </c>
      <c r="L267" s="6" t="s">
        <v>805</v>
      </c>
      <c r="M267" s="6" t="s">
        <v>311</v>
      </c>
      <c r="N267" s="6" t="s">
        <v>75</v>
      </c>
      <c r="O267" s="6" t="s">
        <v>62</v>
      </c>
      <c r="P267" s="6" t="s">
        <v>1577</v>
      </c>
      <c r="Q267" s="6" t="s">
        <v>65</v>
      </c>
      <c r="R267" s="6" t="s">
        <v>57</v>
      </c>
      <c r="S267" s="6" t="s">
        <v>1219</v>
      </c>
      <c r="T267" s="131">
        <v>0.65700000000000003</v>
      </c>
      <c r="U267" s="6" t="s">
        <v>1621</v>
      </c>
      <c r="V267" s="134">
        <v>2.75E-2</v>
      </c>
      <c r="W267" s="132">
        <v>5.0619999999999998E-2</v>
      </c>
      <c r="X267" s="3" t="s">
        <v>620</v>
      </c>
      <c r="Y267" s="3" t="s">
        <v>62</v>
      </c>
      <c r="Z267" s="131">
        <v>3006.56</v>
      </c>
      <c r="AA267" s="129">
        <v>1</v>
      </c>
      <c r="AB267" s="157">
        <v>99.46</v>
      </c>
      <c r="AD267" s="131">
        <v>2.99</v>
      </c>
      <c r="AG267" s="6" t="s">
        <v>17</v>
      </c>
      <c r="AH267" s="132">
        <v>2.1999999999999999E-5</v>
      </c>
      <c r="AI267" s="132">
        <v>2.0218186026028501E-2</v>
      </c>
      <c r="AJ267" s="132">
        <v>3.5819048810376101E-4</v>
      </c>
    </row>
    <row r="268" spans="1:36" x14ac:dyDescent="0.2">
      <c r="A268" s="6">
        <v>13710</v>
      </c>
      <c r="B268" s="6">
        <v>15444</v>
      </c>
      <c r="C268" s="6" t="s">
        <v>2165</v>
      </c>
      <c r="D268" s="6" t="s">
        <v>2166</v>
      </c>
      <c r="E268" s="3" t="s">
        <v>1477</v>
      </c>
      <c r="F268" s="6" t="s">
        <v>2167</v>
      </c>
      <c r="G268" s="6" t="s">
        <v>2168</v>
      </c>
      <c r="H268" s="6" t="s">
        <v>76</v>
      </c>
      <c r="I268" s="6" t="s">
        <v>228</v>
      </c>
      <c r="J268" s="6" t="s">
        <v>53</v>
      </c>
      <c r="K268" s="6" t="s">
        <v>53</v>
      </c>
      <c r="L268" s="6" t="s">
        <v>805</v>
      </c>
      <c r="M268" s="6" t="s">
        <v>102</v>
      </c>
      <c r="N268" s="6" t="s">
        <v>635</v>
      </c>
      <c r="O268" s="6" t="s">
        <v>62</v>
      </c>
      <c r="P268" s="6" t="s">
        <v>298</v>
      </c>
      <c r="Q268" s="6" t="s">
        <v>298</v>
      </c>
      <c r="R268" s="6" t="s">
        <v>298</v>
      </c>
      <c r="S268" s="6" t="s">
        <v>1219</v>
      </c>
      <c r="T268" s="131">
        <v>3.1549999999999998</v>
      </c>
      <c r="U268" s="6" t="s">
        <v>1713</v>
      </c>
      <c r="V268" s="134">
        <v>6.3500000000000001E-2</v>
      </c>
      <c r="W268" s="132">
        <v>6.0040000000000003E-2</v>
      </c>
      <c r="X268" s="3" t="s">
        <v>620</v>
      </c>
      <c r="Y268" s="3" t="s">
        <v>62</v>
      </c>
      <c r="Z268" s="131">
        <v>2000</v>
      </c>
      <c r="AA268" s="129">
        <v>1</v>
      </c>
      <c r="AB268" s="157">
        <v>101.72</v>
      </c>
      <c r="AD268" s="131">
        <v>2.0339999999999998</v>
      </c>
      <c r="AG268" s="6" t="s">
        <v>17</v>
      </c>
      <c r="AH268" s="132">
        <v>1.0000000000000001E-5</v>
      </c>
      <c r="AI268" s="132">
        <v>1.3754987663035701E-2</v>
      </c>
      <c r="AJ268" s="132">
        <v>2.43686834147295E-4</v>
      </c>
    </row>
    <row r="269" spans="1:36" x14ac:dyDescent="0.2">
      <c r="A269" s="6">
        <v>13710</v>
      </c>
      <c r="B269" s="6">
        <v>15444</v>
      </c>
      <c r="C269" s="6" t="s">
        <v>2174</v>
      </c>
      <c r="D269" s="6" t="s">
        <v>2175</v>
      </c>
      <c r="E269" s="3" t="s">
        <v>1477</v>
      </c>
      <c r="F269" s="6" t="s">
        <v>2176</v>
      </c>
      <c r="G269" s="6" t="s">
        <v>2177</v>
      </c>
      <c r="H269" s="6" t="s">
        <v>76</v>
      </c>
      <c r="I269" s="6" t="s">
        <v>228</v>
      </c>
      <c r="J269" s="6" t="s">
        <v>53</v>
      </c>
      <c r="K269" s="6" t="s">
        <v>53</v>
      </c>
      <c r="L269" s="6" t="s">
        <v>805</v>
      </c>
      <c r="M269" s="6" t="s">
        <v>311</v>
      </c>
      <c r="N269" s="6" t="s">
        <v>261</v>
      </c>
      <c r="O269" s="6" t="s">
        <v>62</v>
      </c>
      <c r="P269" s="6" t="s">
        <v>1339</v>
      </c>
      <c r="Q269" s="6" t="s">
        <v>65</v>
      </c>
      <c r="R269" s="6" t="s">
        <v>57</v>
      </c>
      <c r="S269" s="6" t="s">
        <v>1219</v>
      </c>
      <c r="T269" s="131">
        <v>1.468</v>
      </c>
      <c r="U269" s="6" t="s">
        <v>1644</v>
      </c>
      <c r="V269" s="134">
        <v>2.6100000000000002E-2</v>
      </c>
      <c r="W269" s="132">
        <v>4.471E-2</v>
      </c>
      <c r="X269" s="3" t="s">
        <v>620</v>
      </c>
      <c r="Y269" s="3" t="s">
        <v>62</v>
      </c>
      <c r="Z269" s="131">
        <v>2666.67</v>
      </c>
      <c r="AA269" s="129">
        <v>1</v>
      </c>
      <c r="AB269" s="157">
        <v>97.43</v>
      </c>
      <c r="AD269" s="131">
        <v>2.5979999999999999</v>
      </c>
      <c r="AG269" s="6" t="s">
        <v>17</v>
      </c>
      <c r="AH269" s="132">
        <v>1.1E-5</v>
      </c>
      <c r="AI269" s="132">
        <v>1.75665240948371E-2</v>
      </c>
      <c r="AJ269" s="132">
        <v>3.1121297586815099E-4</v>
      </c>
    </row>
    <row r="270" spans="1:36" x14ac:dyDescent="0.2">
      <c r="A270" s="6">
        <v>13710</v>
      </c>
      <c r="B270" s="6">
        <v>15444</v>
      </c>
      <c r="C270" s="6" t="s">
        <v>2181</v>
      </c>
      <c r="D270" s="6" t="s">
        <v>2182</v>
      </c>
      <c r="E270" s="3" t="s">
        <v>1477</v>
      </c>
      <c r="F270" s="6" t="s">
        <v>2183</v>
      </c>
      <c r="G270" s="6" t="s">
        <v>2184</v>
      </c>
      <c r="H270" s="6" t="s">
        <v>76</v>
      </c>
      <c r="I270" s="6" t="s">
        <v>228</v>
      </c>
      <c r="J270" s="6" t="s">
        <v>53</v>
      </c>
      <c r="K270" s="6" t="s">
        <v>53</v>
      </c>
      <c r="L270" s="6" t="s">
        <v>805</v>
      </c>
      <c r="M270" s="6" t="s">
        <v>311</v>
      </c>
      <c r="N270" s="6" t="s">
        <v>258</v>
      </c>
      <c r="O270" s="6" t="s">
        <v>62</v>
      </c>
      <c r="P270" s="6" t="s">
        <v>1533</v>
      </c>
      <c r="Q270" s="6" t="s">
        <v>65</v>
      </c>
      <c r="R270" s="6" t="s">
        <v>57</v>
      </c>
      <c r="S270" s="6" t="s">
        <v>1219</v>
      </c>
      <c r="T270" s="131">
        <v>0.58899999999999997</v>
      </c>
      <c r="U270" s="6" t="s">
        <v>2185</v>
      </c>
      <c r="V270" s="134">
        <v>2.7E-2</v>
      </c>
      <c r="W270" s="132">
        <v>4.5679999999999998E-2</v>
      </c>
      <c r="X270" s="3" t="s">
        <v>620</v>
      </c>
      <c r="Y270" s="3" t="s">
        <v>62</v>
      </c>
      <c r="Z270" s="131">
        <v>1333.02</v>
      </c>
      <c r="AA270" s="129">
        <v>1</v>
      </c>
      <c r="AB270" s="157">
        <v>99.04</v>
      </c>
      <c r="AD270" s="131">
        <v>1.32</v>
      </c>
      <c r="AG270" s="6" t="s">
        <v>17</v>
      </c>
      <c r="AH270" s="132">
        <v>2.0999999999999999E-5</v>
      </c>
      <c r="AI270" s="132">
        <v>8.9262933481595794E-3</v>
      </c>
      <c r="AJ270" s="132">
        <v>1.5814046656898299E-4</v>
      </c>
    </row>
    <row r="271" spans="1:36" x14ac:dyDescent="0.2">
      <c r="A271" s="6">
        <v>13710</v>
      </c>
      <c r="B271" s="6">
        <v>15444</v>
      </c>
      <c r="C271" s="6" t="s">
        <v>2193</v>
      </c>
      <c r="D271" s="6" t="s">
        <v>2194</v>
      </c>
      <c r="E271" s="3" t="s">
        <v>1477</v>
      </c>
      <c r="F271" s="6" t="s">
        <v>2195</v>
      </c>
      <c r="G271" s="6" t="s">
        <v>2196</v>
      </c>
      <c r="H271" s="6" t="s">
        <v>76</v>
      </c>
      <c r="I271" s="6" t="s">
        <v>228</v>
      </c>
      <c r="J271" s="6" t="s">
        <v>53</v>
      </c>
      <c r="K271" s="6" t="s">
        <v>53</v>
      </c>
      <c r="L271" s="6" t="s">
        <v>805</v>
      </c>
      <c r="M271" s="6" t="s">
        <v>311</v>
      </c>
      <c r="N271" s="6" t="s">
        <v>263</v>
      </c>
      <c r="O271" s="6" t="s">
        <v>62</v>
      </c>
      <c r="P271" s="6" t="s">
        <v>1493</v>
      </c>
      <c r="Q271" s="6" t="s">
        <v>65</v>
      </c>
      <c r="R271" s="6" t="s">
        <v>57</v>
      </c>
      <c r="S271" s="6" t="s">
        <v>1219</v>
      </c>
      <c r="T271" s="131">
        <v>0.255</v>
      </c>
      <c r="U271" s="6" t="s">
        <v>2197</v>
      </c>
      <c r="V271" s="134">
        <v>3.3500000000000002E-2</v>
      </c>
      <c r="W271" s="132">
        <v>5.5300000000000002E-2</v>
      </c>
      <c r="X271" s="3" t="s">
        <v>620</v>
      </c>
      <c r="Y271" s="3" t="s">
        <v>62</v>
      </c>
      <c r="Z271" s="131">
        <v>1000</v>
      </c>
      <c r="AA271" s="129">
        <v>1</v>
      </c>
      <c r="AB271" s="157">
        <v>100.29</v>
      </c>
      <c r="AD271" s="131">
        <v>1.0029999999999999</v>
      </c>
      <c r="AG271" s="6" t="s">
        <v>17</v>
      </c>
      <c r="AH271" s="132">
        <v>1.5E-5</v>
      </c>
      <c r="AI271" s="132">
        <v>6.7808086547672397E-3</v>
      </c>
      <c r="AJ271" s="132">
        <v>1.20130518072317E-4</v>
      </c>
    </row>
    <row r="272" spans="1:36" x14ac:dyDescent="0.2">
      <c r="A272" s="6">
        <v>13710</v>
      </c>
      <c r="B272" s="6">
        <v>15444</v>
      </c>
      <c r="C272" s="6" t="s">
        <v>2111</v>
      </c>
      <c r="D272" s="6" t="s">
        <v>2112</v>
      </c>
      <c r="E272" s="3" t="s">
        <v>1477</v>
      </c>
      <c r="F272" s="6" t="s">
        <v>2339</v>
      </c>
      <c r="G272" s="6" t="s">
        <v>2340</v>
      </c>
      <c r="H272" s="6" t="s">
        <v>76</v>
      </c>
      <c r="I272" s="6" t="s">
        <v>228</v>
      </c>
      <c r="J272" s="6" t="s">
        <v>53</v>
      </c>
      <c r="K272" s="6" t="s">
        <v>53</v>
      </c>
      <c r="L272" s="6" t="s">
        <v>805</v>
      </c>
      <c r="M272" s="6" t="s">
        <v>311</v>
      </c>
      <c r="N272" s="6" t="s">
        <v>140</v>
      </c>
      <c r="O272" s="6" t="s">
        <v>62</v>
      </c>
      <c r="P272" s="6" t="s">
        <v>1527</v>
      </c>
      <c r="Q272" s="6" t="s">
        <v>70</v>
      </c>
      <c r="R272" s="6" t="s">
        <v>57</v>
      </c>
      <c r="S272" s="6" t="s">
        <v>1219</v>
      </c>
      <c r="T272" s="131">
        <v>0.99099999999999999</v>
      </c>
      <c r="U272" s="6" t="s">
        <v>1516</v>
      </c>
      <c r="V272" s="134">
        <v>0.02</v>
      </c>
      <c r="W272" s="132">
        <v>4.9880000000000001E-2</v>
      </c>
      <c r="X272" s="3" t="s">
        <v>620</v>
      </c>
      <c r="Y272" s="3" t="s">
        <v>62</v>
      </c>
      <c r="Z272" s="131">
        <v>2000</v>
      </c>
      <c r="AA272" s="129">
        <v>1</v>
      </c>
      <c r="AB272" s="157">
        <v>97.18</v>
      </c>
      <c r="AD272" s="131">
        <v>1.944</v>
      </c>
      <c r="AG272" s="6" t="s">
        <v>17</v>
      </c>
      <c r="AH272" s="132">
        <v>9.0000000000000002E-6</v>
      </c>
      <c r="AI272" s="132">
        <v>1.3141070596675301E-2</v>
      </c>
      <c r="AJ272" s="132">
        <v>2.32810524404582E-4</v>
      </c>
    </row>
    <row r="273" spans="1:36" x14ac:dyDescent="0.2">
      <c r="A273" s="6">
        <v>559</v>
      </c>
      <c r="B273" s="6">
        <v>556</v>
      </c>
      <c r="C273" s="6" t="s">
        <v>1495</v>
      </c>
      <c r="D273" s="6" t="s">
        <v>1496</v>
      </c>
      <c r="E273" s="3" t="s">
        <v>1477</v>
      </c>
      <c r="F273" s="6" t="s">
        <v>1497</v>
      </c>
      <c r="G273" s="6" t="s">
        <v>1498</v>
      </c>
      <c r="H273" s="6" t="s">
        <v>76</v>
      </c>
      <c r="I273" s="6" t="s">
        <v>230</v>
      </c>
      <c r="J273" s="6" t="s">
        <v>53</v>
      </c>
      <c r="K273" s="6" t="s">
        <v>53</v>
      </c>
      <c r="L273" s="6" t="s">
        <v>805</v>
      </c>
      <c r="M273" s="6" t="s">
        <v>311</v>
      </c>
      <c r="N273" s="6" t="s">
        <v>266</v>
      </c>
      <c r="O273" s="6" t="s">
        <v>62</v>
      </c>
      <c r="P273" s="6" t="s">
        <v>1493</v>
      </c>
      <c r="Q273" s="6" t="s">
        <v>65</v>
      </c>
      <c r="R273" s="6" t="s">
        <v>57</v>
      </c>
      <c r="S273" s="6" t="s">
        <v>1219</v>
      </c>
      <c r="T273" s="131">
        <v>0.499</v>
      </c>
      <c r="U273" s="6" t="s">
        <v>1499</v>
      </c>
      <c r="V273" s="134">
        <v>3.9E-2</v>
      </c>
      <c r="W273" s="132">
        <v>5.6660000000000002E-2</v>
      </c>
      <c r="X273" s="3" t="s">
        <v>620</v>
      </c>
      <c r="Y273" s="3" t="s">
        <v>62</v>
      </c>
      <c r="Z273" s="131">
        <v>4500</v>
      </c>
      <c r="AA273" s="129">
        <v>1</v>
      </c>
      <c r="AB273" s="157">
        <v>91.65</v>
      </c>
      <c r="AD273" s="131">
        <v>4.1239999999999997</v>
      </c>
      <c r="AG273" s="6" t="s">
        <v>17</v>
      </c>
      <c r="AH273" s="132">
        <v>1.1400000000000001E-4</v>
      </c>
      <c r="AI273" s="132">
        <v>6.8019721878439702E-5</v>
      </c>
      <c r="AJ273" s="132">
        <v>1.23670617167606E-5</v>
      </c>
    </row>
    <row r="274" spans="1:36" x14ac:dyDescent="0.2">
      <c r="A274" s="6">
        <v>559</v>
      </c>
      <c r="B274" s="6">
        <v>556</v>
      </c>
      <c r="C274" s="6" t="s">
        <v>1500</v>
      </c>
      <c r="D274" s="6" t="s">
        <v>1501</v>
      </c>
      <c r="E274" s="3" t="s">
        <v>1477</v>
      </c>
      <c r="F274" s="6" t="s">
        <v>1502</v>
      </c>
      <c r="G274" s="6" t="s">
        <v>1503</v>
      </c>
      <c r="H274" s="6" t="s">
        <v>76</v>
      </c>
      <c r="I274" s="6" t="s">
        <v>229</v>
      </c>
      <c r="J274" s="6" t="s">
        <v>53</v>
      </c>
      <c r="K274" s="6" t="s">
        <v>53</v>
      </c>
      <c r="L274" s="6" t="s">
        <v>805</v>
      </c>
      <c r="M274" s="6" t="s">
        <v>102</v>
      </c>
      <c r="N274" s="6" t="s">
        <v>635</v>
      </c>
      <c r="O274" s="6" t="s">
        <v>62</v>
      </c>
      <c r="P274" s="6" t="s">
        <v>298</v>
      </c>
      <c r="Q274" s="6" t="s">
        <v>298</v>
      </c>
      <c r="R274" s="6" t="s">
        <v>298</v>
      </c>
      <c r="S274" s="6" t="s">
        <v>1219</v>
      </c>
      <c r="T274" s="131">
        <v>2.9169999999999998</v>
      </c>
      <c r="U274" s="6" t="s">
        <v>1504</v>
      </c>
      <c r="V274" s="134">
        <v>3.7400000000000003E-2</v>
      </c>
      <c r="W274" s="132">
        <v>3.1220000000000001E-2</v>
      </c>
      <c r="X274" s="3" t="s">
        <v>620</v>
      </c>
      <c r="Y274" s="3" t="s">
        <v>62</v>
      </c>
      <c r="Z274" s="131">
        <v>178000</v>
      </c>
      <c r="AA274" s="129">
        <v>1</v>
      </c>
      <c r="AB274" s="157">
        <v>106.2</v>
      </c>
      <c r="AD274" s="131">
        <v>189.036</v>
      </c>
      <c r="AG274" s="6" t="s">
        <v>17</v>
      </c>
      <c r="AH274" s="132">
        <v>8.9400000000000005E-4</v>
      </c>
      <c r="AI274" s="132">
        <v>3.1177004655422798E-3</v>
      </c>
      <c r="AJ274" s="132">
        <v>5.6684727615676997E-4</v>
      </c>
    </row>
    <row r="275" spans="1:36" x14ac:dyDescent="0.2">
      <c r="A275" s="6">
        <v>559</v>
      </c>
      <c r="B275" s="6">
        <v>556</v>
      </c>
      <c r="C275" s="6" t="s">
        <v>2341</v>
      </c>
      <c r="D275" s="6" t="s">
        <v>2342</v>
      </c>
      <c r="E275" s="3" t="s">
        <v>767</v>
      </c>
      <c r="F275" s="6" t="s">
        <v>2343</v>
      </c>
      <c r="G275" s="6" t="s">
        <v>2344</v>
      </c>
      <c r="H275" s="6" t="s">
        <v>76</v>
      </c>
      <c r="I275" s="6" t="s">
        <v>228</v>
      </c>
      <c r="J275" s="6" t="s">
        <v>53</v>
      </c>
      <c r="K275" s="6" t="s">
        <v>314</v>
      </c>
      <c r="L275" s="6" t="s">
        <v>69</v>
      </c>
      <c r="M275" s="6" t="s">
        <v>311</v>
      </c>
      <c r="N275" s="6" t="s">
        <v>636</v>
      </c>
      <c r="O275" s="6" t="s">
        <v>62</v>
      </c>
      <c r="P275" s="6" t="s">
        <v>1753</v>
      </c>
      <c r="Q275" s="6" t="s">
        <v>70</v>
      </c>
      <c r="R275" s="6" t="s">
        <v>57</v>
      </c>
      <c r="S275" s="6" t="s">
        <v>1219</v>
      </c>
      <c r="T275" s="131">
        <v>0</v>
      </c>
      <c r="U275" s="6" t="s">
        <v>2345</v>
      </c>
      <c r="V275" s="134">
        <v>7.0000000000000007E-2</v>
      </c>
      <c r="W275" s="132">
        <v>0</v>
      </c>
      <c r="X275" s="3" t="s">
        <v>620</v>
      </c>
      <c r="Y275" s="3" t="s">
        <v>62</v>
      </c>
      <c r="Z275" s="131">
        <v>93020.37</v>
      </c>
      <c r="AA275" s="129">
        <v>1</v>
      </c>
      <c r="AB275" s="157">
        <v>0</v>
      </c>
      <c r="AD275" s="131">
        <v>0</v>
      </c>
      <c r="AG275" s="6" t="s">
        <v>17</v>
      </c>
      <c r="AH275" s="132">
        <v>0</v>
      </c>
      <c r="AI275" s="132">
        <v>1.5341503779910398E-11</v>
      </c>
      <c r="AJ275" s="132">
        <v>2.7893281365239898E-12</v>
      </c>
    </row>
    <row r="276" spans="1:36" x14ac:dyDescent="0.2">
      <c r="A276" s="6">
        <v>559</v>
      </c>
      <c r="B276" s="6">
        <v>556</v>
      </c>
      <c r="C276" s="6" t="s">
        <v>1505</v>
      </c>
      <c r="D276" s="6" t="s">
        <v>1506</v>
      </c>
      <c r="E276" s="3" t="s">
        <v>1477</v>
      </c>
      <c r="F276" s="6" t="s">
        <v>1507</v>
      </c>
      <c r="G276" s="6" t="s">
        <v>1508</v>
      </c>
      <c r="H276" s="6" t="s">
        <v>76</v>
      </c>
      <c r="I276" s="6" t="s">
        <v>228</v>
      </c>
      <c r="J276" s="6" t="s">
        <v>53</v>
      </c>
      <c r="K276" s="6" t="s">
        <v>53</v>
      </c>
      <c r="L276" s="6" t="s">
        <v>805</v>
      </c>
      <c r="M276" s="6" t="s">
        <v>102</v>
      </c>
      <c r="N276" s="6" t="s">
        <v>140</v>
      </c>
      <c r="O276" s="6" t="s">
        <v>62</v>
      </c>
      <c r="P276" s="6" t="s">
        <v>1355</v>
      </c>
      <c r="Q276" s="6" t="s">
        <v>70</v>
      </c>
      <c r="R276" s="6" t="s">
        <v>57</v>
      </c>
      <c r="S276" s="6" t="s">
        <v>1219</v>
      </c>
      <c r="T276" s="131">
        <v>2.2349999999999999</v>
      </c>
      <c r="U276" s="6" t="s">
        <v>1509</v>
      </c>
      <c r="V276" s="134">
        <v>0.08</v>
      </c>
      <c r="W276" s="132">
        <v>6.1850000000000002E-2</v>
      </c>
      <c r="X276" s="3" t="s">
        <v>620</v>
      </c>
      <c r="Y276" s="3" t="s">
        <v>62</v>
      </c>
      <c r="Z276" s="131">
        <v>94736.84</v>
      </c>
      <c r="AA276" s="129">
        <v>1</v>
      </c>
      <c r="AB276" s="157">
        <v>104.13200000000001</v>
      </c>
      <c r="AC276" s="131">
        <v>9.2629999999999999</v>
      </c>
      <c r="AD276" s="131">
        <v>107.914</v>
      </c>
      <c r="AG276" s="6" t="s">
        <v>17</v>
      </c>
      <c r="AH276" s="132">
        <v>0</v>
      </c>
      <c r="AI276" s="132">
        <v>1.77979077545191E-3</v>
      </c>
      <c r="AJ276" s="132">
        <v>3.2359412469035398E-4</v>
      </c>
    </row>
    <row r="277" spans="1:36" x14ac:dyDescent="0.2">
      <c r="A277" s="6">
        <v>559</v>
      </c>
      <c r="B277" s="6">
        <v>556</v>
      </c>
      <c r="C277" s="6" t="s">
        <v>1505</v>
      </c>
      <c r="D277" s="6" t="s">
        <v>1506</v>
      </c>
      <c r="E277" s="3" t="s">
        <v>1477</v>
      </c>
      <c r="F277" s="6" t="s">
        <v>1510</v>
      </c>
      <c r="G277" s="6" t="s">
        <v>1508</v>
      </c>
      <c r="H277" s="6" t="s">
        <v>76</v>
      </c>
      <c r="I277" s="6" t="s">
        <v>228</v>
      </c>
      <c r="J277" s="6" t="s">
        <v>53</v>
      </c>
      <c r="K277" s="6" t="s">
        <v>53</v>
      </c>
      <c r="L277" s="6" t="s">
        <v>54</v>
      </c>
      <c r="M277" s="6" t="s">
        <v>1227</v>
      </c>
      <c r="N277" s="6" t="s">
        <v>140</v>
      </c>
      <c r="O277" s="6" t="s">
        <v>62</v>
      </c>
      <c r="P277" s="6" t="s">
        <v>298</v>
      </c>
      <c r="Q277" s="6" t="s">
        <v>298</v>
      </c>
      <c r="R277" s="6" t="s">
        <v>298</v>
      </c>
      <c r="S277" s="6" t="s">
        <v>1219</v>
      </c>
      <c r="T277" s="131">
        <v>2.6429999999999998</v>
      </c>
      <c r="U277" s="6" t="s">
        <v>1509</v>
      </c>
      <c r="V277" s="134">
        <v>0.08</v>
      </c>
      <c r="W277" s="132">
        <v>6.0499999999999998E-2</v>
      </c>
      <c r="X277" s="3" t="s">
        <v>620</v>
      </c>
      <c r="Y277" s="3" t="s">
        <v>62</v>
      </c>
      <c r="Z277" s="131">
        <v>-5263.16</v>
      </c>
      <c r="AA277" s="129">
        <v>1</v>
      </c>
      <c r="AB277" s="157">
        <v>106.14</v>
      </c>
      <c r="AD277" s="131">
        <v>-5.5860000000000003</v>
      </c>
      <c r="AG277" s="6" t="s">
        <v>17</v>
      </c>
      <c r="AH277" s="132">
        <v>0</v>
      </c>
      <c r="AI277" s="132">
        <v>-9.2133066210097606E-5</v>
      </c>
      <c r="AJ277" s="132">
        <v>-1.67512492628382E-5</v>
      </c>
    </row>
    <row r="278" spans="1:36" x14ac:dyDescent="0.2">
      <c r="A278" s="6">
        <v>559</v>
      </c>
      <c r="B278" s="6">
        <v>556</v>
      </c>
      <c r="C278" s="6" t="s">
        <v>1511</v>
      </c>
      <c r="D278" s="6" t="s">
        <v>1512</v>
      </c>
      <c r="E278" s="3" t="s">
        <v>1477</v>
      </c>
      <c r="F278" s="6" t="s">
        <v>1513</v>
      </c>
      <c r="G278" s="6" t="s">
        <v>1514</v>
      </c>
      <c r="H278" s="6" t="s">
        <v>76</v>
      </c>
      <c r="I278" s="6" t="s">
        <v>228</v>
      </c>
      <c r="J278" s="6" t="s">
        <v>53</v>
      </c>
      <c r="K278" s="6" t="s">
        <v>53</v>
      </c>
      <c r="L278" s="6" t="s">
        <v>805</v>
      </c>
      <c r="M278" s="6" t="s">
        <v>311</v>
      </c>
      <c r="N278" s="6" t="s">
        <v>258</v>
      </c>
      <c r="O278" s="6" t="s">
        <v>62</v>
      </c>
      <c r="P278" s="6" t="s">
        <v>1515</v>
      </c>
      <c r="Q278" s="6" t="s">
        <v>65</v>
      </c>
      <c r="R278" s="6" t="s">
        <v>57</v>
      </c>
      <c r="S278" s="6" t="s">
        <v>1219</v>
      </c>
      <c r="T278" s="131">
        <v>0.98099999999999998</v>
      </c>
      <c r="U278" s="6" t="s">
        <v>1516</v>
      </c>
      <c r="V278" s="134">
        <v>3.2500000000000001E-2</v>
      </c>
      <c r="W278" s="132">
        <v>5.7090000000000002E-2</v>
      </c>
      <c r="X278" s="3" t="s">
        <v>620</v>
      </c>
      <c r="Y278" s="3" t="s">
        <v>62</v>
      </c>
      <c r="Z278" s="131">
        <v>30019.57</v>
      </c>
      <c r="AA278" s="129">
        <v>1</v>
      </c>
      <c r="AB278" s="157">
        <v>97.74</v>
      </c>
      <c r="AD278" s="131">
        <v>29.341000000000001</v>
      </c>
      <c r="AG278" s="6" t="s">
        <v>17</v>
      </c>
      <c r="AH278" s="132">
        <v>6.8800000000000003E-4</v>
      </c>
      <c r="AI278" s="132">
        <v>4.83912310596627E-4</v>
      </c>
      <c r="AJ278" s="132">
        <v>8.7982915033730196E-5</v>
      </c>
    </row>
    <row r="279" spans="1:36" x14ac:dyDescent="0.2">
      <c r="A279" s="6">
        <v>559</v>
      </c>
      <c r="B279" s="6">
        <v>556</v>
      </c>
      <c r="C279" s="6" t="s">
        <v>1517</v>
      </c>
      <c r="D279" s="6" t="s">
        <v>1518</v>
      </c>
      <c r="E279" s="3" t="s">
        <v>1477</v>
      </c>
      <c r="F279" s="6" t="s">
        <v>1519</v>
      </c>
      <c r="G279" s="6" t="s">
        <v>1520</v>
      </c>
      <c r="H279" s="6" t="s">
        <v>76</v>
      </c>
      <c r="I279" s="6" t="s">
        <v>228</v>
      </c>
      <c r="J279" s="6" t="s">
        <v>53</v>
      </c>
      <c r="K279" s="6" t="s">
        <v>53</v>
      </c>
      <c r="L279" s="6" t="s">
        <v>805</v>
      </c>
      <c r="M279" s="6" t="s">
        <v>102</v>
      </c>
      <c r="N279" s="6" t="s">
        <v>140</v>
      </c>
      <c r="O279" s="6" t="s">
        <v>62</v>
      </c>
      <c r="P279" s="6" t="s">
        <v>1521</v>
      </c>
      <c r="Q279" s="6" t="s">
        <v>70</v>
      </c>
      <c r="R279" s="6" t="s">
        <v>57</v>
      </c>
      <c r="S279" s="6" t="s">
        <v>1219</v>
      </c>
      <c r="T279" s="131">
        <v>4.835</v>
      </c>
      <c r="U279" s="6" t="s">
        <v>1522</v>
      </c>
      <c r="V279" s="134">
        <v>5.7700000000000001E-2</v>
      </c>
      <c r="W279" s="132">
        <v>5.321E-2</v>
      </c>
      <c r="X279" s="3" t="s">
        <v>620</v>
      </c>
      <c r="Y279" s="3" t="s">
        <v>62</v>
      </c>
      <c r="Z279" s="131">
        <v>35000</v>
      </c>
      <c r="AA279" s="129">
        <v>1</v>
      </c>
      <c r="AB279" s="157">
        <v>102.7</v>
      </c>
      <c r="AD279" s="131">
        <v>35.945</v>
      </c>
      <c r="AG279" s="6" t="s">
        <v>17</v>
      </c>
      <c r="AH279" s="132">
        <v>1.35E-4</v>
      </c>
      <c r="AI279" s="132">
        <v>5.9282752086331199E-4</v>
      </c>
      <c r="AJ279" s="132">
        <v>1.0778542363071099E-4</v>
      </c>
    </row>
    <row r="280" spans="1:36" x14ac:dyDescent="0.2">
      <c r="A280" s="6">
        <v>559</v>
      </c>
      <c r="B280" s="6">
        <v>556</v>
      </c>
      <c r="C280" s="6" t="s">
        <v>1523</v>
      </c>
      <c r="D280" s="6" t="s">
        <v>1524</v>
      </c>
      <c r="E280" s="3" t="s">
        <v>1477</v>
      </c>
      <c r="F280" s="6" t="s">
        <v>1525</v>
      </c>
      <c r="G280" s="6" t="s">
        <v>1526</v>
      </c>
      <c r="H280" s="6" t="s">
        <v>76</v>
      </c>
      <c r="I280" s="6" t="s">
        <v>228</v>
      </c>
      <c r="J280" s="6" t="s">
        <v>53</v>
      </c>
      <c r="K280" s="6" t="s">
        <v>53</v>
      </c>
      <c r="L280" s="6" t="s">
        <v>805</v>
      </c>
      <c r="M280" s="6" t="s">
        <v>311</v>
      </c>
      <c r="N280" s="6" t="s">
        <v>269</v>
      </c>
      <c r="O280" s="6" t="s">
        <v>62</v>
      </c>
      <c r="P280" s="6" t="s">
        <v>1527</v>
      </c>
      <c r="Q280" s="6" t="s">
        <v>70</v>
      </c>
      <c r="R280" s="6" t="s">
        <v>57</v>
      </c>
      <c r="S280" s="6" t="s">
        <v>1219</v>
      </c>
      <c r="T280" s="131">
        <v>0.375</v>
      </c>
      <c r="U280" s="6" t="s">
        <v>1528</v>
      </c>
      <c r="V280" s="134">
        <v>3.27E-2</v>
      </c>
      <c r="W280" s="132">
        <v>5.1979999999999998E-2</v>
      </c>
      <c r="X280" s="3" t="s">
        <v>620</v>
      </c>
      <c r="Y280" s="3" t="s">
        <v>62</v>
      </c>
      <c r="Z280" s="131">
        <v>114000</v>
      </c>
      <c r="AA280" s="129">
        <v>1</v>
      </c>
      <c r="AB280" s="157">
        <v>99.72</v>
      </c>
      <c r="AD280" s="131">
        <v>113.681</v>
      </c>
      <c r="AG280" s="6" t="s">
        <v>17</v>
      </c>
      <c r="AH280" s="132">
        <v>3.6099999999999999E-4</v>
      </c>
      <c r="AI280" s="132">
        <v>1.87489516855635E-3</v>
      </c>
      <c r="AJ280" s="132">
        <v>3.4088560819802902E-4</v>
      </c>
    </row>
    <row r="281" spans="1:36" x14ac:dyDescent="0.2">
      <c r="A281" s="6">
        <v>559</v>
      </c>
      <c r="B281" s="6">
        <v>556</v>
      </c>
      <c r="C281" s="6" t="s">
        <v>1529</v>
      </c>
      <c r="D281" s="6" t="s">
        <v>1530</v>
      </c>
      <c r="E281" s="3" t="s">
        <v>1477</v>
      </c>
      <c r="F281" s="6" t="s">
        <v>1531</v>
      </c>
      <c r="G281" s="6" t="s">
        <v>1532</v>
      </c>
      <c r="H281" s="6" t="s">
        <v>76</v>
      </c>
      <c r="I281" s="6" t="s">
        <v>228</v>
      </c>
      <c r="J281" s="6" t="s">
        <v>53</v>
      </c>
      <c r="K281" s="6" t="s">
        <v>53</v>
      </c>
      <c r="L281" s="6" t="s">
        <v>805</v>
      </c>
      <c r="M281" s="6" t="s">
        <v>311</v>
      </c>
      <c r="N281" s="6" t="s">
        <v>265</v>
      </c>
      <c r="O281" s="6" t="s">
        <v>62</v>
      </c>
      <c r="P281" s="6" t="s">
        <v>1533</v>
      </c>
      <c r="Q281" s="6" t="s">
        <v>65</v>
      </c>
      <c r="R281" s="6" t="s">
        <v>57</v>
      </c>
      <c r="S281" s="6" t="s">
        <v>1219</v>
      </c>
      <c r="T281" s="131">
        <v>7.3310000000000004</v>
      </c>
      <c r="U281" s="6" t="s">
        <v>1534</v>
      </c>
      <c r="V281" s="134">
        <v>2.4E-2</v>
      </c>
      <c r="W281" s="132">
        <v>4.6940000000000003E-2</v>
      </c>
      <c r="X281" s="3" t="s">
        <v>620</v>
      </c>
      <c r="Y281" s="3" t="s">
        <v>62</v>
      </c>
      <c r="Z281" s="131">
        <v>151000</v>
      </c>
      <c r="AA281" s="129">
        <v>1</v>
      </c>
      <c r="AB281" s="157">
        <v>84.92</v>
      </c>
      <c r="AD281" s="131">
        <v>128.22900000000001</v>
      </c>
      <c r="AG281" s="6" t="s">
        <v>17</v>
      </c>
      <c r="AH281" s="132">
        <v>9.6000000000000002E-5</v>
      </c>
      <c r="AI281" s="132">
        <v>2.1148365207479701E-3</v>
      </c>
      <c r="AJ281" s="132">
        <v>3.8451074262977301E-4</v>
      </c>
    </row>
    <row r="282" spans="1:36" x14ac:dyDescent="0.2">
      <c r="A282" s="6">
        <v>559</v>
      </c>
      <c r="B282" s="6">
        <v>556</v>
      </c>
      <c r="C282" s="6" t="s">
        <v>1535</v>
      </c>
      <c r="D282" s="6" t="s">
        <v>1536</v>
      </c>
      <c r="E282" s="3" t="s">
        <v>1477</v>
      </c>
      <c r="F282" s="6" t="s">
        <v>1537</v>
      </c>
      <c r="G282" s="6" t="s">
        <v>1538</v>
      </c>
      <c r="H282" s="6" t="s">
        <v>76</v>
      </c>
      <c r="I282" s="6" t="s">
        <v>229</v>
      </c>
      <c r="J282" s="6" t="s">
        <v>53</v>
      </c>
      <c r="K282" s="6" t="s">
        <v>53</v>
      </c>
      <c r="L282" s="6" t="s">
        <v>805</v>
      </c>
      <c r="M282" s="6" t="s">
        <v>311</v>
      </c>
      <c r="N282" s="6" t="s">
        <v>635</v>
      </c>
      <c r="O282" s="6" t="s">
        <v>62</v>
      </c>
      <c r="P282" s="6" t="s">
        <v>1533</v>
      </c>
      <c r="Q282" s="6" t="s">
        <v>65</v>
      </c>
      <c r="R282" s="6" t="s">
        <v>57</v>
      </c>
      <c r="S282" s="6" t="s">
        <v>1219</v>
      </c>
      <c r="T282" s="131">
        <v>2.0139999999999998</v>
      </c>
      <c r="U282" s="6" t="s">
        <v>1539</v>
      </c>
      <c r="V282" s="134">
        <v>2.3400000000000001E-2</v>
      </c>
      <c r="W282" s="132">
        <v>2.8719999999999999E-2</v>
      </c>
      <c r="X282" s="3" t="s">
        <v>620</v>
      </c>
      <c r="Y282" s="3" t="s">
        <v>62</v>
      </c>
      <c r="Z282" s="131">
        <v>56000.639999999999</v>
      </c>
      <c r="AA282" s="129">
        <v>1</v>
      </c>
      <c r="AB282" s="157">
        <v>116.49</v>
      </c>
      <c r="AD282" s="131">
        <v>65.234999999999999</v>
      </c>
      <c r="AG282" s="6" t="s">
        <v>17</v>
      </c>
      <c r="AH282" s="132">
        <v>3.4E-5</v>
      </c>
      <c r="AI282" s="132">
        <v>1.07589900128708E-3</v>
      </c>
      <c r="AJ282" s="132">
        <v>1.9561546243452099E-4</v>
      </c>
    </row>
    <row r="283" spans="1:36" x14ac:dyDescent="0.2">
      <c r="A283" s="6">
        <v>559</v>
      </c>
      <c r="B283" s="6">
        <v>556</v>
      </c>
      <c r="C283" s="6" t="s">
        <v>1540</v>
      </c>
      <c r="D283" s="6" t="s">
        <v>1541</v>
      </c>
      <c r="E283" s="3" t="s">
        <v>1477</v>
      </c>
      <c r="F283" s="6" t="s">
        <v>1542</v>
      </c>
      <c r="G283" s="6" t="s">
        <v>1543</v>
      </c>
      <c r="H283" s="6" t="s">
        <v>76</v>
      </c>
      <c r="I283" s="6" t="s">
        <v>607</v>
      </c>
      <c r="J283" s="6" t="s">
        <v>53</v>
      </c>
      <c r="K283" s="6" t="s">
        <v>53</v>
      </c>
      <c r="L283" s="6" t="s">
        <v>805</v>
      </c>
      <c r="M283" s="6" t="s">
        <v>311</v>
      </c>
      <c r="N283" s="6" t="s">
        <v>259</v>
      </c>
      <c r="O283" s="6" t="s">
        <v>62</v>
      </c>
      <c r="P283" s="6" t="s">
        <v>298</v>
      </c>
      <c r="Q283" s="6" t="s">
        <v>298</v>
      </c>
      <c r="R283" s="6" t="s">
        <v>298</v>
      </c>
      <c r="S283" s="6" t="s">
        <v>1219</v>
      </c>
      <c r="T283" s="131">
        <v>2.839</v>
      </c>
      <c r="U283" s="6" t="s">
        <v>1544</v>
      </c>
      <c r="V283" s="134">
        <v>4.8500000000000001E-2</v>
      </c>
      <c r="W283" s="132">
        <v>1E-4</v>
      </c>
      <c r="X283" s="3" t="s">
        <v>620</v>
      </c>
      <c r="Y283" s="3" t="s">
        <v>62</v>
      </c>
      <c r="Z283" s="131">
        <v>188000</v>
      </c>
      <c r="AA283" s="129">
        <v>1</v>
      </c>
      <c r="AB283" s="157">
        <v>115</v>
      </c>
      <c r="AD283" s="131">
        <v>216.2</v>
      </c>
      <c r="AG283" s="6" t="s">
        <v>17</v>
      </c>
      <c r="AH283" s="132">
        <v>6.2699999999999995E-4</v>
      </c>
      <c r="AI283" s="132">
        <v>3.5657062181290301E-3</v>
      </c>
      <c r="AJ283" s="132">
        <v>6.4830181079314898E-4</v>
      </c>
    </row>
    <row r="284" spans="1:36" x14ac:dyDescent="0.2">
      <c r="A284" s="6">
        <v>559</v>
      </c>
      <c r="B284" s="6">
        <v>556</v>
      </c>
      <c r="C284" s="6" t="s">
        <v>1545</v>
      </c>
      <c r="D284" s="6" t="s">
        <v>1546</v>
      </c>
      <c r="E284" s="3" t="s">
        <v>1477</v>
      </c>
      <c r="F284" s="6" t="s">
        <v>2346</v>
      </c>
      <c r="G284" s="6" t="s">
        <v>2347</v>
      </c>
      <c r="H284" s="6" t="s">
        <v>76</v>
      </c>
      <c r="I284" s="6" t="s">
        <v>230</v>
      </c>
      <c r="J284" s="6" t="s">
        <v>53</v>
      </c>
      <c r="K284" s="6" t="s">
        <v>317</v>
      </c>
      <c r="L284" s="6" t="s">
        <v>805</v>
      </c>
      <c r="M284" s="6" t="s">
        <v>311</v>
      </c>
      <c r="N284" s="6" t="s">
        <v>638</v>
      </c>
      <c r="O284" s="6" t="s">
        <v>62</v>
      </c>
      <c r="P284" s="6" t="s">
        <v>1339</v>
      </c>
      <c r="Q284" s="6" t="s">
        <v>65</v>
      </c>
      <c r="R284" s="6" t="s">
        <v>57</v>
      </c>
      <c r="S284" s="6" t="s">
        <v>1219</v>
      </c>
      <c r="T284" s="131">
        <v>4.867</v>
      </c>
      <c r="U284" s="6" t="s">
        <v>2348</v>
      </c>
      <c r="V284" s="134">
        <v>2.6700000000000002E-2</v>
      </c>
      <c r="W284" s="132">
        <v>5.0970000000000001E-2</v>
      </c>
      <c r="X284" s="3" t="s">
        <v>620</v>
      </c>
      <c r="Y284" s="3" t="s">
        <v>62</v>
      </c>
      <c r="Z284" s="131">
        <v>333312.58</v>
      </c>
      <c r="AA284" s="129">
        <v>1</v>
      </c>
      <c r="AB284" s="157">
        <v>92</v>
      </c>
      <c r="AD284" s="131">
        <v>306.64800000000002</v>
      </c>
      <c r="AG284" s="6" t="s">
        <v>17</v>
      </c>
      <c r="AH284" s="132">
        <v>2.1210000000000001E-3</v>
      </c>
      <c r="AI284" s="132">
        <v>5.05742442164524E-3</v>
      </c>
      <c r="AJ284" s="132">
        <v>9.1951978371973E-4</v>
      </c>
    </row>
    <row r="285" spans="1:36" x14ac:dyDescent="0.2">
      <c r="A285" s="6">
        <v>559</v>
      </c>
      <c r="B285" s="6">
        <v>556</v>
      </c>
      <c r="C285" s="6" t="s">
        <v>1545</v>
      </c>
      <c r="D285" s="6" t="s">
        <v>1546</v>
      </c>
      <c r="E285" s="3" t="s">
        <v>1477</v>
      </c>
      <c r="F285" s="6" t="s">
        <v>1547</v>
      </c>
      <c r="G285" s="6" t="s">
        <v>1548</v>
      </c>
      <c r="H285" s="6" t="s">
        <v>76</v>
      </c>
      <c r="I285" s="6" t="s">
        <v>228</v>
      </c>
      <c r="J285" s="6" t="s">
        <v>53</v>
      </c>
      <c r="K285" s="6" t="s">
        <v>317</v>
      </c>
      <c r="L285" s="6" t="s">
        <v>805</v>
      </c>
      <c r="M285" s="6" t="s">
        <v>311</v>
      </c>
      <c r="N285" s="6" t="s">
        <v>638</v>
      </c>
      <c r="O285" s="6" t="s">
        <v>62</v>
      </c>
      <c r="P285" s="6" t="s">
        <v>1339</v>
      </c>
      <c r="Q285" s="6" t="s">
        <v>65</v>
      </c>
      <c r="R285" s="6" t="s">
        <v>57</v>
      </c>
      <c r="S285" s="6" t="s">
        <v>1219</v>
      </c>
      <c r="T285" s="131">
        <v>2.4220000000000002</v>
      </c>
      <c r="U285" s="6" t="s">
        <v>1549</v>
      </c>
      <c r="V285" s="134">
        <v>1.0800000000000001E-2</v>
      </c>
      <c r="W285" s="132">
        <v>4.3990000000000001E-2</v>
      </c>
      <c r="X285" s="3" t="s">
        <v>620</v>
      </c>
      <c r="Y285" s="3" t="s">
        <v>62</v>
      </c>
      <c r="Z285" s="131">
        <v>623200.65</v>
      </c>
      <c r="AA285" s="129">
        <v>1</v>
      </c>
      <c r="AB285" s="157">
        <v>92.42</v>
      </c>
      <c r="AD285" s="131">
        <v>575.96199999999999</v>
      </c>
      <c r="AG285" s="6" t="s">
        <v>17</v>
      </c>
      <c r="AH285" s="132">
        <v>8.3100000000000003E-4</v>
      </c>
      <c r="AI285" s="132">
        <v>9.4991277985071593E-3</v>
      </c>
      <c r="AJ285" s="132">
        <v>1.7270917389147901E-3</v>
      </c>
    </row>
    <row r="286" spans="1:36" x14ac:dyDescent="0.2">
      <c r="A286" s="6">
        <v>559</v>
      </c>
      <c r="B286" s="6">
        <v>556</v>
      </c>
      <c r="C286" s="6" t="s">
        <v>1550</v>
      </c>
      <c r="D286" s="6" t="s">
        <v>1551</v>
      </c>
      <c r="E286" s="3" t="s">
        <v>1477</v>
      </c>
      <c r="F286" s="6" t="s">
        <v>1552</v>
      </c>
      <c r="G286" s="6" t="s">
        <v>1553</v>
      </c>
      <c r="H286" s="6" t="s">
        <v>76</v>
      </c>
      <c r="I286" s="6" t="s">
        <v>228</v>
      </c>
      <c r="J286" s="6" t="s">
        <v>53</v>
      </c>
      <c r="K286" s="6" t="s">
        <v>53</v>
      </c>
      <c r="L286" s="6" t="s">
        <v>805</v>
      </c>
      <c r="M286" s="6" t="s">
        <v>311</v>
      </c>
      <c r="N286" s="6" t="s">
        <v>258</v>
      </c>
      <c r="O286" s="6" t="s">
        <v>62</v>
      </c>
      <c r="P286" s="6" t="s">
        <v>1493</v>
      </c>
      <c r="Q286" s="6" t="s">
        <v>65</v>
      </c>
      <c r="R286" s="6" t="s">
        <v>57</v>
      </c>
      <c r="S286" s="6" t="s">
        <v>1219</v>
      </c>
      <c r="T286" s="131">
        <v>0.76400000000000001</v>
      </c>
      <c r="U286" s="6" t="s">
        <v>1554</v>
      </c>
      <c r="V286" s="134">
        <v>3.2500000000000001E-2</v>
      </c>
      <c r="W286" s="132">
        <v>5.1630000000000002E-2</v>
      </c>
      <c r="X286" s="3" t="s">
        <v>620</v>
      </c>
      <c r="Y286" s="3" t="s">
        <v>62</v>
      </c>
      <c r="Z286" s="131">
        <v>302000.02</v>
      </c>
      <c r="AA286" s="129">
        <v>1</v>
      </c>
      <c r="AB286" s="157">
        <v>99.33</v>
      </c>
      <c r="AD286" s="131">
        <v>299.97699999999998</v>
      </c>
      <c r="AG286" s="6" t="s">
        <v>17</v>
      </c>
      <c r="AH286" s="132">
        <v>1.0579999999999999E-3</v>
      </c>
      <c r="AI286" s="132">
        <v>4.9474028619312001E-3</v>
      </c>
      <c r="AJ286" s="132">
        <v>8.9951612328740096E-4</v>
      </c>
    </row>
    <row r="287" spans="1:36" x14ac:dyDescent="0.2">
      <c r="A287" s="6">
        <v>559</v>
      </c>
      <c r="B287" s="6">
        <v>556</v>
      </c>
      <c r="C287" s="6" t="s">
        <v>1560</v>
      </c>
      <c r="D287" s="6" t="s">
        <v>1561</v>
      </c>
      <c r="E287" s="3" t="s">
        <v>1477</v>
      </c>
      <c r="F287" s="6" t="s">
        <v>1562</v>
      </c>
      <c r="G287" s="6" t="s">
        <v>1563</v>
      </c>
      <c r="H287" s="6" t="s">
        <v>76</v>
      </c>
      <c r="I287" s="6" t="s">
        <v>228</v>
      </c>
      <c r="J287" s="6" t="s">
        <v>53</v>
      </c>
      <c r="K287" s="6" t="s">
        <v>53</v>
      </c>
      <c r="L287" s="6" t="s">
        <v>805</v>
      </c>
      <c r="M287" s="6" t="s">
        <v>102</v>
      </c>
      <c r="N287" s="6" t="s">
        <v>692</v>
      </c>
      <c r="O287" s="6" t="s">
        <v>62</v>
      </c>
      <c r="P287" s="6" t="s">
        <v>298</v>
      </c>
      <c r="Q287" s="6" t="s">
        <v>298</v>
      </c>
      <c r="R287" s="6" t="s">
        <v>298</v>
      </c>
      <c r="S287" s="6" t="s">
        <v>1219</v>
      </c>
      <c r="T287" s="131">
        <v>4.0350000000000001</v>
      </c>
      <c r="U287" s="6" t="s">
        <v>1564</v>
      </c>
      <c r="V287" s="134">
        <v>6.5600000000000006E-2</v>
      </c>
      <c r="W287" s="132">
        <v>6.3450000000000006E-2</v>
      </c>
      <c r="X287" s="3" t="s">
        <v>620</v>
      </c>
      <c r="Y287" s="3" t="s">
        <v>62</v>
      </c>
      <c r="Z287" s="131">
        <v>96000</v>
      </c>
      <c r="AA287" s="129">
        <v>1</v>
      </c>
      <c r="AB287" s="157">
        <v>102.91</v>
      </c>
      <c r="AD287" s="131">
        <v>98.793999999999997</v>
      </c>
      <c r="AG287" s="6" t="s">
        <v>17</v>
      </c>
      <c r="AH287" s="132">
        <v>7.9000000000000001E-4</v>
      </c>
      <c r="AI287" s="132">
        <v>1.6293661139285499E-3</v>
      </c>
      <c r="AJ287" s="132">
        <v>2.96244541048909E-4</v>
      </c>
    </row>
    <row r="288" spans="1:36" x14ac:dyDescent="0.2">
      <c r="A288" s="6">
        <v>559</v>
      </c>
      <c r="B288" s="6">
        <v>556</v>
      </c>
      <c r="C288" s="6" t="s">
        <v>1565</v>
      </c>
      <c r="D288" s="6" t="s">
        <v>1566</v>
      </c>
      <c r="E288" s="3" t="s">
        <v>1477</v>
      </c>
      <c r="F288" s="6" t="s">
        <v>1567</v>
      </c>
      <c r="G288" s="6" t="s">
        <v>1568</v>
      </c>
      <c r="H288" s="6" t="s">
        <v>76</v>
      </c>
      <c r="I288" s="6" t="s">
        <v>228</v>
      </c>
      <c r="J288" s="6" t="s">
        <v>53</v>
      </c>
      <c r="K288" s="6" t="s">
        <v>53</v>
      </c>
      <c r="L288" s="6" t="s">
        <v>805</v>
      </c>
      <c r="M288" s="6" t="s">
        <v>311</v>
      </c>
      <c r="N288" s="6" t="s">
        <v>631</v>
      </c>
      <c r="O288" s="6" t="s">
        <v>62</v>
      </c>
      <c r="P288" s="6" t="s">
        <v>298</v>
      </c>
      <c r="Q288" s="6" t="s">
        <v>298</v>
      </c>
      <c r="R288" s="6" t="s">
        <v>298</v>
      </c>
      <c r="S288" s="6" t="s">
        <v>1219</v>
      </c>
      <c r="T288" s="131">
        <v>2.0779999999999998</v>
      </c>
      <c r="U288" s="6" t="s">
        <v>1569</v>
      </c>
      <c r="V288" s="134">
        <v>6.0499999999999998E-2</v>
      </c>
      <c r="W288" s="132">
        <v>5.6259999999999998E-2</v>
      </c>
      <c r="X288" s="3" t="s">
        <v>620</v>
      </c>
      <c r="Y288" s="3" t="s">
        <v>62</v>
      </c>
      <c r="Z288" s="131">
        <v>221000</v>
      </c>
      <c r="AA288" s="129">
        <v>1</v>
      </c>
      <c r="AB288" s="157">
        <v>102.55</v>
      </c>
      <c r="AD288" s="131">
        <v>226.636</v>
      </c>
      <c r="AG288" s="6" t="s">
        <v>17</v>
      </c>
      <c r="AH288" s="132">
        <v>1.005E-3</v>
      </c>
      <c r="AI288" s="132">
        <v>3.7378150397723501E-3</v>
      </c>
      <c r="AJ288" s="132">
        <v>6.7959391785388896E-4</v>
      </c>
    </row>
    <row r="289" spans="1:36" x14ac:dyDescent="0.2">
      <c r="A289" s="6">
        <v>559</v>
      </c>
      <c r="B289" s="6">
        <v>556</v>
      </c>
      <c r="C289" s="6" t="s">
        <v>1565</v>
      </c>
      <c r="D289" s="6" t="s">
        <v>1566</v>
      </c>
      <c r="E289" s="3" t="s">
        <v>1477</v>
      </c>
      <c r="F289" s="6" t="s">
        <v>1570</v>
      </c>
      <c r="G289" s="6" t="s">
        <v>1571</v>
      </c>
      <c r="H289" s="6" t="s">
        <v>76</v>
      </c>
      <c r="I289" s="6" t="s">
        <v>228</v>
      </c>
      <c r="J289" s="6" t="s">
        <v>53</v>
      </c>
      <c r="K289" s="6" t="s">
        <v>53</v>
      </c>
      <c r="L289" s="6" t="s">
        <v>805</v>
      </c>
      <c r="M289" s="6" t="s">
        <v>102</v>
      </c>
      <c r="N289" s="6" t="s">
        <v>631</v>
      </c>
      <c r="O289" s="6" t="s">
        <v>62</v>
      </c>
      <c r="P289" s="6" t="s">
        <v>298</v>
      </c>
      <c r="Q289" s="6" t="s">
        <v>298</v>
      </c>
      <c r="R289" s="6" t="s">
        <v>298</v>
      </c>
      <c r="S289" s="6" t="s">
        <v>1219</v>
      </c>
      <c r="T289" s="131">
        <v>4.6459999999999999</v>
      </c>
      <c r="U289" s="6" t="s">
        <v>1572</v>
      </c>
      <c r="V289" s="134">
        <v>6.3399999999999998E-2</v>
      </c>
      <c r="W289" s="132">
        <v>6.4640000000000003E-2</v>
      </c>
      <c r="X289" s="3" t="s">
        <v>620</v>
      </c>
      <c r="Y289" s="3" t="s">
        <v>62</v>
      </c>
      <c r="Z289" s="131">
        <v>130000</v>
      </c>
      <c r="AA289" s="129">
        <v>1</v>
      </c>
      <c r="AB289" s="157">
        <v>102.19</v>
      </c>
      <c r="AD289" s="131">
        <v>132.84700000000001</v>
      </c>
      <c r="AG289" s="6" t="s">
        <v>17</v>
      </c>
      <c r="AH289" s="132">
        <v>6.0599999999999998E-4</v>
      </c>
      <c r="AI289" s="132">
        <v>2.1909961792774598E-3</v>
      </c>
      <c r="AJ289" s="132">
        <v>3.9835777362829598E-4</v>
      </c>
    </row>
    <row r="290" spans="1:36" x14ac:dyDescent="0.2">
      <c r="A290" s="6">
        <v>559</v>
      </c>
      <c r="B290" s="6">
        <v>556</v>
      </c>
      <c r="C290" s="6" t="s">
        <v>1573</v>
      </c>
      <c r="D290" s="6" t="s">
        <v>1574</v>
      </c>
      <c r="E290" s="3" t="s">
        <v>1477</v>
      </c>
      <c r="F290" s="6" t="s">
        <v>1575</v>
      </c>
      <c r="G290" s="6" t="s">
        <v>1576</v>
      </c>
      <c r="H290" s="6" t="s">
        <v>76</v>
      </c>
      <c r="I290" s="6" t="s">
        <v>228</v>
      </c>
      <c r="J290" s="6" t="s">
        <v>53</v>
      </c>
      <c r="K290" s="6" t="s">
        <v>53</v>
      </c>
      <c r="L290" s="6" t="s">
        <v>805</v>
      </c>
      <c r="M290" s="6" t="s">
        <v>311</v>
      </c>
      <c r="N290" s="6" t="s">
        <v>692</v>
      </c>
      <c r="O290" s="6" t="s">
        <v>62</v>
      </c>
      <c r="P290" s="6" t="s">
        <v>1577</v>
      </c>
      <c r="Q290" s="6" t="s">
        <v>65</v>
      </c>
      <c r="R290" s="6" t="s">
        <v>57</v>
      </c>
      <c r="S290" s="6" t="s">
        <v>1219</v>
      </c>
      <c r="T290" s="131">
        <v>0.73</v>
      </c>
      <c r="U290" s="6" t="s">
        <v>1578</v>
      </c>
      <c r="V290" s="134">
        <v>3.9E-2</v>
      </c>
      <c r="W290" s="132">
        <v>4.9660000000000003E-2</v>
      </c>
      <c r="X290" s="3" t="s">
        <v>620</v>
      </c>
      <c r="Y290" s="3" t="s">
        <v>62</v>
      </c>
      <c r="Z290" s="131">
        <v>321000</v>
      </c>
      <c r="AA290" s="129">
        <v>1</v>
      </c>
      <c r="AB290" s="157">
        <v>100.26</v>
      </c>
      <c r="AD290" s="131">
        <v>321.83499999999998</v>
      </c>
      <c r="AG290" s="6" t="s">
        <v>17</v>
      </c>
      <c r="AH290" s="132">
        <v>5.5699999999999999E-4</v>
      </c>
      <c r="AI290" s="132">
        <v>5.3078984016145699E-3</v>
      </c>
      <c r="AJ290" s="132">
        <v>9.6505991653972703E-4</v>
      </c>
    </row>
    <row r="291" spans="1:36" x14ac:dyDescent="0.2">
      <c r="A291" s="6">
        <v>559</v>
      </c>
      <c r="B291" s="6">
        <v>556</v>
      </c>
      <c r="C291" s="6" t="s">
        <v>1579</v>
      </c>
      <c r="D291" s="6" t="s">
        <v>1580</v>
      </c>
      <c r="E291" s="3" t="s">
        <v>1477</v>
      </c>
      <c r="F291" s="6" t="s">
        <v>1581</v>
      </c>
      <c r="G291" s="6" t="s">
        <v>1582</v>
      </c>
      <c r="H291" s="6" t="s">
        <v>76</v>
      </c>
      <c r="I291" s="6" t="s">
        <v>228</v>
      </c>
      <c r="J291" s="6" t="s">
        <v>53</v>
      </c>
      <c r="K291" s="6" t="s">
        <v>53</v>
      </c>
      <c r="L291" s="6" t="s">
        <v>805</v>
      </c>
      <c r="M291" s="6" t="s">
        <v>311</v>
      </c>
      <c r="N291" s="6" t="s">
        <v>635</v>
      </c>
      <c r="O291" s="6" t="s">
        <v>62</v>
      </c>
      <c r="P291" s="6" t="s">
        <v>1577</v>
      </c>
      <c r="Q291" s="6" t="s">
        <v>65</v>
      </c>
      <c r="R291" s="6" t="s">
        <v>57</v>
      </c>
      <c r="S291" s="6" t="s">
        <v>1219</v>
      </c>
      <c r="T291" s="131">
        <v>1.141</v>
      </c>
      <c r="U291" s="6" t="s">
        <v>1583</v>
      </c>
      <c r="V291" s="134">
        <v>3.85E-2</v>
      </c>
      <c r="W291" s="132">
        <v>4.9360000000000001E-2</v>
      </c>
      <c r="X291" s="3" t="s">
        <v>620</v>
      </c>
      <c r="Y291" s="3" t="s">
        <v>62</v>
      </c>
      <c r="Z291" s="131">
        <v>107000.33</v>
      </c>
      <c r="AA291" s="129">
        <v>1</v>
      </c>
      <c r="AB291" s="157">
        <v>100.09</v>
      </c>
      <c r="AD291" s="131">
        <v>107.09699999999999</v>
      </c>
      <c r="AG291" s="6" t="s">
        <v>17</v>
      </c>
      <c r="AH291" s="132">
        <v>3.4299999999999999E-4</v>
      </c>
      <c r="AI291" s="132">
        <v>1.76630490559981E-3</v>
      </c>
      <c r="AJ291" s="132">
        <v>3.2114218016368899E-4</v>
      </c>
    </row>
    <row r="292" spans="1:36" x14ac:dyDescent="0.2">
      <c r="A292" s="6">
        <v>559</v>
      </c>
      <c r="B292" s="6">
        <v>556</v>
      </c>
      <c r="C292" s="6" t="s">
        <v>1586</v>
      </c>
      <c r="D292" s="6" t="s">
        <v>1587</v>
      </c>
      <c r="E292" s="3" t="s">
        <v>1477</v>
      </c>
      <c r="F292" s="6" t="s">
        <v>1588</v>
      </c>
      <c r="G292" s="6" t="s">
        <v>1589</v>
      </c>
      <c r="H292" s="6" t="s">
        <v>76</v>
      </c>
      <c r="I292" s="6" t="s">
        <v>228</v>
      </c>
      <c r="J292" s="6" t="s">
        <v>53</v>
      </c>
      <c r="K292" s="6" t="s">
        <v>53</v>
      </c>
      <c r="L292" s="6" t="s">
        <v>805</v>
      </c>
      <c r="M292" s="6" t="s">
        <v>102</v>
      </c>
      <c r="N292" s="6" t="s">
        <v>140</v>
      </c>
      <c r="O292" s="6" t="s">
        <v>62</v>
      </c>
      <c r="P292" s="6" t="s">
        <v>298</v>
      </c>
      <c r="Q292" s="6" t="s">
        <v>298</v>
      </c>
      <c r="R292" s="6" t="s">
        <v>298</v>
      </c>
      <c r="S292" s="6" t="s">
        <v>1219</v>
      </c>
      <c r="T292" s="131">
        <v>2.605</v>
      </c>
      <c r="U292" s="6" t="s">
        <v>1590</v>
      </c>
      <c r="V292" s="134">
        <v>6.0699999999999997E-2</v>
      </c>
      <c r="W292" s="132">
        <v>5.7910000000000003E-2</v>
      </c>
      <c r="X292" s="3" t="s">
        <v>620</v>
      </c>
      <c r="Y292" s="3" t="s">
        <v>62</v>
      </c>
      <c r="Z292" s="131">
        <v>134000</v>
      </c>
      <c r="AA292" s="129">
        <v>1</v>
      </c>
      <c r="AB292" s="157">
        <v>101.2</v>
      </c>
      <c r="AD292" s="131">
        <v>135.608</v>
      </c>
      <c r="AG292" s="6" t="s">
        <v>17</v>
      </c>
      <c r="AH292" s="132">
        <v>1.4890000000000001E-3</v>
      </c>
      <c r="AI292" s="132">
        <v>2.2365323257541301E-3</v>
      </c>
      <c r="AJ292" s="132">
        <v>4.0663696557834101E-4</v>
      </c>
    </row>
    <row r="293" spans="1:36" x14ac:dyDescent="0.2">
      <c r="A293" s="6">
        <v>559</v>
      </c>
      <c r="B293" s="6">
        <v>556</v>
      </c>
      <c r="C293" s="6" t="s">
        <v>1591</v>
      </c>
      <c r="D293" s="6" t="s">
        <v>1592</v>
      </c>
      <c r="E293" s="3" t="s">
        <v>1477</v>
      </c>
      <c r="F293" s="6" t="s">
        <v>1593</v>
      </c>
      <c r="G293" s="6" t="s">
        <v>1594</v>
      </c>
      <c r="H293" s="6" t="s">
        <v>76</v>
      </c>
      <c r="I293" s="6" t="s">
        <v>228</v>
      </c>
      <c r="J293" s="6" t="s">
        <v>53</v>
      </c>
      <c r="K293" s="6" t="s">
        <v>53</v>
      </c>
      <c r="L293" s="6" t="s">
        <v>805</v>
      </c>
      <c r="M293" s="6" t="s">
        <v>311</v>
      </c>
      <c r="N293" s="6" t="s">
        <v>140</v>
      </c>
      <c r="O293" s="6" t="s">
        <v>62</v>
      </c>
      <c r="P293" s="6" t="s">
        <v>298</v>
      </c>
      <c r="Q293" s="6" t="s">
        <v>298</v>
      </c>
      <c r="R293" s="6" t="s">
        <v>298</v>
      </c>
      <c r="S293" s="6" t="s">
        <v>1219</v>
      </c>
      <c r="T293" s="131">
        <v>0.81699999999999995</v>
      </c>
      <c r="U293" s="6" t="s">
        <v>1595</v>
      </c>
      <c r="V293" s="134">
        <v>8.2000000000000003E-2</v>
      </c>
      <c r="W293" s="132">
        <v>6.0940000000000001E-2</v>
      </c>
      <c r="X293" s="3" t="s">
        <v>620</v>
      </c>
      <c r="Y293" s="3" t="s">
        <v>62</v>
      </c>
      <c r="Z293" s="131">
        <v>111000</v>
      </c>
      <c r="AA293" s="129">
        <v>1</v>
      </c>
      <c r="AB293" s="157">
        <v>101.78</v>
      </c>
      <c r="AD293" s="131">
        <v>112.976</v>
      </c>
      <c r="AG293" s="6" t="s">
        <v>17</v>
      </c>
      <c r="AH293" s="132">
        <v>1.4369999999999999E-3</v>
      </c>
      <c r="AI293" s="132">
        <v>1.86326786567115E-3</v>
      </c>
      <c r="AJ293" s="132">
        <v>3.3877158055413799E-4</v>
      </c>
    </row>
    <row r="294" spans="1:36" x14ac:dyDescent="0.2">
      <c r="A294" s="6">
        <v>559</v>
      </c>
      <c r="B294" s="6">
        <v>556</v>
      </c>
      <c r="C294" s="6" t="s">
        <v>1596</v>
      </c>
      <c r="D294" s="6" t="s">
        <v>1597</v>
      </c>
      <c r="E294" s="3" t="s">
        <v>1477</v>
      </c>
      <c r="F294" s="6" t="s">
        <v>1598</v>
      </c>
      <c r="G294" s="6" t="s">
        <v>1599</v>
      </c>
      <c r="H294" s="6" t="s">
        <v>76</v>
      </c>
      <c r="I294" s="6" t="s">
        <v>228</v>
      </c>
      <c r="J294" s="6" t="s">
        <v>53</v>
      </c>
      <c r="K294" s="6" t="s">
        <v>53</v>
      </c>
      <c r="L294" s="6" t="s">
        <v>805</v>
      </c>
      <c r="M294" s="6" t="s">
        <v>311</v>
      </c>
      <c r="N294" s="6" t="s">
        <v>692</v>
      </c>
      <c r="O294" s="6" t="s">
        <v>62</v>
      </c>
      <c r="P294" s="6" t="s">
        <v>1493</v>
      </c>
      <c r="Q294" s="6" t="s">
        <v>65</v>
      </c>
      <c r="R294" s="6" t="s">
        <v>57</v>
      </c>
      <c r="S294" s="6" t="s">
        <v>1219</v>
      </c>
      <c r="T294" s="131">
        <v>0.98499999999999999</v>
      </c>
      <c r="U294" s="6" t="s">
        <v>1595</v>
      </c>
      <c r="V294" s="134">
        <v>0.04</v>
      </c>
      <c r="W294" s="132">
        <v>4.9259999999999998E-2</v>
      </c>
      <c r="X294" s="3" t="s">
        <v>620</v>
      </c>
      <c r="Y294" s="3" t="s">
        <v>62</v>
      </c>
      <c r="Z294" s="131">
        <v>46200.959999999999</v>
      </c>
      <c r="AA294" s="129">
        <v>1</v>
      </c>
      <c r="AB294" s="157">
        <v>99.19</v>
      </c>
      <c r="AD294" s="131">
        <v>45.826999999999998</v>
      </c>
      <c r="AG294" s="6" t="s">
        <v>17</v>
      </c>
      <c r="AH294" s="132">
        <v>7.0100000000000002E-4</v>
      </c>
      <c r="AI294" s="132">
        <v>7.5580325646462004E-4</v>
      </c>
      <c r="AJ294" s="132">
        <v>1.3741699113576299E-4</v>
      </c>
    </row>
    <row r="295" spans="1:36" x14ac:dyDescent="0.2">
      <c r="A295" s="6">
        <v>559</v>
      </c>
      <c r="B295" s="6">
        <v>556</v>
      </c>
      <c r="C295" s="6" t="s">
        <v>1600</v>
      </c>
      <c r="D295" s="6" t="s">
        <v>1601</v>
      </c>
      <c r="E295" s="3" t="s">
        <v>767</v>
      </c>
      <c r="F295" s="6" t="s">
        <v>1602</v>
      </c>
      <c r="G295" s="6" t="s">
        <v>1603</v>
      </c>
      <c r="H295" s="6" t="s">
        <v>76</v>
      </c>
      <c r="I295" s="6" t="s">
        <v>228</v>
      </c>
      <c r="J295" s="6" t="s">
        <v>53</v>
      </c>
      <c r="K295" s="6" t="s">
        <v>317</v>
      </c>
      <c r="L295" s="6" t="s">
        <v>805</v>
      </c>
      <c r="M295" s="6" t="s">
        <v>102</v>
      </c>
      <c r="N295" s="6" t="s">
        <v>636</v>
      </c>
      <c r="O295" s="6" t="s">
        <v>62</v>
      </c>
      <c r="P295" s="6" t="s">
        <v>1604</v>
      </c>
      <c r="Q295" s="6" t="s">
        <v>70</v>
      </c>
      <c r="R295" s="6" t="s">
        <v>57</v>
      </c>
      <c r="S295" s="6" t="s">
        <v>1219</v>
      </c>
      <c r="T295" s="131">
        <v>2.2410000000000001</v>
      </c>
      <c r="U295" s="6" t="s">
        <v>1605</v>
      </c>
      <c r="V295" s="134">
        <v>7.9500000000000001E-2</v>
      </c>
      <c r="W295" s="132">
        <v>5.8229999999999997E-2</v>
      </c>
      <c r="X295" s="3" t="s">
        <v>620</v>
      </c>
      <c r="Y295" s="3" t="s">
        <v>62</v>
      </c>
      <c r="Z295" s="131">
        <v>14000</v>
      </c>
      <c r="AA295" s="129">
        <v>1</v>
      </c>
      <c r="AB295" s="157">
        <v>104.91</v>
      </c>
      <c r="AD295" s="131">
        <v>14.686999999999999</v>
      </c>
      <c r="AG295" s="6" t="s">
        <v>17</v>
      </c>
      <c r="AH295" s="132">
        <v>7.8999999999999996E-5</v>
      </c>
      <c r="AI295" s="132">
        <v>2.4223382751225E-4</v>
      </c>
      <c r="AJ295" s="132">
        <v>4.4041942718979202E-5</v>
      </c>
    </row>
    <row r="296" spans="1:36" x14ac:dyDescent="0.2">
      <c r="A296" s="6">
        <v>559</v>
      </c>
      <c r="B296" s="6">
        <v>556</v>
      </c>
      <c r="C296" s="6" t="s">
        <v>1600</v>
      </c>
      <c r="D296" s="6" t="s">
        <v>1601</v>
      </c>
      <c r="E296" s="3" t="s">
        <v>767</v>
      </c>
      <c r="F296" s="6" t="s">
        <v>1606</v>
      </c>
      <c r="G296" s="6" t="s">
        <v>1607</v>
      </c>
      <c r="H296" s="6" t="s">
        <v>76</v>
      </c>
      <c r="I296" s="6" t="s">
        <v>228</v>
      </c>
      <c r="J296" s="6" t="s">
        <v>53</v>
      </c>
      <c r="K296" s="6" t="s">
        <v>317</v>
      </c>
      <c r="L296" s="6" t="s">
        <v>805</v>
      </c>
      <c r="M296" s="6" t="s">
        <v>102</v>
      </c>
      <c r="N296" s="6" t="s">
        <v>636</v>
      </c>
      <c r="O296" s="6" t="s">
        <v>62</v>
      </c>
      <c r="P296" s="6" t="s">
        <v>1604</v>
      </c>
      <c r="Q296" s="6" t="s">
        <v>70</v>
      </c>
      <c r="R296" s="6" t="s">
        <v>57</v>
      </c>
      <c r="S296" s="6" t="s">
        <v>1219</v>
      </c>
      <c r="T296" s="131">
        <v>2.4500000000000002</v>
      </c>
      <c r="U296" s="6" t="s">
        <v>1608</v>
      </c>
      <c r="V296" s="134">
        <v>0.06</v>
      </c>
      <c r="W296" s="132">
        <v>5.8319999999999997E-2</v>
      </c>
      <c r="X296" s="3" t="s">
        <v>620</v>
      </c>
      <c r="Y296" s="3" t="s">
        <v>62</v>
      </c>
      <c r="Z296" s="131">
        <v>189000</v>
      </c>
      <c r="AA296" s="129">
        <v>1</v>
      </c>
      <c r="AB296" s="157">
        <v>102.71</v>
      </c>
      <c r="AD296" s="131">
        <v>194.12200000000001</v>
      </c>
      <c r="AG296" s="6" t="s">
        <v>17</v>
      </c>
      <c r="AH296" s="132">
        <v>6.8999999999999997E-4</v>
      </c>
      <c r="AI296" s="132">
        <v>3.2015803233349802E-3</v>
      </c>
      <c r="AJ296" s="132">
        <v>5.8209796153842099E-4</v>
      </c>
    </row>
    <row r="297" spans="1:36" x14ac:dyDescent="0.2">
      <c r="A297" s="6">
        <v>559</v>
      </c>
      <c r="B297" s="6">
        <v>556</v>
      </c>
      <c r="C297" s="6" t="s">
        <v>1609</v>
      </c>
      <c r="D297" s="6" t="s">
        <v>1610</v>
      </c>
      <c r="E297" s="3" t="s">
        <v>1477</v>
      </c>
      <c r="F297" s="6" t="s">
        <v>1611</v>
      </c>
      <c r="G297" s="6" t="s">
        <v>1612</v>
      </c>
      <c r="H297" s="6" t="s">
        <v>76</v>
      </c>
      <c r="I297" s="6" t="s">
        <v>228</v>
      </c>
      <c r="J297" s="6" t="s">
        <v>53</v>
      </c>
      <c r="K297" s="6" t="s">
        <v>53</v>
      </c>
      <c r="L297" s="6" t="s">
        <v>805</v>
      </c>
      <c r="M297" s="6" t="s">
        <v>311</v>
      </c>
      <c r="N297" s="6" t="s">
        <v>635</v>
      </c>
      <c r="O297" s="6" t="s">
        <v>62</v>
      </c>
      <c r="P297" s="6" t="s">
        <v>1533</v>
      </c>
      <c r="Q297" s="6" t="s">
        <v>65</v>
      </c>
      <c r="R297" s="6" t="s">
        <v>57</v>
      </c>
      <c r="S297" s="6" t="s">
        <v>1219</v>
      </c>
      <c r="T297" s="131">
        <v>0.51</v>
      </c>
      <c r="U297" s="6" t="s">
        <v>1613</v>
      </c>
      <c r="V297" s="134">
        <v>3.39E-2</v>
      </c>
      <c r="W297" s="132">
        <v>4.514E-2</v>
      </c>
      <c r="X297" s="3" t="s">
        <v>620</v>
      </c>
      <c r="Y297" s="3" t="s">
        <v>62</v>
      </c>
      <c r="Z297" s="131">
        <v>80500</v>
      </c>
      <c r="AA297" s="129">
        <v>1</v>
      </c>
      <c r="AB297" s="157">
        <v>101.09</v>
      </c>
      <c r="AD297" s="131">
        <v>81.376999999999995</v>
      </c>
      <c r="AG297" s="6" t="s">
        <v>17</v>
      </c>
      <c r="AH297" s="132">
        <v>4.9299999999999995E-4</v>
      </c>
      <c r="AI297" s="132">
        <v>1.3421280271992801E-3</v>
      </c>
      <c r="AJ297" s="132">
        <v>2.4402011189976399E-4</v>
      </c>
    </row>
    <row r="298" spans="1:36" x14ac:dyDescent="0.2">
      <c r="A298" s="6">
        <v>559</v>
      </c>
      <c r="B298" s="6">
        <v>556</v>
      </c>
      <c r="C298" s="6" t="s">
        <v>1609</v>
      </c>
      <c r="D298" s="6" t="s">
        <v>1610</v>
      </c>
      <c r="E298" s="3" t="s">
        <v>1477</v>
      </c>
      <c r="F298" s="6" t="s">
        <v>1614</v>
      </c>
      <c r="G298" s="6" t="s">
        <v>1615</v>
      </c>
      <c r="H298" s="6" t="s">
        <v>76</v>
      </c>
      <c r="I298" s="6" t="s">
        <v>228</v>
      </c>
      <c r="J298" s="6" t="s">
        <v>53</v>
      </c>
      <c r="K298" s="6" t="s">
        <v>53</v>
      </c>
      <c r="L298" s="6" t="s">
        <v>805</v>
      </c>
      <c r="M298" s="6" t="s">
        <v>1227</v>
      </c>
      <c r="N298" s="6" t="s">
        <v>635</v>
      </c>
      <c r="O298" s="6" t="s">
        <v>62</v>
      </c>
      <c r="P298" s="6" t="s">
        <v>1533</v>
      </c>
      <c r="Q298" s="6" t="s">
        <v>65</v>
      </c>
      <c r="R298" s="6" t="s">
        <v>57</v>
      </c>
      <c r="S298" s="6" t="s">
        <v>1219</v>
      </c>
      <c r="T298" s="131">
        <v>7.4320000000000004</v>
      </c>
      <c r="U298" s="6" t="s">
        <v>1616</v>
      </c>
      <c r="V298" s="134">
        <v>5.79E-2</v>
      </c>
      <c r="W298" s="132">
        <v>4.9489999999999999E-2</v>
      </c>
      <c r="X298" s="3" t="s">
        <v>620</v>
      </c>
      <c r="Y298" s="3" t="s">
        <v>62</v>
      </c>
      <c r="Z298" s="131">
        <v>165000</v>
      </c>
      <c r="AA298" s="129">
        <v>1</v>
      </c>
      <c r="AB298" s="157">
        <v>109</v>
      </c>
      <c r="AD298" s="131">
        <v>179.85</v>
      </c>
      <c r="AG298" s="6" t="s">
        <v>17</v>
      </c>
      <c r="AH298" s="132">
        <v>1.83E-4</v>
      </c>
      <c r="AI298" s="132">
        <v>2.96619918284231E-3</v>
      </c>
      <c r="AJ298" s="132">
        <v>5.3930194574998999E-4</v>
      </c>
    </row>
    <row r="299" spans="1:36" x14ac:dyDescent="0.2">
      <c r="A299" s="6">
        <v>559</v>
      </c>
      <c r="B299" s="6">
        <v>556</v>
      </c>
      <c r="C299" s="6" t="s">
        <v>1617</v>
      </c>
      <c r="D299" s="6" t="s">
        <v>1618</v>
      </c>
      <c r="E299" s="3" t="s">
        <v>1477</v>
      </c>
      <c r="F299" s="6" t="s">
        <v>1619</v>
      </c>
      <c r="G299" s="6" t="s">
        <v>1620</v>
      </c>
      <c r="H299" s="6" t="s">
        <v>76</v>
      </c>
      <c r="I299" s="6" t="s">
        <v>228</v>
      </c>
      <c r="J299" s="6" t="s">
        <v>53</v>
      </c>
      <c r="K299" s="6" t="s">
        <v>314</v>
      </c>
      <c r="L299" s="6" t="s">
        <v>805</v>
      </c>
      <c r="M299" s="6" t="s">
        <v>311</v>
      </c>
      <c r="N299" s="6" t="s">
        <v>631</v>
      </c>
      <c r="O299" s="6" t="s">
        <v>62</v>
      </c>
      <c r="P299" s="6" t="s">
        <v>1527</v>
      </c>
      <c r="Q299" s="6" t="s">
        <v>70</v>
      </c>
      <c r="R299" s="6" t="s">
        <v>57</v>
      </c>
      <c r="S299" s="6" t="s">
        <v>1219</v>
      </c>
      <c r="T299" s="131">
        <v>1.01</v>
      </c>
      <c r="U299" s="6" t="s">
        <v>1621</v>
      </c>
      <c r="V299" s="134">
        <v>3.4500000000000003E-2</v>
      </c>
      <c r="W299" s="132">
        <v>4.7660000000000001E-2</v>
      </c>
      <c r="X299" s="3" t="s">
        <v>620</v>
      </c>
      <c r="Y299" s="3" t="s">
        <v>62</v>
      </c>
      <c r="Z299" s="131">
        <v>353000.88</v>
      </c>
      <c r="AA299" s="129">
        <v>1</v>
      </c>
      <c r="AB299" s="157">
        <v>99.89</v>
      </c>
      <c r="AD299" s="131">
        <v>352.613</v>
      </c>
      <c r="AG299" s="6" t="s">
        <v>17</v>
      </c>
      <c r="AH299" s="132">
        <v>5.4900000000000001E-4</v>
      </c>
      <c r="AI299" s="132">
        <v>5.8155081667202501E-3</v>
      </c>
      <c r="AJ299" s="132">
        <v>1.0573514037691401E-3</v>
      </c>
    </row>
    <row r="300" spans="1:36" x14ac:dyDescent="0.2">
      <c r="A300" s="6">
        <v>559</v>
      </c>
      <c r="B300" s="6">
        <v>556</v>
      </c>
      <c r="C300" s="6" t="s">
        <v>1617</v>
      </c>
      <c r="D300" s="6" t="s">
        <v>1618</v>
      </c>
      <c r="E300" s="3" t="s">
        <v>1477</v>
      </c>
      <c r="F300" s="6" t="s">
        <v>1622</v>
      </c>
      <c r="G300" s="6" t="s">
        <v>1623</v>
      </c>
      <c r="H300" s="6" t="s">
        <v>76</v>
      </c>
      <c r="I300" s="6" t="s">
        <v>607</v>
      </c>
      <c r="J300" s="6" t="s">
        <v>53</v>
      </c>
      <c r="K300" s="6" t="s">
        <v>314</v>
      </c>
      <c r="L300" s="6" t="s">
        <v>805</v>
      </c>
      <c r="M300" s="6" t="s">
        <v>311</v>
      </c>
      <c r="N300" s="6" t="s">
        <v>631</v>
      </c>
      <c r="O300" s="6" t="s">
        <v>62</v>
      </c>
      <c r="P300" s="6" t="s">
        <v>1527</v>
      </c>
      <c r="Q300" s="6" t="s">
        <v>70</v>
      </c>
      <c r="R300" s="6" t="s">
        <v>57</v>
      </c>
      <c r="S300" s="6" t="s">
        <v>1219</v>
      </c>
      <c r="T300" s="131">
        <v>3.1269999999999998</v>
      </c>
      <c r="U300" s="6" t="s">
        <v>1504</v>
      </c>
      <c r="V300" s="134">
        <v>7.4999999999999997E-3</v>
      </c>
      <c r="W300" s="132">
        <v>5.1119999999999999E-2</v>
      </c>
      <c r="X300" s="3" t="s">
        <v>620</v>
      </c>
      <c r="Y300" s="3" t="s">
        <v>62</v>
      </c>
      <c r="Z300" s="131">
        <v>461000</v>
      </c>
      <c r="AA300" s="129">
        <v>1</v>
      </c>
      <c r="AB300" s="157">
        <v>87.8</v>
      </c>
      <c r="AD300" s="131">
        <v>404.75799999999998</v>
      </c>
      <c r="AG300" s="6" t="s">
        <v>17</v>
      </c>
      <c r="AH300" s="132">
        <v>8.6700000000000004E-4</v>
      </c>
      <c r="AI300" s="132">
        <v>6.6755232073888596E-3</v>
      </c>
      <c r="AJ300" s="132">
        <v>1.21371574622115E-3</v>
      </c>
    </row>
    <row r="301" spans="1:36" x14ac:dyDescent="0.2">
      <c r="A301" s="6">
        <v>559</v>
      </c>
      <c r="B301" s="6">
        <v>556</v>
      </c>
      <c r="C301" s="6" t="s">
        <v>1624</v>
      </c>
      <c r="D301" s="6" t="s">
        <v>1625</v>
      </c>
      <c r="E301" s="3" t="s">
        <v>767</v>
      </c>
      <c r="F301" s="6" t="s">
        <v>1626</v>
      </c>
      <c r="G301" s="6" t="s">
        <v>1627</v>
      </c>
      <c r="H301" s="6" t="s">
        <v>76</v>
      </c>
      <c r="I301" s="6" t="s">
        <v>228</v>
      </c>
      <c r="J301" s="6" t="s">
        <v>53</v>
      </c>
      <c r="K301" s="6" t="s">
        <v>314</v>
      </c>
      <c r="L301" s="6" t="s">
        <v>805</v>
      </c>
      <c r="M301" s="6" t="s">
        <v>1227</v>
      </c>
      <c r="N301" s="6" t="s">
        <v>636</v>
      </c>
      <c r="O301" s="6" t="s">
        <v>62</v>
      </c>
      <c r="P301" s="6" t="s">
        <v>1628</v>
      </c>
      <c r="Q301" s="6" t="s">
        <v>65</v>
      </c>
      <c r="R301" s="6" t="s">
        <v>57</v>
      </c>
      <c r="S301" s="6" t="s">
        <v>1219</v>
      </c>
      <c r="T301" s="131">
        <v>0.98399999999999999</v>
      </c>
      <c r="U301" s="6" t="s">
        <v>1629</v>
      </c>
      <c r="V301" s="134">
        <v>7.2499999999999995E-2</v>
      </c>
      <c r="W301" s="132">
        <v>6.1409999999999999E-2</v>
      </c>
      <c r="X301" s="3" t="s">
        <v>620</v>
      </c>
      <c r="Y301" s="3" t="s">
        <v>62</v>
      </c>
      <c r="Z301" s="131">
        <v>161000</v>
      </c>
      <c r="AA301" s="129">
        <v>1</v>
      </c>
      <c r="AB301" s="157">
        <v>104.55</v>
      </c>
      <c r="AD301" s="131">
        <v>168.32599999999999</v>
      </c>
      <c r="AG301" s="6" t="s">
        <v>17</v>
      </c>
      <c r="AH301" s="132">
        <v>1.1150000000000001E-3</v>
      </c>
      <c r="AI301" s="132">
        <v>2.7761298890826899E-3</v>
      </c>
      <c r="AJ301" s="132">
        <v>5.0474434066911304E-4</v>
      </c>
    </row>
    <row r="302" spans="1:36" x14ac:dyDescent="0.2">
      <c r="A302" s="6">
        <v>559</v>
      </c>
      <c r="B302" s="6">
        <v>556</v>
      </c>
      <c r="C302" s="6" t="s">
        <v>1630</v>
      </c>
      <c r="D302" s="6" t="s">
        <v>1631</v>
      </c>
      <c r="E302" s="3" t="s">
        <v>1477</v>
      </c>
      <c r="F302" s="6" t="s">
        <v>1632</v>
      </c>
      <c r="G302" s="6" t="s">
        <v>1633</v>
      </c>
      <c r="H302" s="6" t="s">
        <v>76</v>
      </c>
      <c r="I302" s="6" t="s">
        <v>607</v>
      </c>
      <c r="J302" s="6" t="s">
        <v>53</v>
      </c>
      <c r="K302" s="6" t="s">
        <v>53</v>
      </c>
      <c r="L302" s="6" t="s">
        <v>805</v>
      </c>
      <c r="M302" s="6" t="s">
        <v>311</v>
      </c>
      <c r="N302" s="6" t="s">
        <v>631</v>
      </c>
      <c r="O302" s="6" t="s">
        <v>62</v>
      </c>
      <c r="P302" s="6" t="s">
        <v>1628</v>
      </c>
      <c r="Q302" s="6" t="s">
        <v>65</v>
      </c>
      <c r="R302" s="6" t="s">
        <v>57</v>
      </c>
      <c r="S302" s="6" t="s">
        <v>1219</v>
      </c>
      <c r="T302" s="131">
        <v>2.0760000000000001</v>
      </c>
      <c r="U302" s="6" t="s">
        <v>1634</v>
      </c>
      <c r="V302" s="134">
        <v>1.25E-3</v>
      </c>
      <c r="W302" s="132">
        <v>4.8520000000000001E-2</v>
      </c>
      <c r="X302" s="3" t="s">
        <v>620</v>
      </c>
      <c r="Y302" s="3" t="s">
        <v>62</v>
      </c>
      <c r="Z302" s="131">
        <v>21000</v>
      </c>
      <c r="AA302" s="129">
        <v>1</v>
      </c>
      <c r="AB302" s="157">
        <v>91.2</v>
      </c>
      <c r="AD302" s="131">
        <v>19.152000000000001</v>
      </c>
      <c r="AG302" s="6" t="s">
        <v>17</v>
      </c>
      <c r="AH302" s="132">
        <v>3.6999999999999998E-5</v>
      </c>
      <c r="AI302" s="132">
        <v>3.15866815400589E-4</v>
      </c>
      <c r="AJ302" s="132">
        <v>5.7429585015311702E-5</v>
      </c>
    </row>
    <row r="303" spans="1:36" x14ac:dyDescent="0.2">
      <c r="A303" s="6">
        <v>559</v>
      </c>
      <c r="B303" s="6">
        <v>556</v>
      </c>
      <c r="C303" s="6" t="s">
        <v>1635</v>
      </c>
      <c r="D303" s="6" t="s">
        <v>1636</v>
      </c>
      <c r="E303" s="3" t="s">
        <v>1477</v>
      </c>
      <c r="F303" s="6" t="s">
        <v>1637</v>
      </c>
      <c r="G303" s="6" t="s">
        <v>1638</v>
      </c>
      <c r="H303" s="6" t="s">
        <v>76</v>
      </c>
      <c r="I303" s="6" t="s">
        <v>228</v>
      </c>
      <c r="J303" s="6" t="s">
        <v>53</v>
      </c>
      <c r="K303" s="6" t="s">
        <v>53</v>
      </c>
      <c r="L303" s="6" t="s">
        <v>805</v>
      </c>
      <c r="M303" s="6" t="s">
        <v>311</v>
      </c>
      <c r="N303" s="6" t="s">
        <v>636</v>
      </c>
      <c r="O303" s="6" t="s">
        <v>62</v>
      </c>
      <c r="P303" s="6" t="s">
        <v>1493</v>
      </c>
      <c r="Q303" s="6" t="s">
        <v>65</v>
      </c>
      <c r="R303" s="6" t="s">
        <v>57</v>
      </c>
      <c r="S303" s="6" t="s">
        <v>1219</v>
      </c>
      <c r="T303" s="131">
        <v>2</v>
      </c>
      <c r="U303" s="6" t="s">
        <v>1639</v>
      </c>
      <c r="V303" s="134">
        <v>2.3E-2</v>
      </c>
      <c r="W303" s="132">
        <v>4.8910000000000002E-2</v>
      </c>
      <c r="X303" s="3" t="s">
        <v>620</v>
      </c>
      <c r="Y303" s="3" t="s">
        <v>62</v>
      </c>
      <c r="Z303" s="131">
        <v>323000.92</v>
      </c>
      <c r="AA303" s="129">
        <v>1</v>
      </c>
      <c r="AB303" s="157">
        <v>95.78</v>
      </c>
      <c r="AD303" s="131">
        <v>309.37</v>
      </c>
      <c r="AG303" s="6" t="s">
        <v>17</v>
      </c>
      <c r="AH303" s="132">
        <v>4.4799999999999999E-4</v>
      </c>
      <c r="AI303" s="132">
        <v>5.1023290254097603E-3</v>
      </c>
      <c r="AJ303" s="132">
        <v>9.2768415121177901E-4</v>
      </c>
    </row>
    <row r="304" spans="1:36" x14ac:dyDescent="0.2">
      <c r="A304" s="6">
        <v>559</v>
      </c>
      <c r="B304" s="6">
        <v>556</v>
      </c>
      <c r="C304" s="6" t="s">
        <v>1640</v>
      </c>
      <c r="D304" s="6" t="s">
        <v>1641</v>
      </c>
      <c r="E304" s="3" t="s">
        <v>1477</v>
      </c>
      <c r="F304" s="6" t="s">
        <v>1642</v>
      </c>
      <c r="G304" s="6" t="s">
        <v>1643</v>
      </c>
      <c r="H304" s="6" t="s">
        <v>76</v>
      </c>
      <c r="I304" s="6" t="s">
        <v>228</v>
      </c>
      <c r="J304" s="6" t="s">
        <v>53</v>
      </c>
      <c r="K304" s="6" t="s">
        <v>53</v>
      </c>
      <c r="L304" s="6" t="s">
        <v>805</v>
      </c>
      <c r="M304" s="6" t="s">
        <v>311</v>
      </c>
      <c r="N304" s="6" t="s">
        <v>140</v>
      </c>
      <c r="O304" s="6" t="s">
        <v>62</v>
      </c>
      <c r="P304" s="6" t="s">
        <v>298</v>
      </c>
      <c r="Q304" s="6" t="s">
        <v>298</v>
      </c>
      <c r="R304" s="6" t="s">
        <v>298</v>
      </c>
      <c r="S304" s="6" t="s">
        <v>1219</v>
      </c>
      <c r="T304" s="131">
        <v>1.4359999999999999</v>
      </c>
      <c r="U304" s="6" t="s">
        <v>1644</v>
      </c>
      <c r="V304" s="134">
        <v>8.5000000000000006E-2</v>
      </c>
      <c r="W304" s="132">
        <v>5.4870000000000002E-2</v>
      </c>
      <c r="X304" s="3" t="s">
        <v>620</v>
      </c>
      <c r="Y304" s="3" t="s">
        <v>62</v>
      </c>
      <c r="Z304" s="131">
        <v>175000</v>
      </c>
      <c r="AA304" s="129">
        <v>1</v>
      </c>
      <c r="AB304" s="157">
        <v>104.4</v>
      </c>
      <c r="AD304" s="131">
        <v>182.7</v>
      </c>
      <c r="AG304" s="6" t="s">
        <v>17</v>
      </c>
      <c r="AH304" s="132">
        <v>1.346E-3</v>
      </c>
      <c r="AI304" s="132">
        <v>3.0132031732293002E-3</v>
      </c>
      <c r="AJ304" s="132">
        <v>5.4784801494869699E-4</v>
      </c>
    </row>
    <row r="305" spans="1:36" x14ac:dyDescent="0.2">
      <c r="A305" s="6">
        <v>559</v>
      </c>
      <c r="B305" s="6">
        <v>556</v>
      </c>
      <c r="C305" s="6" t="s">
        <v>1640</v>
      </c>
      <c r="D305" s="6" t="s">
        <v>1641</v>
      </c>
      <c r="E305" s="3" t="s">
        <v>1477</v>
      </c>
      <c r="F305" s="6" t="s">
        <v>1645</v>
      </c>
      <c r="G305" s="6" t="s">
        <v>1646</v>
      </c>
      <c r="H305" s="6" t="s">
        <v>76</v>
      </c>
      <c r="I305" s="6" t="s">
        <v>228</v>
      </c>
      <c r="J305" s="6" t="s">
        <v>53</v>
      </c>
      <c r="K305" s="6" t="s">
        <v>53</v>
      </c>
      <c r="L305" s="6" t="s">
        <v>805</v>
      </c>
      <c r="M305" s="6" t="s">
        <v>102</v>
      </c>
      <c r="N305" s="6" t="s">
        <v>140</v>
      </c>
      <c r="O305" s="6" t="s">
        <v>62</v>
      </c>
      <c r="P305" s="6" t="s">
        <v>298</v>
      </c>
      <c r="Q305" s="6" t="s">
        <v>298</v>
      </c>
      <c r="R305" s="6" t="s">
        <v>298</v>
      </c>
      <c r="S305" s="6" t="s">
        <v>1219</v>
      </c>
      <c r="T305" s="131">
        <v>2.8119999999999998</v>
      </c>
      <c r="U305" s="6" t="s">
        <v>1590</v>
      </c>
      <c r="V305" s="134">
        <v>7.17E-2</v>
      </c>
      <c r="W305" s="132">
        <v>5.9709999999999999E-2</v>
      </c>
      <c r="X305" s="3" t="s">
        <v>620</v>
      </c>
      <c r="Y305" s="3" t="s">
        <v>62</v>
      </c>
      <c r="Z305" s="131">
        <v>44000</v>
      </c>
      <c r="AA305" s="129">
        <v>1</v>
      </c>
      <c r="AB305" s="157">
        <v>103.57</v>
      </c>
      <c r="AD305" s="131">
        <v>45.570999999999998</v>
      </c>
      <c r="AG305" s="6" t="s">
        <v>17</v>
      </c>
      <c r="AH305" s="132">
        <v>3.0699999999999998E-4</v>
      </c>
      <c r="AI305" s="132">
        <v>7.5158226144826298E-4</v>
      </c>
      <c r="AJ305" s="132">
        <v>1.3664954745278699E-4</v>
      </c>
    </row>
    <row r="306" spans="1:36" x14ac:dyDescent="0.2">
      <c r="A306" s="6">
        <v>559</v>
      </c>
      <c r="B306" s="6">
        <v>556</v>
      </c>
      <c r="C306" s="6" t="s">
        <v>1640</v>
      </c>
      <c r="D306" s="6" t="s">
        <v>1641</v>
      </c>
      <c r="E306" s="3" t="s">
        <v>1477</v>
      </c>
      <c r="F306" s="6" t="s">
        <v>1647</v>
      </c>
      <c r="G306" s="6" t="s">
        <v>1648</v>
      </c>
      <c r="H306" s="6" t="s">
        <v>76</v>
      </c>
      <c r="I306" s="6" t="s">
        <v>228</v>
      </c>
      <c r="J306" s="6" t="s">
        <v>53</v>
      </c>
      <c r="K306" s="6" t="s">
        <v>53</v>
      </c>
      <c r="L306" s="6" t="s">
        <v>805</v>
      </c>
      <c r="M306" s="6" t="s">
        <v>102</v>
      </c>
      <c r="N306" s="6" t="s">
        <v>140</v>
      </c>
      <c r="O306" s="6" t="s">
        <v>62</v>
      </c>
      <c r="P306" s="6" t="s">
        <v>298</v>
      </c>
      <c r="Q306" s="6" t="s">
        <v>298</v>
      </c>
      <c r="R306" s="6" t="s">
        <v>298</v>
      </c>
      <c r="S306" s="6" t="s">
        <v>1219</v>
      </c>
      <c r="T306" s="131">
        <v>3.2839999999999998</v>
      </c>
      <c r="U306" s="6" t="s">
        <v>1649</v>
      </c>
      <c r="V306" s="134">
        <v>6.6900000000000001E-2</v>
      </c>
      <c r="W306" s="132">
        <v>6.5750000000000003E-2</v>
      </c>
      <c r="X306" s="3" t="s">
        <v>620</v>
      </c>
      <c r="Y306" s="3" t="s">
        <v>62</v>
      </c>
      <c r="Z306" s="131">
        <v>132000</v>
      </c>
      <c r="AA306" s="129">
        <v>1</v>
      </c>
      <c r="AB306" s="157">
        <v>100.7</v>
      </c>
      <c r="AD306" s="131">
        <v>132.92400000000001</v>
      </c>
      <c r="AG306" s="6" t="s">
        <v>17</v>
      </c>
      <c r="AH306" s="132">
        <v>4.4000000000000002E-4</v>
      </c>
      <c r="AI306" s="132">
        <v>2.19226611164932E-3</v>
      </c>
      <c r="AJ306" s="132">
        <v>3.98588667427699E-4</v>
      </c>
    </row>
    <row r="307" spans="1:36" x14ac:dyDescent="0.2">
      <c r="A307" s="6">
        <v>559</v>
      </c>
      <c r="B307" s="6">
        <v>556</v>
      </c>
      <c r="C307" s="6" t="s">
        <v>1650</v>
      </c>
      <c r="D307" s="6" t="s">
        <v>1651</v>
      </c>
      <c r="E307" s="3" t="s">
        <v>1477</v>
      </c>
      <c r="F307" s="6" t="s">
        <v>1652</v>
      </c>
      <c r="G307" s="6" t="s">
        <v>1653</v>
      </c>
      <c r="H307" s="6" t="s">
        <v>76</v>
      </c>
      <c r="I307" s="6" t="s">
        <v>228</v>
      </c>
      <c r="J307" s="6" t="s">
        <v>53</v>
      </c>
      <c r="K307" s="6" t="s">
        <v>53</v>
      </c>
      <c r="L307" s="6" t="s">
        <v>805</v>
      </c>
      <c r="M307" s="6" t="s">
        <v>311</v>
      </c>
      <c r="N307" s="6" t="s">
        <v>692</v>
      </c>
      <c r="O307" s="6" t="s">
        <v>62</v>
      </c>
      <c r="P307" s="6" t="s">
        <v>1533</v>
      </c>
      <c r="Q307" s="6" t="s">
        <v>65</v>
      </c>
      <c r="R307" s="6" t="s">
        <v>57</v>
      </c>
      <c r="S307" s="6" t="s">
        <v>1219</v>
      </c>
      <c r="T307" s="131">
        <v>2.1859999999999999</v>
      </c>
      <c r="U307" s="6" t="s">
        <v>1654</v>
      </c>
      <c r="V307" s="134">
        <v>1.6400000000000001E-2</v>
      </c>
      <c r="W307" s="132">
        <v>4.7849999999999997E-2</v>
      </c>
      <c r="X307" s="3" t="s">
        <v>620</v>
      </c>
      <c r="Y307" s="3" t="s">
        <v>62</v>
      </c>
      <c r="Z307" s="131">
        <v>150000</v>
      </c>
      <c r="AA307" s="129">
        <v>1</v>
      </c>
      <c r="AB307" s="157">
        <v>93.91</v>
      </c>
      <c r="AD307" s="131">
        <v>140.86500000000001</v>
      </c>
      <c r="AG307" s="6" t="s">
        <v>17</v>
      </c>
      <c r="AH307" s="132">
        <v>4.7899999999999999E-4</v>
      </c>
      <c r="AI307" s="132">
        <v>2.3232340722328698E-3</v>
      </c>
      <c r="AJ307" s="132">
        <v>4.2240071497399198E-4</v>
      </c>
    </row>
    <row r="308" spans="1:36" x14ac:dyDescent="0.2">
      <c r="A308" s="6">
        <v>559</v>
      </c>
      <c r="B308" s="6">
        <v>556</v>
      </c>
      <c r="C308" s="6" t="s">
        <v>1655</v>
      </c>
      <c r="D308" s="6" t="s">
        <v>1656</v>
      </c>
      <c r="E308" s="3" t="s">
        <v>1477</v>
      </c>
      <c r="F308" s="6" t="s">
        <v>1657</v>
      </c>
      <c r="G308" s="6" t="s">
        <v>1658</v>
      </c>
      <c r="H308" s="6" t="s">
        <v>76</v>
      </c>
      <c r="I308" s="6" t="s">
        <v>607</v>
      </c>
      <c r="J308" s="6" t="s">
        <v>53</v>
      </c>
      <c r="K308" s="6" t="s">
        <v>53</v>
      </c>
      <c r="L308" s="6" t="s">
        <v>805</v>
      </c>
      <c r="M308" s="6" t="s">
        <v>311</v>
      </c>
      <c r="N308" s="6" t="s">
        <v>631</v>
      </c>
      <c r="O308" s="6" t="s">
        <v>62</v>
      </c>
      <c r="P308" s="6" t="s">
        <v>298</v>
      </c>
      <c r="Q308" s="6" t="s">
        <v>298</v>
      </c>
      <c r="R308" s="6" t="s">
        <v>298</v>
      </c>
      <c r="S308" s="6" t="s">
        <v>1219</v>
      </c>
      <c r="T308" s="131">
        <v>0.98799999999999999</v>
      </c>
      <c r="U308" s="6" t="s">
        <v>1595</v>
      </c>
      <c r="V308" s="134">
        <v>2.5000000000000001E-2</v>
      </c>
      <c r="W308" s="132">
        <v>1.7059999999999999E-2</v>
      </c>
      <c r="X308" s="3" t="s">
        <v>620</v>
      </c>
      <c r="Y308" s="3" t="s">
        <v>62</v>
      </c>
      <c r="Z308" s="131">
        <v>374000</v>
      </c>
      <c r="AA308" s="129">
        <v>1</v>
      </c>
      <c r="AB308" s="157">
        <v>100.8</v>
      </c>
      <c r="AD308" s="131">
        <v>376.99200000000002</v>
      </c>
      <c r="AG308" s="6" t="s">
        <v>17</v>
      </c>
      <c r="AH308" s="132">
        <v>1.1169999999999999E-3</v>
      </c>
      <c r="AI308" s="132">
        <v>6.2175888926221104E-3</v>
      </c>
      <c r="AJ308" s="132">
        <v>1.1304560418803501E-3</v>
      </c>
    </row>
    <row r="309" spans="1:36" x14ac:dyDescent="0.2">
      <c r="A309" s="6">
        <v>559</v>
      </c>
      <c r="B309" s="6">
        <v>556</v>
      </c>
      <c r="C309" s="6" t="s">
        <v>1659</v>
      </c>
      <c r="D309" s="6" t="s">
        <v>1660</v>
      </c>
      <c r="E309" s="3" t="s">
        <v>1477</v>
      </c>
      <c r="F309" s="6" t="s">
        <v>1661</v>
      </c>
      <c r="G309" s="6" t="s">
        <v>1662</v>
      </c>
      <c r="H309" s="6" t="s">
        <v>76</v>
      </c>
      <c r="I309" s="6" t="s">
        <v>229</v>
      </c>
      <c r="J309" s="6" t="s">
        <v>53</v>
      </c>
      <c r="K309" s="6" t="s">
        <v>53</v>
      </c>
      <c r="L309" s="6" t="s">
        <v>805</v>
      </c>
      <c r="M309" s="6" t="s">
        <v>311</v>
      </c>
      <c r="N309" s="6" t="s">
        <v>635</v>
      </c>
      <c r="O309" s="6" t="s">
        <v>62</v>
      </c>
      <c r="P309" s="6" t="s">
        <v>298</v>
      </c>
      <c r="Q309" s="6" t="s">
        <v>298</v>
      </c>
      <c r="R309" s="6" t="s">
        <v>298</v>
      </c>
      <c r="S309" s="6" t="s">
        <v>1219</v>
      </c>
      <c r="T309" s="131">
        <v>1.6719999999999999</v>
      </c>
      <c r="U309" s="6" t="s">
        <v>1663</v>
      </c>
      <c r="V309" s="134">
        <v>1.9E-2</v>
      </c>
      <c r="W309" s="132">
        <v>3.4250000000000003E-2</v>
      </c>
      <c r="X309" s="3" t="s">
        <v>620</v>
      </c>
      <c r="Y309" s="3" t="s">
        <v>62</v>
      </c>
      <c r="Z309" s="131">
        <v>353599.23</v>
      </c>
      <c r="AA309" s="129">
        <v>1</v>
      </c>
      <c r="AB309" s="157">
        <v>110.1</v>
      </c>
      <c r="AD309" s="131">
        <v>389.31299999999999</v>
      </c>
      <c r="AG309" s="6" t="s">
        <v>17</v>
      </c>
      <c r="AH309" s="132">
        <v>6.29E-4</v>
      </c>
      <c r="AI309" s="132">
        <v>6.42079047836928E-3</v>
      </c>
      <c r="AJ309" s="132">
        <v>1.1674013054374401E-3</v>
      </c>
    </row>
    <row r="310" spans="1:36" x14ac:dyDescent="0.2">
      <c r="A310" s="6">
        <v>559</v>
      </c>
      <c r="B310" s="6">
        <v>556</v>
      </c>
      <c r="C310" s="6" t="s">
        <v>1664</v>
      </c>
      <c r="D310" s="6" t="s">
        <v>1665</v>
      </c>
      <c r="E310" s="3" t="s">
        <v>1477</v>
      </c>
      <c r="F310" s="6" t="s">
        <v>1666</v>
      </c>
      <c r="G310" s="6" t="s">
        <v>1667</v>
      </c>
      <c r="H310" s="6" t="s">
        <v>76</v>
      </c>
      <c r="I310" s="6" t="s">
        <v>229</v>
      </c>
      <c r="J310" s="6" t="s">
        <v>53</v>
      </c>
      <c r="K310" s="6" t="s">
        <v>53</v>
      </c>
      <c r="L310" s="6" t="s">
        <v>805</v>
      </c>
      <c r="M310" s="6" t="s">
        <v>311</v>
      </c>
      <c r="N310" s="6" t="s">
        <v>635</v>
      </c>
      <c r="O310" s="6" t="s">
        <v>62</v>
      </c>
      <c r="P310" s="6" t="s">
        <v>1493</v>
      </c>
      <c r="Q310" s="6" t="s">
        <v>65</v>
      </c>
      <c r="R310" s="6" t="s">
        <v>57</v>
      </c>
      <c r="S310" s="6" t="s">
        <v>1219</v>
      </c>
      <c r="T310" s="131">
        <v>2.956</v>
      </c>
      <c r="U310" s="6" t="s">
        <v>1668</v>
      </c>
      <c r="V310" s="134">
        <v>1.83E-2</v>
      </c>
      <c r="W310" s="132">
        <v>2.8729999999999999E-2</v>
      </c>
      <c r="X310" s="3" t="s">
        <v>620</v>
      </c>
      <c r="Y310" s="3" t="s">
        <v>62</v>
      </c>
      <c r="Z310" s="131">
        <v>101000</v>
      </c>
      <c r="AA310" s="129">
        <v>1</v>
      </c>
      <c r="AB310" s="157">
        <v>113.83</v>
      </c>
      <c r="AD310" s="131">
        <v>114.968</v>
      </c>
      <c r="AG310" s="6" t="s">
        <v>17</v>
      </c>
      <c r="AH310" s="132">
        <v>4.0099999999999999E-4</v>
      </c>
      <c r="AI310" s="132">
        <v>1.89612942737153E-3</v>
      </c>
      <c r="AJ310" s="132">
        <v>3.4474633244130397E-4</v>
      </c>
    </row>
    <row r="311" spans="1:36" x14ac:dyDescent="0.2">
      <c r="A311" s="6">
        <v>559</v>
      </c>
      <c r="B311" s="6">
        <v>556</v>
      </c>
      <c r="C311" s="6" t="s">
        <v>1664</v>
      </c>
      <c r="D311" s="6" t="s">
        <v>1665</v>
      </c>
      <c r="E311" s="3" t="s">
        <v>1477</v>
      </c>
      <c r="F311" s="6" t="s">
        <v>1669</v>
      </c>
      <c r="G311" s="6" t="s">
        <v>1670</v>
      </c>
      <c r="H311" s="6" t="s">
        <v>76</v>
      </c>
      <c r="I311" s="6" t="s">
        <v>229</v>
      </c>
      <c r="J311" s="6" t="s">
        <v>53</v>
      </c>
      <c r="K311" s="6" t="s">
        <v>53</v>
      </c>
      <c r="L311" s="6" t="s">
        <v>805</v>
      </c>
      <c r="M311" s="6" t="s">
        <v>311</v>
      </c>
      <c r="N311" s="6" t="s">
        <v>635</v>
      </c>
      <c r="O311" s="6" t="s">
        <v>62</v>
      </c>
      <c r="P311" s="6" t="s">
        <v>1493</v>
      </c>
      <c r="Q311" s="6" t="s">
        <v>65</v>
      </c>
      <c r="R311" s="6" t="s">
        <v>57</v>
      </c>
      <c r="S311" s="6" t="s">
        <v>1219</v>
      </c>
      <c r="T311" s="131">
        <v>3.4209999999999998</v>
      </c>
      <c r="U311" s="6" t="s">
        <v>1549</v>
      </c>
      <c r="V311" s="134">
        <v>1.5299999999999999E-2</v>
      </c>
      <c r="W311" s="132">
        <v>2.7949999999999999E-2</v>
      </c>
      <c r="X311" s="3" t="s">
        <v>620</v>
      </c>
      <c r="Y311" s="3" t="s">
        <v>62</v>
      </c>
      <c r="Z311" s="131">
        <v>286424.61</v>
      </c>
      <c r="AA311" s="129">
        <v>1</v>
      </c>
      <c r="AB311" s="157">
        <v>112.31</v>
      </c>
      <c r="AC311" s="131">
        <v>12.691000000000001</v>
      </c>
      <c r="AD311" s="131">
        <v>334.37400000000002</v>
      </c>
      <c r="AG311" s="6" t="s">
        <v>17</v>
      </c>
      <c r="AH311" s="132">
        <v>5.5599999999999996E-4</v>
      </c>
      <c r="AI311" s="132">
        <v>5.5147075396821997E-3</v>
      </c>
      <c r="AJ311" s="132">
        <v>1.0026610901911501E-3</v>
      </c>
    </row>
    <row r="312" spans="1:36" x14ac:dyDescent="0.2">
      <c r="A312" s="6">
        <v>559</v>
      </c>
      <c r="B312" s="6">
        <v>556</v>
      </c>
      <c r="C312" s="6" t="s">
        <v>1671</v>
      </c>
      <c r="D312" s="6" t="s">
        <v>1672</v>
      </c>
      <c r="E312" s="3" t="s">
        <v>1477</v>
      </c>
      <c r="F312" s="6" t="s">
        <v>1673</v>
      </c>
      <c r="G312" s="6" t="s">
        <v>1674</v>
      </c>
      <c r="H312" s="6" t="s">
        <v>76</v>
      </c>
      <c r="I312" s="6" t="s">
        <v>229</v>
      </c>
      <c r="J312" s="6" t="s">
        <v>53</v>
      </c>
      <c r="K312" s="6" t="s">
        <v>53</v>
      </c>
      <c r="L312" s="6" t="s">
        <v>805</v>
      </c>
      <c r="M312" s="6" t="s">
        <v>311</v>
      </c>
      <c r="N312" s="6" t="s">
        <v>140</v>
      </c>
      <c r="O312" s="6" t="s">
        <v>62</v>
      </c>
      <c r="P312" s="6" t="s">
        <v>1628</v>
      </c>
      <c r="Q312" s="6" t="s">
        <v>65</v>
      </c>
      <c r="R312" s="6" t="s">
        <v>57</v>
      </c>
      <c r="S312" s="6" t="s">
        <v>1219</v>
      </c>
      <c r="T312" s="131">
        <v>0.35899999999999999</v>
      </c>
      <c r="U312" s="6" t="s">
        <v>1675</v>
      </c>
      <c r="V312" s="134">
        <v>2.4E-2</v>
      </c>
      <c r="W312" s="132">
        <v>2.7359999999999999E-2</v>
      </c>
      <c r="X312" s="3" t="s">
        <v>620</v>
      </c>
      <c r="Y312" s="3" t="s">
        <v>62</v>
      </c>
      <c r="Z312" s="131">
        <v>6005.8</v>
      </c>
      <c r="AA312" s="129">
        <v>1</v>
      </c>
      <c r="AB312" s="157">
        <v>117.52</v>
      </c>
      <c r="AD312" s="131">
        <v>7.0579999999999998</v>
      </c>
      <c r="AG312" s="6" t="s">
        <v>17</v>
      </c>
      <c r="AH312" s="132">
        <v>1.7899999999999999E-4</v>
      </c>
      <c r="AI312" s="132">
        <v>1.16405236398553E-4</v>
      </c>
      <c r="AJ312" s="132">
        <v>2.11643138627905E-5</v>
      </c>
    </row>
    <row r="313" spans="1:36" x14ac:dyDescent="0.2">
      <c r="A313" s="6">
        <v>559</v>
      </c>
      <c r="B313" s="6">
        <v>556</v>
      </c>
      <c r="C313" s="6" t="s">
        <v>1676</v>
      </c>
      <c r="D313" s="6" t="s">
        <v>1677</v>
      </c>
      <c r="E313" s="3" t="s">
        <v>1477</v>
      </c>
      <c r="F313" s="6" t="s">
        <v>1678</v>
      </c>
      <c r="G313" s="6" t="s">
        <v>1679</v>
      </c>
      <c r="H313" s="6" t="s">
        <v>76</v>
      </c>
      <c r="I313" s="6" t="s">
        <v>230</v>
      </c>
      <c r="J313" s="6" t="s">
        <v>53</v>
      </c>
      <c r="K313" s="6" t="s">
        <v>53</v>
      </c>
      <c r="L313" s="6" t="s">
        <v>805</v>
      </c>
      <c r="M313" s="6" t="s">
        <v>311</v>
      </c>
      <c r="N313" s="6" t="s">
        <v>156</v>
      </c>
      <c r="O313" s="6" t="s">
        <v>62</v>
      </c>
      <c r="P313" s="6" t="s">
        <v>1493</v>
      </c>
      <c r="Q313" s="6" t="s">
        <v>65</v>
      </c>
      <c r="R313" s="6" t="s">
        <v>57</v>
      </c>
      <c r="S313" s="6" t="s">
        <v>1219</v>
      </c>
      <c r="T313" s="131">
        <v>0.247</v>
      </c>
      <c r="U313" s="6" t="s">
        <v>1680</v>
      </c>
      <c r="V313" s="134">
        <v>4.7E-2</v>
      </c>
      <c r="W313" s="132">
        <v>7.2179999999999994E-2</v>
      </c>
      <c r="X313" s="3" t="s">
        <v>620</v>
      </c>
      <c r="Y313" s="3" t="s">
        <v>62</v>
      </c>
      <c r="Z313" s="131">
        <v>47500</v>
      </c>
      <c r="AA313" s="129">
        <v>1</v>
      </c>
      <c r="AB313" s="157">
        <v>93.14</v>
      </c>
      <c r="AD313" s="131">
        <v>44.241999999999997</v>
      </c>
      <c r="AG313" s="6" t="s">
        <v>17</v>
      </c>
      <c r="AH313" s="132">
        <v>1.94E-4</v>
      </c>
      <c r="AI313" s="132">
        <v>7.2965861077407801E-4</v>
      </c>
      <c r="AJ313" s="132">
        <v>1.3266348086126301E-4</v>
      </c>
    </row>
    <row r="314" spans="1:36" x14ac:dyDescent="0.2">
      <c r="A314" s="6">
        <v>559</v>
      </c>
      <c r="B314" s="6">
        <v>556</v>
      </c>
      <c r="C314" s="6" t="s">
        <v>1681</v>
      </c>
      <c r="D314" s="6" t="s">
        <v>1682</v>
      </c>
      <c r="E314" s="3" t="s">
        <v>1477</v>
      </c>
      <c r="F314" s="6" t="s">
        <v>1683</v>
      </c>
      <c r="G314" s="6" t="s">
        <v>1684</v>
      </c>
      <c r="H314" s="6" t="s">
        <v>76</v>
      </c>
      <c r="I314" s="6" t="s">
        <v>229</v>
      </c>
      <c r="J314" s="6" t="s">
        <v>53</v>
      </c>
      <c r="K314" s="6" t="s">
        <v>53</v>
      </c>
      <c r="L314" s="6" t="s">
        <v>805</v>
      </c>
      <c r="M314" s="6" t="s">
        <v>311</v>
      </c>
      <c r="N314" s="6" t="s">
        <v>260</v>
      </c>
      <c r="O314" s="6" t="s">
        <v>62</v>
      </c>
      <c r="P314" s="6" t="s">
        <v>1533</v>
      </c>
      <c r="Q314" s="6" t="s">
        <v>65</v>
      </c>
      <c r="R314" s="6" t="s">
        <v>57</v>
      </c>
      <c r="S314" s="6" t="s">
        <v>1219</v>
      </c>
      <c r="T314" s="131">
        <v>0.41599999999999998</v>
      </c>
      <c r="U314" s="6" t="s">
        <v>1685</v>
      </c>
      <c r="V314" s="134">
        <v>2.1999999999999999E-2</v>
      </c>
      <c r="W314" s="132">
        <v>1.949E-2</v>
      </c>
      <c r="X314" s="3" t="s">
        <v>620</v>
      </c>
      <c r="Y314" s="3" t="s">
        <v>62</v>
      </c>
      <c r="Z314" s="131">
        <v>72000</v>
      </c>
      <c r="AA314" s="129">
        <v>1</v>
      </c>
      <c r="AB314" s="157">
        <v>117.6</v>
      </c>
      <c r="AD314" s="131">
        <v>84.671999999999997</v>
      </c>
      <c r="AG314" s="6" t="s">
        <v>17</v>
      </c>
      <c r="AH314" s="132">
        <v>2.72E-4</v>
      </c>
      <c r="AI314" s="132">
        <v>1.3964638154552299E-3</v>
      </c>
      <c r="AJ314" s="132">
        <v>2.5389921796243101E-4</v>
      </c>
    </row>
    <row r="315" spans="1:36" x14ac:dyDescent="0.2">
      <c r="A315" s="6">
        <v>559</v>
      </c>
      <c r="B315" s="6">
        <v>556</v>
      </c>
      <c r="C315" s="6" t="s">
        <v>1681</v>
      </c>
      <c r="D315" s="6" t="s">
        <v>1682</v>
      </c>
      <c r="E315" s="3" t="s">
        <v>1477</v>
      </c>
      <c r="F315" s="6" t="s">
        <v>1686</v>
      </c>
      <c r="G315" s="6" t="s">
        <v>1687</v>
      </c>
      <c r="H315" s="6" t="s">
        <v>76</v>
      </c>
      <c r="I315" s="6" t="s">
        <v>228</v>
      </c>
      <c r="J315" s="6" t="s">
        <v>53</v>
      </c>
      <c r="K315" s="6" t="s">
        <v>53</v>
      </c>
      <c r="L315" s="6" t="s">
        <v>805</v>
      </c>
      <c r="M315" s="6" t="s">
        <v>311</v>
      </c>
      <c r="N315" s="6" t="s">
        <v>260</v>
      </c>
      <c r="O315" s="6" t="s">
        <v>62</v>
      </c>
      <c r="P315" s="6" t="s">
        <v>1533</v>
      </c>
      <c r="Q315" s="6" t="s">
        <v>65</v>
      </c>
      <c r="R315" s="6" t="s">
        <v>57</v>
      </c>
      <c r="S315" s="6" t="s">
        <v>1219</v>
      </c>
      <c r="T315" s="131">
        <v>0.41599999999999998</v>
      </c>
      <c r="U315" s="6" t="s">
        <v>1685</v>
      </c>
      <c r="V315" s="134">
        <v>3.6499999999999998E-2</v>
      </c>
      <c r="W315" s="132">
        <v>4.514E-2</v>
      </c>
      <c r="X315" s="3" t="s">
        <v>620</v>
      </c>
      <c r="Y315" s="3" t="s">
        <v>62</v>
      </c>
      <c r="Z315" s="131">
        <v>246500</v>
      </c>
      <c r="AA315" s="129">
        <v>1</v>
      </c>
      <c r="AB315" s="157">
        <v>99.97</v>
      </c>
      <c r="AD315" s="131">
        <v>246.42599999999999</v>
      </c>
      <c r="AG315" s="6" t="s">
        <v>17</v>
      </c>
      <c r="AH315" s="132">
        <v>4.6299999999999998E-4</v>
      </c>
      <c r="AI315" s="132">
        <v>4.0642132229138598E-3</v>
      </c>
      <c r="AJ315" s="132">
        <v>7.3893827216282696E-4</v>
      </c>
    </row>
    <row r="316" spans="1:36" x14ac:dyDescent="0.2">
      <c r="A316" s="6">
        <v>559</v>
      </c>
      <c r="B316" s="6">
        <v>556</v>
      </c>
      <c r="C316" s="6" t="s">
        <v>1688</v>
      </c>
      <c r="D316" s="6" t="s">
        <v>1689</v>
      </c>
      <c r="E316" s="3" t="s">
        <v>1477</v>
      </c>
      <c r="F316" s="6" t="s">
        <v>1690</v>
      </c>
      <c r="G316" s="6" t="s">
        <v>1691</v>
      </c>
      <c r="H316" s="6" t="s">
        <v>76</v>
      </c>
      <c r="I316" s="6" t="s">
        <v>229</v>
      </c>
      <c r="J316" s="6" t="s">
        <v>53</v>
      </c>
      <c r="K316" s="6" t="s">
        <v>53</v>
      </c>
      <c r="L316" s="6" t="s">
        <v>805</v>
      </c>
      <c r="M316" s="6" t="s">
        <v>311</v>
      </c>
      <c r="N316" s="6" t="s">
        <v>635</v>
      </c>
      <c r="O316" s="6" t="s">
        <v>62</v>
      </c>
      <c r="P316" s="6" t="s">
        <v>1533</v>
      </c>
      <c r="Q316" s="6" t="s">
        <v>65</v>
      </c>
      <c r="R316" s="6" t="s">
        <v>57</v>
      </c>
      <c r="S316" s="6" t="s">
        <v>1219</v>
      </c>
      <c r="T316" s="131">
        <v>2.94</v>
      </c>
      <c r="U316" s="6" t="s">
        <v>1692</v>
      </c>
      <c r="V316" s="134">
        <v>7.7999999999999996E-3</v>
      </c>
      <c r="W316" s="132">
        <v>2.6079999999999999E-2</v>
      </c>
      <c r="X316" s="3" t="s">
        <v>620</v>
      </c>
      <c r="Y316" s="3" t="s">
        <v>62</v>
      </c>
      <c r="Z316" s="131">
        <v>78000</v>
      </c>
      <c r="AA316" s="129">
        <v>1</v>
      </c>
      <c r="AB316" s="157">
        <v>110.24</v>
      </c>
      <c r="AD316" s="131">
        <v>85.986999999999995</v>
      </c>
      <c r="AG316" s="6" t="s">
        <v>17</v>
      </c>
      <c r="AH316" s="132">
        <v>1.34E-4</v>
      </c>
      <c r="AI316" s="132">
        <v>1.41815492007172E-3</v>
      </c>
      <c r="AJ316" s="132">
        <v>2.57843004001076E-4</v>
      </c>
    </row>
    <row r="317" spans="1:36" x14ac:dyDescent="0.2">
      <c r="A317" s="6">
        <v>559</v>
      </c>
      <c r="B317" s="6">
        <v>556</v>
      </c>
      <c r="C317" s="6" t="s">
        <v>1688</v>
      </c>
      <c r="D317" s="6" t="s">
        <v>1689</v>
      </c>
      <c r="E317" s="3" t="s">
        <v>1477</v>
      </c>
      <c r="F317" s="6" t="s">
        <v>1693</v>
      </c>
      <c r="G317" s="6" t="s">
        <v>1694</v>
      </c>
      <c r="H317" s="6" t="s">
        <v>76</v>
      </c>
      <c r="I317" s="6" t="s">
        <v>229</v>
      </c>
      <c r="J317" s="6" t="s">
        <v>53</v>
      </c>
      <c r="K317" s="6" t="s">
        <v>53</v>
      </c>
      <c r="L317" s="6" t="s">
        <v>805</v>
      </c>
      <c r="M317" s="6" t="s">
        <v>311</v>
      </c>
      <c r="N317" s="6" t="s">
        <v>635</v>
      </c>
      <c r="O317" s="6" t="s">
        <v>62</v>
      </c>
      <c r="P317" s="6" t="s">
        <v>1533</v>
      </c>
      <c r="Q317" s="6" t="s">
        <v>65</v>
      </c>
      <c r="R317" s="6" t="s">
        <v>57</v>
      </c>
      <c r="S317" s="6" t="s">
        <v>1219</v>
      </c>
      <c r="T317" s="131">
        <v>0.77500000000000002</v>
      </c>
      <c r="U317" s="6" t="s">
        <v>1695</v>
      </c>
      <c r="V317" s="134">
        <v>1.34E-2</v>
      </c>
      <c r="W317" s="132">
        <v>3.2250000000000001E-2</v>
      </c>
      <c r="X317" s="3" t="s">
        <v>620</v>
      </c>
      <c r="Y317" s="3" t="s">
        <v>62</v>
      </c>
      <c r="Z317" s="131">
        <v>216756.66</v>
      </c>
      <c r="AA317" s="129">
        <v>1</v>
      </c>
      <c r="AB317" s="157">
        <v>116.88</v>
      </c>
      <c r="AD317" s="131">
        <v>253.345</v>
      </c>
      <c r="AG317" s="6" t="s">
        <v>17</v>
      </c>
      <c r="AH317" s="132">
        <v>4.8000000000000001E-4</v>
      </c>
      <c r="AI317" s="132">
        <v>4.1783279309135597E-3</v>
      </c>
      <c r="AJ317" s="132">
        <v>7.5968613171956698E-4</v>
      </c>
    </row>
    <row r="318" spans="1:36" x14ac:dyDescent="0.2">
      <c r="A318" s="6">
        <v>559</v>
      </c>
      <c r="B318" s="6">
        <v>556</v>
      </c>
      <c r="C318" s="6" t="s">
        <v>1688</v>
      </c>
      <c r="D318" s="6" t="s">
        <v>1689</v>
      </c>
      <c r="E318" s="3" t="s">
        <v>1477</v>
      </c>
      <c r="F318" s="6" t="s">
        <v>1696</v>
      </c>
      <c r="G318" s="6" t="s">
        <v>1697</v>
      </c>
      <c r="H318" s="6" t="s">
        <v>76</v>
      </c>
      <c r="I318" s="6" t="s">
        <v>229</v>
      </c>
      <c r="J318" s="6" t="s">
        <v>53</v>
      </c>
      <c r="K318" s="6" t="s">
        <v>53</v>
      </c>
      <c r="L318" s="6" t="s">
        <v>805</v>
      </c>
      <c r="M318" s="6" t="s">
        <v>311</v>
      </c>
      <c r="N318" s="6" t="s">
        <v>635</v>
      </c>
      <c r="O318" s="6" t="s">
        <v>62</v>
      </c>
      <c r="P318" s="6" t="s">
        <v>1533</v>
      </c>
      <c r="Q318" s="6" t="s">
        <v>65</v>
      </c>
      <c r="R318" s="6" t="s">
        <v>57</v>
      </c>
      <c r="S318" s="6" t="s">
        <v>1219</v>
      </c>
      <c r="T318" s="131">
        <v>4.7249999999999996</v>
      </c>
      <c r="U318" s="6" t="s">
        <v>1698</v>
      </c>
      <c r="V318" s="134">
        <v>2.5999999999999999E-2</v>
      </c>
      <c r="W318" s="132">
        <v>2.8320000000000001E-2</v>
      </c>
      <c r="X318" s="3" t="s">
        <v>620</v>
      </c>
      <c r="Y318" s="3" t="s">
        <v>62</v>
      </c>
      <c r="Z318" s="131">
        <v>102000</v>
      </c>
      <c r="AA318" s="129">
        <v>1</v>
      </c>
      <c r="AB318" s="157">
        <v>104</v>
      </c>
      <c r="AC318" s="131">
        <v>1.393</v>
      </c>
      <c r="AD318" s="131">
        <v>107.473</v>
      </c>
      <c r="AG318" s="6" t="s">
        <v>17</v>
      </c>
      <c r="AH318" s="132">
        <v>1.9000000000000001E-4</v>
      </c>
      <c r="AI318" s="132">
        <v>1.7725115714742499E-3</v>
      </c>
      <c r="AJ318" s="132">
        <v>3.2227065022802799E-4</v>
      </c>
    </row>
    <row r="319" spans="1:36" x14ac:dyDescent="0.2">
      <c r="A319" s="6">
        <v>559</v>
      </c>
      <c r="B319" s="6">
        <v>556</v>
      </c>
      <c r="C319" s="6" t="s">
        <v>1688</v>
      </c>
      <c r="D319" s="6" t="s">
        <v>1689</v>
      </c>
      <c r="E319" s="3" t="s">
        <v>1477</v>
      </c>
      <c r="F319" s="6" t="s">
        <v>1699</v>
      </c>
      <c r="G319" s="6" t="s">
        <v>1700</v>
      </c>
      <c r="H319" s="6" t="s">
        <v>76</v>
      </c>
      <c r="I319" s="6" t="s">
        <v>229</v>
      </c>
      <c r="J319" s="6" t="s">
        <v>53</v>
      </c>
      <c r="K319" s="6" t="s">
        <v>53</v>
      </c>
      <c r="L319" s="6" t="s">
        <v>805</v>
      </c>
      <c r="M319" s="6" t="s">
        <v>311</v>
      </c>
      <c r="N319" s="6" t="s">
        <v>635</v>
      </c>
      <c r="O319" s="6" t="s">
        <v>62</v>
      </c>
      <c r="P319" s="6" t="s">
        <v>1533</v>
      </c>
      <c r="Q319" s="6" t="s">
        <v>65</v>
      </c>
      <c r="R319" s="6" t="s">
        <v>57</v>
      </c>
      <c r="S319" s="6" t="s">
        <v>1219</v>
      </c>
      <c r="T319" s="131">
        <v>0.41399999999999998</v>
      </c>
      <c r="U319" s="6" t="s">
        <v>1273</v>
      </c>
      <c r="V319" s="134">
        <v>2E-3</v>
      </c>
      <c r="W319" s="132">
        <v>1.916E-2</v>
      </c>
      <c r="X319" s="3" t="s">
        <v>620</v>
      </c>
      <c r="Y319" s="3" t="s">
        <v>62</v>
      </c>
      <c r="Z319" s="131">
        <v>535619.76</v>
      </c>
      <c r="AA319" s="129">
        <v>1</v>
      </c>
      <c r="AB319" s="157">
        <v>115.09</v>
      </c>
      <c r="AD319" s="131">
        <v>616.44500000000005</v>
      </c>
      <c r="AG319" s="6" t="s">
        <v>17</v>
      </c>
      <c r="AH319" s="132">
        <v>1.7849999999999999E-3</v>
      </c>
      <c r="AI319" s="132">
        <v>1.0166794595469E-2</v>
      </c>
      <c r="AJ319" s="132">
        <v>1.8484841271256E-3</v>
      </c>
    </row>
    <row r="320" spans="1:36" x14ac:dyDescent="0.2">
      <c r="A320" s="6">
        <v>559</v>
      </c>
      <c r="B320" s="6">
        <v>556</v>
      </c>
      <c r="C320" s="6" t="s">
        <v>1701</v>
      </c>
      <c r="D320" s="6" t="s">
        <v>1702</v>
      </c>
      <c r="E320" s="3" t="s">
        <v>1477</v>
      </c>
      <c r="F320" s="6" t="s">
        <v>1703</v>
      </c>
      <c r="G320" s="6" t="s">
        <v>1704</v>
      </c>
      <c r="H320" s="6" t="s">
        <v>76</v>
      </c>
      <c r="I320" s="6" t="s">
        <v>229</v>
      </c>
      <c r="J320" s="6" t="s">
        <v>53</v>
      </c>
      <c r="K320" s="6" t="s">
        <v>53</v>
      </c>
      <c r="L320" s="6" t="s">
        <v>805</v>
      </c>
      <c r="M320" s="6" t="s">
        <v>311</v>
      </c>
      <c r="N320" s="6" t="s">
        <v>256</v>
      </c>
      <c r="O320" s="6" t="s">
        <v>62</v>
      </c>
      <c r="P320" s="6" t="s">
        <v>1213</v>
      </c>
      <c r="Q320" s="6" t="s">
        <v>65</v>
      </c>
      <c r="R320" s="6" t="s">
        <v>57</v>
      </c>
      <c r="S320" s="6" t="s">
        <v>1219</v>
      </c>
      <c r="T320" s="131">
        <v>0.192</v>
      </c>
      <c r="U320" s="6" t="s">
        <v>1705</v>
      </c>
      <c r="V320" s="134">
        <v>1E-3</v>
      </c>
      <c r="W320" s="132">
        <v>2.2579999999999999E-2</v>
      </c>
      <c r="X320" s="3" t="s">
        <v>620</v>
      </c>
      <c r="Y320" s="3" t="s">
        <v>62</v>
      </c>
      <c r="Z320" s="131">
        <v>777384</v>
      </c>
      <c r="AA320" s="129">
        <v>1</v>
      </c>
      <c r="AB320" s="157">
        <v>115.96</v>
      </c>
      <c r="AD320" s="131">
        <v>901.45399999999995</v>
      </c>
      <c r="AG320" s="6" t="s">
        <v>17</v>
      </c>
      <c r="AH320" s="132">
        <v>5.1800000000000001E-4</v>
      </c>
      <c r="AI320" s="132">
        <v>1.4867353688791799E-2</v>
      </c>
      <c r="AJ320" s="132">
        <v>2.7031201474594299E-3</v>
      </c>
    </row>
    <row r="321" spans="1:36" x14ac:dyDescent="0.2">
      <c r="A321" s="6">
        <v>559</v>
      </c>
      <c r="B321" s="6">
        <v>556</v>
      </c>
      <c r="C321" s="6" t="s">
        <v>1701</v>
      </c>
      <c r="D321" s="6" t="s">
        <v>1702</v>
      </c>
      <c r="E321" s="3" t="s">
        <v>1477</v>
      </c>
      <c r="F321" s="6" t="s">
        <v>1706</v>
      </c>
      <c r="G321" s="6" t="s">
        <v>1707</v>
      </c>
      <c r="H321" s="6" t="s">
        <v>76</v>
      </c>
      <c r="I321" s="6" t="s">
        <v>229</v>
      </c>
      <c r="J321" s="6" t="s">
        <v>53</v>
      </c>
      <c r="K321" s="6" t="s">
        <v>53</v>
      </c>
      <c r="L321" s="6" t="s">
        <v>805</v>
      </c>
      <c r="M321" s="6" t="s">
        <v>311</v>
      </c>
      <c r="N321" s="6" t="s">
        <v>256</v>
      </c>
      <c r="O321" s="6" t="s">
        <v>62</v>
      </c>
      <c r="P321" s="6" t="s">
        <v>1213</v>
      </c>
      <c r="Q321" s="6" t="s">
        <v>65</v>
      </c>
      <c r="R321" s="6" t="s">
        <v>57</v>
      </c>
      <c r="S321" s="6" t="s">
        <v>1219</v>
      </c>
      <c r="T321" s="131">
        <v>1.415</v>
      </c>
      <c r="U321" s="6" t="s">
        <v>1708</v>
      </c>
      <c r="V321" s="134">
        <v>1E-3</v>
      </c>
      <c r="W321" s="132">
        <v>2.563E-2</v>
      </c>
      <c r="X321" s="3" t="s">
        <v>620</v>
      </c>
      <c r="Y321" s="3" t="s">
        <v>62</v>
      </c>
      <c r="Z321" s="131">
        <v>895000</v>
      </c>
      <c r="AA321" s="129">
        <v>1</v>
      </c>
      <c r="AB321" s="157">
        <v>110.36</v>
      </c>
      <c r="AD321" s="131">
        <v>987.72199999999998</v>
      </c>
      <c r="AG321" s="6" t="s">
        <v>17</v>
      </c>
      <c r="AH321" s="132">
        <v>1.9170000000000001E-3</v>
      </c>
      <c r="AI321" s="132">
        <v>1.6290131716849399E-2</v>
      </c>
      <c r="AJ321" s="132">
        <v>2.9618037056439901E-3</v>
      </c>
    </row>
    <row r="322" spans="1:36" x14ac:dyDescent="0.2">
      <c r="A322" s="6">
        <v>559</v>
      </c>
      <c r="B322" s="6">
        <v>556</v>
      </c>
      <c r="C322" s="6" t="s">
        <v>1709</v>
      </c>
      <c r="D322" s="6" t="s">
        <v>1710</v>
      </c>
      <c r="E322" s="3" t="s">
        <v>1477</v>
      </c>
      <c r="F322" s="6" t="s">
        <v>1711</v>
      </c>
      <c r="G322" s="6" t="s">
        <v>1712</v>
      </c>
      <c r="H322" s="6" t="s">
        <v>76</v>
      </c>
      <c r="I322" s="6" t="s">
        <v>228</v>
      </c>
      <c r="J322" s="6" t="s">
        <v>53</v>
      </c>
      <c r="K322" s="6" t="s">
        <v>53</v>
      </c>
      <c r="L322" s="6" t="s">
        <v>805</v>
      </c>
      <c r="M322" s="6" t="s">
        <v>311</v>
      </c>
      <c r="N322" s="6" t="s">
        <v>263</v>
      </c>
      <c r="O322" s="6" t="s">
        <v>62</v>
      </c>
      <c r="P322" s="6" t="s">
        <v>298</v>
      </c>
      <c r="Q322" s="6" t="s">
        <v>298</v>
      </c>
      <c r="R322" s="6" t="s">
        <v>298</v>
      </c>
      <c r="S322" s="6" t="s">
        <v>1219</v>
      </c>
      <c r="T322" s="131">
        <v>3.1269999999999998</v>
      </c>
      <c r="U322" s="6" t="s">
        <v>1713</v>
      </c>
      <c r="V322" s="134">
        <v>7.5800000000000006E-2</v>
      </c>
      <c r="W322" s="132">
        <v>5.926E-2</v>
      </c>
      <c r="X322" s="3" t="s">
        <v>620</v>
      </c>
      <c r="Y322" s="3" t="s">
        <v>62</v>
      </c>
      <c r="Z322" s="131">
        <v>121000</v>
      </c>
      <c r="AA322" s="129">
        <v>1</v>
      </c>
      <c r="AB322" s="157">
        <v>105.4</v>
      </c>
      <c r="AD322" s="131">
        <v>127.53400000000001</v>
      </c>
      <c r="AG322" s="6" t="s">
        <v>17</v>
      </c>
      <c r="AH322" s="132">
        <v>2.3270000000000001E-3</v>
      </c>
      <c r="AI322" s="132">
        <v>2.1033708456191899E-3</v>
      </c>
      <c r="AJ322" s="132">
        <v>3.8242610146944298E-4</v>
      </c>
    </row>
    <row r="323" spans="1:36" x14ac:dyDescent="0.2">
      <c r="A323" s="6">
        <v>559</v>
      </c>
      <c r="B323" s="6">
        <v>556</v>
      </c>
      <c r="C323" s="6" t="s">
        <v>1719</v>
      </c>
      <c r="D323" s="6" t="s">
        <v>1720</v>
      </c>
      <c r="E323" s="3" t="s">
        <v>1477</v>
      </c>
      <c r="F323" s="6" t="s">
        <v>1721</v>
      </c>
      <c r="G323" s="6" t="s">
        <v>1722</v>
      </c>
      <c r="H323" s="6" t="s">
        <v>76</v>
      </c>
      <c r="I323" s="6" t="s">
        <v>228</v>
      </c>
      <c r="J323" s="6" t="s">
        <v>53</v>
      </c>
      <c r="K323" s="6" t="s">
        <v>53</v>
      </c>
      <c r="L323" s="6" t="s">
        <v>805</v>
      </c>
      <c r="M323" s="6" t="s">
        <v>311</v>
      </c>
      <c r="N323" s="6" t="s">
        <v>140</v>
      </c>
      <c r="O323" s="6" t="s">
        <v>62</v>
      </c>
      <c r="P323" s="6" t="s">
        <v>298</v>
      </c>
      <c r="Q323" s="6" t="s">
        <v>298</v>
      </c>
      <c r="R323" s="6" t="s">
        <v>298</v>
      </c>
      <c r="S323" s="6" t="s">
        <v>1219</v>
      </c>
      <c r="T323" s="131">
        <v>0.98499999999999999</v>
      </c>
      <c r="U323" s="6" t="s">
        <v>1595</v>
      </c>
      <c r="V323" s="134">
        <v>3.8699999999999998E-2</v>
      </c>
      <c r="W323" s="132">
        <v>4.9630000000000001E-2</v>
      </c>
      <c r="X323" s="3" t="s">
        <v>620</v>
      </c>
      <c r="Y323" s="3" t="s">
        <v>62</v>
      </c>
      <c r="Z323" s="131">
        <v>217542.62</v>
      </c>
      <c r="AA323" s="129">
        <v>1</v>
      </c>
      <c r="AB323" s="157">
        <v>99.03</v>
      </c>
      <c r="AD323" s="131">
        <v>215.43199999999999</v>
      </c>
      <c r="AG323" s="6" t="s">
        <v>17</v>
      </c>
      <c r="AH323" s="132">
        <v>6.8300000000000001E-4</v>
      </c>
      <c r="AI323" s="132">
        <v>3.5530474099699999E-3</v>
      </c>
      <c r="AJ323" s="132">
        <v>6.4600023916891903E-4</v>
      </c>
    </row>
    <row r="324" spans="1:36" x14ac:dyDescent="0.2">
      <c r="A324" s="6">
        <v>559</v>
      </c>
      <c r="B324" s="6">
        <v>556</v>
      </c>
      <c r="C324" s="6" t="s">
        <v>1723</v>
      </c>
      <c r="D324" s="6" t="s">
        <v>1724</v>
      </c>
      <c r="E324" s="3" t="s">
        <v>1477</v>
      </c>
      <c r="F324" s="6" t="s">
        <v>1725</v>
      </c>
      <c r="G324" s="6" t="s">
        <v>1726</v>
      </c>
      <c r="H324" s="6" t="s">
        <v>76</v>
      </c>
      <c r="I324" s="6" t="s">
        <v>229</v>
      </c>
      <c r="J324" s="6" t="s">
        <v>53</v>
      </c>
      <c r="K324" s="6" t="s">
        <v>53</v>
      </c>
      <c r="L324" s="6" t="s">
        <v>805</v>
      </c>
      <c r="M324" s="6" t="s">
        <v>102</v>
      </c>
      <c r="N324" s="6" t="s">
        <v>636</v>
      </c>
      <c r="O324" s="6" t="s">
        <v>62</v>
      </c>
      <c r="P324" s="6" t="s">
        <v>1515</v>
      </c>
      <c r="Q324" s="6" t="s">
        <v>65</v>
      </c>
      <c r="R324" s="6" t="s">
        <v>57</v>
      </c>
      <c r="S324" s="6" t="s">
        <v>1219</v>
      </c>
      <c r="T324" s="131">
        <v>2.8919999999999999</v>
      </c>
      <c r="U324" s="6" t="s">
        <v>1569</v>
      </c>
      <c r="V324" s="134">
        <v>1.7500000000000002E-2</v>
      </c>
      <c r="W324" s="132">
        <v>5.1749999999999997E-2</v>
      </c>
      <c r="X324" s="3" t="s">
        <v>620</v>
      </c>
      <c r="Y324" s="3" t="s">
        <v>62</v>
      </c>
      <c r="Z324" s="131">
        <v>140000</v>
      </c>
      <c r="AA324" s="129">
        <v>1</v>
      </c>
      <c r="AB324" s="157">
        <v>106.47799999999999</v>
      </c>
      <c r="AD324" s="131">
        <v>149.07</v>
      </c>
      <c r="AG324" s="6" t="s">
        <v>17</v>
      </c>
      <c r="AH324" s="132">
        <v>0</v>
      </c>
      <c r="AI324" s="132">
        <v>2.4585492976373102E-3</v>
      </c>
      <c r="AJ324" s="132">
        <v>4.47003164051699E-4</v>
      </c>
    </row>
    <row r="325" spans="1:36" x14ac:dyDescent="0.2">
      <c r="A325" s="6">
        <v>559</v>
      </c>
      <c r="B325" s="6">
        <v>556</v>
      </c>
      <c r="C325" s="6" t="s">
        <v>1723</v>
      </c>
      <c r="D325" s="6" t="s">
        <v>1724</v>
      </c>
      <c r="E325" s="3" t="s">
        <v>1477</v>
      </c>
      <c r="F325" s="6" t="s">
        <v>1727</v>
      </c>
      <c r="G325" s="6" t="s">
        <v>1728</v>
      </c>
      <c r="H325" s="6" t="s">
        <v>76</v>
      </c>
      <c r="I325" s="6" t="s">
        <v>229</v>
      </c>
      <c r="J325" s="6" t="s">
        <v>53</v>
      </c>
      <c r="K325" s="6" t="s">
        <v>317</v>
      </c>
      <c r="L325" s="6" t="s">
        <v>805</v>
      </c>
      <c r="M325" s="6" t="s">
        <v>311</v>
      </c>
      <c r="N325" s="6" t="s">
        <v>636</v>
      </c>
      <c r="O325" s="6" t="s">
        <v>62</v>
      </c>
      <c r="P325" s="6" t="s">
        <v>1515</v>
      </c>
      <c r="Q325" s="6" t="s">
        <v>65</v>
      </c>
      <c r="R325" s="6" t="s">
        <v>57</v>
      </c>
      <c r="S325" s="6" t="s">
        <v>1219</v>
      </c>
      <c r="T325" s="131">
        <v>2.4929999999999999</v>
      </c>
      <c r="U325" s="6" t="s">
        <v>1544</v>
      </c>
      <c r="V325" s="134">
        <v>3.2800000000000003E-2</v>
      </c>
      <c r="W325" s="132">
        <v>4.3709999999999999E-2</v>
      </c>
      <c r="X325" s="3" t="s">
        <v>620</v>
      </c>
      <c r="Y325" s="3" t="s">
        <v>62</v>
      </c>
      <c r="Z325" s="131">
        <v>72000</v>
      </c>
      <c r="AA325" s="129">
        <v>1</v>
      </c>
      <c r="AB325" s="157">
        <v>115.58</v>
      </c>
      <c r="AD325" s="131">
        <v>83.218000000000004</v>
      </c>
      <c r="AG325" s="6" t="s">
        <v>17</v>
      </c>
      <c r="AH325" s="132">
        <v>6.7000000000000002E-5</v>
      </c>
      <c r="AI325" s="132">
        <v>1.37247693699248E-3</v>
      </c>
      <c r="AJ325" s="132">
        <v>2.4953802391239598E-4</v>
      </c>
    </row>
    <row r="326" spans="1:36" x14ac:dyDescent="0.2">
      <c r="A326" s="6">
        <v>559</v>
      </c>
      <c r="B326" s="6">
        <v>556</v>
      </c>
      <c r="C326" s="6" t="s">
        <v>1723</v>
      </c>
      <c r="D326" s="6" t="s">
        <v>1724</v>
      </c>
      <c r="E326" s="3" t="s">
        <v>1477</v>
      </c>
      <c r="F326" s="6" t="s">
        <v>1729</v>
      </c>
      <c r="G326" s="6" t="s">
        <v>1730</v>
      </c>
      <c r="H326" s="6" t="s">
        <v>76</v>
      </c>
      <c r="I326" s="6" t="s">
        <v>607</v>
      </c>
      <c r="J326" s="6" t="s">
        <v>53</v>
      </c>
      <c r="K326" s="6" t="s">
        <v>317</v>
      </c>
      <c r="L326" s="6" t="s">
        <v>805</v>
      </c>
      <c r="M326" s="6" t="s">
        <v>311</v>
      </c>
      <c r="N326" s="6" t="s">
        <v>636</v>
      </c>
      <c r="O326" s="6" t="s">
        <v>62</v>
      </c>
      <c r="P326" s="6" t="s">
        <v>1515</v>
      </c>
      <c r="Q326" s="6" t="s">
        <v>65</v>
      </c>
      <c r="R326" s="6" t="s">
        <v>57</v>
      </c>
      <c r="S326" s="6" t="s">
        <v>1219</v>
      </c>
      <c r="T326" s="131">
        <v>3.7029999999999998</v>
      </c>
      <c r="U326" s="6" t="s">
        <v>1549</v>
      </c>
      <c r="V326" s="134">
        <v>5.5E-2</v>
      </c>
      <c r="W326" s="132">
        <v>4.5249999999999999E-2</v>
      </c>
      <c r="X326" s="3" t="s">
        <v>620</v>
      </c>
      <c r="Y326" s="3" t="s">
        <v>62</v>
      </c>
      <c r="Z326" s="131">
        <v>315533.7</v>
      </c>
      <c r="AA326" s="129">
        <v>1</v>
      </c>
      <c r="AB326" s="157">
        <v>103.5</v>
      </c>
      <c r="AD326" s="131">
        <v>326.577</v>
      </c>
      <c r="AG326" s="6" t="s">
        <v>17</v>
      </c>
      <c r="AH326" s="132">
        <v>6.11E-4</v>
      </c>
      <c r="AI326" s="132">
        <v>5.3861193005709301E-3</v>
      </c>
      <c r="AJ326" s="132">
        <v>9.7928171366295797E-4</v>
      </c>
    </row>
    <row r="327" spans="1:36" x14ac:dyDescent="0.2">
      <c r="A327" s="6">
        <v>559</v>
      </c>
      <c r="B327" s="6">
        <v>556</v>
      </c>
      <c r="C327" s="6" t="s">
        <v>1723</v>
      </c>
      <c r="D327" s="6" t="s">
        <v>1724</v>
      </c>
      <c r="E327" s="3" t="s">
        <v>1477</v>
      </c>
      <c r="F327" s="6" t="s">
        <v>1731</v>
      </c>
      <c r="G327" s="6" t="s">
        <v>1732</v>
      </c>
      <c r="H327" s="6" t="s">
        <v>76</v>
      </c>
      <c r="I327" s="6" t="s">
        <v>229</v>
      </c>
      <c r="J327" s="6" t="s">
        <v>53</v>
      </c>
      <c r="K327" s="6" t="s">
        <v>53</v>
      </c>
      <c r="L327" s="6" t="s">
        <v>805</v>
      </c>
      <c r="M327" s="6" t="s">
        <v>102</v>
      </c>
      <c r="N327" s="6" t="s">
        <v>636</v>
      </c>
      <c r="O327" s="6" t="s">
        <v>62</v>
      </c>
      <c r="P327" s="6" t="s">
        <v>1628</v>
      </c>
      <c r="Q327" s="6" t="s">
        <v>65</v>
      </c>
      <c r="R327" s="6" t="s">
        <v>57</v>
      </c>
      <c r="S327" s="6" t="s">
        <v>1219</v>
      </c>
      <c r="T327" s="131">
        <v>2.3660000000000001</v>
      </c>
      <c r="U327" s="6" t="s">
        <v>1733</v>
      </c>
      <c r="V327" s="134">
        <v>1.3299999999999999E-2</v>
      </c>
      <c r="W327" s="132">
        <v>3.1989999999999998E-2</v>
      </c>
      <c r="X327" s="3" t="s">
        <v>620</v>
      </c>
      <c r="Y327" s="3" t="s">
        <v>62</v>
      </c>
      <c r="Z327" s="131">
        <v>140000</v>
      </c>
      <c r="AA327" s="129">
        <v>1</v>
      </c>
      <c r="AB327" s="157">
        <v>112.72499999999999</v>
      </c>
      <c r="AD327" s="131">
        <v>157.815</v>
      </c>
      <c r="AG327" s="6" t="s">
        <v>17</v>
      </c>
      <c r="AH327" s="132">
        <v>0</v>
      </c>
      <c r="AI327" s="132">
        <v>2.6027824994284301E-3</v>
      </c>
      <c r="AJ327" s="132">
        <v>4.7322704234606399E-4</v>
      </c>
    </row>
    <row r="328" spans="1:36" x14ac:dyDescent="0.2">
      <c r="A328" s="6">
        <v>559</v>
      </c>
      <c r="B328" s="6">
        <v>556</v>
      </c>
      <c r="C328" s="6" t="s">
        <v>1723</v>
      </c>
      <c r="D328" s="6" t="s">
        <v>1724</v>
      </c>
      <c r="E328" s="3" t="s">
        <v>1477</v>
      </c>
      <c r="F328" s="6" t="s">
        <v>1734</v>
      </c>
      <c r="G328" s="6" t="s">
        <v>1735</v>
      </c>
      <c r="H328" s="6" t="s">
        <v>76</v>
      </c>
      <c r="I328" s="6" t="s">
        <v>229</v>
      </c>
      <c r="J328" s="6" t="s">
        <v>53</v>
      </c>
      <c r="K328" s="6" t="s">
        <v>53</v>
      </c>
      <c r="L328" s="6" t="s">
        <v>805</v>
      </c>
      <c r="M328" s="6" t="s">
        <v>102</v>
      </c>
      <c r="N328" s="6" t="s">
        <v>636</v>
      </c>
      <c r="O328" s="6" t="s">
        <v>62</v>
      </c>
      <c r="P328" s="6" t="s">
        <v>1628</v>
      </c>
      <c r="Q328" s="6" t="s">
        <v>65</v>
      </c>
      <c r="R328" s="6" t="s">
        <v>57</v>
      </c>
      <c r="S328" s="6" t="s">
        <v>1219</v>
      </c>
      <c r="T328" s="131">
        <v>4.3460000000000001</v>
      </c>
      <c r="U328" s="6" t="s">
        <v>1736</v>
      </c>
      <c r="V328" s="134">
        <v>4.24E-2</v>
      </c>
      <c r="W328" s="132">
        <v>3.3500000000000002E-2</v>
      </c>
      <c r="X328" s="3" t="s">
        <v>620</v>
      </c>
      <c r="Y328" s="3" t="s">
        <v>62</v>
      </c>
      <c r="Z328" s="131">
        <v>203000</v>
      </c>
      <c r="AA328" s="129">
        <v>1</v>
      </c>
      <c r="AB328" s="157">
        <v>108.23</v>
      </c>
      <c r="AD328" s="131">
        <v>219.70699999999999</v>
      </c>
      <c r="AG328" s="6" t="s">
        <v>17</v>
      </c>
      <c r="AH328" s="132">
        <v>3.1500000000000001E-4</v>
      </c>
      <c r="AI328" s="132">
        <v>3.62354421598452E-3</v>
      </c>
      <c r="AJ328" s="132">
        <v>6.5881767397663895E-4</v>
      </c>
    </row>
    <row r="329" spans="1:36" x14ac:dyDescent="0.2">
      <c r="A329" s="6">
        <v>559</v>
      </c>
      <c r="B329" s="6">
        <v>556</v>
      </c>
      <c r="C329" s="6" t="s">
        <v>1737</v>
      </c>
      <c r="D329" s="6" t="s">
        <v>1738</v>
      </c>
      <c r="E329" s="3" t="s">
        <v>1477</v>
      </c>
      <c r="F329" s="6" t="s">
        <v>1739</v>
      </c>
      <c r="G329" s="6" t="s">
        <v>1740</v>
      </c>
      <c r="H329" s="6" t="s">
        <v>76</v>
      </c>
      <c r="I329" s="6" t="s">
        <v>229</v>
      </c>
      <c r="J329" s="6" t="s">
        <v>53</v>
      </c>
      <c r="K329" s="6" t="s">
        <v>53</v>
      </c>
      <c r="L329" s="6" t="s">
        <v>805</v>
      </c>
      <c r="M329" s="6" t="s">
        <v>311</v>
      </c>
      <c r="N329" s="6" t="s">
        <v>635</v>
      </c>
      <c r="O329" s="6" t="s">
        <v>62</v>
      </c>
      <c r="P329" s="6" t="s">
        <v>1521</v>
      </c>
      <c r="Q329" s="6" t="s">
        <v>70</v>
      </c>
      <c r="R329" s="6" t="s">
        <v>57</v>
      </c>
      <c r="S329" s="6" t="s">
        <v>1219</v>
      </c>
      <c r="T329" s="131">
        <v>0.499</v>
      </c>
      <c r="U329" s="6" t="s">
        <v>1499</v>
      </c>
      <c r="V329" s="134">
        <v>2.5000000000000001E-2</v>
      </c>
      <c r="W329" s="132">
        <v>3.3689999999999998E-2</v>
      </c>
      <c r="X329" s="3" t="s">
        <v>620</v>
      </c>
      <c r="Y329" s="3" t="s">
        <v>62</v>
      </c>
      <c r="Z329" s="131">
        <v>144914.43</v>
      </c>
      <c r="AA329" s="129">
        <v>1</v>
      </c>
      <c r="AB329" s="157">
        <v>117.96</v>
      </c>
      <c r="AD329" s="131">
        <v>170.941</v>
      </c>
      <c r="AG329" s="6" t="s">
        <v>17</v>
      </c>
      <c r="AH329" s="132">
        <v>4.75E-4</v>
      </c>
      <c r="AI329" s="132">
        <v>2.8192673745630801E-3</v>
      </c>
      <c r="AJ329" s="132">
        <v>5.1258741809591E-4</v>
      </c>
    </row>
    <row r="330" spans="1:36" x14ac:dyDescent="0.2">
      <c r="A330" s="6">
        <v>559</v>
      </c>
      <c r="B330" s="6">
        <v>556</v>
      </c>
      <c r="C330" s="6" t="s">
        <v>1741</v>
      </c>
      <c r="D330" s="6" t="s">
        <v>1742</v>
      </c>
      <c r="E330" s="3" t="s">
        <v>1477</v>
      </c>
      <c r="F330" s="6" t="s">
        <v>1743</v>
      </c>
      <c r="G330" s="6" t="s">
        <v>1744</v>
      </c>
      <c r="H330" s="6" t="s">
        <v>76</v>
      </c>
      <c r="I330" s="6" t="s">
        <v>228</v>
      </c>
      <c r="J330" s="6" t="s">
        <v>53</v>
      </c>
      <c r="K330" s="6" t="s">
        <v>53</v>
      </c>
      <c r="L330" s="6" t="s">
        <v>805</v>
      </c>
      <c r="M330" s="6" t="s">
        <v>311</v>
      </c>
      <c r="N330" s="6" t="s">
        <v>257</v>
      </c>
      <c r="O330" s="6" t="s">
        <v>62</v>
      </c>
      <c r="P330" s="6" t="s">
        <v>1533</v>
      </c>
      <c r="Q330" s="6" t="s">
        <v>65</v>
      </c>
      <c r="R330" s="6" t="s">
        <v>57</v>
      </c>
      <c r="S330" s="6" t="s">
        <v>1219</v>
      </c>
      <c r="T330" s="131">
        <v>0.29899999999999999</v>
      </c>
      <c r="U330" s="6" t="s">
        <v>1745</v>
      </c>
      <c r="V330" s="134">
        <v>0.03</v>
      </c>
      <c r="W330" s="132">
        <v>4.761E-2</v>
      </c>
      <c r="X330" s="3" t="s">
        <v>620</v>
      </c>
      <c r="Y330" s="3" t="s">
        <v>62</v>
      </c>
      <c r="Z330" s="131">
        <v>60571.43</v>
      </c>
      <c r="AA330" s="129">
        <v>1</v>
      </c>
      <c r="AB330" s="157">
        <v>100.1</v>
      </c>
      <c r="AD330" s="131">
        <v>60.631999999999998</v>
      </c>
      <c r="AG330" s="6" t="s">
        <v>17</v>
      </c>
      <c r="AH330" s="132">
        <v>6.9999999999999999E-4</v>
      </c>
      <c r="AI330" s="132">
        <v>9.9998105696835998E-4</v>
      </c>
      <c r="AJ330" s="132">
        <v>1.8181237890417101E-4</v>
      </c>
    </row>
    <row r="331" spans="1:36" x14ac:dyDescent="0.2">
      <c r="A331" s="6">
        <v>559</v>
      </c>
      <c r="B331" s="6">
        <v>556</v>
      </c>
      <c r="C331" s="6" t="s">
        <v>1741</v>
      </c>
      <c r="D331" s="6" t="s">
        <v>1742</v>
      </c>
      <c r="E331" s="3" t="s">
        <v>1477</v>
      </c>
      <c r="F331" s="6" t="s">
        <v>1746</v>
      </c>
      <c r="G331" s="6" t="s">
        <v>1747</v>
      </c>
      <c r="H331" s="6" t="s">
        <v>76</v>
      </c>
      <c r="I331" s="6" t="s">
        <v>228</v>
      </c>
      <c r="J331" s="6" t="s">
        <v>53</v>
      </c>
      <c r="K331" s="6" t="s">
        <v>53</v>
      </c>
      <c r="L331" s="6" t="s">
        <v>805</v>
      </c>
      <c r="M331" s="6" t="s">
        <v>102</v>
      </c>
      <c r="N331" s="6" t="s">
        <v>257</v>
      </c>
      <c r="O331" s="6" t="s">
        <v>62</v>
      </c>
      <c r="P331" s="6" t="s">
        <v>1533</v>
      </c>
      <c r="Q331" s="6" t="s">
        <v>65</v>
      </c>
      <c r="R331" s="6" t="s">
        <v>57</v>
      </c>
      <c r="S331" s="6" t="s">
        <v>1219</v>
      </c>
      <c r="T331" s="131">
        <v>3.2410000000000001</v>
      </c>
      <c r="U331" s="6" t="s">
        <v>1748</v>
      </c>
      <c r="V331" s="134">
        <v>5.4600000000000003E-2</v>
      </c>
      <c r="W331" s="132">
        <v>5.6050000000000003E-2</v>
      </c>
      <c r="X331" s="3" t="s">
        <v>620</v>
      </c>
      <c r="Y331" s="3" t="s">
        <v>62</v>
      </c>
      <c r="Z331" s="131">
        <v>70000</v>
      </c>
      <c r="AA331" s="129">
        <v>1</v>
      </c>
      <c r="AB331" s="157">
        <v>99.88</v>
      </c>
      <c r="AD331" s="131">
        <v>69.915999999999997</v>
      </c>
      <c r="AG331" s="6" t="s">
        <v>17</v>
      </c>
      <c r="AH331" s="132">
        <v>2.33E-4</v>
      </c>
      <c r="AI331" s="132">
        <v>1.15309859364805E-3</v>
      </c>
      <c r="AJ331" s="132">
        <v>2.09651569858528E-4</v>
      </c>
    </row>
    <row r="332" spans="1:36" x14ac:dyDescent="0.2">
      <c r="A332" s="6">
        <v>559</v>
      </c>
      <c r="B332" s="6">
        <v>556</v>
      </c>
      <c r="C332" s="6" t="s">
        <v>1749</v>
      </c>
      <c r="D332" s="6" t="s">
        <v>1750</v>
      </c>
      <c r="E332" s="3" t="s">
        <v>767</v>
      </c>
      <c r="F332" s="6" t="s">
        <v>1751</v>
      </c>
      <c r="G332" s="6" t="s">
        <v>1752</v>
      </c>
      <c r="H332" s="6" t="s">
        <v>76</v>
      </c>
      <c r="I332" s="6" t="s">
        <v>228</v>
      </c>
      <c r="J332" s="6" t="s">
        <v>53</v>
      </c>
      <c r="K332" s="6" t="s">
        <v>314</v>
      </c>
      <c r="L332" s="6" t="s">
        <v>805</v>
      </c>
      <c r="M332" s="6" t="s">
        <v>311</v>
      </c>
      <c r="N332" s="6" t="s">
        <v>636</v>
      </c>
      <c r="O332" s="6" t="s">
        <v>62</v>
      </c>
      <c r="P332" s="6" t="s">
        <v>1753</v>
      </c>
      <c r="Q332" s="6" t="s">
        <v>65</v>
      </c>
      <c r="R332" s="6" t="s">
        <v>57</v>
      </c>
      <c r="S332" s="6" t="s">
        <v>1219</v>
      </c>
      <c r="T332" s="131">
        <v>0.16400000000000001</v>
      </c>
      <c r="U332" s="6" t="s">
        <v>1270</v>
      </c>
      <c r="V332" s="134">
        <v>6.9500000000000006E-2</v>
      </c>
      <c r="W332" s="132">
        <v>1E-4</v>
      </c>
      <c r="X332" s="3" t="s">
        <v>620</v>
      </c>
      <c r="Y332" s="3" t="s">
        <v>55</v>
      </c>
      <c r="Z332" s="131">
        <v>310913.28000000003</v>
      </c>
      <c r="AA332" s="129">
        <v>1</v>
      </c>
      <c r="AB332" s="157">
        <v>85.66</v>
      </c>
      <c r="AD332" s="131">
        <v>266.32799999999997</v>
      </c>
      <c r="AG332" s="6" t="s">
        <v>17</v>
      </c>
      <c r="AH332" s="132">
        <v>1.1230000000000001E-3</v>
      </c>
      <c r="AI332" s="132">
        <v>4.3924538907026203E-3</v>
      </c>
      <c r="AJ332" s="132">
        <v>7.9861761933435599E-4</v>
      </c>
    </row>
    <row r="333" spans="1:36" x14ac:dyDescent="0.2">
      <c r="A333" s="6">
        <v>559</v>
      </c>
      <c r="B333" s="6">
        <v>556</v>
      </c>
      <c r="C333" s="6" t="s">
        <v>1754</v>
      </c>
      <c r="D333" s="6" t="s">
        <v>1755</v>
      </c>
      <c r="E333" s="3" t="s">
        <v>78</v>
      </c>
      <c r="F333" s="6" t="s">
        <v>1756</v>
      </c>
      <c r="G333" s="6" t="s">
        <v>1757</v>
      </c>
      <c r="H333" s="6" t="s">
        <v>76</v>
      </c>
      <c r="I333" s="6" t="s">
        <v>228</v>
      </c>
      <c r="J333" s="6" t="s">
        <v>53</v>
      </c>
      <c r="K333" s="6" t="s">
        <v>314</v>
      </c>
      <c r="L333" s="6" t="s">
        <v>805</v>
      </c>
      <c r="M333" s="6" t="s">
        <v>311</v>
      </c>
      <c r="N333" s="6" t="s">
        <v>636</v>
      </c>
      <c r="O333" s="6" t="s">
        <v>62</v>
      </c>
      <c r="P333" s="6" t="s">
        <v>1628</v>
      </c>
      <c r="Q333" s="6" t="s">
        <v>65</v>
      </c>
      <c r="R333" s="6" t="s">
        <v>57</v>
      </c>
      <c r="S333" s="6" t="s">
        <v>1219</v>
      </c>
      <c r="T333" s="131">
        <v>1.4279999999999999</v>
      </c>
      <c r="U333" s="6" t="s">
        <v>1516</v>
      </c>
      <c r="V333" s="134">
        <v>6.8000000000000005E-2</v>
      </c>
      <c r="W333" s="132">
        <v>5.6610000000000001E-2</v>
      </c>
      <c r="X333" s="3" t="s">
        <v>620</v>
      </c>
      <c r="Y333" s="3" t="s">
        <v>62</v>
      </c>
      <c r="Z333" s="131">
        <v>107287.96</v>
      </c>
      <c r="AA333" s="129">
        <v>1</v>
      </c>
      <c r="AB333" s="157">
        <v>101.71</v>
      </c>
      <c r="AD333" s="131">
        <v>109.123</v>
      </c>
      <c r="AG333" s="6" t="s">
        <v>17</v>
      </c>
      <c r="AH333" s="132">
        <v>3.1300000000000002E-4</v>
      </c>
      <c r="AI333" s="132">
        <v>1.7997182086990299E-3</v>
      </c>
      <c r="AJ333" s="132">
        <v>3.2721724736739402E-4</v>
      </c>
    </row>
    <row r="334" spans="1:36" x14ac:dyDescent="0.2">
      <c r="A334" s="6">
        <v>559</v>
      </c>
      <c r="B334" s="6">
        <v>556</v>
      </c>
      <c r="C334" s="6" t="s">
        <v>1758</v>
      </c>
      <c r="D334" s="6" t="s">
        <v>1759</v>
      </c>
      <c r="E334" s="3" t="s">
        <v>1477</v>
      </c>
      <c r="F334" s="6" t="s">
        <v>1760</v>
      </c>
      <c r="G334" s="6" t="s">
        <v>1761</v>
      </c>
      <c r="H334" s="6" t="s">
        <v>76</v>
      </c>
      <c r="I334" s="6" t="s">
        <v>228</v>
      </c>
      <c r="J334" s="6" t="s">
        <v>53</v>
      </c>
      <c r="K334" s="6" t="s">
        <v>53</v>
      </c>
      <c r="L334" s="6" t="s">
        <v>805</v>
      </c>
      <c r="M334" s="6" t="s">
        <v>311</v>
      </c>
      <c r="N334" s="6" t="s">
        <v>156</v>
      </c>
      <c r="O334" s="6" t="s">
        <v>62</v>
      </c>
      <c r="P334" s="6" t="s">
        <v>1527</v>
      </c>
      <c r="Q334" s="6" t="s">
        <v>70</v>
      </c>
      <c r="R334" s="6" t="s">
        <v>57</v>
      </c>
      <c r="S334" s="6" t="s">
        <v>1219</v>
      </c>
      <c r="T334" s="131">
        <v>1.202</v>
      </c>
      <c r="U334" s="6" t="s">
        <v>1280</v>
      </c>
      <c r="V334" s="134">
        <v>3.2899999999999999E-2</v>
      </c>
      <c r="W334" s="132">
        <v>4.9500000000000002E-2</v>
      </c>
      <c r="X334" s="3" t="s">
        <v>620</v>
      </c>
      <c r="Y334" s="3" t="s">
        <v>62</v>
      </c>
      <c r="Z334" s="131">
        <v>138000</v>
      </c>
      <c r="AA334" s="129">
        <v>1</v>
      </c>
      <c r="AB334" s="157">
        <v>98.94</v>
      </c>
      <c r="AD334" s="131">
        <v>136.53700000000001</v>
      </c>
      <c r="AG334" s="6" t="s">
        <v>17</v>
      </c>
      <c r="AH334" s="132">
        <v>1.93E-4</v>
      </c>
      <c r="AI334" s="132">
        <v>2.2518572758831101E-3</v>
      </c>
      <c r="AJ334" s="132">
        <v>4.09423283999197E-4</v>
      </c>
    </row>
    <row r="335" spans="1:36" x14ac:dyDescent="0.2">
      <c r="A335" s="6">
        <v>559</v>
      </c>
      <c r="B335" s="6">
        <v>556</v>
      </c>
      <c r="C335" s="6" t="s">
        <v>1762</v>
      </c>
      <c r="D335" s="6" t="s">
        <v>1763</v>
      </c>
      <c r="E335" s="3" t="s">
        <v>1477</v>
      </c>
      <c r="F335" s="6" t="s">
        <v>1764</v>
      </c>
      <c r="G335" s="6" t="s">
        <v>1765</v>
      </c>
      <c r="H335" s="6" t="s">
        <v>76</v>
      </c>
      <c r="I335" s="6" t="s">
        <v>229</v>
      </c>
      <c r="J335" s="6" t="s">
        <v>53</v>
      </c>
      <c r="K335" s="6" t="s">
        <v>53</v>
      </c>
      <c r="L335" s="6" t="s">
        <v>805</v>
      </c>
      <c r="M335" s="6" t="s">
        <v>311</v>
      </c>
      <c r="N335" s="6" t="s">
        <v>631</v>
      </c>
      <c r="O335" s="6" t="s">
        <v>62</v>
      </c>
      <c r="P335" s="6" t="s">
        <v>298</v>
      </c>
      <c r="Q335" s="6" t="s">
        <v>298</v>
      </c>
      <c r="R335" s="6" t="s">
        <v>298</v>
      </c>
      <c r="S335" s="6" t="s">
        <v>1219</v>
      </c>
      <c r="T335" s="131">
        <v>2.44</v>
      </c>
      <c r="U335" s="6" t="s">
        <v>1544</v>
      </c>
      <c r="V335" s="134">
        <v>1.5800000000000002E-2</v>
      </c>
      <c r="W335" s="132">
        <v>3.6760000000000001E-2</v>
      </c>
      <c r="X335" s="3" t="s">
        <v>620</v>
      </c>
      <c r="Y335" s="3" t="s">
        <v>62</v>
      </c>
      <c r="Z335" s="131">
        <v>9931.0300000000007</v>
      </c>
      <c r="AA335" s="129">
        <v>1</v>
      </c>
      <c r="AB335" s="157">
        <v>109.71</v>
      </c>
      <c r="AD335" s="131">
        <v>10.895</v>
      </c>
      <c r="AG335" s="6" t="s">
        <v>17</v>
      </c>
      <c r="AH335" s="132">
        <v>3.1999999999999999E-5</v>
      </c>
      <c r="AI335" s="132">
        <v>1.79692676563555E-4</v>
      </c>
      <c r="AJ335" s="132">
        <v>3.2670971884931898E-5</v>
      </c>
    </row>
    <row r="336" spans="1:36" x14ac:dyDescent="0.2">
      <c r="A336" s="6">
        <v>559</v>
      </c>
      <c r="B336" s="6">
        <v>556</v>
      </c>
      <c r="C336" s="6" t="s">
        <v>1475</v>
      </c>
      <c r="D336" s="6" t="s">
        <v>1476</v>
      </c>
      <c r="E336" s="3" t="s">
        <v>1477</v>
      </c>
      <c r="F336" s="6" t="s">
        <v>1766</v>
      </c>
      <c r="G336" s="6" t="s">
        <v>1767</v>
      </c>
      <c r="H336" s="6" t="s">
        <v>76</v>
      </c>
      <c r="I336" s="6" t="s">
        <v>229</v>
      </c>
      <c r="J336" s="6" t="s">
        <v>53</v>
      </c>
      <c r="K336" s="6" t="s">
        <v>53</v>
      </c>
      <c r="L336" s="6" t="s">
        <v>805</v>
      </c>
      <c r="M336" s="6" t="s">
        <v>311</v>
      </c>
      <c r="N336" s="6" t="s">
        <v>256</v>
      </c>
      <c r="O336" s="6" t="s">
        <v>62</v>
      </c>
      <c r="P336" s="6" t="s">
        <v>1213</v>
      </c>
      <c r="Q336" s="6" t="s">
        <v>65</v>
      </c>
      <c r="R336" s="6" t="s">
        <v>57</v>
      </c>
      <c r="S336" s="6" t="s">
        <v>1219</v>
      </c>
      <c r="T336" s="131">
        <v>3.4950000000000001</v>
      </c>
      <c r="U336" s="6" t="s">
        <v>1768</v>
      </c>
      <c r="V336" s="134">
        <v>2E-3</v>
      </c>
      <c r="W336" s="132">
        <v>2.6020000000000001E-2</v>
      </c>
      <c r="X336" s="3" t="s">
        <v>620</v>
      </c>
      <c r="Y336" s="3" t="s">
        <v>62</v>
      </c>
      <c r="Z336" s="131">
        <v>915000.1</v>
      </c>
      <c r="AA336" s="129">
        <v>1</v>
      </c>
      <c r="AB336" s="157">
        <v>105.05</v>
      </c>
      <c r="AD336" s="131">
        <v>961.20799999999997</v>
      </c>
      <c r="AG336" s="6" t="s">
        <v>17</v>
      </c>
      <c r="AH336" s="132">
        <v>2.6800000000000001E-4</v>
      </c>
      <c r="AI336" s="132">
        <v>1.5852839658832999E-2</v>
      </c>
      <c r="AJ336" s="132">
        <v>2.8822970902038E-3</v>
      </c>
    </row>
    <row r="337" spans="1:36" x14ac:dyDescent="0.2">
      <c r="A337" s="6">
        <v>559</v>
      </c>
      <c r="B337" s="6">
        <v>556</v>
      </c>
      <c r="C337" s="6" t="s">
        <v>1475</v>
      </c>
      <c r="D337" s="6" t="s">
        <v>1476</v>
      </c>
      <c r="E337" s="3" t="s">
        <v>1477</v>
      </c>
      <c r="F337" s="6" t="s">
        <v>1769</v>
      </c>
      <c r="G337" s="6" t="s">
        <v>1770</v>
      </c>
      <c r="H337" s="6" t="s">
        <v>76</v>
      </c>
      <c r="I337" s="6" t="s">
        <v>229</v>
      </c>
      <c r="J337" s="6" t="s">
        <v>53</v>
      </c>
      <c r="K337" s="6" t="s">
        <v>53</v>
      </c>
      <c r="L337" s="6" t="s">
        <v>805</v>
      </c>
      <c r="M337" s="6" t="s">
        <v>311</v>
      </c>
      <c r="N337" s="6" t="s">
        <v>256</v>
      </c>
      <c r="O337" s="6" t="s">
        <v>62</v>
      </c>
      <c r="P337" s="6" t="s">
        <v>1213</v>
      </c>
      <c r="Q337" s="6" t="s">
        <v>65</v>
      </c>
      <c r="R337" s="6" t="s">
        <v>57</v>
      </c>
      <c r="S337" s="6" t="s">
        <v>1219</v>
      </c>
      <c r="T337" s="131">
        <v>4.8920000000000003</v>
      </c>
      <c r="U337" s="6" t="s">
        <v>1771</v>
      </c>
      <c r="V337" s="134">
        <v>2.47E-2</v>
      </c>
      <c r="W337" s="132">
        <v>2.63E-2</v>
      </c>
      <c r="X337" s="3" t="s">
        <v>620</v>
      </c>
      <c r="Y337" s="3" t="s">
        <v>62</v>
      </c>
      <c r="Z337" s="131">
        <v>330330</v>
      </c>
      <c r="AA337" s="129">
        <v>1</v>
      </c>
      <c r="AB337" s="157">
        <v>103.16</v>
      </c>
      <c r="AD337" s="131">
        <v>340.76799999999997</v>
      </c>
      <c r="AG337" s="6" t="s">
        <v>17</v>
      </c>
      <c r="AH337" s="132">
        <v>1.27E-4</v>
      </c>
      <c r="AI337" s="132">
        <v>5.6201669873342103E-3</v>
      </c>
      <c r="AJ337" s="132">
        <v>1.0218352864640799E-3</v>
      </c>
    </row>
    <row r="338" spans="1:36" x14ac:dyDescent="0.2">
      <c r="A338" s="6">
        <v>559</v>
      </c>
      <c r="B338" s="6">
        <v>556</v>
      </c>
      <c r="C338" s="6" t="s">
        <v>1475</v>
      </c>
      <c r="D338" s="6" t="s">
        <v>1476</v>
      </c>
      <c r="E338" s="3" t="s">
        <v>1477</v>
      </c>
      <c r="F338" s="6" t="s">
        <v>1772</v>
      </c>
      <c r="G338" s="6" t="s">
        <v>1773</v>
      </c>
      <c r="H338" s="6" t="s">
        <v>76</v>
      </c>
      <c r="I338" s="6" t="s">
        <v>229</v>
      </c>
      <c r="J338" s="6" t="s">
        <v>53</v>
      </c>
      <c r="K338" s="6" t="s">
        <v>53</v>
      </c>
      <c r="L338" s="6" t="s">
        <v>805</v>
      </c>
      <c r="M338" s="6" t="s">
        <v>1227</v>
      </c>
      <c r="N338" s="6" t="s">
        <v>256</v>
      </c>
      <c r="O338" s="6" t="s">
        <v>62</v>
      </c>
      <c r="P338" s="6" t="s">
        <v>1213</v>
      </c>
      <c r="Q338" s="6" t="s">
        <v>65</v>
      </c>
      <c r="R338" s="6" t="s">
        <v>57</v>
      </c>
      <c r="S338" s="6" t="s">
        <v>1219</v>
      </c>
      <c r="T338" s="131">
        <v>4.8159999999999998</v>
      </c>
      <c r="U338" s="6" t="s">
        <v>1771</v>
      </c>
      <c r="V338" s="134">
        <v>2.4E-2</v>
      </c>
      <c r="W338" s="132">
        <v>2.605E-2</v>
      </c>
      <c r="X338" s="3" t="s">
        <v>620</v>
      </c>
      <c r="Y338" s="3" t="s">
        <v>62</v>
      </c>
      <c r="Z338" s="131">
        <v>380000</v>
      </c>
      <c r="AA338" s="129">
        <v>1</v>
      </c>
      <c r="AB338" s="157">
        <v>101.7</v>
      </c>
      <c r="AD338" s="131">
        <v>386.46</v>
      </c>
      <c r="AG338" s="6" t="s">
        <v>17</v>
      </c>
      <c r="AH338" s="132">
        <v>1.73E-4</v>
      </c>
      <c r="AI338" s="132">
        <v>6.37374109647616E-3</v>
      </c>
      <c r="AJ338" s="132">
        <v>1.15884698334468E-3</v>
      </c>
    </row>
    <row r="339" spans="1:36" x14ac:dyDescent="0.2">
      <c r="A339" s="6">
        <v>559</v>
      </c>
      <c r="B339" s="6">
        <v>556</v>
      </c>
      <c r="C339" s="6" t="s">
        <v>1774</v>
      </c>
      <c r="D339" s="6" t="s">
        <v>1775</v>
      </c>
      <c r="E339" s="3" t="s">
        <v>1477</v>
      </c>
      <c r="F339" s="6" t="s">
        <v>1776</v>
      </c>
      <c r="G339" s="6" t="s">
        <v>1777</v>
      </c>
      <c r="H339" s="6" t="s">
        <v>76</v>
      </c>
      <c r="I339" s="6" t="s">
        <v>229</v>
      </c>
      <c r="J339" s="6" t="s">
        <v>53</v>
      </c>
      <c r="K339" s="6" t="s">
        <v>53</v>
      </c>
      <c r="L339" s="6" t="s">
        <v>805</v>
      </c>
      <c r="M339" s="6" t="s">
        <v>311</v>
      </c>
      <c r="N339" s="6" t="s">
        <v>692</v>
      </c>
      <c r="O339" s="6" t="s">
        <v>62</v>
      </c>
      <c r="P339" s="6" t="s">
        <v>1778</v>
      </c>
      <c r="Q339" s="6" t="s">
        <v>65</v>
      </c>
      <c r="R339" s="6" t="s">
        <v>57</v>
      </c>
      <c r="S339" s="6" t="s">
        <v>1219</v>
      </c>
      <c r="T339" s="131">
        <v>0.499</v>
      </c>
      <c r="U339" s="6" t="s">
        <v>1499</v>
      </c>
      <c r="V339" s="134">
        <v>4.9500000000000002E-2</v>
      </c>
      <c r="W339" s="132">
        <v>3.3270000000000001E-2</v>
      </c>
      <c r="X339" s="3" t="s">
        <v>620</v>
      </c>
      <c r="Y339" s="3" t="s">
        <v>55</v>
      </c>
      <c r="Z339" s="131">
        <v>172000.02</v>
      </c>
      <c r="AA339" s="129">
        <v>1</v>
      </c>
      <c r="AB339" s="157">
        <v>145.99</v>
      </c>
      <c r="AD339" s="131">
        <v>251.10300000000001</v>
      </c>
      <c r="AG339" s="6" t="s">
        <v>17</v>
      </c>
      <c r="AH339" s="132">
        <v>9.3800000000000003E-4</v>
      </c>
      <c r="AI339" s="132">
        <v>4.1413456034278496E-3</v>
      </c>
      <c r="AJ339" s="132">
        <v>7.5296215940955698E-4</v>
      </c>
    </row>
    <row r="340" spans="1:36" x14ac:dyDescent="0.2">
      <c r="A340" s="6">
        <v>559</v>
      </c>
      <c r="B340" s="6">
        <v>556</v>
      </c>
      <c r="C340" s="6" t="s">
        <v>1774</v>
      </c>
      <c r="D340" s="6" t="s">
        <v>1775</v>
      </c>
      <c r="E340" s="3" t="s">
        <v>1477</v>
      </c>
      <c r="F340" s="6" t="s">
        <v>1779</v>
      </c>
      <c r="G340" s="6" t="s">
        <v>1780</v>
      </c>
      <c r="H340" s="6" t="s">
        <v>76</v>
      </c>
      <c r="I340" s="6" t="s">
        <v>228</v>
      </c>
      <c r="J340" s="6" t="s">
        <v>53</v>
      </c>
      <c r="K340" s="6" t="s">
        <v>53</v>
      </c>
      <c r="L340" s="6" t="s">
        <v>805</v>
      </c>
      <c r="M340" s="6" t="s">
        <v>311</v>
      </c>
      <c r="N340" s="6" t="s">
        <v>692</v>
      </c>
      <c r="O340" s="6" t="s">
        <v>62</v>
      </c>
      <c r="P340" s="6" t="s">
        <v>1778</v>
      </c>
      <c r="Q340" s="6" t="s">
        <v>65</v>
      </c>
      <c r="R340" s="6" t="s">
        <v>57</v>
      </c>
      <c r="S340" s="6" t="s">
        <v>1219</v>
      </c>
      <c r="T340" s="131">
        <v>0.97599999999999998</v>
      </c>
      <c r="U340" s="6" t="s">
        <v>1559</v>
      </c>
      <c r="V340" s="134">
        <v>5.8000000000000003E-2</v>
      </c>
      <c r="W340" s="132">
        <v>5.9490000000000001E-2</v>
      </c>
      <c r="X340" s="3" t="s">
        <v>620</v>
      </c>
      <c r="Y340" s="3" t="s">
        <v>62</v>
      </c>
      <c r="Z340" s="131">
        <v>206000.85</v>
      </c>
      <c r="AA340" s="129">
        <v>1</v>
      </c>
      <c r="AB340" s="157">
        <v>99.25</v>
      </c>
      <c r="AD340" s="131">
        <v>204.45599999999999</v>
      </c>
      <c r="AG340" s="6" t="s">
        <v>17</v>
      </c>
      <c r="AH340" s="132">
        <v>3.6400000000000001E-4</v>
      </c>
      <c r="AI340" s="132">
        <v>3.3720142134434799E-3</v>
      </c>
      <c r="AJ340" s="132">
        <v>6.1308553954360996E-4</v>
      </c>
    </row>
    <row r="341" spans="1:36" x14ac:dyDescent="0.2">
      <c r="A341" s="6">
        <v>559</v>
      </c>
      <c r="B341" s="6">
        <v>556</v>
      </c>
      <c r="C341" s="6" t="s">
        <v>1781</v>
      </c>
      <c r="D341" s="6" t="s">
        <v>1782</v>
      </c>
      <c r="E341" s="3" t="s">
        <v>1477</v>
      </c>
      <c r="F341" s="6" t="s">
        <v>2349</v>
      </c>
      <c r="G341" s="6" t="s">
        <v>2350</v>
      </c>
      <c r="H341" s="6" t="s">
        <v>76</v>
      </c>
      <c r="I341" s="6" t="s">
        <v>228</v>
      </c>
      <c r="J341" s="6" t="s">
        <v>53</v>
      </c>
      <c r="K341" s="6" t="s">
        <v>53</v>
      </c>
      <c r="L341" s="6" t="s">
        <v>805</v>
      </c>
      <c r="M341" s="6" t="s">
        <v>311</v>
      </c>
      <c r="N341" s="6" t="s">
        <v>267</v>
      </c>
      <c r="O341" s="6" t="s">
        <v>62</v>
      </c>
      <c r="P341" s="6" t="s">
        <v>1515</v>
      </c>
      <c r="Q341" s="6" t="s">
        <v>65</v>
      </c>
      <c r="R341" s="6" t="s">
        <v>57</v>
      </c>
      <c r="S341" s="6" t="s">
        <v>1219</v>
      </c>
      <c r="T341" s="131">
        <v>2.339</v>
      </c>
      <c r="U341" s="6" t="s">
        <v>2351</v>
      </c>
      <c r="V341" s="134">
        <v>6.7500000000000004E-2</v>
      </c>
      <c r="W341" s="132">
        <v>5.058E-2</v>
      </c>
      <c r="X341" s="3" t="s">
        <v>620</v>
      </c>
      <c r="Y341" s="3" t="s">
        <v>62</v>
      </c>
      <c r="Z341" s="131">
        <v>113028.8</v>
      </c>
      <c r="AA341" s="129">
        <v>1</v>
      </c>
      <c r="AB341" s="157">
        <v>106.95</v>
      </c>
      <c r="AD341" s="131">
        <v>120.884</v>
      </c>
      <c r="AG341" s="6" t="s">
        <v>17</v>
      </c>
      <c r="AH341" s="132">
        <v>1.05E-4</v>
      </c>
      <c r="AI341" s="132">
        <v>1.9936998422262001E-3</v>
      </c>
      <c r="AJ341" s="132">
        <v>3.62486177723151E-4</v>
      </c>
    </row>
    <row r="342" spans="1:36" x14ac:dyDescent="0.2">
      <c r="A342" s="6">
        <v>559</v>
      </c>
      <c r="B342" s="6">
        <v>556</v>
      </c>
      <c r="C342" s="6" t="s">
        <v>1781</v>
      </c>
      <c r="D342" s="6" t="s">
        <v>1782</v>
      </c>
      <c r="E342" s="3" t="s">
        <v>1477</v>
      </c>
      <c r="F342" s="6" t="s">
        <v>1783</v>
      </c>
      <c r="G342" s="6" t="s">
        <v>1784</v>
      </c>
      <c r="H342" s="6" t="s">
        <v>76</v>
      </c>
      <c r="I342" s="6" t="s">
        <v>228</v>
      </c>
      <c r="J342" s="6" t="s">
        <v>53</v>
      </c>
      <c r="K342" s="6" t="s">
        <v>53</v>
      </c>
      <c r="L342" s="6" t="s">
        <v>805</v>
      </c>
      <c r="M342" s="6" t="s">
        <v>311</v>
      </c>
      <c r="N342" s="6" t="s">
        <v>267</v>
      </c>
      <c r="O342" s="6" t="s">
        <v>62</v>
      </c>
      <c r="P342" s="6" t="s">
        <v>1515</v>
      </c>
      <c r="Q342" s="6" t="s">
        <v>65</v>
      </c>
      <c r="R342" s="6" t="s">
        <v>57</v>
      </c>
      <c r="S342" s="6" t="s">
        <v>1219</v>
      </c>
      <c r="T342" s="131">
        <v>3.3580000000000001</v>
      </c>
      <c r="U342" s="6" t="s">
        <v>1785</v>
      </c>
      <c r="V342" s="134">
        <v>6.5199999999999994E-2</v>
      </c>
      <c r="W342" s="132">
        <v>5.144E-2</v>
      </c>
      <c r="X342" s="3" t="s">
        <v>620</v>
      </c>
      <c r="Y342" s="3" t="s">
        <v>62</v>
      </c>
      <c r="Z342" s="131">
        <v>116776.58</v>
      </c>
      <c r="AA342" s="129">
        <v>1</v>
      </c>
      <c r="AB342" s="157">
        <v>105.89</v>
      </c>
      <c r="AD342" s="131">
        <v>123.655</v>
      </c>
      <c r="AG342" s="6" t="s">
        <v>17</v>
      </c>
      <c r="AH342" s="132">
        <v>1.46E-4</v>
      </c>
      <c r="AI342" s="132">
        <v>2.0393913321412201E-3</v>
      </c>
      <c r="AJ342" s="132">
        <v>3.7079361356829601E-4</v>
      </c>
    </row>
    <row r="343" spans="1:36" x14ac:dyDescent="0.2">
      <c r="A343" s="6">
        <v>559</v>
      </c>
      <c r="B343" s="6">
        <v>556</v>
      </c>
      <c r="C343" s="6" t="s">
        <v>1781</v>
      </c>
      <c r="D343" s="6" t="s">
        <v>1782</v>
      </c>
      <c r="E343" s="3" t="s">
        <v>1477</v>
      </c>
      <c r="F343" s="6" t="s">
        <v>1786</v>
      </c>
      <c r="G343" s="6" t="s">
        <v>1787</v>
      </c>
      <c r="H343" s="6" t="s">
        <v>76</v>
      </c>
      <c r="I343" s="6" t="s">
        <v>228</v>
      </c>
      <c r="J343" s="6" t="s">
        <v>53</v>
      </c>
      <c r="K343" s="6" t="s">
        <v>53</v>
      </c>
      <c r="L343" s="6" t="s">
        <v>805</v>
      </c>
      <c r="M343" s="6" t="s">
        <v>102</v>
      </c>
      <c r="N343" s="6" t="s">
        <v>267</v>
      </c>
      <c r="O343" s="6" t="s">
        <v>62</v>
      </c>
      <c r="P343" s="6" t="s">
        <v>1515</v>
      </c>
      <c r="Q343" s="6" t="s">
        <v>65</v>
      </c>
      <c r="R343" s="6" t="s">
        <v>57</v>
      </c>
      <c r="S343" s="6" t="s">
        <v>1219</v>
      </c>
      <c r="T343" s="131">
        <v>5.4980000000000002</v>
      </c>
      <c r="U343" s="6" t="s">
        <v>1788</v>
      </c>
      <c r="V343" s="134">
        <v>5.6899999999999999E-2</v>
      </c>
      <c r="W343" s="132">
        <v>6.0490000000000002E-2</v>
      </c>
      <c r="X343" s="3" t="s">
        <v>620</v>
      </c>
      <c r="Y343" s="3" t="s">
        <v>62</v>
      </c>
      <c r="Z343" s="131">
        <v>140000</v>
      </c>
      <c r="AA343" s="129">
        <v>1</v>
      </c>
      <c r="AB343" s="157">
        <v>100.623</v>
      </c>
      <c r="AD343" s="131">
        <v>140.87200000000001</v>
      </c>
      <c r="AG343" s="6" t="s">
        <v>17</v>
      </c>
      <c r="AH343" s="132">
        <v>0</v>
      </c>
      <c r="AI343" s="132">
        <v>2.3233435599635801E-3</v>
      </c>
      <c r="AJ343" s="132">
        <v>4.2242062157586398E-4</v>
      </c>
    </row>
    <row r="344" spans="1:36" x14ac:dyDescent="0.2">
      <c r="A344" s="6">
        <v>559</v>
      </c>
      <c r="B344" s="6">
        <v>556</v>
      </c>
      <c r="C344" s="6" t="s">
        <v>1789</v>
      </c>
      <c r="D344" s="6" t="s">
        <v>1790</v>
      </c>
      <c r="E344" s="3" t="s">
        <v>1477</v>
      </c>
      <c r="F344" s="6" t="s">
        <v>1791</v>
      </c>
      <c r="G344" s="6" t="s">
        <v>1792</v>
      </c>
      <c r="H344" s="6" t="s">
        <v>76</v>
      </c>
      <c r="I344" s="6" t="s">
        <v>229</v>
      </c>
      <c r="J344" s="6" t="s">
        <v>53</v>
      </c>
      <c r="K344" s="6" t="s">
        <v>53</v>
      </c>
      <c r="L344" s="6" t="s">
        <v>805</v>
      </c>
      <c r="M344" s="6" t="s">
        <v>311</v>
      </c>
      <c r="N344" s="6" t="s">
        <v>635</v>
      </c>
      <c r="O344" s="6" t="s">
        <v>62</v>
      </c>
      <c r="P344" s="6" t="s">
        <v>1628</v>
      </c>
      <c r="Q344" s="6" t="s">
        <v>65</v>
      </c>
      <c r="R344" s="6" t="s">
        <v>57</v>
      </c>
      <c r="S344" s="6" t="s">
        <v>1219</v>
      </c>
      <c r="T344" s="131">
        <v>2.8719999999999999</v>
      </c>
      <c r="U344" s="6" t="s">
        <v>1649</v>
      </c>
      <c r="V344" s="134">
        <v>2.7E-2</v>
      </c>
      <c r="W344" s="132">
        <v>2.9139999999999999E-2</v>
      </c>
      <c r="X344" s="3" t="s">
        <v>620</v>
      </c>
      <c r="Y344" s="3" t="s">
        <v>62</v>
      </c>
      <c r="Z344" s="131">
        <v>165000</v>
      </c>
      <c r="AA344" s="129">
        <v>1</v>
      </c>
      <c r="AB344" s="157">
        <v>108.07</v>
      </c>
      <c r="AD344" s="131">
        <v>178.315</v>
      </c>
      <c r="AG344" s="6" t="s">
        <v>17</v>
      </c>
      <c r="AH344" s="132">
        <v>4.1899999999999999E-4</v>
      </c>
      <c r="AI344" s="132">
        <v>2.9408912448602598E-3</v>
      </c>
      <c r="AJ344" s="132">
        <v>5.3470056217616005E-4</v>
      </c>
    </row>
    <row r="345" spans="1:36" x14ac:dyDescent="0.2">
      <c r="A345" s="6">
        <v>559</v>
      </c>
      <c r="B345" s="6">
        <v>556</v>
      </c>
      <c r="C345" s="6" t="s">
        <v>1793</v>
      </c>
      <c r="D345" s="6" t="s">
        <v>1794</v>
      </c>
      <c r="E345" s="3" t="s">
        <v>767</v>
      </c>
      <c r="F345" s="6" t="s">
        <v>1795</v>
      </c>
      <c r="G345" s="6" t="s">
        <v>1796</v>
      </c>
      <c r="H345" s="6" t="s">
        <v>76</v>
      </c>
      <c r="I345" s="6" t="s">
        <v>228</v>
      </c>
      <c r="J345" s="6" t="s">
        <v>53</v>
      </c>
      <c r="K345" s="6" t="s">
        <v>317</v>
      </c>
      <c r="L345" s="6" t="s">
        <v>805</v>
      </c>
      <c r="M345" s="6" t="s">
        <v>311</v>
      </c>
      <c r="N345" s="6" t="s">
        <v>636</v>
      </c>
      <c r="O345" s="6" t="s">
        <v>62</v>
      </c>
      <c r="P345" s="6" t="s">
        <v>1753</v>
      </c>
      <c r="Q345" s="6" t="s">
        <v>70</v>
      </c>
      <c r="R345" s="6" t="s">
        <v>57</v>
      </c>
      <c r="S345" s="6" t="s">
        <v>1219</v>
      </c>
      <c r="T345" s="131">
        <v>0.64100000000000001</v>
      </c>
      <c r="U345" s="6" t="s">
        <v>1797</v>
      </c>
      <c r="V345" s="134">
        <v>8.9499999999999996E-2</v>
      </c>
      <c r="W345" s="132">
        <v>0.21804000000000001</v>
      </c>
      <c r="X345" s="3" t="s">
        <v>620</v>
      </c>
      <c r="Y345" s="3" t="s">
        <v>62</v>
      </c>
      <c r="Z345" s="131">
        <v>98718.5</v>
      </c>
      <c r="AA345" s="129">
        <v>1</v>
      </c>
      <c r="AB345" s="157">
        <v>98.78</v>
      </c>
      <c r="AD345" s="131">
        <v>97.513999999999996</v>
      </c>
      <c r="AG345" s="6" t="s">
        <v>17</v>
      </c>
      <c r="AH345" s="132">
        <v>5.0600000000000005E-4</v>
      </c>
      <c r="AI345" s="132">
        <v>1.6082643618361701E-3</v>
      </c>
      <c r="AJ345" s="132">
        <v>2.9240790862449802E-4</v>
      </c>
    </row>
    <row r="346" spans="1:36" x14ac:dyDescent="0.2">
      <c r="A346" s="6">
        <v>559</v>
      </c>
      <c r="B346" s="6">
        <v>556</v>
      </c>
      <c r="C346" s="6" t="s">
        <v>1798</v>
      </c>
      <c r="D346" s="6" t="s">
        <v>1799</v>
      </c>
      <c r="E346" s="3" t="s">
        <v>1477</v>
      </c>
      <c r="F346" s="6" t="s">
        <v>1800</v>
      </c>
      <c r="G346" s="6" t="s">
        <v>1801</v>
      </c>
      <c r="H346" s="6" t="s">
        <v>76</v>
      </c>
      <c r="I346" s="6" t="s">
        <v>228</v>
      </c>
      <c r="J346" s="6" t="s">
        <v>53</v>
      </c>
      <c r="K346" s="6" t="s">
        <v>53</v>
      </c>
      <c r="L346" s="6" t="s">
        <v>805</v>
      </c>
      <c r="M346" s="6" t="s">
        <v>102</v>
      </c>
      <c r="N346" s="6" t="s">
        <v>140</v>
      </c>
      <c r="O346" s="6" t="s">
        <v>62</v>
      </c>
      <c r="P346" s="6" t="s">
        <v>298</v>
      </c>
      <c r="Q346" s="6" t="s">
        <v>298</v>
      </c>
      <c r="R346" s="6" t="s">
        <v>298</v>
      </c>
      <c r="S346" s="6" t="s">
        <v>1219</v>
      </c>
      <c r="T346" s="131">
        <v>3.2440000000000002</v>
      </c>
      <c r="U346" s="6" t="s">
        <v>1509</v>
      </c>
      <c r="V346" s="134">
        <v>7.1099999999999997E-2</v>
      </c>
      <c r="W346" s="132">
        <v>6.9029999999999994E-2</v>
      </c>
      <c r="X346" s="3" t="s">
        <v>620</v>
      </c>
      <c r="Y346" s="3" t="s">
        <v>62</v>
      </c>
      <c r="Z346" s="131">
        <v>57000</v>
      </c>
      <c r="AA346" s="129">
        <v>1</v>
      </c>
      <c r="AB346" s="157">
        <v>101.02</v>
      </c>
      <c r="AD346" s="131">
        <v>57.581000000000003</v>
      </c>
      <c r="AG346" s="6" t="s">
        <v>17</v>
      </c>
      <c r="AH346" s="132">
        <v>4.3800000000000002E-4</v>
      </c>
      <c r="AI346" s="132">
        <v>9.4966862177879303E-4</v>
      </c>
      <c r="AJ346" s="132">
        <v>1.72664782090678E-4</v>
      </c>
    </row>
    <row r="347" spans="1:36" x14ac:dyDescent="0.2">
      <c r="A347" s="6">
        <v>559</v>
      </c>
      <c r="B347" s="6">
        <v>556</v>
      </c>
      <c r="C347" s="6" t="s">
        <v>1802</v>
      </c>
      <c r="D347" s="6" t="s">
        <v>1803</v>
      </c>
      <c r="E347" s="3" t="s">
        <v>1477</v>
      </c>
      <c r="F347" s="6" t="s">
        <v>1804</v>
      </c>
      <c r="G347" s="6" t="s">
        <v>1805</v>
      </c>
      <c r="H347" s="6" t="s">
        <v>76</v>
      </c>
      <c r="I347" s="6" t="s">
        <v>228</v>
      </c>
      <c r="J347" s="6" t="s">
        <v>53</v>
      </c>
      <c r="K347" s="6" t="s">
        <v>53</v>
      </c>
      <c r="L347" s="6" t="s">
        <v>805</v>
      </c>
      <c r="M347" s="6" t="s">
        <v>311</v>
      </c>
      <c r="N347" s="6" t="s">
        <v>692</v>
      </c>
      <c r="O347" s="6" t="s">
        <v>62</v>
      </c>
      <c r="P347" s="6" t="s">
        <v>1493</v>
      </c>
      <c r="Q347" s="6" t="s">
        <v>65</v>
      </c>
      <c r="R347" s="6" t="s">
        <v>57</v>
      </c>
      <c r="S347" s="6" t="s">
        <v>1219</v>
      </c>
      <c r="T347" s="131">
        <v>0.76300000000000001</v>
      </c>
      <c r="U347" s="6" t="s">
        <v>1578</v>
      </c>
      <c r="V347" s="134">
        <v>3.5999999999999997E-2</v>
      </c>
      <c r="W347" s="132">
        <v>4.9209999999999997E-2</v>
      </c>
      <c r="X347" s="3" t="s">
        <v>620</v>
      </c>
      <c r="Y347" s="3" t="s">
        <v>62</v>
      </c>
      <c r="Z347" s="131">
        <v>140000.45000000001</v>
      </c>
      <c r="AA347" s="129">
        <v>1</v>
      </c>
      <c r="AB347" s="157">
        <v>99.96</v>
      </c>
      <c r="AD347" s="131">
        <v>139.94399999999999</v>
      </c>
      <c r="AG347" s="6" t="s">
        <v>17</v>
      </c>
      <c r="AH347" s="132">
        <v>6.7400000000000001E-4</v>
      </c>
      <c r="AI347" s="132">
        <v>2.3080517803692E-3</v>
      </c>
      <c r="AJ347" s="132">
        <v>4.1964033408305803E-4</v>
      </c>
    </row>
    <row r="348" spans="1:36" x14ac:dyDescent="0.2">
      <c r="A348" s="6">
        <v>559</v>
      </c>
      <c r="B348" s="6">
        <v>556</v>
      </c>
      <c r="C348" s="6" t="s">
        <v>1806</v>
      </c>
      <c r="D348" s="6" t="s">
        <v>1807</v>
      </c>
      <c r="E348" s="3" t="s">
        <v>1477</v>
      </c>
      <c r="F348" s="6" t="s">
        <v>1808</v>
      </c>
      <c r="G348" s="6" t="s">
        <v>1809</v>
      </c>
      <c r="H348" s="6" t="s">
        <v>76</v>
      </c>
      <c r="I348" s="6" t="s">
        <v>228</v>
      </c>
      <c r="J348" s="6" t="s">
        <v>53</v>
      </c>
      <c r="K348" s="6" t="s">
        <v>53</v>
      </c>
      <c r="L348" s="6" t="s">
        <v>805</v>
      </c>
      <c r="M348" s="6" t="s">
        <v>102</v>
      </c>
      <c r="N348" s="6" t="s">
        <v>140</v>
      </c>
      <c r="O348" s="6" t="s">
        <v>62</v>
      </c>
      <c r="P348" s="6" t="s">
        <v>298</v>
      </c>
      <c r="Q348" s="6" t="s">
        <v>298</v>
      </c>
      <c r="R348" s="6" t="s">
        <v>298</v>
      </c>
      <c r="S348" s="6" t="s">
        <v>1219</v>
      </c>
      <c r="T348" s="131">
        <v>1.117</v>
      </c>
      <c r="U348" s="6" t="s">
        <v>1810</v>
      </c>
      <c r="V348" s="134">
        <v>2.9000000000000001E-2</v>
      </c>
      <c r="W348" s="132">
        <v>6.7830000000000001E-2</v>
      </c>
      <c r="X348" s="3" t="s">
        <v>620</v>
      </c>
      <c r="Y348" s="3" t="s">
        <v>62</v>
      </c>
      <c r="Z348" s="131">
        <v>146250</v>
      </c>
      <c r="AA348" s="129">
        <v>1</v>
      </c>
      <c r="AB348" s="157">
        <v>95.8</v>
      </c>
      <c r="AC348" s="131">
        <v>51.578000000000003</v>
      </c>
      <c r="AD348" s="131">
        <v>191.685</v>
      </c>
      <c r="AG348" s="6" t="s">
        <v>17</v>
      </c>
      <c r="AH348" s="132">
        <v>0</v>
      </c>
      <c r="AI348" s="132">
        <v>3.1613894376598698E-3</v>
      </c>
      <c r="AJ348" s="132">
        <v>5.7479062258041099E-4</v>
      </c>
    </row>
    <row r="349" spans="1:36" x14ac:dyDescent="0.2">
      <c r="A349" s="6">
        <v>559</v>
      </c>
      <c r="B349" s="6">
        <v>556</v>
      </c>
      <c r="C349" s="6" t="s">
        <v>1806</v>
      </c>
      <c r="D349" s="6" t="s">
        <v>1807</v>
      </c>
      <c r="E349" s="3" t="s">
        <v>1477</v>
      </c>
      <c r="F349" s="6" t="s">
        <v>2352</v>
      </c>
      <c r="G349" s="6" t="s">
        <v>2353</v>
      </c>
      <c r="H349" s="6" t="s">
        <v>76</v>
      </c>
      <c r="I349" s="6" t="s">
        <v>229</v>
      </c>
      <c r="J349" s="6" t="s">
        <v>53</v>
      </c>
      <c r="K349" s="6" t="s">
        <v>53</v>
      </c>
      <c r="L349" s="6" t="s">
        <v>805</v>
      </c>
      <c r="M349" s="6" t="s">
        <v>311</v>
      </c>
      <c r="N349" s="6" t="s">
        <v>140</v>
      </c>
      <c r="O349" s="6" t="s">
        <v>62</v>
      </c>
      <c r="P349" s="6" t="s">
        <v>298</v>
      </c>
      <c r="Q349" s="6" t="s">
        <v>298</v>
      </c>
      <c r="R349" s="6" t="s">
        <v>298</v>
      </c>
      <c r="S349" s="6" t="s">
        <v>1219</v>
      </c>
      <c r="T349" s="131">
        <v>1.107</v>
      </c>
      <c r="U349" s="6" t="s">
        <v>1516</v>
      </c>
      <c r="V349" s="134">
        <v>3.5000000000000003E-2</v>
      </c>
      <c r="W349" s="132">
        <v>3.8109999999999998E-2</v>
      </c>
      <c r="X349" s="3" t="s">
        <v>620</v>
      </c>
      <c r="Y349" s="3" t="s">
        <v>62</v>
      </c>
      <c r="Z349" s="131">
        <v>36444.44</v>
      </c>
      <c r="AA349" s="129">
        <v>1</v>
      </c>
      <c r="AB349" s="157">
        <v>110.5</v>
      </c>
      <c r="AD349" s="131">
        <v>40.271000000000001</v>
      </c>
      <c r="AG349" s="6" t="s">
        <v>17</v>
      </c>
      <c r="AH349" s="132">
        <v>2.4000000000000001E-4</v>
      </c>
      <c r="AI349" s="132">
        <v>6.6417638199941999E-4</v>
      </c>
      <c r="AJ349" s="132">
        <v>1.20757775541643E-4</v>
      </c>
    </row>
    <row r="350" spans="1:36" x14ac:dyDescent="0.2">
      <c r="A350" s="6">
        <v>559</v>
      </c>
      <c r="B350" s="6">
        <v>556</v>
      </c>
      <c r="C350" s="6" t="s">
        <v>1811</v>
      </c>
      <c r="D350" s="6" t="s">
        <v>1812</v>
      </c>
      <c r="E350" s="3" t="s">
        <v>1477</v>
      </c>
      <c r="F350" s="6" t="s">
        <v>1813</v>
      </c>
      <c r="G350" s="6" t="s">
        <v>1814</v>
      </c>
      <c r="H350" s="6" t="s">
        <v>76</v>
      </c>
      <c r="I350" s="6" t="s">
        <v>229</v>
      </c>
      <c r="J350" s="6" t="s">
        <v>53</v>
      </c>
      <c r="K350" s="6" t="s">
        <v>53</v>
      </c>
      <c r="L350" s="6" t="s">
        <v>805</v>
      </c>
      <c r="M350" s="6" t="s">
        <v>311</v>
      </c>
      <c r="N350" s="6" t="s">
        <v>75</v>
      </c>
      <c r="O350" s="6" t="s">
        <v>62</v>
      </c>
      <c r="P350" s="6" t="s">
        <v>1577</v>
      </c>
      <c r="Q350" s="6" t="s">
        <v>65</v>
      </c>
      <c r="R350" s="6" t="s">
        <v>57</v>
      </c>
      <c r="S350" s="6" t="s">
        <v>1219</v>
      </c>
      <c r="T350" s="131">
        <v>1.0900000000000001</v>
      </c>
      <c r="U350" s="6" t="s">
        <v>1815</v>
      </c>
      <c r="V350" s="134">
        <v>1.0500000000000001E-2</v>
      </c>
      <c r="W350" s="132">
        <v>3.2000000000000001E-2</v>
      </c>
      <c r="X350" s="3" t="s">
        <v>620</v>
      </c>
      <c r="Y350" s="3" t="s">
        <v>62</v>
      </c>
      <c r="Z350" s="131">
        <v>171441.21</v>
      </c>
      <c r="AA350" s="129">
        <v>1</v>
      </c>
      <c r="AB350" s="157">
        <v>113.64</v>
      </c>
      <c r="AD350" s="131">
        <v>194.82599999999999</v>
      </c>
      <c r="AG350" s="6" t="s">
        <v>17</v>
      </c>
      <c r="AH350" s="132">
        <v>4.1599999999999997E-4</v>
      </c>
      <c r="AI350" s="132">
        <v>3.2131893366211801E-3</v>
      </c>
      <c r="AJ350" s="132">
        <v>5.8420866384381598E-4</v>
      </c>
    </row>
    <row r="351" spans="1:36" x14ac:dyDescent="0.2">
      <c r="A351" s="6">
        <v>559</v>
      </c>
      <c r="B351" s="6">
        <v>556</v>
      </c>
      <c r="C351" s="6" t="s">
        <v>1811</v>
      </c>
      <c r="D351" s="6" t="s">
        <v>1812</v>
      </c>
      <c r="E351" s="3" t="s">
        <v>1477</v>
      </c>
      <c r="F351" s="6" t="s">
        <v>1816</v>
      </c>
      <c r="G351" s="6" t="s">
        <v>1817</v>
      </c>
      <c r="H351" s="6" t="s">
        <v>76</v>
      </c>
      <c r="I351" s="6" t="s">
        <v>228</v>
      </c>
      <c r="J351" s="6" t="s">
        <v>53</v>
      </c>
      <c r="K351" s="6" t="s">
        <v>53</v>
      </c>
      <c r="L351" s="6" t="s">
        <v>805</v>
      </c>
      <c r="M351" s="6" t="s">
        <v>311</v>
      </c>
      <c r="N351" s="6" t="s">
        <v>75</v>
      </c>
      <c r="O351" s="6" t="s">
        <v>62</v>
      </c>
      <c r="P351" s="6" t="s">
        <v>1577</v>
      </c>
      <c r="Q351" s="6" t="s">
        <v>65</v>
      </c>
      <c r="R351" s="6" t="s">
        <v>57</v>
      </c>
      <c r="S351" s="6" t="s">
        <v>1219</v>
      </c>
      <c r="T351" s="131">
        <v>1.7789999999999999</v>
      </c>
      <c r="U351" s="6" t="s">
        <v>1818</v>
      </c>
      <c r="V351" s="134">
        <v>2.18E-2</v>
      </c>
      <c r="W351" s="132">
        <v>4.8379999999999999E-2</v>
      </c>
      <c r="X351" s="3" t="s">
        <v>620</v>
      </c>
      <c r="Y351" s="3" t="s">
        <v>62</v>
      </c>
      <c r="Z351" s="131">
        <v>141000.29</v>
      </c>
      <c r="AA351" s="129">
        <v>1</v>
      </c>
      <c r="AB351" s="157">
        <v>95.82</v>
      </c>
      <c r="AD351" s="131">
        <v>135.10599999999999</v>
      </c>
      <c r="AG351" s="6" t="s">
        <v>17</v>
      </c>
      <c r="AH351" s="132">
        <v>4.9399999999999997E-4</v>
      </c>
      <c r="AI351" s="132">
        <v>2.2282609078589101E-3</v>
      </c>
      <c r="AJ351" s="132">
        <v>4.0513309092595699E-4</v>
      </c>
    </row>
    <row r="352" spans="1:36" x14ac:dyDescent="0.2">
      <c r="A352" s="6">
        <v>559</v>
      </c>
      <c r="B352" s="6">
        <v>556</v>
      </c>
      <c r="C352" s="6" t="s">
        <v>1819</v>
      </c>
      <c r="D352" s="6" t="s">
        <v>1820</v>
      </c>
      <c r="E352" s="3" t="s">
        <v>1477</v>
      </c>
      <c r="F352" s="6" t="s">
        <v>1821</v>
      </c>
      <c r="G352" s="6" t="s">
        <v>1822</v>
      </c>
      <c r="H352" s="6" t="s">
        <v>76</v>
      </c>
      <c r="I352" s="6" t="s">
        <v>229</v>
      </c>
      <c r="J352" s="6" t="s">
        <v>53</v>
      </c>
      <c r="K352" s="6" t="s">
        <v>53</v>
      </c>
      <c r="L352" s="6" t="s">
        <v>805</v>
      </c>
      <c r="M352" s="6" t="s">
        <v>311</v>
      </c>
      <c r="N352" s="6" t="s">
        <v>256</v>
      </c>
      <c r="O352" s="6" t="s">
        <v>62</v>
      </c>
      <c r="P352" s="6" t="s">
        <v>1577</v>
      </c>
      <c r="Q352" s="6" t="s">
        <v>65</v>
      </c>
      <c r="R352" s="6" t="s">
        <v>57</v>
      </c>
      <c r="S352" s="6" t="s">
        <v>1219</v>
      </c>
      <c r="T352" s="131">
        <v>3.8740000000000001</v>
      </c>
      <c r="U352" s="6" t="s">
        <v>1823</v>
      </c>
      <c r="V352" s="134">
        <v>2.5899999999999999E-2</v>
      </c>
      <c r="W352" s="132">
        <v>2.7470000000000001E-2</v>
      </c>
      <c r="X352" s="3" t="s">
        <v>620</v>
      </c>
      <c r="Y352" s="3" t="s">
        <v>62</v>
      </c>
      <c r="Z352" s="131">
        <v>140000</v>
      </c>
      <c r="AA352" s="129">
        <v>1</v>
      </c>
      <c r="AB352" s="157">
        <v>105.24</v>
      </c>
      <c r="AD352" s="131">
        <v>147.33600000000001</v>
      </c>
      <c r="AG352" s="6" t="s">
        <v>17</v>
      </c>
      <c r="AH352" s="132">
        <v>2.05E-4</v>
      </c>
      <c r="AI352" s="132">
        <v>2.4299578693536502E-3</v>
      </c>
      <c r="AJ352" s="132">
        <v>4.4180478998621399E-4</v>
      </c>
    </row>
    <row r="353" spans="1:36" x14ac:dyDescent="0.2">
      <c r="A353" s="6">
        <v>559</v>
      </c>
      <c r="B353" s="6">
        <v>556</v>
      </c>
      <c r="C353" s="6" t="s">
        <v>1824</v>
      </c>
      <c r="D353" s="6" t="s">
        <v>1825</v>
      </c>
      <c r="E353" s="3" t="s">
        <v>1477</v>
      </c>
      <c r="F353" s="6" t="s">
        <v>1826</v>
      </c>
      <c r="G353" s="6" t="s">
        <v>1827</v>
      </c>
      <c r="H353" s="6" t="s">
        <v>76</v>
      </c>
      <c r="I353" s="6" t="s">
        <v>229</v>
      </c>
      <c r="J353" s="6" t="s">
        <v>53</v>
      </c>
      <c r="K353" s="6" t="s">
        <v>53</v>
      </c>
      <c r="L353" s="6" t="s">
        <v>805</v>
      </c>
      <c r="M353" s="6" t="s">
        <v>102</v>
      </c>
      <c r="N353" s="6" t="s">
        <v>635</v>
      </c>
      <c r="O353" s="6" t="s">
        <v>62</v>
      </c>
      <c r="P353" s="6" t="s">
        <v>298</v>
      </c>
      <c r="Q353" s="6" t="s">
        <v>298</v>
      </c>
      <c r="R353" s="6" t="s">
        <v>298</v>
      </c>
      <c r="S353" s="6" t="s">
        <v>1219</v>
      </c>
      <c r="T353" s="131">
        <v>5.0380000000000003</v>
      </c>
      <c r="U353" s="6" t="s">
        <v>1828</v>
      </c>
      <c r="V353" s="134">
        <v>4.99E-2</v>
      </c>
      <c r="W353" s="132">
        <v>4.861E-2</v>
      </c>
      <c r="X353" s="3" t="s">
        <v>620</v>
      </c>
      <c r="Y353" s="3" t="s">
        <v>62</v>
      </c>
      <c r="Z353" s="131">
        <v>135000</v>
      </c>
      <c r="AA353" s="129">
        <v>1</v>
      </c>
      <c r="AB353" s="157">
        <v>100.85</v>
      </c>
      <c r="AD353" s="131">
        <v>136.148</v>
      </c>
      <c r="AG353" s="6" t="s">
        <v>17</v>
      </c>
      <c r="AH353" s="132">
        <v>1.059E-3</v>
      </c>
      <c r="AI353" s="132">
        <v>2.2454300986712401E-3</v>
      </c>
      <c r="AJ353" s="132">
        <v>4.0825472148455302E-4</v>
      </c>
    </row>
    <row r="354" spans="1:36" x14ac:dyDescent="0.2">
      <c r="A354" s="6">
        <v>559</v>
      </c>
      <c r="B354" s="6">
        <v>556</v>
      </c>
      <c r="C354" s="6" t="s">
        <v>1829</v>
      </c>
      <c r="D354" s="6" t="s">
        <v>1830</v>
      </c>
      <c r="E354" s="3" t="s">
        <v>1477</v>
      </c>
      <c r="F354" s="6" t="s">
        <v>1831</v>
      </c>
      <c r="G354" s="6" t="s">
        <v>1832</v>
      </c>
      <c r="H354" s="6" t="s">
        <v>76</v>
      </c>
      <c r="I354" s="6" t="s">
        <v>228</v>
      </c>
      <c r="J354" s="6" t="s">
        <v>53</v>
      </c>
      <c r="K354" s="6" t="s">
        <v>53</v>
      </c>
      <c r="L354" s="6" t="s">
        <v>805</v>
      </c>
      <c r="M354" s="6" t="s">
        <v>311</v>
      </c>
      <c r="N354" s="6" t="s">
        <v>140</v>
      </c>
      <c r="O354" s="6" t="s">
        <v>62</v>
      </c>
      <c r="P354" s="6" t="s">
        <v>1515</v>
      </c>
      <c r="Q354" s="6" t="s">
        <v>65</v>
      </c>
      <c r="R354" s="6" t="s">
        <v>57</v>
      </c>
      <c r="S354" s="6" t="s">
        <v>1219</v>
      </c>
      <c r="T354" s="131">
        <v>1.4570000000000001</v>
      </c>
      <c r="U354" s="6" t="s">
        <v>1644</v>
      </c>
      <c r="V354" s="134">
        <v>3.95E-2</v>
      </c>
      <c r="W354" s="132">
        <v>5.5649999999999998E-2</v>
      </c>
      <c r="X354" s="3" t="s">
        <v>620</v>
      </c>
      <c r="Y354" s="3" t="s">
        <v>62</v>
      </c>
      <c r="Z354" s="131">
        <v>70000</v>
      </c>
      <c r="AA354" s="129">
        <v>1</v>
      </c>
      <c r="AB354" s="157">
        <v>97.85</v>
      </c>
      <c r="AD354" s="131">
        <v>68.495000000000005</v>
      </c>
      <c r="AG354" s="6" t="s">
        <v>17</v>
      </c>
      <c r="AH354" s="132">
        <v>1.1900000000000001E-4</v>
      </c>
      <c r="AI354" s="132">
        <v>1.12966256896738E-3</v>
      </c>
      <c r="AJ354" s="132">
        <v>2.05390529742261E-4</v>
      </c>
    </row>
    <row r="355" spans="1:36" x14ac:dyDescent="0.2">
      <c r="A355" s="6">
        <v>559</v>
      </c>
      <c r="B355" s="6">
        <v>556</v>
      </c>
      <c r="C355" s="6" t="s">
        <v>1833</v>
      </c>
      <c r="D355" s="6" t="s">
        <v>1834</v>
      </c>
      <c r="E355" s="3" t="s">
        <v>432</v>
      </c>
      <c r="F355" s="6" t="s">
        <v>1835</v>
      </c>
      <c r="G355" s="6" t="s">
        <v>1836</v>
      </c>
      <c r="H355" s="6" t="s">
        <v>76</v>
      </c>
      <c r="I355" s="6" t="s">
        <v>230</v>
      </c>
      <c r="J355" s="6" t="s">
        <v>53</v>
      </c>
      <c r="K355" s="6" t="s">
        <v>53</v>
      </c>
      <c r="L355" s="6" t="s">
        <v>805</v>
      </c>
      <c r="M355" s="6" t="s">
        <v>311</v>
      </c>
      <c r="N355" s="6" t="s">
        <v>267</v>
      </c>
      <c r="O355" s="6" t="s">
        <v>62</v>
      </c>
      <c r="P355" s="6" t="s">
        <v>1533</v>
      </c>
      <c r="Q355" s="6" t="s">
        <v>65</v>
      </c>
      <c r="R355" s="6" t="s">
        <v>57</v>
      </c>
      <c r="S355" s="6" t="s">
        <v>1219</v>
      </c>
      <c r="T355" s="131">
        <v>2.86</v>
      </c>
      <c r="U355" s="6" t="s">
        <v>1837</v>
      </c>
      <c r="V355" s="134">
        <v>3.7699999999999997E-2</v>
      </c>
      <c r="W355" s="132">
        <v>5.6959999999999997E-2</v>
      </c>
      <c r="X355" s="3" t="s">
        <v>620</v>
      </c>
      <c r="Y355" s="3" t="s">
        <v>62</v>
      </c>
      <c r="Z355" s="131">
        <v>144169.13</v>
      </c>
      <c r="AA355" s="129">
        <v>1</v>
      </c>
      <c r="AB355" s="157">
        <v>94.84</v>
      </c>
      <c r="AD355" s="131">
        <v>136.72999999999999</v>
      </c>
      <c r="AG355" s="6" t="s">
        <v>17</v>
      </c>
      <c r="AH355" s="132">
        <v>8.6399999999999997E-4</v>
      </c>
      <c r="AI355" s="132">
        <v>2.2550371022978999E-3</v>
      </c>
      <c r="AJ355" s="132">
        <v>4.10001426755949E-4</v>
      </c>
    </row>
    <row r="356" spans="1:36" x14ac:dyDescent="0.2">
      <c r="A356" s="6">
        <v>559</v>
      </c>
      <c r="B356" s="6">
        <v>556</v>
      </c>
      <c r="C356" s="6" t="s">
        <v>1833</v>
      </c>
      <c r="D356" s="6" t="s">
        <v>1834</v>
      </c>
      <c r="E356" s="3" t="s">
        <v>432</v>
      </c>
      <c r="F356" s="6" t="s">
        <v>1838</v>
      </c>
      <c r="G356" s="6" t="s">
        <v>1839</v>
      </c>
      <c r="H356" s="6" t="s">
        <v>76</v>
      </c>
      <c r="I356" s="6" t="s">
        <v>230</v>
      </c>
      <c r="J356" s="6" t="s">
        <v>53</v>
      </c>
      <c r="K356" s="6" t="s">
        <v>53</v>
      </c>
      <c r="L356" s="6" t="s">
        <v>805</v>
      </c>
      <c r="M356" s="6" t="s">
        <v>311</v>
      </c>
      <c r="N356" s="6" t="s">
        <v>267</v>
      </c>
      <c r="O356" s="6" t="s">
        <v>62</v>
      </c>
      <c r="P356" s="6" t="s">
        <v>1533</v>
      </c>
      <c r="Q356" s="6" t="s">
        <v>65</v>
      </c>
      <c r="R356" s="6" t="s">
        <v>57</v>
      </c>
      <c r="S356" s="6" t="s">
        <v>1219</v>
      </c>
      <c r="T356" s="131">
        <v>0.27400000000000002</v>
      </c>
      <c r="U356" s="6" t="s">
        <v>1840</v>
      </c>
      <c r="V356" s="134">
        <v>3.49E-2</v>
      </c>
      <c r="W356" s="132">
        <v>2.896E-2</v>
      </c>
      <c r="X356" s="3" t="s">
        <v>620</v>
      </c>
      <c r="Y356" s="3" t="s">
        <v>62</v>
      </c>
      <c r="Z356" s="131">
        <v>95500.01</v>
      </c>
      <c r="AA356" s="129">
        <v>1</v>
      </c>
      <c r="AB356" s="157">
        <v>94.47</v>
      </c>
      <c r="AD356" s="131">
        <v>90.218999999999994</v>
      </c>
      <c r="AG356" s="6" t="s">
        <v>17</v>
      </c>
      <c r="AH356" s="132">
        <v>2.8400000000000002E-4</v>
      </c>
      <c r="AI356" s="132">
        <v>1.48794610602533E-3</v>
      </c>
      <c r="AJ356" s="132">
        <v>2.7053214591666398E-4</v>
      </c>
    </row>
    <row r="357" spans="1:36" x14ac:dyDescent="0.2">
      <c r="A357" s="6">
        <v>559</v>
      </c>
      <c r="B357" s="6">
        <v>556</v>
      </c>
      <c r="C357" s="6" t="s">
        <v>1841</v>
      </c>
      <c r="D357" s="6" t="s">
        <v>1842</v>
      </c>
      <c r="E357" s="3" t="s">
        <v>1477</v>
      </c>
      <c r="F357" s="6" t="s">
        <v>1843</v>
      </c>
      <c r="G357" s="6" t="s">
        <v>1844</v>
      </c>
      <c r="H357" s="6" t="s">
        <v>76</v>
      </c>
      <c r="I357" s="6" t="s">
        <v>229</v>
      </c>
      <c r="J357" s="6" t="s">
        <v>53</v>
      </c>
      <c r="K357" s="6" t="s">
        <v>53</v>
      </c>
      <c r="L357" s="6" t="s">
        <v>805</v>
      </c>
      <c r="M357" s="6" t="s">
        <v>311</v>
      </c>
      <c r="N357" s="6" t="s">
        <v>635</v>
      </c>
      <c r="O357" s="6" t="s">
        <v>62</v>
      </c>
      <c r="P357" s="6" t="s">
        <v>1533</v>
      </c>
      <c r="Q357" s="6" t="s">
        <v>65</v>
      </c>
      <c r="R357" s="6" t="s">
        <v>57</v>
      </c>
      <c r="S357" s="6" t="s">
        <v>1219</v>
      </c>
      <c r="T357" s="131">
        <v>1.7569999999999999</v>
      </c>
      <c r="U357" s="6" t="s">
        <v>1845</v>
      </c>
      <c r="V357" s="134">
        <v>1.5800000000000002E-2</v>
      </c>
      <c r="W357" s="132">
        <v>2.7789999999999999E-2</v>
      </c>
      <c r="X357" s="3" t="s">
        <v>620</v>
      </c>
      <c r="Y357" s="3" t="s">
        <v>62</v>
      </c>
      <c r="Z357" s="131">
        <v>59583.33</v>
      </c>
      <c r="AA357" s="129">
        <v>1</v>
      </c>
      <c r="AB357" s="157">
        <v>116.04</v>
      </c>
      <c r="AD357" s="131">
        <v>69.14</v>
      </c>
      <c r="AG357" s="6" t="s">
        <v>17</v>
      </c>
      <c r="AH357" s="132">
        <v>1.5100000000000001E-4</v>
      </c>
      <c r="AI357" s="132">
        <v>1.1403084966808499E-3</v>
      </c>
      <c r="AJ357" s="132">
        <v>2.07326127851583E-4</v>
      </c>
    </row>
    <row r="358" spans="1:36" x14ac:dyDescent="0.2">
      <c r="A358" s="6">
        <v>559</v>
      </c>
      <c r="B358" s="6">
        <v>556</v>
      </c>
      <c r="C358" s="6" t="s">
        <v>1841</v>
      </c>
      <c r="D358" s="6" t="s">
        <v>1842</v>
      </c>
      <c r="E358" s="3" t="s">
        <v>1477</v>
      </c>
      <c r="F358" s="6" t="s">
        <v>1846</v>
      </c>
      <c r="G358" s="6" t="s">
        <v>1847</v>
      </c>
      <c r="H358" s="6" t="s">
        <v>76</v>
      </c>
      <c r="I358" s="6" t="s">
        <v>228</v>
      </c>
      <c r="J358" s="6" t="s">
        <v>53</v>
      </c>
      <c r="K358" s="6" t="s">
        <v>53</v>
      </c>
      <c r="L358" s="6" t="s">
        <v>805</v>
      </c>
      <c r="M358" s="6" t="s">
        <v>311</v>
      </c>
      <c r="N358" s="6" t="s">
        <v>635</v>
      </c>
      <c r="O358" s="6" t="s">
        <v>62</v>
      </c>
      <c r="P358" s="6" t="s">
        <v>1577</v>
      </c>
      <c r="Q358" s="6" t="s">
        <v>65</v>
      </c>
      <c r="R358" s="6" t="s">
        <v>57</v>
      </c>
      <c r="S358" s="6" t="s">
        <v>1219</v>
      </c>
      <c r="T358" s="131">
        <v>1.121</v>
      </c>
      <c r="U358" s="6" t="s">
        <v>1848</v>
      </c>
      <c r="V358" s="134">
        <v>5.0500000000000003E-2</v>
      </c>
      <c r="W358" s="132">
        <v>4.7960000000000003E-2</v>
      </c>
      <c r="X358" s="3" t="s">
        <v>620</v>
      </c>
      <c r="Y358" s="3" t="s">
        <v>62</v>
      </c>
      <c r="Z358" s="131">
        <v>44000.33</v>
      </c>
      <c r="AA358" s="129">
        <v>1</v>
      </c>
      <c r="AB358" s="157">
        <v>102.04</v>
      </c>
      <c r="AD358" s="131">
        <v>44.898000000000003</v>
      </c>
      <c r="AG358" s="6" t="s">
        <v>17</v>
      </c>
      <c r="AH358" s="132">
        <v>2.3699999999999999E-4</v>
      </c>
      <c r="AI358" s="132">
        <v>7.4048497773569104E-4</v>
      </c>
      <c r="AJ358" s="132">
        <v>1.3463188568099799E-4</v>
      </c>
    </row>
    <row r="359" spans="1:36" x14ac:dyDescent="0.2">
      <c r="A359" s="6">
        <v>559</v>
      </c>
      <c r="B359" s="6">
        <v>556</v>
      </c>
      <c r="C359" s="6" t="s">
        <v>1849</v>
      </c>
      <c r="D359" s="6" t="s">
        <v>1850</v>
      </c>
      <c r="E359" s="3" t="s">
        <v>1477</v>
      </c>
      <c r="F359" s="6" t="s">
        <v>1851</v>
      </c>
      <c r="G359" s="6" t="s">
        <v>1852</v>
      </c>
      <c r="H359" s="6" t="s">
        <v>76</v>
      </c>
      <c r="I359" s="6" t="s">
        <v>607</v>
      </c>
      <c r="J359" s="6" t="s">
        <v>53</v>
      </c>
      <c r="K359" s="6" t="s">
        <v>53</v>
      </c>
      <c r="L359" s="6" t="s">
        <v>805</v>
      </c>
      <c r="M359" s="6" t="s">
        <v>311</v>
      </c>
      <c r="N359" s="6" t="s">
        <v>269</v>
      </c>
      <c r="O359" s="6" t="s">
        <v>62</v>
      </c>
      <c r="P359" s="6" t="s">
        <v>1577</v>
      </c>
      <c r="Q359" s="6" t="s">
        <v>65</v>
      </c>
      <c r="R359" s="6" t="s">
        <v>57</v>
      </c>
      <c r="S359" s="6" t="s">
        <v>1219</v>
      </c>
      <c r="T359" s="131">
        <v>2.6040000000000001</v>
      </c>
      <c r="U359" s="6" t="s">
        <v>1608</v>
      </c>
      <c r="V359" s="134">
        <v>2.8000000000000001E-2</v>
      </c>
      <c r="W359" s="132">
        <v>1E-4</v>
      </c>
      <c r="X359" s="3" t="s">
        <v>620</v>
      </c>
      <c r="Y359" s="3" t="s">
        <v>62</v>
      </c>
      <c r="Z359" s="131">
        <v>306000</v>
      </c>
      <c r="AA359" s="129">
        <v>1</v>
      </c>
      <c r="AB359" s="157">
        <v>183.2</v>
      </c>
      <c r="AD359" s="131">
        <v>560.59199999999998</v>
      </c>
      <c r="AG359" s="6" t="s">
        <v>17</v>
      </c>
      <c r="AH359" s="132">
        <v>2.0400000000000001E-3</v>
      </c>
      <c r="AI359" s="132">
        <v>9.2456354312367792E-3</v>
      </c>
      <c r="AJ359" s="132">
        <v>1.68100281552337E-3</v>
      </c>
    </row>
    <row r="360" spans="1:36" x14ac:dyDescent="0.2">
      <c r="A360" s="6">
        <v>559</v>
      </c>
      <c r="B360" s="6">
        <v>556</v>
      </c>
      <c r="C360" s="6" t="s">
        <v>1220</v>
      </c>
      <c r="D360" s="6" t="s">
        <v>1483</v>
      </c>
      <c r="E360" s="3" t="s">
        <v>1477</v>
      </c>
      <c r="F360" s="6" t="s">
        <v>1853</v>
      </c>
      <c r="G360" s="6" t="s">
        <v>1854</v>
      </c>
      <c r="H360" s="6" t="s">
        <v>76</v>
      </c>
      <c r="I360" s="6" t="s">
        <v>229</v>
      </c>
      <c r="J360" s="6" t="s">
        <v>53</v>
      </c>
      <c r="K360" s="6" t="s">
        <v>53</v>
      </c>
      <c r="L360" s="6" t="s">
        <v>805</v>
      </c>
      <c r="M360" s="6" t="s">
        <v>311</v>
      </c>
      <c r="N360" s="6" t="s">
        <v>256</v>
      </c>
      <c r="O360" s="6" t="s">
        <v>62</v>
      </c>
      <c r="P360" s="6" t="s">
        <v>1213</v>
      </c>
      <c r="Q360" s="6" t="s">
        <v>65</v>
      </c>
      <c r="R360" s="6" t="s">
        <v>57</v>
      </c>
      <c r="S360" s="6" t="s">
        <v>1219</v>
      </c>
      <c r="T360" s="131">
        <v>2.0920000000000001</v>
      </c>
      <c r="U360" s="6" t="s">
        <v>1299</v>
      </c>
      <c r="V360" s="134">
        <v>1.8599999999999998E-2</v>
      </c>
      <c r="W360" s="132">
        <v>2.5680000000000001E-2</v>
      </c>
      <c r="X360" s="3" t="s">
        <v>620</v>
      </c>
      <c r="Y360" s="3" t="s">
        <v>62</v>
      </c>
      <c r="Z360" s="131">
        <v>1568000</v>
      </c>
      <c r="AA360" s="129">
        <v>1</v>
      </c>
      <c r="AB360" s="157">
        <v>104.2</v>
      </c>
      <c r="AD360" s="131">
        <v>1633.856</v>
      </c>
      <c r="AG360" s="6" t="s">
        <v>17</v>
      </c>
      <c r="AH360" s="132">
        <v>5.4600000000000004E-4</v>
      </c>
      <c r="AI360" s="132">
        <v>2.6946579550080601E-2</v>
      </c>
      <c r="AJ360" s="132">
        <v>4.89931453920098E-3</v>
      </c>
    </row>
    <row r="361" spans="1:36" x14ac:dyDescent="0.2">
      <c r="A361" s="6">
        <v>559</v>
      </c>
      <c r="B361" s="6">
        <v>556</v>
      </c>
      <c r="C361" s="6" t="s">
        <v>1220</v>
      </c>
      <c r="D361" s="6" t="s">
        <v>1483</v>
      </c>
      <c r="E361" s="3" t="s">
        <v>1477</v>
      </c>
      <c r="F361" s="6" t="s">
        <v>1855</v>
      </c>
      <c r="G361" s="6" t="s">
        <v>1856</v>
      </c>
      <c r="H361" s="6" t="s">
        <v>76</v>
      </c>
      <c r="I361" s="6" t="s">
        <v>229</v>
      </c>
      <c r="J361" s="6" t="s">
        <v>53</v>
      </c>
      <c r="K361" s="6" t="s">
        <v>53</v>
      </c>
      <c r="L361" s="6" t="s">
        <v>805</v>
      </c>
      <c r="M361" s="6" t="s">
        <v>311</v>
      </c>
      <c r="N361" s="6" t="s">
        <v>256</v>
      </c>
      <c r="O361" s="6" t="s">
        <v>62</v>
      </c>
      <c r="P361" s="6" t="s">
        <v>1213</v>
      </c>
      <c r="Q361" s="6" t="s">
        <v>65</v>
      </c>
      <c r="R361" s="6" t="s">
        <v>57</v>
      </c>
      <c r="S361" s="6" t="s">
        <v>1219</v>
      </c>
      <c r="T361" s="131">
        <v>0.995</v>
      </c>
      <c r="U361" s="6" t="s">
        <v>1595</v>
      </c>
      <c r="V361" s="134">
        <v>8.3000000000000001E-3</v>
      </c>
      <c r="W361" s="132">
        <v>2.4899999999999999E-2</v>
      </c>
      <c r="X361" s="3" t="s">
        <v>620</v>
      </c>
      <c r="Y361" s="3" t="s">
        <v>62</v>
      </c>
      <c r="Z361" s="131">
        <v>680000</v>
      </c>
      <c r="AA361" s="129">
        <v>1</v>
      </c>
      <c r="AB361" s="157">
        <v>115.16</v>
      </c>
      <c r="AD361" s="131">
        <v>783.08799999999997</v>
      </c>
      <c r="AG361" s="6" t="s">
        <v>17</v>
      </c>
      <c r="AH361" s="132">
        <v>4.4700000000000002E-4</v>
      </c>
      <c r="AI361" s="132">
        <v>1.29151792365505E-2</v>
      </c>
      <c r="AJ361" s="132">
        <v>2.3481839426937401E-3</v>
      </c>
    </row>
    <row r="362" spans="1:36" x14ac:dyDescent="0.2">
      <c r="A362" s="6">
        <v>559</v>
      </c>
      <c r="B362" s="6">
        <v>556</v>
      </c>
      <c r="C362" s="6" t="s">
        <v>1220</v>
      </c>
      <c r="D362" s="6" t="s">
        <v>1483</v>
      </c>
      <c r="E362" s="3" t="s">
        <v>1477</v>
      </c>
      <c r="F362" s="6" t="s">
        <v>2354</v>
      </c>
      <c r="G362" s="6" t="s">
        <v>2355</v>
      </c>
      <c r="H362" s="6" t="s">
        <v>76</v>
      </c>
      <c r="I362" s="6" t="s">
        <v>229</v>
      </c>
      <c r="J362" s="6" t="s">
        <v>53</v>
      </c>
      <c r="K362" s="6" t="s">
        <v>53</v>
      </c>
      <c r="L362" s="6" t="s">
        <v>805</v>
      </c>
      <c r="M362" s="6" t="s">
        <v>311</v>
      </c>
      <c r="N362" s="6" t="s">
        <v>256</v>
      </c>
      <c r="O362" s="6" t="s">
        <v>62</v>
      </c>
      <c r="P362" s="6" t="s">
        <v>1213</v>
      </c>
      <c r="Q362" s="6" t="s">
        <v>65</v>
      </c>
      <c r="R362" s="6" t="s">
        <v>57</v>
      </c>
      <c r="S362" s="6" t="s">
        <v>1219</v>
      </c>
      <c r="T362" s="131">
        <v>2.3969999999999998</v>
      </c>
      <c r="U362" s="6" t="s">
        <v>2356</v>
      </c>
      <c r="V362" s="134">
        <v>1E-3</v>
      </c>
      <c r="W362" s="132">
        <v>2.4969999999999999E-2</v>
      </c>
      <c r="X362" s="3" t="s">
        <v>620</v>
      </c>
      <c r="Y362" s="3" t="s">
        <v>62</v>
      </c>
      <c r="Z362" s="131">
        <v>168000</v>
      </c>
      <c r="AA362" s="129">
        <v>1</v>
      </c>
      <c r="AB362" s="157">
        <v>107.95</v>
      </c>
      <c r="AD362" s="131">
        <v>181.35599999999999</v>
      </c>
      <c r="AG362" s="6" t="s">
        <v>17</v>
      </c>
      <c r="AH362" s="132">
        <v>5.3999999999999998E-5</v>
      </c>
      <c r="AI362" s="132">
        <v>2.9910370809204802E-3</v>
      </c>
      <c r="AJ362" s="132">
        <v>5.4381786863183404E-4</v>
      </c>
    </row>
    <row r="363" spans="1:36" x14ac:dyDescent="0.2">
      <c r="A363" s="6">
        <v>559</v>
      </c>
      <c r="B363" s="6">
        <v>556</v>
      </c>
      <c r="C363" s="6" t="s">
        <v>1220</v>
      </c>
      <c r="D363" s="6" t="s">
        <v>1483</v>
      </c>
      <c r="E363" s="3" t="s">
        <v>1477</v>
      </c>
      <c r="F363" s="6" t="s">
        <v>1857</v>
      </c>
      <c r="G363" s="6" t="s">
        <v>1858</v>
      </c>
      <c r="H363" s="6" t="s">
        <v>76</v>
      </c>
      <c r="I363" s="6" t="s">
        <v>228</v>
      </c>
      <c r="J363" s="6" t="s">
        <v>53</v>
      </c>
      <c r="K363" s="6" t="s">
        <v>53</v>
      </c>
      <c r="L363" s="6" t="s">
        <v>805</v>
      </c>
      <c r="M363" s="6" t="s">
        <v>311</v>
      </c>
      <c r="N363" s="6" t="s">
        <v>256</v>
      </c>
      <c r="O363" s="6" t="s">
        <v>62</v>
      </c>
      <c r="P363" s="6" t="s">
        <v>1213</v>
      </c>
      <c r="Q363" s="6" t="s">
        <v>65</v>
      </c>
      <c r="R363" s="6" t="s">
        <v>57</v>
      </c>
      <c r="S363" s="6" t="s">
        <v>1219</v>
      </c>
      <c r="T363" s="131">
        <v>2.4529999999999998</v>
      </c>
      <c r="U363" s="6" t="s">
        <v>1859</v>
      </c>
      <c r="V363" s="134">
        <v>2.76E-2</v>
      </c>
      <c r="W363" s="132">
        <v>4.3869999999999999E-2</v>
      </c>
      <c r="X363" s="3" t="s">
        <v>620</v>
      </c>
      <c r="Y363" s="3" t="s">
        <v>62</v>
      </c>
      <c r="Z363" s="131">
        <v>447000</v>
      </c>
      <c r="AA363" s="129">
        <v>1</v>
      </c>
      <c r="AB363" s="157">
        <v>96.65</v>
      </c>
      <c r="AD363" s="131">
        <v>432.02600000000001</v>
      </c>
      <c r="AG363" s="6" t="s">
        <v>17</v>
      </c>
      <c r="AH363" s="132">
        <v>2.0599999999999999E-4</v>
      </c>
      <c r="AI363" s="132">
        <v>7.1252359469949301E-3</v>
      </c>
      <c r="AJ363" s="132">
        <v>1.29548063810738E-3</v>
      </c>
    </row>
    <row r="364" spans="1:36" x14ac:dyDescent="0.2">
      <c r="A364" s="6">
        <v>559</v>
      </c>
      <c r="B364" s="6">
        <v>556</v>
      </c>
      <c r="C364" s="6" t="s">
        <v>1220</v>
      </c>
      <c r="D364" s="6" t="s">
        <v>1483</v>
      </c>
      <c r="E364" s="3" t="s">
        <v>1477</v>
      </c>
      <c r="F364" s="6" t="s">
        <v>1860</v>
      </c>
      <c r="G364" s="6" t="s">
        <v>1861</v>
      </c>
      <c r="H364" s="6" t="s">
        <v>76</v>
      </c>
      <c r="I364" s="6" t="s">
        <v>229</v>
      </c>
      <c r="J364" s="6" t="s">
        <v>53</v>
      </c>
      <c r="K364" s="6" t="s">
        <v>53</v>
      </c>
      <c r="L364" s="6" t="s">
        <v>805</v>
      </c>
      <c r="M364" s="6" t="s">
        <v>311</v>
      </c>
      <c r="N364" s="6" t="s">
        <v>256</v>
      </c>
      <c r="O364" s="6" t="s">
        <v>62</v>
      </c>
      <c r="P364" s="6" t="s">
        <v>1213</v>
      </c>
      <c r="Q364" s="6" t="s">
        <v>65</v>
      </c>
      <c r="R364" s="6" t="s">
        <v>57</v>
      </c>
      <c r="S364" s="6" t="s">
        <v>1219</v>
      </c>
      <c r="T364" s="131">
        <v>4.3879999999999999</v>
      </c>
      <c r="U364" s="6" t="s">
        <v>1862</v>
      </c>
      <c r="V364" s="134">
        <v>2.0199999999999999E-2</v>
      </c>
      <c r="W364" s="132">
        <v>2.6360000000000001E-2</v>
      </c>
      <c r="X364" s="3" t="s">
        <v>620</v>
      </c>
      <c r="Y364" s="3" t="s">
        <v>62</v>
      </c>
      <c r="Z364" s="131">
        <v>272000</v>
      </c>
      <c r="AA364" s="129">
        <v>1</v>
      </c>
      <c r="AB364" s="157">
        <v>102.52</v>
      </c>
      <c r="AD364" s="131">
        <v>278.85399999999998</v>
      </c>
      <c r="AG364" s="6" t="s">
        <v>17</v>
      </c>
      <c r="AH364" s="132">
        <v>7.6000000000000004E-5</v>
      </c>
      <c r="AI364" s="132">
        <v>4.5990419427966696E-3</v>
      </c>
      <c r="AJ364" s="132">
        <v>8.3617859605752596E-4</v>
      </c>
    </row>
    <row r="365" spans="1:36" x14ac:dyDescent="0.2">
      <c r="A365" s="6">
        <v>559</v>
      </c>
      <c r="B365" s="6">
        <v>556</v>
      </c>
      <c r="C365" s="6" t="s">
        <v>1220</v>
      </c>
      <c r="D365" s="6" t="s">
        <v>1483</v>
      </c>
      <c r="E365" s="3" t="s">
        <v>1477</v>
      </c>
      <c r="F365" s="6" t="s">
        <v>1863</v>
      </c>
      <c r="G365" s="6" t="s">
        <v>1864</v>
      </c>
      <c r="H365" s="6" t="s">
        <v>76</v>
      </c>
      <c r="I365" s="6" t="s">
        <v>229</v>
      </c>
      <c r="J365" s="6" t="s">
        <v>53</v>
      </c>
      <c r="K365" s="6" t="s">
        <v>53</v>
      </c>
      <c r="L365" s="6" t="s">
        <v>805</v>
      </c>
      <c r="M365" s="6" t="s">
        <v>311</v>
      </c>
      <c r="N365" s="6" t="s">
        <v>256</v>
      </c>
      <c r="O365" s="6" t="s">
        <v>62</v>
      </c>
      <c r="P365" s="6" t="s">
        <v>1213</v>
      </c>
      <c r="Q365" s="6" t="s">
        <v>65</v>
      </c>
      <c r="R365" s="6" t="s">
        <v>57</v>
      </c>
      <c r="S365" s="6" t="s">
        <v>1219</v>
      </c>
      <c r="T365" s="131">
        <v>4.3920000000000003</v>
      </c>
      <c r="U365" s="6" t="s">
        <v>1865</v>
      </c>
      <c r="V365" s="134">
        <v>1E-3</v>
      </c>
      <c r="W365" s="132">
        <v>2.581E-2</v>
      </c>
      <c r="X365" s="3" t="s">
        <v>620</v>
      </c>
      <c r="Y365" s="3" t="s">
        <v>62</v>
      </c>
      <c r="Z365" s="131">
        <v>392000</v>
      </c>
      <c r="AA365" s="129">
        <v>1</v>
      </c>
      <c r="AB365" s="157">
        <v>102.6</v>
      </c>
      <c r="AD365" s="131">
        <v>402.19200000000001</v>
      </c>
      <c r="AG365" s="6" t="s">
        <v>17</v>
      </c>
      <c r="AH365" s="132">
        <v>9.1000000000000003E-5</v>
      </c>
      <c r="AI365" s="132">
        <v>6.63320312341236E-3</v>
      </c>
      <c r="AJ365" s="132">
        <v>1.2060212853215501E-3</v>
      </c>
    </row>
    <row r="366" spans="1:36" x14ac:dyDescent="0.2">
      <c r="A366" s="6">
        <v>559</v>
      </c>
      <c r="B366" s="6">
        <v>556</v>
      </c>
      <c r="C366" s="6" t="s">
        <v>1866</v>
      </c>
      <c r="D366" s="6" t="s">
        <v>1867</v>
      </c>
      <c r="E366" s="3" t="s">
        <v>1477</v>
      </c>
      <c r="F366" s="6" t="s">
        <v>1868</v>
      </c>
      <c r="G366" s="6" t="s">
        <v>1869</v>
      </c>
      <c r="H366" s="6" t="s">
        <v>76</v>
      </c>
      <c r="I366" s="6" t="s">
        <v>228</v>
      </c>
      <c r="J366" s="6" t="s">
        <v>53</v>
      </c>
      <c r="K366" s="6" t="s">
        <v>53</v>
      </c>
      <c r="L366" s="6" t="s">
        <v>805</v>
      </c>
      <c r="M366" s="6" t="s">
        <v>311</v>
      </c>
      <c r="N366" s="6" t="s">
        <v>140</v>
      </c>
      <c r="O366" s="6" t="s">
        <v>62</v>
      </c>
      <c r="P366" s="6" t="s">
        <v>298</v>
      </c>
      <c r="Q366" s="6" t="s">
        <v>298</v>
      </c>
      <c r="R366" s="6" t="s">
        <v>298</v>
      </c>
      <c r="S366" s="6" t="s">
        <v>1219</v>
      </c>
      <c r="T366" s="131">
        <v>3.8039999999999998</v>
      </c>
      <c r="U366" s="6" t="s">
        <v>1870</v>
      </c>
      <c r="V366" s="134">
        <v>6.7299999999999999E-2</v>
      </c>
      <c r="W366" s="132">
        <v>5.4149999999999997E-2</v>
      </c>
      <c r="X366" s="3" t="s">
        <v>620</v>
      </c>
      <c r="Y366" s="3" t="s">
        <v>62</v>
      </c>
      <c r="Z366" s="131">
        <v>134119</v>
      </c>
      <c r="AA366" s="129">
        <v>1</v>
      </c>
      <c r="AB366" s="157">
        <v>105.77</v>
      </c>
      <c r="AD366" s="131">
        <v>141.858</v>
      </c>
      <c r="AG366" s="6" t="s">
        <v>17</v>
      </c>
      <c r="AH366" s="132">
        <v>5.1599999999999997E-4</v>
      </c>
      <c r="AI366" s="132">
        <v>2.3396057484513602E-3</v>
      </c>
      <c r="AJ366" s="132">
        <v>4.25377344760316E-4</v>
      </c>
    </row>
    <row r="367" spans="1:36" x14ac:dyDescent="0.2">
      <c r="A367" s="6">
        <v>559</v>
      </c>
      <c r="B367" s="6">
        <v>556</v>
      </c>
      <c r="C367" s="6" t="s">
        <v>2357</v>
      </c>
      <c r="D367" s="6" t="s">
        <v>2358</v>
      </c>
      <c r="E367" s="3" t="s">
        <v>1477</v>
      </c>
      <c r="F367" s="6" t="s">
        <v>2359</v>
      </c>
      <c r="G367" s="6" t="s">
        <v>2360</v>
      </c>
      <c r="H367" s="6" t="s">
        <v>76</v>
      </c>
      <c r="I367" s="6" t="s">
        <v>228</v>
      </c>
      <c r="J367" s="6" t="s">
        <v>53</v>
      </c>
      <c r="K367" s="6" t="s">
        <v>53</v>
      </c>
      <c r="L367" s="6" t="s">
        <v>805</v>
      </c>
      <c r="M367" s="6" t="s">
        <v>311</v>
      </c>
      <c r="N367" s="6" t="s">
        <v>140</v>
      </c>
      <c r="O367" s="6" t="s">
        <v>62</v>
      </c>
      <c r="P367" s="6" t="s">
        <v>298</v>
      </c>
      <c r="Q367" s="6" t="s">
        <v>298</v>
      </c>
      <c r="R367" s="6" t="s">
        <v>298</v>
      </c>
      <c r="S367" s="6" t="s">
        <v>1219</v>
      </c>
      <c r="T367" s="131">
        <v>1.1779999999999999</v>
      </c>
      <c r="U367" s="6" t="s">
        <v>1285</v>
      </c>
      <c r="V367" s="134">
        <v>8.5000000000000006E-2</v>
      </c>
      <c r="W367" s="132">
        <v>7.6810000000000003E-2</v>
      </c>
      <c r="X367" s="3" t="s">
        <v>620</v>
      </c>
      <c r="Y367" s="3" t="s">
        <v>62</v>
      </c>
      <c r="Z367" s="131">
        <v>23199.09</v>
      </c>
      <c r="AA367" s="129">
        <v>1</v>
      </c>
      <c r="AB367" s="157">
        <v>103.26</v>
      </c>
      <c r="AD367" s="131">
        <v>23.954999999999998</v>
      </c>
      <c r="AG367" s="6" t="s">
        <v>17</v>
      </c>
      <c r="AH367" s="132">
        <v>4.26E-4</v>
      </c>
      <c r="AI367" s="132">
        <v>3.9508718138108102E-4</v>
      </c>
      <c r="AJ367" s="132">
        <v>7.1833101058144303E-5</v>
      </c>
    </row>
    <row r="368" spans="1:36" x14ac:dyDescent="0.2">
      <c r="A368" s="6">
        <v>559</v>
      </c>
      <c r="B368" s="6">
        <v>556</v>
      </c>
      <c r="C368" s="6" t="s">
        <v>1871</v>
      </c>
      <c r="D368" s="6" t="s">
        <v>1872</v>
      </c>
      <c r="E368" s="3" t="s">
        <v>1477</v>
      </c>
      <c r="F368" s="6" t="s">
        <v>1873</v>
      </c>
      <c r="G368" s="6" t="s">
        <v>1874</v>
      </c>
      <c r="H368" s="6" t="s">
        <v>76</v>
      </c>
      <c r="I368" s="6" t="s">
        <v>228</v>
      </c>
      <c r="J368" s="6" t="s">
        <v>53</v>
      </c>
      <c r="K368" s="6" t="s">
        <v>53</v>
      </c>
      <c r="L368" s="6" t="s">
        <v>805</v>
      </c>
      <c r="M368" s="6" t="s">
        <v>311</v>
      </c>
      <c r="N368" s="6" t="s">
        <v>692</v>
      </c>
      <c r="O368" s="6" t="s">
        <v>62</v>
      </c>
      <c r="P368" s="6" t="s">
        <v>298</v>
      </c>
      <c r="Q368" s="6" t="s">
        <v>298</v>
      </c>
      <c r="R368" s="6" t="s">
        <v>298</v>
      </c>
      <c r="S368" s="6" t="s">
        <v>1219</v>
      </c>
      <c r="T368" s="131">
        <v>0.499</v>
      </c>
      <c r="U368" s="6" t="s">
        <v>1499</v>
      </c>
      <c r="V368" s="134">
        <v>3.5000000000000003E-2</v>
      </c>
      <c r="W368" s="132">
        <v>5.0310000000000001E-2</v>
      </c>
      <c r="X368" s="3" t="s">
        <v>620</v>
      </c>
      <c r="Y368" s="3" t="s">
        <v>62</v>
      </c>
      <c r="Z368" s="131">
        <v>19983.330000000002</v>
      </c>
      <c r="AA368" s="129">
        <v>1</v>
      </c>
      <c r="AB368" s="157">
        <v>99.29</v>
      </c>
      <c r="AD368" s="131">
        <v>19.841000000000001</v>
      </c>
      <c r="AG368" s="6" t="s">
        <v>17</v>
      </c>
      <c r="AH368" s="132">
        <v>5.0000000000000001E-4</v>
      </c>
      <c r="AI368" s="132">
        <v>3.2723763081980099E-4</v>
      </c>
      <c r="AJ368" s="132">
        <v>5.9496979179472098E-5</v>
      </c>
    </row>
    <row r="369" spans="1:36" x14ac:dyDescent="0.2">
      <c r="A369" s="6">
        <v>559</v>
      </c>
      <c r="B369" s="6">
        <v>556</v>
      </c>
      <c r="C369" s="6" t="s">
        <v>1875</v>
      </c>
      <c r="D369" s="6" t="s">
        <v>1876</v>
      </c>
      <c r="E369" s="3" t="s">
        <v>1477</v>
      </c>
      <c r="F369" s="6" t="s">
        <v>1877</v>
      </c>
      <c r="G369" s="6" t="s">
        <v>1878</v>
      </c>
      <c r="H369" s="6" t="s">
        <v>76</v>
      </c>
      <c r="I369" s="6" t="s">
        <v>229</v>
      </c>
      <c r="J369" s="6" t="s">
        <v>53</v>
      </c>
      <c r="K369" s="6" t="s">
        <v>53</v>
      </c>
      <c r="L369" s="6" t="s">
        <v>805</v>
      </c>
      <c r="M369" s="6" t="s">
        <v>311</v>
      </c>
      <c r="N369" s="6" t="s">
        <v>635</v>
      </c>
      <c r="O369" s="6" t="s">
        <v>62</v>
      </c>
      <c r="P369" s="6" t="s">
        <v>298</v>
      </c>
      <c r="Q369" s="6" t="s">
        <v>298</v>
      </c>
      <c r="R369" s="6" t="s">
        <v>298</v>
      </c>
      <c r="S369" s="6" t="s">
        <v>1219</v>
      </c>
      <c r="T369" s="131">
        <v>2.2250000000000001</v>
      </c>
      <c r="U369" s="6" t="s">
        <v>1605</v>
      </c>
      <c r="V369" s="134">
        <v>6.0999999999999999E-2</v>
      </c>
      <c r="W369" s="132">
        <v>3.9820000000000001E-2</v>
      </c>
      <c r="X369" s="3" t="s">
        <v>620</v>
      </c>
      <c r="Y369" s="3" t="s">
        <v>62</v>
      </c>
      <c r="Z369" s="131">
        <v>122000</v>
      </c>
      <c r="AA369" s="129">
        <v>1</v>
      </c>
      <c r="AB369" s="157">
        <v>110.19</v>
      </c>
      <c r="AD369" s="131">
        <v>134.43199999999999</v>
      </c>
      <c r="AG369" s="6" t="s">
        <v>17</v>
      </c>
      <c r="AH369" s="132">
        <v>1.439E-3</v>
      </c>
      <c r="AI369" s="132">
        <v>2.21713369645827E-3</v>
      </c>
      <c r="AJ369" s="132">
        <v>4.03109987826931E-4</v>
      </c>
    </row>
    <row r="370" spans="1:36" x14ac:dyDescent="0.2">
      <c r="A370" s="6">
        <v>559</v>
      </c>
      <c r="B370" s="6">
        <v>556</v>
      </c>
      <c r="C370" s="6" t="s">
        <v>1875</v>
      </c>
      <c r="D370" s="6" t="s">
        <v>1876</v>
      </c>
      <c r="E370" s="3" t="s">
        <v>1477</v>
      </c>
      <c r="F370" s="6" t="s">
        <v>1879</v>
      </c>
      <c r="G370" s="6" t="s">
        <v>1880</v>
      </c>
      <c r="H370" s="6" t="s">
        <v>76</v>
      </c>
      <c r="I370" s="6" t="s">
        <v>229</v>
      </c>
      <c r="J370" s="6" t="s">
        <v>53</v>
      </c>
      <c r="K370" s="6" t="s">
        <v>53</v>
      </c>
      <c r="L370" s="6" t="s">
        <v>805</v>
      </c>
      <c r="M370" s="6" t="s">
        <v>311</v>
      </c>
      <c r="N370" s="6" t="s">
        <v>635</v>
      </c>
      <c r="O370" s="6" t="s">
        <v>62</v>
      </c>
      <c r="P370" s="6" t="s">
        <v>298</v>
      </c>
      <c r="Q370" s="6" t="s">
        <v>298</v>
      </c>
      <c r="R370" s="6" t="s">
        <v>298</v>
      </c>
      <c r="S370" s="6" t="s">
        <v>1219</v>
      </c>
      <c r="T370" s="131">
        <v>2.5059999999999998</v>
      </c>
      <c r="U370" s="6" t="s">
        <v>1544</v>
      </c>
      <c r="V370" s="134">
        <v>0.06</v>
      </c>
      <c r="W370" s="132">
        <v>3.2570000000000002E-2</v>
      </c>
      <c r="X370" s="3" t="s">
        <v>620</v>
      </c>
      <c r="Y370" s="3" t="s">
        <v>62</v>
      </c>
      <c r="Z370" s="131">
        <v>82800</v>
      </c>
      <c r="AA370" s="129">
        <v>1</v>
      </c>
      <c r="AB370" s="157">
        <v>113.39</v>
      </c>
      <c r="AD370" s="131">
        <v>93.887</v>
      </c>
      <c r="AG370" s="6" t="s">
        <v>17</v>
      </c>
      <c r="AH370" s="132">
        <v>1.1980000000000001E-3</v>
      </c>
      <c r="AI370" s="132">
        <v>1.5484420649629199E-3</v>
      </c>
      <c r="AJ370" s="132">
        <v>2.8153126848192198E-4</v>
      </c>
    </row>
    <row r="371" spans="1:36" x14ac:dyDescent="0.2">
      <c r="A371" s="6">
        <v>559</v>
      </c>
      <c r="B371" s="6">
        <v>556</v>
      </c>
      <c r="C371" s="6" t="s">
        <v>1881</v>
      </c>
      <c r="D371" s="6" t="s">
        <v>1882</v>
      </c>
      <c r="E371" s="3" t="s">
        <v>1477</v>
      </c>
      <c r="F371" s="6" t="s">
        <v>1883</v>
      </c>
      <c r="G371" s="6" t="s">
        <v>1884</v>
      </c>
      <c r="H371" s="6" t="s">
        <v>76</v>
      </c>
      <c r="I371" s="6" t="s">
        <v>229</v>
      </c>
      <c r="J371" s="6" t="s">
        <v>53</v>
      </c>
      <c r="K371" s="6" t="s">
        <v>53</v>
      </c>
      <c r="L371" s="6" t="s">
        <v>805</v>
      </c>
      <c r="M371" s="6" t="s">
        <v>311</v>
      </c>
      <c r="N371" s="6" t="s">
        <v>635</v>
      </c>
      <c r="O371" s="6" t="s">
        <v>62</v>
      </c>
      <c r="P371" s="6" t="s">
        <v>1533</v>
      </c>
      <c r="Q371" s="6" t="s">
        <v>65</v>
      </c>
      <c r="R371" s="6" t="s">
        <v>57</v>
      </c>
      <c r="S371" s="6" t="s">
        <v>1219</v>
      </c>
      <c r="T371" s="131">
        <v>1.6419999999999999</v>
      </c>
      <c r="U371" s="6" t="s">
        <v>1285</v>
      </c>
      <c r="V371" s="134">
        <v>2.5999999999999999E-2</v>
      </c>
      <c r="W371" s="132">
        <v>2.768E-2</v>
      </c>
      <c r="X371" s="3" t="s">
        <v>620</v>
      </c>
      <c r="Y371" s="3" t="s">
        <v>62</v>
      </c>
      <c r="Z371" s="131">
        <v>35594.94</v>
      </c>
      <c r="AA371" s="129">
        <v>1</v>
      </c>
      <c r="AB371" s="157">
        <v>118.58</v>
      </c>
      <c r="AD371" s="131">
        <v>42.207999999999998</v>
      </c>
      <c r="AG371" s="6" t="s">
        <v>17</v>
      </c>
      <c r="AH371" s="132">
        <v>1.05E-4</v>
      </c>
      <c r="AI371" s="132">
        <v>6.9612876533788396E-4</v>
      </c>
      <c r="AJ371" s="132">
        <v>1.2656722441664099E-4</v>
      </c>
    </row>
    <row r="372" spans="1:36" x14ac:dyDescent="0.2">
      <c r="A372" s="6">
        <v>559</v>
      </c>
      <c r="B372" s="6">
        <v>556</v>
      </c>
      <c r="C372" s="6" t="s">
        <v>1881</v>
      </c>
      <c r="D372" s="6" t="s">
        <v>1882</v>
      </c>
      <c r="E372" s="3" t="s">
        <v>1477</v>
      </c>
      <c r="F372" s="6" t="s">
        <v>1885</v>
      </c>
      <c r="G372" s="6" t="s">
        <v>1886</v>
      </c>
      <c r="H372" s="6" t="s">
        <v>76</v>
      </c>
      <c r="I372" s="6" t="s">
        <v>229</v>
      </c>
      <c r="J372" s="6" t="s">
        <v>53</v>
      </c>
      <c r="K372" s="6" t="s">
        <v>53</v>
      </c>
      <c r="L372" s="6" t="s">
        <v>805</v>
      </c>
      <c r="M372" s="6" t="s">
        <v>311</v>
      </c>
      <c r="N372" s="6" t="s">
        <v>635</v>
      </c>
      <c r="O372" s="6" t="s">
        <v>62</v>
      </c>
      <c r="P372" s="6" t="s">
        <v>1533</v>
      </c>
      <c r="Q372" s="6" t="s">
        <v>65</v>
      </c>
      <c r="R372" s="6" t="s">
        <v>57</v>
      </c>
      <c r="S372" s="6" t="s">
        <v>1219</v>
      </c>
      <c r="T372" s="131">
        <v>1.1559999999999999</v>
      </c>
      <c r="U372" s="6" t="s">
        <v>1578</v>
      </c>
      <c r="V372" s="134">
        <v>2.4E-2</v>
      </c>
      <c r="W372" s="132">
        <v>2.861E-2</v>
      </c>
      <c r="X372" s="3" t="s">
        <v>620</v>
      </c>
      <c r="Y372" s="3" t="s">
        <v>62</v>
      </c>
      <c r="Z372" s="131">
        <v>227288.05</v>
      </c>
      <c r="AA372" s="129">
        <v>1</v>
      </c>
      <c r="AB372" s="157">
        <v>117.85</v>
      </c>
      <c r="AD372" s="131">
        <v>267.85899999999998</v>
      </c>
      <c r="AG372" s="6" t="s">
        <v>17</v>
      </c>
      <c r="AH372" s="132">
        <v>4.2299999999999998E-4</v>
      </c>
      <c r="AI372" s="132">
        <v>4.4176983531271597E-3</v>
      </c>
      <c r="AJ372" s="132">
        <v>8.0320746204745499E-4</v>
      </c>
    </row>
    <row r="373" spans="1:36" x14ac:dyDescent="0.2">
      <c r="A373" s="6">
        <v>559</v>
      </c>
      <c r="B373" s="6">
        <v>556</v>
      </c>
      <c r="C373" s="6" t="s">
        <v>1887</v>
      </c>
      <c r="D373" s="6" t="s">
        <v>1888</v>
      </c>
      <c r="E373" s="3" t="s">
        <v>1477</v>
      </c>
      <c r="F373" s="6" t="s">
        <v>1889</v>
      </c>
      <c r="G373" s="6" t="s">
        <v>1890</v>
      </c>
      <c r="H373" s="6" t="s">
        <v>76</v>
      </c>
      <c r="I373" s="6" t="s">
        <v>228</v>
      </c>
      <c r="J373" s="6" t="s">
        <v>53</v>
      </c>
      <c r="K373" s="6" t="s">
        <v>53</v>
      </c>
      <c r="L373" s="6" t="s">
        <v>805</v>
      </c>
      <c r="M373" s="6" t="s">
        <v>311</v>
      </c>
      <c r="N373" s="6" t="s">
        <v>269</v>
      </c>
      <c r="O373" s="6" t="s">
        <v>62</v>
      </c>
      <c r="P373" s="6" t="s">
        <v>1521</v>
      </c>
      <c r="Q373" s="6" t="s">
        <v>70</v>
      </c>
      <c r="R373" s="6" t="s">
        <v>57</v>
      </c>
      <c r="S373" s="6" t="s">
        <v>1219</v>
      </c>
      <c r="T373" s="131">
        <v>0.499</v>
      </c>
      <c r="U373" s="6" t="s">
        <v>1499</v>
      </c>
      <c r="V373" s="134">
        <v>2.63E-2</v>
      </c>
      <c r="W373" s="132">
        <v>4.7759999999999997E-2</v>
      </c>
      <c r="X373" s="3" t="s">
        <v>620</v>
      </c>
      <c r="Y373" s="3" t="s">
        <v>62</v>
      </c>
      <c r="Z373" s="131">
        <v>173000</v>
      </c>
      <c r="AA373" s="129">
        <v>1</v>
      </c>
      <c r="AB373" s="157">
        <v>100.27</v>
      </c>
      <c r="AD373" s="131">
        <v>173.46700000000001</v>
      </c>
      <c r="AG373" s="6" t="s">
        <v>17</v>
      </c>
      <c r="AH373" s="132">
        <v>3.5300000000000002E-4</v>
      </c>
      <c r="AI373" s="132">
        <v>2.8609283862664702E-3</v>
      </c>
      <c r="AJ373" s="132">
        <v>5.2016204922773496E-4</v>
      </c>
    </row>
    <row r="374" spans="1:36" x14ac:dyDescent="0.2">
      <c r="A374" s="6">
        <v>559</v>
      </c>
      <c r="B374" s="6">
        <v>556</v>
      </c>
      <c r="C374" s="6" t="s">
        <v>1489</v>
      </c>
      <c r="D374" s="6" t="s">
        <v>1490</v>
      </c>
      <c r="E374" s="3" t="s">
        <v>1477</v>
      </c>
      <c r="F374" s="6" t="s">
        <v>1891</v>
      </c>
      <c r="G374" s="6" t="s">
        <v>1892</v>
      </c>
      <c r="H374" s="6" t="s">
        <v>76</v>
      </c>
      <c r="I374" s="6" t="s">
        <v>229</v>
      </c>
      <c r="J374" s="6" t="s">
        <v>53</v>
      </c>
      <c r="K374" s="6" t="s">
        <v>53</v>
      </c>
      <c r="L374" s="6" t="s">
        <v>805</v>
      </c>
      <c r="M374" s="6" t="s">
        <v>311</v>
      </c>
      <c r="N374" s="6" t="s">
        <v>635</v>
      </c>
      <c r="O374" s="6" t="s">
        <v>62</v>
      </c>
      <c r="P374" s="6" t="s">
        <v>1577</v>
      </c>
      <c r="Q374" s="6" t="s">
        <v>65</v>
      </c>
      <c r="R374" s="6" t="s">
        <v>57</v>
      </c>
      <c r="S374" s="6" t="s">
        <v>1219</v>
      </c>
      <c r="T374" s="131">
        <v>1.3939999999999999</v>
      </c>
      <c r="U374" s="6" t="s">
        <v>1285</v>
      </c>
      <c r="V374" s="134">
        <v>1.4E-2</v>
      </c>
      <c r="W374" s="132">
        <v>2.8840000000000001E-2</v>
      </c>
      <c r="X374" s="3" t="s">
        <v>620</v>
      </c>
      <c r="Y374" s="3" t="s">
        <v>62</v>
      </c>
      <c r="Z374" s="131">
        <v>521700</v>
      </c>
      <c r="AA374" s="129">
        <v>1</v>
      </c>
      <c r="AB374" s="157">
        <v>115.68</v>
      </c>
      <c r="AD374" s="131">
        <v>603.50300000000004</v>
      </c>
      <c r="AG374" s="6" t="s">
        <v>17</v>
      </c>
      <c r="AH374" s="132">
        <v>8.6200000000000003E-4</v>
      </c>
      <c r="AI374" s="132">
        <v>9.9533433434264105E-3</v>
      </c>
      <c r="AJ374" s="132">
        <v>1.8096753120550499E-3</v>
      </c>
    </row>
    <row r="375" spans="1:36" x14ac:dyDescent="0.2">
      <c r="A375" s="6">
        <v>559</v>
      </c>
      <c r="B375" s="6">
        <v>556</v>
      </c>
      <c r="C375" s="6" t="s">
        <v>1489</v>
      </c>
      <c r="D375" s="6" t="s">
        <v>1490</v>
      </c>
      <c r="E375" s="3" t="s">
        <v>1477</v>
      </c>
      <c r="F375" s="6" t="s">
        <v>1893</v>
      </c>
      <c r="G375" s="6" t="s">
        <v>1894</v>
      </c>
      <c r="H375" s="6" t="s">
        <v>76</v>
      </c>
      <c r="I375" s="6" t="s">
        <v>229</v>
      </c>
      <c r="J375" s="6" t="s">
        <v>53</v>
      </c>
      <c r="K375" s="6" t="s">
        <v>53</v>
      </c>
      <c r="L375" s="6" t="s">
        <v>805</v>
      </c>
      <c r="M375" s="6" t="s">
        <v>1227</v>
      </c>
      <c r="N375" s="6" t="s">
        <v>635</v>
      </c>
      <c r="O375" s="6" t="s">
        <v>62</v>
      </c>
      <c r="P375" s="6" t="s">
        <v>1577</v>
      </c>
      <c r="Q375" s="6" t="s">
        <v>65</v>
      </c>
      <c r="R375" s="6" t="s">
        <v>57</v>
      </c>
      <c r="S375" s="6" t="s">
        <v>1219</v>
      </c>
      <c r="T375" s="131">
        <v>5.0170000000000003</v>
      </c>
      <c r="U375" s="6" t="s">
        <v>1895</v>
      </c>
      <c r="V375" s="134">
        <v>3.1800000000000002E-2</v>
      </c>
      <c r="W375" s="132">
        <v>2.9229999999999999E-2</v>
      </c>
      <c r="X375" s="3" t="s">
        <v>620</v>
      </c>
      <c r="Y375" s="3" t="s">
        <v>62</v>
      </c>
      <c r="Z375" s="131">
        <v>179000</v>
      </c>
      <c r="AA375" s="129">
        <v>1</v>
      </c>
      <c r="AB375" s="157">
        <v>104.39</v>
      </c>
      <c r="AD375" s="131">
        <v>186.858</v>
      </c>
      <c r="AG375" s="6" t="s">
        <v>17</v>
      </c>
      <c r="AH375" s="132">
        <v>3.9199999999999999E-4</v>
      </c>
      <c r="AI375" s="132">
        <v>3.0817811705725101E-3</v>
      </c>
      <c r="AJ375" s="132">
        <v>5.6031657997857303E-4</v>
      </c>
    </row>
    <row r="376" spans="1:36" x14ac:dyDescent="0.2">
      <c r="A376" s="6">
        <v>559</v>
      </c>
      <c r="B376" s="6">
        <v>556</v>
      </c>
      <c r="C376" s="6" t="s">
        <v>1896</v>
      </c>
      <c r="D376" s="6" t="s">
        <v>1897</v>
      </c>
      <c r="E376" s="3" t="s">
        <v>1477</v>
      </c>
      <c r="F376" s="6" t="s">
        <v>1898</v>
      </c>
      <c r="G376" s="6" t="s">
        <v>1899</v>
      </c>
      <c r="H376" s="6" t="s">
        <v>76</v>
      </c>
      <c r="I376" s="6" t="s">
        <v>229</v>
      </c>
      <c r="J376" s="6" t="s">
        <v>53</v>
      </c>
      <c r="K376" s="6" t="s">
        <v>53</v>
      </c>
      <c r="L376" s="6" t="s">
        <v>805</v>
      </c>
      <c r="M376" s="6" t="s">
        <v>311</v>
      </c>
      <c r="N376" s="6" t="s">
        <v>635</v>
      </c>
      <c r="O376" s="6" t="s">
        <v>62</v>
      </c>
      <c r="P376" s="6" t="s">
        <v>1515</v>
      </c>
      <c r="Q376" s="6" t="s">
        <v>65</v>
      </c>
      <c r="R376" s="6" t="s">
        <v>57</v>
      </c>
      <c r="S376" s="6" t="s">
        <v>1219</v>
      </c>
      <c r="T376" s="131">
        <v>0.499</v>
      </c>
      <c r="U376" s="6" t="s">
        <v>1499</v>
      </c>
      <c r="V376" s="134">
        <v>1E-3</v>
      </c>
      <c r="W376" s="132">
        <v>1E-4</v>
      </c>
      <c r="X376" s="3" t="s">
        <v>620</v>
      </c>
      <c r="Y376" s="3" t="s">
        <v>62</v>
      </c>
      <c r="Z376" s="131">
        <v>391000</v>
      </c>
      <c r="AA376" s="129">
        <v>1</v>
      </c>
      <c r="AB376" s="157">
        <v>119.66</v>
      </c>
      <c r="AD376" s="131">
        <v>467.87099999999998</v>
      </c>
      <c r="AG376" s="6" t="s">
        <v>17</v>
      </c>
      <c r="AH376" s="132">
        <v>6.7900000000000002E-4</v>
      </c>
      <c r="AI376" s="132">
        <v>7.7164158543004697E-3</v>
      </c>
      <c r="AJ376" s="132">
        <v>1.40296649952302E-3</v>
      </c>
    </row>
    <row r="377" spans="1:36" x14ac:dyDescent="0.2">
      <c r="A377" s="6">
        <v>559</v>
      </c>
      <c r="B377" s="6">
        <v>556</v>
      </c>
      <c r="C377" s="6" t="s">
        <v>1896</v>
      </c>
      <c r="D377" s="6" t="s">
        <v>1897</v>
      </c>
      <c r="E377" s="3" t="s">
        <v>1477</v>
      </c>
      <c r="F377" s="6" t="s">
        <v>1900</v>
      </c>
      <c r="G377" s="6" t="s">
        <v>1901</v>
      </c>
      <c r="H377" s="6" t="s">
        <v>76</v>
      </c>
      <c r="I377" s="6" t="s">
        <v>229</v>
      </c>
      <c r="J377" s="6" t="s">
        <v>53</v>
      </c>
      <c r="K377" s="6" t="s">
        <v>53</v>
      </c>
      <c r="L377" s="6" t="s">
        <v>805</v>
      </c>
      <c r="M377" s="6" t="s">
        <v>311</v>
      </c>
      <c r="N377" s="6" t="s">
        <v>635</v>
      </c>
      <c r="O377" s="6" t="s">
        <v>62</v>
      </c>
      <c r="P377" s="6" t="s">
        <v>1515</v>
      </c>
      <c r="Q377" s="6" t="s">
        <v>65</v>
      </c>
      <c r="R377" s="6" t="s">
        <v>57</v>
      </c>
      <c r="S377" s="6" t="s">
        <v>1219</v>
      </c>
      <c r="T377" s="131">
        <v>1.7410000000000001</v>
      </c>
      <c r="U377" s="6" t="s">
        <v>1285</v>
      </c>
      <c r="V377" s="134">
        <v>3.0000000000000001E-3</v>
      </c>
      <c r="W377" s="132">
        <v>2.954E-2</v>
      </c>
      <c r="X377" s="3" t="s">
        <v>620</v>
      </c>
      <c r="Y377" s="3" t="s">
        <v>62</v>
      </c>
      <c r="Z377" s="131">
        <v>439000</v>
      </c>
      <c r="AA377" s="129">
        <v>1</v>
      </c>
      <c r="AB377" s="157">
        <v>108.03</v>
      </c>
      <c r="AD377" s="131">
        <v>474.25200000000001</v>
      </c>
      <c r="AG377" s="6" t="s">
        <v>17</v>
      </c>
      <c r="AH377" s="132">
        <v>8.6300000000000005E-4</v>
      </c>
      <c r="AI377" s="132">
        <v>7.8216569641455392E-3</v>
      </c>
      <c r="AJ377" s="132">
        <v>1.4221009985278901E-3</v>
      </c>
    </row>
    <row r="378" spans="1:36" x14ac:dyDescent="0.2">
      <c r="A378" s="6">
        <v>559</v>
      </c>
      <c r="B378" s="6">
        <v>556</v>
      </c>
      <c r="C378" s="6" t="s">
        <v>1896</v>
      </c>
      <c r="D378" s="6" t="s">
        <v>1897</v>
      </c>
      <c r="E378" s="3" t="s">
        <v>1477</v>
      </c>
      <c r="F378" s="6" t="s">
        <v>1902</v>
      </c>
      <c r="G378" s="6" t="s">
        <v>1903</v>
      </c>
      <c r="H378" s="6" t="s">
        <v>76</v>
      </c>
      <c r="I378" s="6" t="s">
        <v>229</v>
      </c>
      <c r="J378" s="6" t="s">
        <v>53</v>
      </c>
      <c r="K378" s="6" t="s">
        <v>53</v>
      </c>
      <c r="L378" s="6" t="s">
        <v>805</v>
      </c>
      <c r="M378" s="6" t="s">
        <v>311</v>
      </c>
      <c r="N378" s="6" t="s">
        <v>635</v>
      </c>
      <c r="O378" s="6" t="s">
        <v>62</v>
      </c>
      <c r="P378" s="6" t="s">
        <v>1515</v>
      </c>
      <c r="Q378" s="6" t="s">
        <v>65</v>
      </c>
      <c r="R378" s="6" t="s">
        <v>57</v>
      </c>
      <c r="S378" s="6" t="s">
        <v>1219</v>
      </c>
      <c r="T378" s="131">
        <v>1.244</v>
      </c>
      <c r="U378" s="6" t="s">
        <v>1578</v>
      </c>
      <c r="V378" s="134">
        <v>3.0000000000000001E-3</v>
      </c>
      <c r="W378" s="132">
        <v>2.963E-2</v>
      </c>
      <c r="X378" s="3" t="s">
        <v>620</v>
      </c>
      <c r="Y378" s="3" t="s">
        <v>62</v>
      </c>
      <c r="Z378" s="131">
        <v>107000</v>
      </c>
      <c r="AA378" s="129">
        <v>1</v>
      </c>
      <c r="AB378" s="157">
        <v>105.16</v>
      </c>
      <c r="AD378" s="131">
        <v>112.521</v>
      </c>
      <c r="AG378" s="6" t="s">
        <v>17</v>
      </c>
      <c r="AH378" s="132">
        <v>2.4699999999999999E-4</v>
      </c>
      <c r="AI378" s="132">
        <v>1.85577031688872E-3</v>
      </c>
      <c r="AJ378" s="132">
        <v>3.3740840755142499E-4</v>
      </c>
    </row>
    <row r="379" spans="1:36" x14ac:dyDescent="0.2">
      <c r="A379" s="6">
        <v>559</v>
      </c>
      <c r="B379" s="6">
        <v>556</v>
      </c>
      <c r="C379" s="6" t="s">
        <v>1896</v>
      </c>
      <c r="D379" s="6" t="s">
        <v>1897</v>
      </c>
      <c r="E379" s="3" t="s">
        <v>1477</v>
      </c>
      <c r="F379" s="6" t="s">
        <v>1904</v>
      </c>
      <c r="G379" s="6" t="s">
        <v>1905</v>
      </c>
      <c r="H379" s="6" t="s">
        <v>76</v>
      </c>
      <c r="I379" s="6" t="s">
        <v>229</v>
      </c>
      <c r="J379" s="6" t="s">
        <v>53</v>
      </c>
      <c r="K379" s="6" t="s">
        <v>53</v>
      </c>
      <c r="L379" s="6" t="s">
        <v>805</v>
      </c>
      <c r="M379" s="6" t="s">
        <v>311</v>
      </c>
      <c r="N379" s="6" t="s">
        <v>635</v>
      </c>
      <c r="O379" s="6" t="s">
        <v>62</v>
      </c>
      <c r="P379" s="6" t="s">
        <v>1515</v>
      </c>
      <c r="Q379" s="6" t="s">
        <v>65</v>
      </c>
      <c r="R379" s="6" t="s">
        <v>57</v>
      </c>
      <c r="S379" s="6" t="s">
        <v>1219</v>
      </c>
      <c r="T379" s="131">
        <v>1.496</v>
      </c>
      <c r="U379" s="6" t="s">
        <v>1516</v>
      </c>
      <c r="V379" s="134">
        <v>3.0000000000000001E-3</v>
      </c>
      <c r="W379" s="132">
        <v>2.7779999999999999E-2</v>
      </c>
      <c r="X379" s="3" t="s">
        <v>620</v>
      </c>
      <c r="Y379" s="3" t="s">
        <v>62</v>
      </c>
      <c r="Z379" s="131">
        <v>146000</v>
      </c>
      <c r="AA379" s="129">
        <v>1</v>
      </c>
      <c r="AB379" s="157">
        <v>101.38</v>
      </c>
      <c r="AD379" s="131">
        <v>148.01499999999999</v>
      </c>
      <c r="AG379" s="6" t="s">
        <v>17</v>
      </c>
      <c r="AH379" s="132">
        <v>4.0299999999999998E-4</v>
      </c>
      <c r="AI379" s="132">
        <v>2.4411530653798601E-3</v>
      </c>
      <c r="AJ379" s="132">
        <v>4.4384025376589201E-4</v>
      </c>
    </row>
    <row r="380" spans="1:36" x14ac:dyDescent="0.2">
      <c r="A380" s="6">
        <v>559</v>
      </c>
      <c r="B380" s="6">
        <v>556</v>
      </c>
      <c r="C380" s="6" t="s">
        <v>1906</v>
      </c>
      <c r="D380" s="6" t="s">
        <v>1907</v>
      </c>
      <c r="E380" s="3" t="s">
        <v>1477</v>
      </c>
      <c r="F380" s="6" t="s">
        <v>1908</v>
      </c>
      <c r="G380" s="6" t="s">
        <v>1909</v>
      </c>
      <c r="H380" s="6" t="s">
        <v>76</v>
      </c>
      <c r="I380" s="6" t="s">
        <v>229</v>
      </c>
      <c r="J380" s="6" t="s">
        <v>53</v>
      </c>
      <c r="K380" s="6" t="s">
        <v>53</v>
      </c>
      <c r="L380" s="6" t="s">
        <v>805</v>
      </c>
      <c r="M380" s="6" t="s">
        <v>1227</v>
      </c>
      <c r="N380" s="6" t="s">
        <v>261</v>
      </c>
      <c r="O380" s="6" t="s">
        <v>62</v>
      </c>
      <c r="P380" s="6" t="s">
        <v>298</v>
      </c>
      <c r="Q380" s="6" t="s">
        <v>298</v>
      </c>
      <c r="R380" s="6" t="s">
        <v>298</v>
      </c>
      <c r="S380" s="6" t="s">
        <v>1219</v>
      </c>
      <c r="T380" s="131">
        <v>3.9620000000000002</v>
      </c>
      <c r="U380" s="6" t="s">
        <v>1713</v>
      </c>
      <c r="V380" s="134">
        <v>4.0899999999999999E-2</v>
      </c>
      <c r="W380" s="132">
        <v>3.2349999999999997E-2</v>
      </c>
      <c r="X380" s="3" t="s">
        <v>620</v>
      </c>
      <c r="Y380" s="3" t="s">
        <v>62</v>
      </c>
      <c r="Z380" s="131">
        <v>137000</v>
      </c>
      <c r="AA380" s="129">
        <v>1</v>
      </c>
      <c r="AB380" s="157">
        <v>105.02</v>
      </c>
      <c r="AD380" s="131">
        <v>143.87700000000001</v>
      </c>
      <c r="AG380" s="6" t="s">
        <v>17</v>
      </c>
      <c r="AH380" s="132">
        <v>4.0499999999999998E-4</v>
      </c>
      <c r="AI380" s="132">
        <v>2.37291646544051E-3</v>
      </c>
      <c r="AJ380" s="132">
        <v>4.3143376018598599E-4</v>
      </c>
    </row>
    <row r="381" spans="1:36" x14ac:dyDescent="0.2">
      <c r="A381" s="6">
        <v>559</v>
      </c>
      <c r="B381" s="6">
        <v>556</v>
      </c>
      <c r="C381" s="6" t="s">
        <v>1910</v>
      </c>
      <c r="D381" s="6" t="s">
        <v>1911</v>
      </c>
      <c r="E381" s="3" t="s">
        <v>1477</v>
      </c>
      <c r="F381" s="6" t="s">
        <v>1912</v>
      </c>
      <c r="G381" s="6" t="s">
        <v>1913</v>
      </c>
      <c r="H381" s="6" t="s">
        <v>76</v>
      </c>
      <c r="I381" s="6" t="s">
        <v>229</v>
      </c>
      <c r="J381" s="6" t="s">
        <v>53</v>
      </c>
      <c r="K381" s="6" t="s">
        <v>53</v>
      </c>
      <c r="L381" s="6" t="s">
        <v>805</v>
      </c>
      <c r="M381" s="6" t="s">
        <v>311</v>
      </c>
      <c r="N381" s="6" t="s">
        <v>256</v>
      </c>
      <c r="O381" s="6" t="s">
        <v>62</v>
      </c>
      <c r="P381" s="6" t="s">
        <v>1213</v>
      </c>
      <c r="Q381" s="6" t="s">
        <v>65</v>
      </c>
      <c r="R381" s="6" t="s">
        <v>57</v>
      </c>
      <c r="S381" s="6" t="s">
        <v>1219</v>
      </c>
      <c r="T381" s="131">
        <v>2.2040000000000002</v>
      </c>
      <c r="U381" s="6" t="s">
        <v>1914</v>
      </c>
      <c r="V381" s="134">
        <v>1.2200000000000001E-2</v>
      </c>
      <c r="W381" s="132">
        <v>2.5080000000000002E-2</v>
      </c>
      <c r="X381" s="3" t="s">
        <v>620</v>
      </c>
      <c r="Y381" s="3" t="s">
        <v>62</v>
      </c>
      <c r="Z381" s="131">
        <v>428000</v>
      </c>
      <c r="AA381" s="129">
        <v>1</v>
      </c>
      <c r="AB381" s="157">
        <v>116.02</v>
      </c>
      <c r="AD381" s="131">
        <v>496.56599999999997</v>
      </c>
      <c r="AG381" s="6" t="s">
        <v>17</v>
      </c>
      <c r="AH381" s="132">
        <v>1.4200000000000001E-4</v>
      </c>
      <c r="AI381" s="132">
        <v>8.1896718206705601E-3</v>
      </c>
      <c r="AJ381" s="132">
        <v>1.4890119225605301E-3</v>
      </c>
    </row>
    <row r="382" spans="1:36" x14ac:dyDescent="0.2">
      <c r="A382" s="6">
        <v>559</v>
      </c>
      <c r="B382" s="6">
        <v>556</v>
      </c>
      <c r="C382" s="6" t="s">
        <v>1910</v>
      </c>
      <c r="D382" s="6" t="s">
        <v>1911</v>
      </c>
      <c r="E382" s="3" t="s">
        <v>1477</v>
      </c>
      <c r="F382" s="6" t="s">
        <v>1915</v>
      </c>
      <c r="G382" s="6" t="s">
        <v>1916</v>
      </c>
      <c r="H382" s="6" t="s">
        <v>76</v>
      </c>
      <c r="I382" s="6" t="s">
        <v>229</v>
      </c>
      <c r="J382" s="6" t="s">
        <v>53</v>
      </c>
      <c r="K382" s="6" t="s">
        <v>53</v>
      </c>
      <c r="L382" s="6" t="s">
        <v>805</v>
      </c>
      <c r="M382" s="6" t="s">
        <v>311</v>
      </c>
      <c r="N382" s="6" t="s">
        <v>256</v>
      </c>
      <c r="O382" s="6" t="s">
        <v>62</v>
      </c>
      <c r="P382" s="6" t="s">
        <v>1213</v>
      </c>
      <c r="Q382" s="6" t="s">
        <v>65</v>
      </c>
      <c r="R382" s="6" t="s">
        <v>57</v>
      </c>
      <c r="S382" s="6" t="s">
        <v>1219</v>
      </c>
      <c r="T382" s="131">
        <v>3.3029999999999999</v>
      </c>
      <c r="U382" s="6" t="s">
        <v>1917</v>
      </c>
      <c r="V382" s="134">
        <v>1E-3</v>
      </c>
      <c r="W382" s="132">
        <v>2.5829999999999999E-2</v>
      </c>
      <c r="X382" s="3" t="s">
        <v>620</v>
      </c>
      <c r="Y382" s="3" t="s">
        <v>62</v>
      </c>
      <c r="Z382" s="131">
        <v>1009000</v>
      </c>
      <c r="AA382" s="129">
        <v>1</v>
      </c>
      <c r="AB382" s="157">
        <v>105.48</v>
      </c>
      <c r="AD382" s="131">
        <v>1064.2929999999999</v>
      </c>
      <c r="AG382" s="6" t="s">
        <v>17</v>
      </c>
      <c r="AH382" s="132">
        <v>2.99E-4</v>
      </c>
      <c r="AI382" s="132">
        <v>1.75529920497338E-2</v>
      </c>
      <c r="AJ382" s="132">
        <v>3.1914116964608498E-3</v>
      </c>
    </row>
    <row r="383" spans="1:36" x14ac:dyDescent="0.2">
      <c r="A383" s="6">
        <v>559</v>
      </c>
      <c r="B383" s="6">
        <v>556</v>
      </c>
      <c r="C383" s="6" t="s">
        <v>1910</v>
      </c>
      <c r="D383" s="6" t="s">
        <v>1911</v>
      </c>
      <c r="E383" s="3" t="s">
        <v>1477</v>
      </c>
      <c r="F383" s="6" t="s">
        <v>1918</v>
      </c>
      <c r="G383" s="6" t="s">
        <v>1919</v>
      </c>
      <c r="H383" s="6" t="s">
        <v>76</v>
      </c>
      <c r="I383" s="6" t="s">
        <v>229</v>
      </c>
      <c r="J383" s="6" t="s">
        <v>53</v>
      </c>
      <c r="K383" s="6" t="s">
        <v>53</v>
      </c>
      <c r="L383" s="6" t="s">
        <v>805</v>
      </c>
      <c r="M383" s="6" t="s">
        <v>311</v>
      </c>
      <c r="N383" s="6" t="s">
        <v>256</v>
      </c>
      <c r="O383" s="6" t="s">
        <v>62</v>
      </c>
      <c r="P383" s="6" t="s">
        <v>1213</v>
      </c>
      <c r="Q383" s="6" t="s">
        <v>65</v>
      </c>
      <c r="R383" s="6" t="s">
        <v>57</v>
      </c>
      <c r="S383" s="6" t="s">
        <v>1219</v>
      </c>
      <c r="T383" s="131">
        <v>4.2160000000000002</v>
      </c>
      <c r="U383" s="6" t="s">
        <v>1920</v>
      </c>
      <c r="V383" s="134">
        <v>2.06E-2</v>
      </c>
      <c r="W383" s="132">
        <v>2.5899999999999999E-2</v>
      </c>
      <c r="X383" s="3" t="s">
        <v>620</v>
      </c>
      <c r="Y383" s="3" t="s">
        <v>62</v>
      </c>
      <c r="Z383" s="131">
        <v>280888.89</v>
      </c>
      <c r="AA383" s="129">
        <v>1</v>
      </c>
      <c r="AB383" s="157">
        <v>103.97</v>
      </c>
      <c r="AD383" s="131">
        <v>292.04000000000002</v>
      </c>
      <c r="AG383" s="6" t="s">
        <v>17</v>
      </c>
      <c r="AH383" s="132">
        <v>1.76E-4</v>
      </c>
      <c r="AI383" s="132">
        <v>4.8165100923446497E-3</v>
      </c>
      <c r="AJ383" s="132">
        <v>8.7571774665411303E-4</v>
      </c>
    </row>
    <row r="384" spans="1:36" x14ac:dyDescent="0.2">
      <c r="A384" s="6">
        <v>559</v>
      </c>
      <c r="B384" s="6">
        <v>556</v>
      </c>
      <c r="C384" s="6" t="s">
        <v>1910</v>
      </c>
      <c r="D384" s="6" t="s">
        <v>1911</v>
      </c>
      <c r="E384" s="3" t="s">
        <v>1477</v>
      </c>
      <c r="F384" s="6" t="s">
        <v>1921</v>
      </c>
      <c r="G384" s="6" t="s">
        <v>1922</v>
      </c>
      <c r="H384" s="6" t="s">
        <v>76</v>
      </c>
      <c r="I384" s="6" t="s">
        <v>229</v>
      </c>
      <c r="J384" s="6" t="s">
        <v>53</v>
      </c>
      <c r="K384" s="6" t="s">
        <v>53</v>
      </c>
      <c r="L384" s="6" t="s">
        <v>805</v>
      </c>
      <c r="M384" s="6" t="s">
        <v>311</v>
      </c>
      <c r="N384" s="6" t="s">
        <v>256</v>
      </c>
      <c r="O384" s="6" t="s">
        <v>62</v>
      </c>
      <c r="P384" s="6" t="s">
        <v>1213</v>
      </c>
      <c r="Q384" s="6" t="s">
        <v>65</v>
      </c>
      <c r="R384" s="6" t="s">
        <v>57</v>
      </c>
      <c r="S384" s="6" t="s">
        <v>1219</v>
      </c>
      <c r="T384" s="131">
        <v>4.1950000000000003</v>
      </c>
      <c r="U384" s="6" t="s">
        <v>1923</v>
      </c>
      <c r="V384" s="134">
        <v>1.9900000000000001E-2</v>
      </c>
      <c r="W384" s="132">
        <v>2.581E-2</v>
      </c>
      <c r="X384" s="3" t="s">
        <v>620</v>
      </c>
      <c r="Y384" s="3" t="s">
        <v>62</v>
      </c>
      <c r="Z384" s="131">
        <v>493000</v>
      </c>
      <c r="AA384" s="129">
        <v>1</v>
      </c>
      <c r="AB384" s="157">
        <v>103.57</v>
      </c>
      <c r="AD384" s="131">
        <v>510.6</v>
      </c>
      <c r="AG384" s="6" t="s">
        <v>17</v>
      </c>
      <c r="AH384" s="132">
        <v>2.03E-4</v>
      </c>
      <c r="AI384" s="132">
        <v>8.4211376112271301E-3</v>
      </c>
      <c r="AJ384" s="132">
        <v>1.5310960657778101E-3</v>
      </c>
    </row>
    <row r="385" spans="1:36" x14ac:dyDescent="0.2">
      <c r="A385" s="6">
        <v>559</v>
      </c>
      <c r="B385" s="6">
        <v>556</v>
      </c>
      <c r="C385" s="6" t="s">
        <v>1910</v>
      </c>
      <c r="D385" s="6" t="s">
        <v>1911</v>
      </c>
      <c r="E385" s="3" t="s">
        <v>1477</v>
      </c>
      <c r="F385" s="6" t="s">
        <v>1924</v>
      </c>
      <c r="G385" s="6" t="s">
        <v>1925</v>
      </c>
      <c r="H385" s="6" t="s">
        <v>76</v>
      </c>
      <c r="I385" s="6" t="s">
        <v>229</v>
      </c>
      <c r="J385" s="6" t="s">
        <v>53</v>
      </c>
      <c r="K385" s="6" t="s">
        <v>53</v>
      </c>
      <c r="L385" s="6" t="s">
        <v>805</v>
      </c>
      <c r="M385" s="6" t="s">
        <v>311</v>
      </c>
      <c r="N385" s="6" t="s">
        <v>256</v>
      </c>
      <c r="O385" s="6" t="s">
        <v>62</v>
      </c>
      <c r="P385" s="6" t="s">
        <v>1926</v>
      </c>
      <c r="Q385" s="6" t="s">
        <v>70</v>
      </c>
      <c r="R385" s="6" t="s">
        <v>57</v>
      </c>
      <c r="S385" s="6" t="s">
        <v>1219</v>
      </c>
      <c r="T385" s="131">
        <v>1.42</v>
      </c>
      <c r="U385" s="6" t="s">
        <v>1927</v>
      </c>
      <c r="V385" s="134">
        <v>5.0000000000000001E-3</v>
      </c>
      <c r="W385" s="132">
        <v>2.6210000000000001E-2</v>
      </c>
      <c r="X385" s="3" t="s">
        <v>620</v>
      </c>
      <c r="Y385" s="3" t="s">
        <v>62</v>
      </c>
      <c r="Z385" s="131">
        <v>648000</v>
      </c>
      <c r="AA385" s="129">
        <v>1</v>
      </c>
      <c r="AB385" s="157">
        <v>112.82</v>
      </c>
      <c r="AD385" s="131">
        <v>731.07399999999996</v>
      </c>
      <c r="AG385" s="6" t="s">
        <v>17</v>
      </c>
      <c r="AH385" s="132">
        <v>8.4900000000000004E-4</v>
      </c>
      <c r="AI385" s="132">
        <v>1.20573250759943E-2</v>
      </c>
      <c r="AJ385" s="132">
        <v>2.1922124824378698E-3</v>
      </c>
    </row>
    <row r="386" spans="1:36" x14ac:dyDescent="0.2">
      <c r="A386" s="6">
        <v>559</v>
      </c>
      <c r="B386" s="6">
        <v>556</v>
      </c>
      <c r="C386" s="6" t="s">
        <v>1910</v>
      </c>
      <c r="D386" s="6" t="s">
        <v>1911</v>
      </c>
      <c r="E386" s="3" t="s">
        <v>1477</v>
      </c>
      <c r="F386" s="6" t="s">
        <v>1928</v>
      </c>
      <c r="G386" s="6" t="s">
        <v>1929</v>
      </c>
      <c r="H386" s="6" t="s">
        <v>76</v>
      </c>
      <c r="I386" s="6" t="s">
        <v>229</v>
      </c>
      <c r="J386" s="6" t="s">
        <v>53</v>
      </c>
      <c r="K386" s="6" t="s">
        <v>53</v>
      </c>
      <c r="L386" s="6" t="s">
        <v>805</v>
      </c>
      <c r="M386" s="6" t="s">
        <v>311</v>
      </c>
      <c r="N386" s="6" t="s">
        <v>256</v>
      </c>
      <c r="O386" s="6" t="s">
        <v>62</v>
      </c>
      <c r="P386" s="6" t="s">
        <v>1213</v>
      </c>
      <c r="Q386" s="6" t="s">
        <v>65</v>
      </c>
      <c r="R386" s="6" t="s">
        <v>57</v>
      </c>
      <c r="S386" s="6" t="s">
        <v>1219</v>
      </c>
      <c r="T386" s="131">
        <v>4.9790000000000001</v>
      </c>
      <c r="U386" s="6" t="s">
        <v>1930</v>
      </c>
      <c r="V386" s="134">
        <v>2E-3</v>
      </c>
      <c r="W386" s="132">
        <v>2.6159999999999999E-2</v>
      </c>
      <c r="X386" s="3" t="s">
        <v>620</v>
      </c>
      <c r="Y386" s="3" t="s">
        <v>62</v>
      </c>
      <c r="Z386" s="131">
        <v>125000</v>
      </c>
      <c r="AA386" s="129">
        <v>1</v>
      </c>
      <c r="AB386" s="157">
        <v>104.05</v>
      </c>
      <c r="AC386" s="131">
        <v>0.29299999999999998</v>
      </c>
      <c r="AD386" s="131">
        <v>130.35499999999999</v>
      </c>
      <c r="AG386" s="6" t="s">
        <v>17</v>
      </c>
      <c r="AH386" s="132">
        <v>3.6000000000000001E-5</v>
      </c>
      <c r="AI386" s="132">
        <v>2.14990298191321E-3</v>
      </c>
      <c r="AJ386" s="132">
        <v>3.9088638012787802E-4</v>
      </c>
    </row>
    <row r="387" spans="1:36" x14ac:dyDescent="0.2">
      <c r="A387" s="6">
        <v>559</v>
      </c>
      <c r="B387" s="6">
        <v>556</v>
      </c>
      <c r="C387" s="6" t="s">
        <v>1910</v>
      </c>
      <c r="D387" s="6" t="s">
        <v>1911</v>
      </c>
      <c r="E387" s="3" t="s">
        <v>1477</v>
      </c>
      <c r="F387" s="6" t="s">
        <v>1931</v>
      </c>
      <c r="G387" s="6" t="s">
        <v>1932</v>
      </c>
      <c r="H387" s="6" t="s">
        <v>76</v>
      </c>
      <c r="I387" s="6" t="s">
        <v>229</v>
      </c>
      <c r="J387" s="6" t="s">
        <v>53</v>
      </c>
      <c r="K387" s="6" t="s">
        <v>53</v>
      </c>
      <c r="L387" s="6" t="s">
        <v>805</v>
      </c>
      <c r="M387" s="6" t="s">
        <v>311</v>
      </c>
      <c r="N387" s="6" t="s">
        <v>256</v>
      </c>
      <c r="O387" s="6" t="s">
        <v>62</v>
      </c>
      <c r="P387" s="6" t="s">
        <v>1213</v>
      </c>
      <c r="Q387" s="6" t="s">
        <v>65</v>
      </c>
      <c r="R387" s="6" t="s">
        <v>57</v>
      </c>
      <c r="S387" s="6" t="s">
        <v>1219</v>
      </c>
      <c r="T387" s="131">
        <v>3.2730000000000001</v>
      </c>
      <c r="U387" s="6" t="s">
        <v>1933</v>
      </c>
      <c r="V387" s="134">
        <v>1.6400000000000001E-2</v>
      </c>
      <c r="W387" s="132">
        <v>2.6179999999999998E-2</v>
      </c>
      <c r="X387" s="3" t="s">
        <v>620</v>
      </c>
      <c r="Y387" s="3" t="s">
        <v>62</v>
      </c>
      <c r="Z387" s="131">
        <v>184000.81</v>
      </c>
      <c r="AA387" s="129">
        <v>1</v>
      </c>
      <c r="AB387" s="157">
        <v>106.26</v>
      </c>
      <c r="AD387" s="131">
        <v>195.51900000000001</v>
      </c>
      <c r="AG387" s="6" t="s">
        <v>17</v>
      </c>
      <c r="AH387" s="132">
        <v>1.9599999999999999E-4</v>
      </c>
      <c r="AI387" s="132">
        <v>3.2246264739286602E-3</v>
      </c>
      <c r="AJ387" s="132">
        <v>5.8628811637667796E-4</v>
      </c>
    </row>
    <row r="388" spans="1:36" x14ac:dyDescent="0.2">
      <c r="A388" s="6">
        <v>559</v>
      </c>
      <c r="B388" s="6">
        <v>556</v>
      </c>
      <c r="C388" s="6" t="s">
        <v>1910</v>
      </c>
      <c r="D388" s="6" t="s">
        <v>1911</v>
      </c>
      <c r="E388" s="3" t="s">
        <v>1477</v>
      </c>
      <c r="F388" s="6" t="s">
        <v>1934</v>
      </c>
      <c r="G388" s="6" t="s">
        <v>1935</v>
      </c>
      <c r="H388" s="6" t="s">
        <v>76</v>
      </c>
      <c r="I388" s="6" t="s">
        <v>229</v>
      </c>
      <c r="J388" s="6" t="s">
        <v>53</v>
      </c>
      <c r="K388" s="6" t="s">
        <v>53</v>
      </c>
      <c r="L388" s="6" t="s">
        <v>805</v>
      </c>
      <c r="M388" s="6" t="s">
        <v>311</v>
      </c>
      <c r="N388" s="6" t="s">
        <v>256</v>
      </c>
      <c r="O388" s="6" t="s">
        <v>62</v>
      </c>
      <c r="P388" s="6" t="s">
        <v>1213</v>
      </c>
      <c r="Q388" s="6" t="s">
        <v>65</v>
      </c>
      <c r="R388" s="6" t="s">
        <v>57</v>
      </c>
      <c r="S388" s="6" t="s">
        <v>1219</v>
      </c>
      <c r="T388" s="131">
        <v>0.97499999999999998</v>
      </c>
      <c r="U388" s="6" t="s">
        <v>1936</v>
      </c>
      <c r="V388" s="134">
        <v>3.8E-3</v>
      </c>
      <c r="W388" s="132">
        <v>2.5610000000000001E-2</v>
      </c>
      <c r="X388" s="3" t="s">
        <v>620</v>
      </c>
      <c r="Y388" s="3" t="s">
        <v>62</v>
      </c>
      <c r="Z388" s="131">
        <v>1093000</v>
      </c>
      <c r="AA388" s="129">
        <v>1</v>
      </c>
      <c r="AB388" s="157">
        <v>112.93</v>
      </c>
      <c r="AD388" s="131">
        <v>1234.325</v>
      </c>
      <c r="AG388" s="6" t="s">
        <v>17</v>
      </c>
      <c r="AH388" s="132">
        <v>3.6400000000000001E-4</v>
      </c>
      <c r="AI388" s="132">
        <v>2.0357261661061499E-2</v>
      </c>
      <c r="AJ388" s="132">
        <v>3.7012722838902601E-3</v>
      </c>
    </row>
    <row r="389" spans="1:36" x14ac:dyDescent="0.2">
      <c r="A389" s="6">
        <v>559</v>
      </c>
      <c r="B389" s="6">
        <v>556</v>
      </c>
      <c r="C389" s="6" t="s">
        <v>1910</v>
      </c>
      <c r="D389" s="6" t="s">
        <v>1911</v>
      </c>
      <c r="E389" s="3" t="s">
        <v>1477</v>
      </c>
      <c r="F389" s="6" t="s">
        <v>1937</v>
      </c>
      <c r="G389" s="6" t="s">
        <v>1938</v>
      </c>
      <c r="H389" s="6" t="s">
        <v>76</v>
      </c>
      <c r="I389" s="6" t="s">
        <v>229</v>
      </c>
      <c r="J389" s="6" t="s">
        <v>53</v>
      </c>
      <c r="K389" s="6" t="s">
        <v>53</v>
      </c>
      <c r="L389" s="6" t="s">
        <v>805</v>
      </c>
      <c r="M389" s="6" t="s">
        <v>311</v>
      </c>
      <c r="N389" s="6" t="s">
        <v>256</v>
      </c>
      <c r="O389" s="6" t="s">
        <v>62</v>
      </c>
      <c r="P389" s="6" t="s">
        <v>1213</v>
      </c>
      <c r="Q389" s="6" t="s">
        <v>65</v>
      </c>
      <c r="R389" s="6" t="s">
        <v>57</v>
      </c>
      <c r="S389" s="6" t="s">
        <v>1219</v>
      </c>
      <c r="T389" s="131">
        <v>3.2029999999999998</v>
      </c>
      <c r="U389" s="6" t="s">
        <v>1939</v>
      </c>
      <c r="V389" s="134">
        <v>1E-3</v>
      </c>
      <c r="W389" s="132">
        <v>2.5860000000000001E-2</v>
      </c>
      <c r="X389" s="3" t="s">
        <v>620</v>
      </c>
      <c r="Y389" s="3" t="s">
        <v>62</v>
      </c>
      <c r="Z389" s="131">
        <v>691729.9</v>
      </c>
      <c r="AA389" s="129">
        <v>1</v>
      </c>
      <c r="AB389" s="157">
        <v>104.36</v>
      </c>
      <c r="AD389" s="131">
        <v>721.88900000000001</v>
      </c>
      <c r="AG389" s="6" t="s">
        <v>17</v>
      </c>
      <c r="AH389" s="132">
        <v>3.1E-4</v>
      </c>
      <c r="AI389" s="132">
        <v>1.19058522206481E-2</v>
      </c>
      <c r="AJ389" s="132">
        <v>2.16467232057379E-3</v>
      </c>
    </row>
    <row r="390" spans="1:36" x14ac:dyDescent="0.2">
      <c r="A390" s="6">
        <v>559</v>
      </c>
      <c r="B390" s="6">
        <v>556</v>
      </c>
      <c r="C390" s="6" t="s">
        <v>2361</v>
      </c>
      <c r="D390" s="6" t="s">
        <v>2362</v>
      </c>
      <c r="E390" s="3" t="s">
        <v>1477</v>
      </c>
      <c r="F390" s="6" t="s">
        <v>2363</v>
      </c>
      <c r="G390" s="6" t="s">
        <v>2364</v>
      </c>
      <c r="H390" s="6" t="s">
        <v>76</v>
      </c>
      <c r="I390" s="6" t="s">
        <v>229</v>
      </c>
      <c r="J390" s="6" t="s">
        <v>53</v>
      </c>
      <c r="K390" s="6" t="s">
        <v>53</v>
      </c>
      <c r="L390" s="6" t="s">
        <v>805</v>
      </c>
      <c r="M390" s="6" t="s">
        <v>311</v>
      </c>
      <c r="N390" s="6" t="s">
        <v>257</v>
      </c>
      <c r="O390" s="6" t="s">
        <v>62</v>
      </c>
      <c r="P390" s="6" t="s">
        <v>1521</v>
      </c>
      <c r="Q390" s="6" t="s">
        <v>70</v>
      </c>
      <c r="R390" s="6" t="s">
        <v>57</v>
      </c>
      <c r="S390" s="6" t="s">
        <v>1219</v>
      </c>
      <c r="T390" s="131">
        <v>0.441</v>
      </c>
      <c r="U390" s="6" t="s">
        <v>2365</v>
      </c>
      <c r="V390" s="134">
        <v>3.95E-2</v>
      </c>
      <c r="W390" s="132">
        <v>2.1739999999999999E-2</v>
      </c>
      <c r="X390" s="3" t="s">
        <v>620</v>
      </c>
      <c r="Y390" s="3" t="s">
        <v>62</v>
      </c>
      <c r="Z390" s="131">
        <v>28333.24</v>
      </c>
      <c r="AA390" s="129">
        <v>1</v>
      </c>
      <c r="AB390" s="157">
        <v>125.2</v>
      </c>
      <c r="AD390" s="131">
        <v>35.472999999999999</v>
      </c>
      <c r="AG390" s="6" t="s">
        <v>17</v>
      </c>
      <c r="AH390" s="132">
        <v>3.48E-4</v>
      </c>
      <c r="AI390" s="132">
        <v>5.8504657067425198E-4</v>
      </c>
      <c r="AJ390" s="132">
        <v>1.06370723767999E-4</v>
      </c>
    </row>
    <row r="391" spans="1:36" x14ac:dyDescent="0.2">
      <c r="A391" s="6">
        <v>559</v>
      </c>
      <c r="B391" s="6">
        <v>556</v>
      </c>
      <c r="C391" s="6" t="s">
        <v>1940</v>
      </c>
      <c r="D391" s="6" t="s">
        <v>1941</v>
      </c>
      <c r="E391" s="3" t="s">
        <v>1477</v>
      </c>
      <c r="F391" s="6" t="s">
        <v>1942</v>
      </c>
      <c r="G391" s="6" t="s">
        <v>1943</v>
      </c>
      <c r="H391" s="6" t="s">
        <v>76</v>
      </c>
      <c r="I391" s="6" t="s">
        <v>229</v>
      </c>
      <c r="J391" s="6" t="s">
        <v>53</v>
      </c>
      <c r="K391" s="6" t="s">
        <v>53</v>
      </c>
      <c r="L391" s="6" t="s">
        <v>805</v>
      </c>
      <c r="M391" s="6" t="s">
        <v>311</v>
      </c>
      <c r="N391" s="6" t="s">
        <v>633</v>
      </c>
      <c r="O391" s="6" t="s">
        <v>62</v>
      </c>
      <c r="P391" s="6" t="s">
        <v>1521</v>
      </c>
      <c r="Q391" s="6" t="s">
        <v>70</v>
      </c>
      <c r="R391" s="6" t="s">
        <v>57</v>
      </c>
      <c r="S391" s="6" t="s">
        <v>1219</v>
      </c>
      <c r="T391" s="131">
        <v>0.499</v>
      </c>
      <c r="U391" s="6" t="s">
        <v>1499</v>
      </c>
      <c r="V391" s="134">
        <v>1.8499999999999999E-2</v>
      </c>
      <c r="W391" s="132">
        <v>2.7910000000000001E-2</v>
      </c>
      <c r="X391" s="3" t="s">
        <v>620</v>
      </c>
      <c r="Y391" s="3" t="s">
        <v>62</v>
      </c>
      <c r="Z391" s="131">
        <v>129714.29</v>
      </c>
      <c r="AA391" s="129">
        <v>1</v>
      </c>
      <c r="AB391" s="157">
        <v>116.51</v>
      </c>
      <c r="AD391" s="131">
        <v>151.13</v>
      </c>
      <c r="AG391" s="6" t="s">
        <v>17</v>
      </c>
      <c r="AH391" s="132">
        <v>8.7900000000000001E-4</v>
      </c>
      <c r="AI391" s="132">
        <v>2.49253286799127E-3</v>
      </c>
      <c r="AJ391" s="132">
        <v>4.53181914865682E-4</v>
      </c>
    </row>
    <row r="392" spans="1:36" x14ac:dyDescent="0.2">
      <c r="A392" s="6">
        <v>559</v>
      </c>
      <c r="B392" s="6">
        <v>556</v>
      </c>
      <c r="C392" s="6" t="s">
        <v>1940</v>
      </c>
      <c r="D392" s="6" t="s">
        <v>1941</v>
      </c>
      <c r="E392" s="3" t="s">
        <v>1477</v>
      </c>
      <c r="F392" s="6" t="s">
        <v>1944</v>
      </c>
      <c r="G392" s="6" t="s">
        <v>1945</v>
      </c>
      <c r="H392" s="6" t="s">
        <v>76</v>
      </c>
      <c r="I392" s="6" t="s">
        <v>229</v>
      </c>
      <c r="J392" s="6" t="s">
        <v>53</v>
      </c>
      <c r="K392" s="6" t="s">
        <v>53</v>
      </c>
      <c r="L392" s="6" t="s">
        <v>805</v>
      </c>
      <c r="M392" s="6" t="s">
        <v>311</v>
      </c>
      <c r="N392" s="6" t="s">
        <v>633</v>
      </c>
      <c r="O392" s="6" t="s">
        <v>62</v>
      </c>
      <c r="P392" s="6" t="s">
        <v>1521</v>
      </c>
      <c r="Q392" s="6" t="s">
        <v>70</v>
      </c>
      <c r="R392" s="6" t="s">
        <v>57</v>
      </c>
      <c r="S392" s="6" t="s">
        <v>1219</v>
      </c>
      <c r="T392" s="131">
        <v>0.17899999999999999</v>
      </c>
      <c r="U392" s="6" t="s">
        <v>1946</v>
      </c>
      <c r="V392" s="134">
        <v>0.01</v>
      </c>
      <c r="W392" s="132">
        <v>3.569E-2</v>
      </c>
      <c r="X392" s="3" t="s">
        <v>620</v>
      </c>
      <c r="Y392" s="3" t="s">
        <v>62</v>
      </c>
      <c r="Z392" s="131">
        <v>90000.23</v>
      </c>
      <c r="AA392" s="129">
        <v>1</v>
      </c>
      <c r="AB392" s="157">
        <v>115.84</v>
      </c>
      <c r="AD392" s="131">
        <v>104.256</v>
      </c>
      <c r="AG392" s="6" t="s">
        <v>17</v>
      </c>
      <c r="AH392" s="132">
        <v>5.3200000000000003E-4</v>
      </c>
      <c r="AI392" s="132">
        <v>1.71945984040472E-3</v>
      </c>
      <c r="AJ392" s="132">
        <v>3.1262500607955003E-4</v>
      </c>
    </row>
    <row r="393" spans="1:36" x14ac:dyDescent="0.2">
      <c r="A393" s="6">
        <v>559</v>
      </c>
      <c r="B393" s="6">
        <v>556</v>
      </c>
      <c r="C393" s="6" t="s">
        <v>1947</v>
      </c>
      <c r="D393" s="6" t="s">
        <v>1948</v>
      </c>
      <c r="E393" s="3" t="s">
        <v>1477</v>
      </c>
      <c r="F393" s="6" t="s">
        <v>1949</v>
      </c>
      <c r="G393" s="6" t="s">
        <v>1950</v>
      </c>
      <c r="H393" s="6" t="s">
        <v>76</v>
      </c>
      <c r="I393" s="6" t="s">
        <v>229</v>
      </c>
      <c r="J393" s="6" t="s">
        <v>53</v>
      </c>
      <c r="K393" s="6" t="s">
        <v>53</v>
      </c>
      <c r="L393" s="6" t="s">
        <v>805</v>
      </c>
      <c r="M393" s="6" t="s">
        <v>311</v>
      </c>
      <c r="N393" s="6" t="s">
        <v>635</v>
      </c>
      <c r="O393" s="6" t="s">
        <v>62</v>
      </c>
      <c r="P393" s="6" t="s">
        <v>1533</v>
      </c>
      <c r="Q393" s="6" t="s">
        <v>65</v>
      </c>
      <c r="R393" s="6" t="s">
        <v>57</v>
      </c>
      <c r="S393" s="6" t="s">
        <v>1219</v>
      </c>
      <c r="T393" s="131">
        <v>3.7440000000000002</v>
      </c>
      <c r="U393" s="6" t="s">
        <v>1549</v>
      </c>
      <c r="V393" s="134">
        <v>1.43E-2</v>
      </c>
      <c r="W393" s="132">
        <v>2.81E-2</v>
      </c>
      <c r="X393" s="3" t="s">
        <v>620</v>
      </c>
      <c r="Y393" s="3" t="s">
        <v>62</v>
      </c>
      <c r="Z393" s="131">
        <v>207692.31</v>
      </c>
      <c r="AA393" s="129">
        <v>1</v>
      </c>
      <c r="AB393" s="157">
        <v>111.28</v>
      </c>
      <c r="AC393" s="131">
        <v>4.4580000000000002</v>
      </c>
      <c r="AD393" s="131">
        <v>235.578</v>
      </c>
      <c r="AG393" s="6" t="s">
        <v>17</v>
      </c>
      <c r="AH393" s="132">
        <v>1.08E-4</v>
      </c>
      <c r="AI393" s="132">
        <v>3.8853035434566001E-3</v>
      </c>
      <c r="AJ393" s="132">
        <v>7.0640966154121999E-4</v>
      </c>
    </row>
    <row r="394" spans="1:36" x14ac:dyDescent="0.2">
      <c r="A394" s="6">
        <v>559</v>
      </c>
      <c r="B394" s="6">
        <v>556</v>
      </c>
      <c r="C394" s="6" t="s">
        <v>1947</v>
      </c>
      <c r="D394" s="6" t="s">
        <v>1948</v>
      </c>
      <c r="E394" s="3" t="s">
        <v>1477</v>
      </c>
      <c r="F394" s="6" t="s">
        <v>1951</v>
      </c>
      <c r="G394" s="6" t="s">
        <v>1952</v>
      </c>
      <c r="H394" s="6" t="s">
        <v>76</v>
      </c>
      <c r="I394" s="6" t="s">
        <v>229</v>
      </c>
      <c r="J394" s="6" t="s">
        <v>53</v>
      </c>
      <c r="K394" s="6" t="s">
        <v>53</v>
      </c>
      <c r="L394" s="6" t="s">
        <v>805</v>
      </c>
      <c r="M394" s="6" t="s">
        <v>311</v>
      </c>
      <c r="N394" s="6" t="s">
        <v>635</v>
      </c>
      <c r="O394" s="6" t="s">
        <v>62</v>
      </c>
      <c r="P394" s="6" t="s">
        <v>1533</v>
      </c>
      <c r="Q394" s="6" t="s">
        <v>65</v>
      </c>
      <c r="R394" s="6" t="s">
        <v>57</v>
      </c>
      <c r="S394" s="6" t="s">
        <v>1219</v>
      </c>
      <c r="T394" s="131">
        <v>2.1999999999999999E-2</v>
      </c>
      <c r="U394" s="6" t="s">
        <v>1953</v>
      </c>
      <c r="V394" s="134">
        <v>1.7600000000000001E-2</v>
      </c>
      <c r="W394" s="132">
        <v>9.2439999999999994E-2</v>
      </c>
      <c r="X394" s="3" t="s">
        <v>620</v>
      </c>
      <c r="Y394" s="3" t="s">
        <v>62</v>
      </c>
      <c r="Z394" s="131">
        <v>524524.66</v>
      </c>
      <c r="AA394" s="129">
        <v>1</v>
      </c>
      <c r="AB394" s="157">
        <v>119.74</v>
      </c>
      <c r="AD394" s="131">
        <v>628.06600000000003</v>
      </c>
      <c r="AG394" s="6" t="s">
        <v>17</v>
      </c>
      <c r="AH394" s="132">
        <v>1.9469999999999999E-3</v>
      </c>
      <c r="AI394" s="132">
        <v>1.0358456188160701E-2</v>
      </c>
      <c r="AJ394" s="132">
        <v>1.8833312373473399E-3</v>
      </c>
    </row>
    <row r="395" spans="1:36" x14ac:dyDescent="0.2">
      <c r="A395" s="6">
        <v>559</v>
      </c>
      <c r="B395" s="6">
        <v>556</v>
      </c>
      <c r="C395" s="6" t="s">
        <v>1947</v>
      </c>
      <c r="D395" s="6" t="s">
        <v>1948</v>
      </c>
      <c r="E395" s="3" t="s">
        <v>1477</v>
      </c>
      <c r="F395" s="6" t="s">
        <v>1954</v>
      </c>
      <c r="G395" s="6" t="s">
        <v>1955</v>
      </c>
      <c r="H395" s="6" t="s">
        <v>76</v>
      </c>
      <c r="I395" s="6" t="s">
        <v>229</v>
      </c>
      <c r="J395" s="6" t="s">
        <v>53</v>
      </c>
      <c r="K395" s="6" t="s">
        <v>53</v>
      </c>
      <c r="L395" s="6" t="s">
        <v>805</v>
      </c>
      <c r="M395" s="6" t="s">
        <v>311</v>
      </c>
      <c r="N395" s="6" t="s">
        <v>635</v>
      </c>
      <c r="O395" s="6" t="s">
        <v>62</v>
      </c>
      <c r="P395" s="6" t="s">
        <v>1533</v>
      </c>
      <c r="Q395" s="6" t="s">
        <v>65</v>
      </c>
      <c r="R395" s="6" t="s">
        <v>57</v>
      </c>
      <c r="S395" s="6" t="s">
        <v>1219</v>
      </c>
      <c r="T395" s="131">
        <v>2.1999999999999999E-2</v>
      </c>
      <c r="U395" s="6" t="s">
        <v>1953</v>
      </c>
      <c r="V395" s="134">
        <v>2.3E-2</v>
      </c>
      <c r="W395" s="132">
        <v>4.793E-2</v>
      </c>
      <c r="X395" s="3" t="s">
        <v>620</v>
      </c>
      <c r="Y395" s="3" t="s">
        <v>62</v>
      </c>
      <c r="Z395" s="131">
        <v>64000.37</v>
      </c>
      <c r="AA395" s="129">
        <v>1</v>
      </c>
      <c r="AB395" s="157">
        <v>120.17</v>
      </c>
      <c r="AD395" s="131">
        <v>76.909000000000006</v>
      </c>
      <c r="AG395" s="6" t="s">
        <v>17</v>
      </c>
      <c r="AH395" s="132">
        <v>8.0000000000000007E-5</v>
      </c>
      <c r="AI395" s="132">
        <v>1.2684355772674899E-3</v>
      </c>
      <c r="AJ395" s="132">
        <v>2.3062165846306199E-4</v>
      </c>
    </row>
    <row r="396" spans="1:36" x14ac:dyDescent="0.2">
      <c r="A396" s="6">
        <v>559</v>
      </c>
      <c r="B396" s="6">
        <v>556</v>
      </c>
      <c r="C396" s="6" t="s">
        <v>1947</v>
      </c>
      <c r="D396" s="6" t="s">
        <v>1948</v>
      </c>
      <c r="E396" s="3" t="s">
        <v>1477</v>
      </c>
      <c r="F396" s="6" t="s">
        <v>1956</v>
      </c>
      <c r="G396" s="6" t="s">
        <v>1957</v>
      </c>
      <c r="H396" s="6" t="s">
        <v>76</v>
      </c>
      <c r="I396" s="6" t="s">
        <v>229</v>
      </c>
      <c r="J396" s="6" t="s">
        <v>53</v>
      </c>
      <c r="K396" s="6" t="s">
        <v>53</v>
      </c>
      <c r="L396" s="6" t="s">
        <v>805</v>
      </c>
      <c r="M396" s="6" t="s">
        <v>311</v>
      </c>
      <c r="N396" s="6" t="s">
        <v>635</v>
      </c>
      <c r="O396" s="6" t="s">
        <v>62</v>
      </c>
      <c r="P396" s="6" t="s">
        <v>1533</v>
      </c>
      <c r="Q396" s="6" t="s">
        <v>65</v>
      </c>
      <c r="R396" s="6" t="s">
        <v>57</v>
      </c>
      <c r="S396" s="6" t="s">
        <v>1219</v>
      </c>
      <c r="T396" s="131">
        <v>0.80800000000000005</v>
      </c>
      <c r="U396" s="6" t="s">
        <v>1958</v>
      </c>
      <c r="V396" s="134">
        <v>2.1499999999999998E-2</v>
      </c>
      <c r="W396" s="132">
        <v>3.1850000000000003E-2</v>
      </c>
      <c r="X396" s="3" t="s">
        <v>620</v>
      </c>
      <c r="Y396" s="3" t="s">
        <v>62</v>
      </c>
      <c r="Z396" s="131">
        <v>260470.87</v>
      </c>
      <c r="AA396" s="129">
        <v>1</v>
      </c>
      <c r="AB396" s="157">
        <v>118.67</v>
      </c>
      <c r="AD396" s="131">
        <v>309.101</v>
      </c>
      <c r="AG396" s="6" t="s">
        <v>17</v>
      </c>
      <c r="AH396" s="132">
        <v>2.24E-4</v>
      </c>
      <c r="AI396" s="132">
        <v>5.0978842662808901E-3</v>
      </c>
      <c r="AJ396" s="132">
        <v>9.2687602367251705E-4</v>
      </c>
    </row>
    <row r="397" spans="1:36" x14ac:dyDescent="0.2">
      <c r="A397" s="6">
        <v>559</v>
      </c>
      <c r="B397" s="6">
        <v>556</v>
      </c>
      <c r="C397" s="6" t="s">
        <v>1947</v>
      </c>
      <c r="D397" s="6" t="s">
        <v>1948</v>
      </c>
      <c r="E397" s="3" t="s">
        <v>1477</v>
      </c>
      <c r="F397" s="6" t="s">
        <v>1959</v>
      </c>
      <c r="G397" s="6" t="s">
        <v>1960</v>
      </c>
      <c r="H397" s="6" t="s">
        <v>76</v>
      </c>
      <c r="I397" s="6" t="s">
        <v>229</v>
      </c>
      <c r="J397" s="6" t="s">
        <v>53</v>
      </c>
      <c r="K397" s="6" t="s">
        <v>53</v>
      </c>
      <c r="L397" s="6" t="s">
        <v>805</v>
      </c>
      <c r="M397" s="6" t="s">
        <v>311</v>
      </c>
      <c r="N397" s="6" t="s">
        <v>635</v>
      </c>
      <c r="O397" s="6" t="s">
        <v>62</v>
      </c>
      <c r="P397" s="6" t="s">
        <v>1533</v>
      </c>
      <c r="Q397" s="6" t="s">
        <v>65</v>
      </c>
      <c r="R397" s="6" t="s">
        <v>57</v>
      </c>
      <c r="S397" s="6" t="s">
        <v>1219</v>
      </c>
      <c r="T397" s="131">
        <v>1.6779999999999999</v>
      </c>
      <c r="U397" s="6" t="s">
        <v>1663</v>
      </c>
      <c r="V397" s="134">
        <v>2.35E-2</v>
      </c>
      <c r="W397" s="132">
        <v>2.7459999999999998E-2</v>
      </c>
      <c r="X397" s="3" t="s">
        <v>620</v>
      </c>
      <c r="Y397" s="3" t="s">
        <v>62</v>
      </c>
      <c r="Z397" s="131">
        <v>445631.87</v>
      </c>
      <c r="AA397" s="129">
        <v>1</v>
      </c>
      <c r="AB397" s="157">
        <v>118.4</v>
      </c>
      <c r="AD397" s="131">
        <v>527.62800000000004</v>
      </c>
      <c r="AG397" s="6" t="s">
        <v>17</v>
      </c>
      <c r="AH397" s="132">
        <v>4.86E-4</v>
      </c>
      <c r="AI397" s="132">
        <v>8.7019746463870302E-3</v>
      </c>
      <c r="AJ397" s="132">
        <v>1.5821566824675099E-3</v>
      </c>
    </row>
    <row r="398" spans="1:36" x14ac:dyDescent="0.2">
      <c r="A398" s="6">
        <v>559</v>
      </c>
      <c r="B398" s="6">
        <v>556</v>
      </c>
      <c r="C398" s="6" t="s">
        <v>1961</v>
      </c>
      <c r="D398" s="6" t="s">
        <v>1962</v>
      </c>
      <c r="E398" s="3" t="s">
        <v>1477</v>
      </c>
      <c r="F398" s="6" t="s">
        <v>1963</v>
      </c>
      <c r="G398" s="6" t="s">
        <v>1964</v>
      </c>
      <c r="H398" s="6" t="s">
        <v>76</v>
      </c>
      <c r="I398" s="6" t="s">
        <v>229</v>
      </c>
      <c r="J398" s="6" t="s">
        <v>53</v>
      </c>
      <c r="K398" s="6" t="s">
        <v>53</v>
      </c>
      <c r="L398" s="6" t="s">
        <v>805</v>
      </c>
      <c r="M398" s="6" t="s">
        <v>311</v>
      </c>
      <c r="N398" s="6" t="s">
        <v>635</v>
      </c>
      <c r="O398" s="6" t="s">
        <v>62</v>
      </c>
      <c r="P398" s="6" t="s">
        <v>1965</v>
      </c>
      <c r="Q398" s="6" t="s">
        <v>70</v>
      </c>
      <c r="R398" s="6" t="s">
        <v>57</v>
      </c>
      <c r="S398" s="6" t="s">
        <v>1219</v>
      </c>
      <c r="T398" s="131">
        <v>2.2509999999999999</v>
      </c>
      <c r="U398" s="6" t="s">
        <v>1605</v>
      </c>
      <c r="V398" s="134">
        <v>2.75E-2</v>
      </c>
      <c r="W398" s="132">
        <v>2.869E-2</v>
      </c>
      <c r="X398" s="3" t="s">
        <v>620</v>
      </c>
      <c r="Y398" s="3" t="s">
        <v>62</v>
      </c>
      <c r="Z398" s="131">
        <v>507294.48</v>
      </c>
      <c r="AA398" s="129">
        <v>1</v>
      </c>
      <c r="AB398" s="157">
        <v>116.1</v>
      </c>
      <c r="AD398" s="131">
        <v>588.96900000000005</v>
      </c>
      <c r="AG398" s="6" t="s">
        <v>17</v>
      </c>
      <c r="AH398" s="132">
        <v>9.0700000000000004E-4</v>
      </c>
      <c r="AI398" s="132">
        <v>9.7136449487588306E-3</v>
      </c>
      <c r="AJ398" s="132">
        <v>1.7660943511455E-3</v>
      </c>
    </row>
    <row r="399" spans="1:36" x14ac:dyDescent="0.2">
      <c r="A399" s="6">
        <v>559</v>
      </c>
      <c r="B399" s="6">
        <v>556</v>
      </c>
      <c r="C399" s="6" t="s">
        <v>1961</v>
      </c>
      <c r="D399" s="6" t="s">
        <v>1962</v>
      </c>
      <c r="E399" s="3" t="s">
        <v>1477</v>
      </c>
      <c r="F399" s="6" t="s">
        <v>2366</v>
      </c>
      <c r="G399" s="6" t="s">
        <v>2367</v>
      </c>
      <c r="H399" s="6" t="s">
        <v>76</v>
      </c>
      <c r="I399" s="6" t="s">
        <v>229</v>
      </c>
      <c r="J399" s="6" t="s">
        <v>53</v>
      </c>
      <c r="K399" s="6" t="s">
        <v>53</v>
      </c>
      <c r="L399" s="6" t="s">
        <v>805</v>
      </c>
      <c r="M399" s="6" t="s">
        <v>311</v>
      </c>
      <c r="N399" s="6" t="s">
        <v>635</v>
      </c>
      <c r="O399" s="6" t="s">
        <v>62</v>
      </c>
      <c r="P399" s="6" t="s">
        <v>1965</v>
      </c>
      <c r="Q399" s="6" t="s">
        <v>70</v>
      </c>
      <c r="R399" s="6" t="s">
        <v>57</v>
      </c>
      <c r="S399" s="6" t="s">
        <v>1219</v>
      </c>
      <c r="T399" s="131">
        <v>3.7210000000000001</v>
      </c>
      <c r="U399" s="6" t="s">
        <v>1649</v>
      </c>
      <c r="V399" s="134">
        <v>8.5000000000000006E-3</v>
      </c>
      <c r="W399" s="132">
        <v>2.8299999999999999E-2</v>
      </c>
      <c r="X399" s="3" t="s">
        <v>620</v>
      </c>
      <c r="Y399" s="3" t="s">
        <v>62</v>
      </c>
      <c r="Z399" s="131">
        <v>496000</v>
      </c>
      <c r="AA399" s="129">
        <v>1</v>
      </c>
      <c r="AB399" s="157">
        <v>107.79</v>
      </c>
      <c r="AD399" s="131">
        <v>534.63800000000003</v>
      </c>
      <c r="AG399" s="6" t="s">
        <v>17</v>
      </c>
      <c r="AH399" s="132">
        <v>7.9299999999999998E-4</v>
      </c>
      <c r="AI399" s="132">
        <v>8.8175923558305204E-3</v>
      </c>
      <c r="AJ399" s="132">
        <v>1.6031778114687901E-3</v>
      </c>
    </row>
    <row r="400" spans="1:36" x14ac:dyDescent="0.2">
      <c r="A400" s="6">
        <v>559</v>
      </c>
      <c r="B400" s="6">
        <v>556</v>
      </c>
      <c r="C400" s="6" t="s">
        <v>1961</v>
      </c>
      <c r="D400" s="6" t="s">
        <v>1962</v>
      </c>
      <c r="E400" s="3" t="s">
        <v>1477</v>
      </c>
      <c r="F400" s="6" t="s">
        <v>2368</v>
      </c>
      <c r="G400" s="6" t="s">
        <v>2369</v>
      </c>
      <c r="H400" s="6" t="s">
        <v>76</v>
      </c>
      <c r="I400" s="6" t="s">
        <v>229</v>
      </c>
      <c r="J400" s="6" t="s">
        <v>53</v>
      </c>
      <c r="K400" s="6" t="s">
        <v>53</v>
      </c>
      <c r="L400" s="6" t="s">
        <v>805</v>
      </c>
      <c r="M400" s="6" t="s">
        <v>311</v>
      </c>
      <c r="N400" s="6" t="s">
        <v>635</v>
      </c>
      <c r="O400" s="6" t="s">
        <v>62</v>
      </c>
      <c r="P400" s="6" t="s">
        <v>1965</v>
      </c>
      <c r="Q400" s="6" t="s">
        <v>70</v>
      </c>
      <c r="R400" s="6" t="s">
        <v>57</v>
      </c>
      <c r="S400" s="6" t="s">
        <v>1219</v>
      </c>
      <c r="T400" s="131">
        <v>5.391</v>
      </c>
      <c r="U400" s="6" t="s">
        <v>2006</v>
      </c>
      <c r="V400" s="134">
        <v>3.1800000000000002E-2</v>
      </c>
      <c r="W400" s="132">
        <v>3.0280000000000001E-2</v>
      </c>
      <c r="X400" s="3" t="s">
        <v>620</v>
      </c>
      <c r="Y400" s="3" t="s">
        <v>62</v>
      </c>
      <c r="Z400" s="131">
        <v>35838</v>
      </c>
      <c r="AA400" s="129">
        <v>1</v>
      </c>
      <c r="AB400" s="157">
        <v>110.5</v>
      </c>
      <c r="AD400" s="131">
        <v>39.600999999999999</v>
      </c>
      <c r="AG400" s="6" t="s">
        <v>17</v>
      </c>
      <c r="AH400" s="132">
        <v>7.8999999999999996E-5</v>
      </c>
      <c r="AI400" s="132">
        <v>6.5312440465802805E-4</v>
      </c>
      <c r="AJ400" s="132">
        <v>1.1874835118502E-4</v>
      </c>
    </row>
    <row r="401" spans="1:36" x14ac:dyDescent="0.2">
      <c r="A401" s="6">
        <v>559</v>
      </c>
      <c r="B401" s="6">
        <v>556</v>
      </c>
      <c r="C401" s="6" t="s">
        <v>1966</v>
      </c>
      <c r="D401" s="6" t="s">
        <v>1967</v>
      </c>
      <c r="E401" s="3" t="s">
        <v>1477</v>
      </c>
      <c r="F401" s="6" t="s">
        <v>1968</v>
      </c>
      <c r="G401" s="6" t="s">
        <v>1969</v>
      </c>
      <c r="H401" s="6" t="s">
        <v>76</v>
      </c>
      <c r="I401" s="6" t="s">
        <v>228</v>
      </c>
      <c r="J401" s="6" t="s">
        <v>53</v>
      </c>
      <c r="K401" s="6" t="s">
        <v>53</v>
      </c>
      <c r="L401" s="6" t="s">
        <v>805</v>
      </c>
      <c r="M401" s="6" t="s">
        <v>311</v>
      </c>
      <c r="N401" s="6" t="s">
        <v>633</v>
      </c>
      <c r="O401" s="6" t="s">
        <v>62</v>
      </c>
      <c r="P401" s="6" t="s">
        <v>1604</v>
      </c>
      <c r="Q401" s="6" t="s">
        <v>70</v>
      </c>
      <c r="R401" s="6" t="s">
        <v>57</v>
      </c>
      <c r="S401" s="6" t="s">
        <v>1219</v>
      </c>
      <c r="T401" s="131">
        <v>0.73099999999999998</v>
      </c>
      <c r="U401" s="6" t="s">
        <v>1578</v>
      </c>
      <c r="V401" s="134">
        <v>0.114</v>
      </c>
      <c r="W401" s="132">
        <v>5.91E-2</v>
      </c>
      <c r="X401" s="3" t="s">
        <v>620</v>
      </c>
      <c r="Y401" s="3" t="s">
        <v>62</v>
      </c>
      <c r="Z401" s="131">
        <v>109000</v>
      </c>
      <c r="AA401" s="129">
        <v>1</v>
      </c>
      <c r="AB401" s="157">
        <v>102.52</v>
      </c>
      <c r="AD401" s="131">
        <v>111.747</v>
      </c>
      <c r="AG401" s="6" t="s">
        <v>17</v>
      </c>
      <c r="AH401" s="132">
        <v>4.5100000000000001E-4</v>
      </c>
      <c r="AI401" s="132">
        <v>1.84299842560602E-3</v>
      </c>
      <c r="AJ401" s="132">
        <v>3.3508627562599399E-4</v>
      </c>
    </row>
    <row r="402" spans="1:36" x14ac:dyDescent="0.2">
      <c r="A402" s="6">
        <v>559</v>
      </c>
      <c r="B402" s="6">
        <v>556</v>
      </c>
      <c r="C402" s="6" t="s">
        <v>1970</v>
      </c>
      <c r="D402" s="6" t="s">
        <v>1971</v>
      </c>
      <c r="E402" s="3" t="s">
        <v>1477</v>
      </c>
      <c r="F402" s="6" t="s">
        <v>1972</v>
      </c>
      <c r="G402" s="6" t="s">
        <v>1973</v>
      </c>
      <c r="H402" s="6" t="s">
        <v>76</v>
      </c>
      <c r="I402" s="6" t="s">
        <v>229</v>
      </c>
      <c r="J402" s="6" t="s">
        <v>53</v>
      </c>
      <c r="K402" s="6" t="s">
        <v>53</v>
      </c>
      <c r="L402" s="6" t="s">
        <v>805</v>
      </c>
      <c r="M402" s="6" t="s">
        <v>311</v>
      </c>
      <c r="N402" s="6" t="s">
        <v>258</v>
      </c>
      <c r="O402" s="6" t="s">
        <v>62</v>
      </c>
      <c r="P402" s="6" t="s">
        <v>1213</v>
      </c>
      <c r="Q402" s="6" t="s">
        <v>65</v>
      </c>
      <c r="R402" s="6" t="s">
        <v>57</v>
      </c>
      <c r="S402" s="6" t="s">
        <v>1219</v>
      </c>
      <c r="T402" s="131">
        <v>1.4810000000000001</v>
      </c>
      <c r="U402" s="6" t="s">
        <v>1605</v>
      </c>
      <c r="V402" s="134">
        <v>1E-3</v>
      </c>
      <c r="W402" s="132">
        <v>2.6009999999999998E-2</v>
      </c>
      <c r="X402" s="3" t="s">
        <v>620</v>
      </c>
      <c r="Y402" s="3" t="s">
        <v>62</v>
      </c>
      <c r="Z402" s="131">
        <v>1113000</v>
      </c>
      <c r="AA402" s="129">
        <v>1</v>
      </c>
      <c r="AB402" s="157">
        <v>111.15</v>
      </c>
      <c r="AD402" s="131">
        <v>1237.0999999999999</v>
      </c>
      <c r="AG402" s="6" t="s">
        <v>17</v>
      </c>
      <c r="AH402" s="132">
        <v>1.7329999999999999E-3</v>
      </c>
      <c r="AI402" s="132">
        <v>2.0403022107281801E-2</v>
      </c>
      <c r="AJ402" s="132">
        <v>3.7095922570827898E-3</v>
      </c>
    </row>
    <row r="403" spans="1:36" x14ac:dyDescent="0.2">
      <c r="A403" s="6">
        <v>559</v>
      </c>
      <c r="B403" s="6">
        <v>556</v>
      </c>
      <c r="C403" s="6" t="s">
        <v>1970</v>
      </c>
      <c r="D403" s="6" t="s">
        <v>1971</v>
      </c>
      <c r="E403" s="3" t="s">
        <v>1477</v>
      </c>
      <c r="F403" s="6" t="s">
        <v>1974</v>
      </c>
      <c r="G403" s="6" t="s">
        <v>1975</v>
      </c>
      <c r="H403" s="6" t="s">
        <v>76</v>
      </c>
      <c r="I403" s="6" t="s">
        <v>229</v>
      </c>
      <c r="J403" s="6" t="s">
        <v>53</v>
      </c>
      <c r="K403" s="6" t="s">
        <v>53</v>
      </c>
      <c r="L403" s="6" t="s">
        <v>805</v>
      </c>
      <c r="M403" s="6" t="s">
        <v>311</v>
      </c>
      <c r="N403" s="6" t="s">
        <v>258</v>
      </c>
      <c r="O403" s="6" t="s">
        <v>62</v>
      </c>
      <c r="P403" s="6" t="s">
        <v>1213</v>
      </c>
      <c r="Q403" s="6" t="s">
        <v>65</v>
      </c>
      <c r="R403" s="6" t="s">
        <v>57</v>
      </c>
      <c r="S403" s="6" t="s">
        <v>1219</v>
      </c>
      <c r="T403" s="131">
        <v>11.726000000000001</v>
      </c>
      <c r="U403" s="6" t="s">
        <v>1976</v>
      </c>
      <c r="V403" s="134">
        <v>2.07E-2</v>
      </c>
      <c r="W403" s="132">
        <v>2.776E-2</v>
      </c>
      <c r="X403" s="3" t="s">
        <v>620</v>
      </c>
      <c r="Y403" s="3" t="s">
        <v>62</v>
      </c>
      <c r="Z403" s="131">
        <v>1168176.3899999999</v>
      </c>
      <c r="AA403" s="129">
        <v>1</v>
      </c>
      <c r="AB403" s="157">
        <v>106.32</v>
      </c>
      <c r="AD403" s="131">
        <v>1242.0050000000001</v>
      </c>
      <c r="AG403" s="6" t="s">
        <v>17</v>
      </c>
      <c r="AH403" s="132">
        <v>2.14E-4</v>
      </c>
      <c r="AI403" s="132">
        <v>2.04839289684219E-2</v>
      </c>
      <c r="AJ403" s="132">
        <v>3.7243024046311399E-3</v>
      </c>
    </row>
    <row r="404" spans="1:36" x14ac:dyDescent="0.2">
      <c r="A404" s="6">
        <v>559</v>
      </c>
      <c r="B404" s="6">
        <v>556</v>
      </c>
      <c r="C404" s="6" t="s">
        <v>1977</v>
      </c>
      <c r="D404" s="6" t="s">
        <v>1978</v>
      </c>
      <c r="E404" s="3" t="s">
        <v>1477</v>
      </c>
      <c r="F404" s="6" t="s">
        <v>1979</v>
      </c>
      <c r="G404" s="6" t="s">
        <v>1980</v>
      </c>
      <c r="H404" s="6" t="s">
        <v>76</v>
      </c>
      <c r="I404" s="6" t="s">
        <v>229</v>
      </c>
      <c r="J404" s="6" t="s">
        <v>53</v>
      </c>
      <c r="K404" s="6" t="s">
        <v>53</v>
      </c>
      <c r="L404" s="6" t="s">
        <v>805</v>
      </c>
      <c r="M404" s="6" t="s">
        <v>311</v>
      </c>
      <c r="N404" s="6" t="s">
        <v>256</v>
      </c>
      <c r="O404" s="6" t="s">
        <v>62</v>
      </c>
      <c r="P404" s="6" t="s">
        <v>1213</v>
      </c>
      <c r="Q404" s="6" t="s">
        <v>65</v>
      </c>
      <c r="R404" s="6" t="s">
        <v>57</v>
      </c>
      <c r="S404" s="6" t="s">
        <v>1219</v>
      </c>
      <c r="T404" s="131">
        <v>2.5089999999999999</v>
      </c>
      <c r="U404" s="6" t="s">
        <v>1981</v>
      </c>
      <c r="V404" s="134">
        <v>1.4999999999999999E-2</v>
      </c>
      <c r="W404" s="132">
        <v>2.5399999999999999E-2</v>
      </c>
      <c r="X404" s="3" t="s">
        <v>620</v>
      </c>
      <c r="Y404" s="3" t="s">
        <v>62</v>
      </c>
      <c r="Z404" s="131">
        <v>93651.89</v>
      </c>
      <c r="AA404" s="129">
        <v>1</v>
      </c>
      <c r="AB404" s="157">
        <v>114.77</v>
      </c>
      <c r="AD404" s="131">
        <v>107.48399999999999</v>
      </c>
      <c r="AG404" s="6" t="s">
        <v>17</v>
      </c>
      <c r="AH404" s="132">
        <v>4.0200000000000001E-4</v>
      </c>
      <c r="AI404" s="132">
        <v>1.7726981715931399E-3</v>
      </c>
      <c r="AJ404" s="132">
        <v>3.2230457708222601E-4</v>
      </c>
    </row>
    <row r="405" spans="1:36" x14ac:dyDescent="0.2">
      <c r="A405" s="6">
        <v>559</v>
      </c>
      <c r="B405" s="6">
        <v>556</v>
      </c>
      <c r="C405" s="6" t="s">
        <v>1982</v>
      </c>
      <c r="D405" s="6" t="s">
        <v>1983</v>
      </c>
      <c r="E405" s="3" t="s">
        <v>1477</v>
      </c>
      <c r="F405" s="6" t="s">
        <v>1984</v>
      </c>
      <c r="G405" s="6" t="s">
        <v>1985</v>
      </c>
      <c r="H405" s="6" t="s">
        <v>76</v>
      </c>
      <c r="I405" s="6" t="s">
        <v>229</v>
      </c>
      <c r="J405" s="6" t="s">
        <v>53</v>
      </c>
      <c r="K405" s="6" t="s">
        <v>53</v>
      </c>
      <c r="L405" s="6" t="s">
        <v>805</v>
      </c>
      <c r="M405" s="6" t="s">
        <v>311</v>
      </c>
      <c r="N405" s="6" t="s">
        <v>156</v>
      </c>
      <c r="O405" s="6" t="s">
        <v>62</v>
      </c>
      <c r="P405" s="6" t="s">
        <v>298</v>
      </c>
      <c r="Q405" s="6" t="s">
        <v>298</v>
      </c>
      <c r="R405" s="6" t="s">
        <v>298</v>
      </c>
      <c r="S405" s="6" t="s">
        <v>1219</v>
      </c>
      <c r="T405" s="131">
        <v>0.72399999999999998</v>
      </c>
      <c r="U405" s="6" t="s">
        <v>1718</v>
      </c>
      <c r="V405" s="134">
        <v>1.6400000000000001E-2</v>
      </c>
      <c r="W405" s="132">
        <v>2.809E-2</v>
      </c>
      <c r="X405" s="3" t="s">
        <v>620</v>
      </c>
      <c r="Y405" s="3" t="s">
        <v>62</v>
      </c>
      <c r="Z405" s="131">
        <v>239984.2</v>
      </c>
      <c r="AA405" s="129">
        <v>1</v>
      </c>
      <c r="AB405" s="157">
        <v>116.68</v>
      </c>
      <c r="AD405" s="131">
        <v>280.01400000000001</v>
      </c>
      <c r="AG405" s="6" t="s">
        <v>17</v>
      </c>
      <c r="AH405" s="132">
        <v>1.0089999999999999E-3</v>
      </c>
      <c r="AI405" s="132">
        <v>4.6181596129142802E-3</v>
      </c>
      <c r="AJ405" s="132">
        <v>8.3965449098470201E-4</v>
      </c>
    </row>
    <row r="406" spans="1:36" x14ac:dyDescent="0.2">
      <c r="A406" s="6">
        <v>559</v>
      </c>
      <c r="B406" s="6">
        <v>556</v>
      </c>
      <c r="C406" s="6" t="s">
        <v>1986</v>
      </c>
      <c r="D406" s="6" t="s">
        <v>1987</v>
      </c>
      <c r="E406" s="3" t="s">
        <v>1477</v>
      </c>
      <c r="F406" s="6" t="s">
        <v>1988</v>
      </c>
      <c r="G406" s="6" t="s">
        <v>1989</v>
      </c>
      <c r="H406" s="6" t="s">
        <v>76</v>
      </c>
      <c r="I406" s="6" t="s">
        <v>228</v>
      </c>
      <c r="J406" s="6" t="s">
        <v>53</v>
      </c>
      <c r="K406" s="6" t="s">
        <v>53</v>
      </c>
      <c r="L406" s="6" t="s">
        <v>805</v>
      </c>
      <c r="M406" s="6" t="s">
        <v>311</v>
      </c>
      <c r="N406" s="6" t="s">
        <v>633</v>
      </c>
      <c r="O406" s="6" t="s">
        <v>62</v>
      </c>
      <c r="P406" s="6" t="s">
        <v>1628</v>
      </c>
      <c r="Q406" s="6" t="s">
        <v>65</v>
      </c>
      <c r="R406" s="6" t="s">
        <v>57</v>
      </c>
      <c r="S406" s="6" t="s">
        <v>1219</v>
      </c>
      <c r="T406" s="131">
        <v>6.29</v>
      </c>
      <c r="U406" s="6" t="s">
        <v>1797</v>
      </c>
      <c r="V406" s="134">
        <v>1.55E-2</v>
      </c>
      <c r="W406" s="132">
        <v>5.4399999999999997E-2</v>
      </c>
      <c r="X406" s="3" t="s">
        <v>620</v>
      </c>
      <c r="Y406" s="3" t="s">
        <v>62</v>
      </c>
      <c r="Z406" s="131">
        <v>11333.33</v>
      </c>
      <c r="AA406" s="129">
        <v>1</v>
      </c>
      <c r="AB406" s="157">
        <v>98.94</v>
      </c>
      <c r="AD406" s="131">
        <v>11.212999999999999</v>
      </c>
      <c r="AG406" s="6" t="s">
        <v>17</v>
      </c>
      <c r="AH406" s="132">
        <v>3.5E-4</v>
      </c>
      <c r="AI406" s="132">
        <v>1.8493508420640799E-4</v>
      </c>
      <c r="AJ406" s="132">
        <v>3.3624124545265399E-5</v>
      </c>
    </row>
    <row r="407" spans="1:36" x14ac:dyDescent="0.2">
      <c r="A407" s="6">
        <v>559</v>
      </c>
      <c r="B407" s="6">
        <v>556</v>
      </c>
      <c r="C407" s="6" t="s">
        <v>1990</v>
      </c>
      <c r="D407" s="6" t="s">
        <v>1991</v>
      </c>
      <c r="E407" s="3" t="s">
        <v>432</v>
      </c>
      <c r="F407" s="6" t="s">
        <v>1992</v>
      </c>
      <c r="G407" s="6" t="s">
        <v>1993</v>
      </c>
      <c r="H407" s="6" t="s">
        <v>76</v>
      </c>
      <c r="I407" s="6" t="s">
        <v>228</v>
      </c>
      <c r="J407" s="6" t="s">
        <v>53</v>
      </c>
      <c r="K407" s="6" t="s">
        <v>53</v>
      </c>
      <c r="L407" s="6" t="s">
        <v>805</v>
      </c>
      <c r="M407" s="6" t="s">
        <v>102</v>
      </c>
      <c r="N407" s="6" t="s">
        <v>267</v>
      </c>
      <c r="O407" s="6" t="s">
        <v>62</v>
      </c>
      <c r="P407" s="6" t="s">
        <v>1994</v>
      </c>
      <c r="Q407" s="6" t="s">
        <v>65</v>
      </c>
      <c r="R407" s="6" t="s">
        <v>57</v>
      </c>
      <c r="S407" s="6" t="s">
        <v>1219</v>
      </c>
      <c r="T407" s="131">
        <v>3.9449999999999998</v>
      </c>
      <c r="U407" s="6" t="s">
        <v>1713</v>
      </c>
      <c r="V407" s="134">
        <v>0.06</v>
      </c>
      <c r="W407" s="132">
        <v>6.25E-2</v>
      </c>
      <c r="X407" s="3" t="s">
        <v>620</v>
      </c>
      <c r="Y407" s="3" t="s">
        <v>62</v>
      </c>
      <c r="Z407" s="131">
        <v>185000</v>
      </c>
      <c r="AA407" s="129">
        <v>1</v>
      </c>
      <c r="AB407" s="157">
        <v>100.526</v>
      </c>
      <c r="AD407" s="131">
        <v>185.97300000000001</v>
      </c>
      <c r="AG407" s="6" t="s">
        <v>17</v>
      </c>
      <c r="AH407" s="132">
        <v>0</v>
      </c>
      <c r="AI407" s="132">
        <v>3.0671862597618899E-3</v>
      </c>
      <c r="AJ407" s="132">
        <v>5.5766299425724099E-4</v>
      </c>
    </row>
    <row r="408" spans="1:36" x14ac:dyDescent="0.2">
      <c r="A408" s="6">
        <v>559</v>
      </c>
      <c r="B408" s="6">
        <v>556</v>
      </c>
      <c r="C408" s="6" t="s">
        <v>1990</v>
      </c>
      <c r="D408" s="6" t="s">
        <v>1991</v>
      </c>
      <c r="E408" s="3" t="s">
        <v>432</v>
      </c>
      <c r="F408" s="6" t="s">
        <v>1995</v>
      </c>
      <c r="G408" s="6" t="s">
        <v>1996</v>
      </c>
      <c r="H408" s="6" t="s">
        <v>76</v>
      </c>
      <c r="I408" s="6" t="s">
        <v>228</v>
      </c>
      <c r="J408" s="6" t="s">
        <v>53</v>
      </c>
      <c r="K408" s="6" t="s">
        <v>53</v>
      </c>
      <c r="L408" s="6" t="s">
        <v>805</v>
      </c>
      <c r="M408" s="6" t="s">
        <v>1227</v>
      </c>
      <c r="N408" s="6" t="s">
        <v>267</v>
      </c>
      <c r="O408" s="6" t="s">
        <v>62</v>
      </c>
      <c r="P408" s="6" t="s">
        <v>1515</v>
      </c>
      <c r="Q408" s="6" t="s">
        <v>65</v>
      </c>
      <c r="R408" s="6" t="s">
        <v>57</v>
      </c>
      <c r="S408" s="6" t="s">
        <v>1219</v>
      </c>
      <c r="T408" s="131">
        <v>3.129</v>
      </c>
      <c r="U408" s="6" t="s">
        <v>1997</v>
      </c>
      <c r="V408" s="134">
        <v>6.7000000000000004E-2</v>
      </c>
      <c r="W408" s="132">
        <v>5.1139999999999998E-2</v>
      </c>
      <c r="X408" s="3" t="s">
        <v>620</v>
      </c>
      <c r="Y408" s="3" t="s">
        <v>62</v>
      </c>
      <c r="Z408" s="131">
        <v>191000</v>
      </c>
      <c r="AA408" s="129">
        <v>1</v>
      </c>
      <c r="AB408" s="157">
        <v>106.88</v>
      </c>
      <c r="AD408" s="131">
        <v>204.14099999999999</v>
      </c>
      <c r="AG408" s="6" t="s">
        <v>17</v>
      </c>
      <c r="AH408" s="132">
        <v>2.1000000000000001E-4</v>
      </c>
      <c r="AI408" s="132">
        <v>3.36681831606769E-3</v>
      </c>
      <c r="AJ408" s="132">
        <v>6.12140843185764E-4</v>
      </c>
    </row>
    <row r="409" spans="1:36" x14ac:dyDescent="0.2">
      <c r="A409" s="6">
        <v>559</v>
      </c>
      <c r="B409" s="6">
        <v>556</v>
      </c>
      <c r="C409" s="6" t="s">
        <v>1998</v>
      </c>
      <c r="D409" s="6" t="s">
        <v>1999</v>
      </c>
      <c r="E409" s="3" t="s">
        <v>1477</v>
      </c>
      <c r="F409" s="6" t="s">
        <v>2000</v>
      </c>
      <c r="G409" s="6" t="s">
        <v>2001</v>
      </c>
      <c r="H409" s="6" t="s">
        <v>76</v>
      </c>
      <c r="I409" s="6" t="s">
        <v>607</v>
      </c>
      <c r="J409" s="6" t="s">
        <v>53</v>
      </c>
      <c r="K409" s="6" t="s">
        <v>53</v>
      </c>
      <c r="L409" s="6" t="s">
        <v>805</v>
      </c>
      <c r="M409" s="6" t="s">
        <v>311</v>
      </c>
      <c r="N409" s="6" t="s">
        <v>631</v>
      </c>
      <c r="O409" s="6" t="s">
        <v>62</v>
      </c>
      <c r="P409" s="6" t="s">
        <v>1604</v>
      </c>
      <c r="Q409" s="6" t="s">
        <v>70</v>
      </c>
      <c r="R409" s="6" t="s">
        <v>57</v>
      </c>
      <c r="S409" s="6" t="s">
        <v>1219</v>
      </c>
      <c r="T409" s="131">
        <v>3.26</v>
      </c>
      <c r="U409" s="6" t="s">
        <v>1509</v>
      </c>
      <c r="V409" s="134">
        <v>0.05</v>
      </c>
      <c r="W409" s="132">
        <v>3.0509999999999999E-2</v>
      </c>
      <c r="X409" s="3" t="s">
        <v>620</v>
      </c>
      <c r="Y409" s="3" t="s">
        <v>62</v>
      </c>
      <c r="Z409" s="131">
        <v>334000</v>
      </c>
      <c r="AA409" s="129">
        <v>1</v>
      </c>
      <c r="AB409" s="157">
        <v>106.5</v>
      </c>
      <c r="AD409" s="131">
        <v>355.71</v>
      </c>
      <c r="AG409" s="6" t="s">
        <v>17</v>
      </c>
      <c r="AH409" s="132">
        <v>6.6799999999999997E-4</v>
      </c>
      <c r="AI409" s="132">
        <v>5.86659277914282E-3</v>
      </c>
      <c r="AJ409" s="132">
        <v>1.06663939462179E-3</v>
      </c>
    </row>
    <row r="410" spans="1:36" x14ac:dyDescent="0.2">
      <c r="A410" s="6">
        <v>559</v>
      </c>
      <c r="B410" s="6">
        <v>556</v>
      </c>
      <c r="C410" s="6" t="s">
        <v>2002</v>
      </c>
      <c r="D410" s="6" t="s">
        <v>2003</v>
      </c>
      <c r="E410" s="3" t="s">
        <v>1477</v>
      </c>
      <c r="F410" s="6" t="s">
        <v>2004</v>
      </c>
      <c r="G410" s="6" t="s">
        <v>2005</v>
      </c>
      <c r="H410" s="6" t="s">
        <v>76</v>
      </c>
      <c r="I410" s="6" t="s">
        <v>229</v>
      </c>
      <c r="J410" s="6" t="s">
        <v>53</v>
      </c>
      <c r="K410" s="6" t="s">
        <v>53</v>
      </c>
      <c r="L410" s="6" t="s">
        <v>805</v>
      </c>
      <c r="M410" s="6" t="s">
        <v>311</v>
      </c>
      <c r="N410" s="6" t="s">
        <v>635</v>
      </c>
      <c r="O410" s="6" t="s">
        <v>62</v>
      </c>
      <c r="P410" s="6" t="s">
        <v>1213</v>
      </c>
      <c r="Q410" s="6" t="s">
        <v>65</v>
      </c>
      <c r="R410" s="6" t="s">
        <v>57</v>
      </c>
      <c r="S410" s="6" t="s">
        <v>1219</v>
      </c>
      <c r="T410" s="131">
        <v>4.3220000000000001</v>
      </c>
      <c r="U410" s="6" t="s">
        <v>2006</v>
      </c>
      <c r="V410" s="134">
        <v>1.6500000000000001E-2</v>
      </c>
      <c r="W410" s="132">
        <v>2.512E-2</v>
      </c>
      <c r="X410" s="3" t="s">
        <v>620</v>
      </c>
      <c r="Y410" s="3" t="s">
        <v>62</v>
      </c>
      <c r="Z410" s="131">
        <v>766000</v>
      </c>
      <c r="AA410" s="129">
        <v>1</v>
      </c>
      <c r="AB410" s="157">
        <v>113.88</v>
      </c>
      <c r="AD410" s="131">
        <v>872.32100000000003</v>
      </c>
      <c r="AG410" s="6" t="s">
        <v>17</v>
      </c>
      <c r="AH410" s="132">
        <v>3.6200000000000002E-4</v>
      </c>
      <c r="AI410" s="132">
        <v>1.43868626307275E-2</v>
      </c>
      <c r="AJ410" s="132">
        <v>2.6157592702707199E-3</v>
      </c>
    </row>
    <row r="411" spans="1:36" x14ac:dyDescent="0.2">
      <c r="A411" s="6">
        <v>559</v>
      </c>
      <c r="B411" s="6">
        <v>556</v>
      </c>
      <c r="C411" s="6" t="s">
        <v>2002</v>
      </c>
      <c r="D411" s="6" t="s">
        <v>2003</v>
      </c>
      <c r="E411" s="3" t="s">
        <v>1477</v>
      </c>
      <c r="F411" s="6" t="s">
        <v>2007</v>
      </c>
      <c r="G411" s="6" t="s">
        <v>2008</v>
      </c>
      <c r="H411" s="6" t="s">
        <v>76</v>
      </c>
      <c r="I411" s="6" t="s">
        <v>229</v>
      </c>
      <c r="J411" s="6" t="s">
        <v>53</v>
      </c>
      <c r="K411" s="6" t="s">
        <v>53</v>
      </c>
      <c r="L411" s="6" t="s">
        <v>805</v>
      </c>
      <c r="M411" s="6" t="s">
        <v>311</v>
      </c>
      <c r="N411" s="6" t="s">
        <v>635</v>
      </c>
      <c r="O411" s="6" t="s">
        <v>62</v>
      </c>
      <c r="P411" s="6" t="s">
        <v>1213</v>
      </c>
      <c r="Q411" s="6" t="s">
        <v>65</v>
      </c>
      <c r="R411" s="6" t="s">
        <v>57</v>
      </c>
      <c r="S411" s="6" t="s">
        <v>1219</v>
      </c>
      <c r="T411" s="131">
        <v>12.792</v>
      </c>
      <c r="U411" s="6" t="s">
        <v>2009</v>
      </c>
      <c r="V411" s="134">
        <v>9.5999999999999992E-3</v>
      </c>
      <c r="W411" s="132">
        <v>2.7550000000000002E-2</v>
      </c>
      <c r="X411" s="3" t="s">
        <v>620</v>
      </c>
      <c r="Y411" s="3" t="s">
        <v>62</v>
      </c>
      <c r="Z411" s="131">
        <v>622000</v>
      </c>
      <c r="AA411" s="129">
        <v>1</v>
      </c>
      <c r="AB411" s="157">
        <v>92.47</v>
      </c>
      <c r="AD411" s="131">
        <v>575.16300000000001</v>
      </c>
      <c r="AG411" s="6" t="s">
        <v>17</v>
      </c>
      <c r="AH411" s="132">
        <v>5.6999999999999998E-4</v>
      </c>
      <c r="AI411" s="132">
        <v>9.4859561138771406E-3</v>
      </c>
      <c r="AJ411" s="132">
        <v>1.7246969182328599E-3</v>
      </c>
    </row>
    <row r="412" spans="1:36" x14ac:dyDescent="0.2">
      <c r="A412" s="6">
        <v>559</v>
      </c>
      <c r="B412" s="6">
        <v>556</v>
      </c>
      <c r="C412" s="6" t="s">
        <v>2010</v>
      </c>
      <c r="D412" s="6" t="s">
        <v>2011</v>
      </c>
      <c r="E412" s="3" t="s">
        <v>1477</v>
      </c>
      <c r="F412" s="6" t="s">
        <v>2012</v>
      </c>
      <c r="G412" s="6" t="s">
        <v>2013</v>
      </c>
      <c r="H412" s="6" t="s">
        <v>76</v>
      </c>
      <c r="I412" s="6" t="s">
        <v>229</v>
      </c>
      <c r="J412" s="6" t="s">
        <v>53</v>
      </c>
      <c r="K412" s="6" t="s">
        <v>53</v>
      </c>
      <c r="L412" s="6" t="s">
        <v>805</v>
      </c>
      <c r="M412" s="6" t="s">
        <v>311</v>
      </c>
      <c r="N412" s="6" t="s">
        <v>258</v>
      </c>
      <c r="O412" s="6" t="s">
        <v>62</v>
      </c>
      <c r="P412" s="6" t="s">
        <v>1339</v>
      </c>
      <c r="Q412" s="6" t="s">
        <v>65</v>
      </c>
      <c r="R412" s="6" t="s">
        <v>57</v>
      </c>
      <c r="S412" s="6" t="s">
        <v>1219</v>
      </c>
      <c r="T412" s="131">
        <v>5.0430000000000001</v>
      </c>
      <c r="U412" s="6" t="s">
        <v>1788</v>
      </c>
      <c r="V412" s="134">
        <v>2.6499999999999999E-2</v>
      </c>
      <c r="W412" s="132">
        <v>2.5250000000000002E-2</v>
      </c>
      <c r="X412" s="3" t="s">
        <v>620</v>
      </c>
      <c r="Y412" s="3" t="s">
        <v>62</v>
      </c>
      <c r="Z412" s="131">
        <v>275223.95</v>
      </c>
      <c r="AA412" s="129">
        <v>1</v>
      </c>
      <c r="AB412" s="157">
        <v>118.55</v>
      </c>
      <c r="AD412" s="131">
        <v>326.27800000000002</v>
      </c>
      <c r="AG412" s="6" t="s">
        <v>17</v>
      </c>
      <c r="AH412" s="132">
        <v>1.94E-4</v>
      </c>
      <c r="AI412" s="132">
        <v>5.3811816258010703E-3</v>
      </c>
      <c r="AJ412" s="132">
        <v>9.7838396626073808E-4</v>
      </c>
    </row>
    <row r="413" spans="1:36" x14ac:dyDescent="0.2">
      <c r="A413" s="6">
        <v>559</v>
      </c>
      <c r="B413" s="6">
        <v>556</v>
      </c>
      <c r="C413" s="6" t="s">
        <v>2014</v>
      </c>
      <c r="D413" s="6" t="s">
        <v>2015</v>
      </c>
      <c r="E413" s="3" t="s">
        <v>1477</v>
      </c>
      <c r="F413" s="6" t="s">
        <v>2370</v>
      </c>
      <c r="G413" s="6" t="s">
        <v>2371</v>
      </c>
      <c r="H413" s="6" t="s">
        <v>76</v>
      </c>
      <c r="I413" s="6" t="s">
        <v>228</v>
      </c>
      <c r="J413" s="6" t="s">
        <v>53</v>
      </c>
      <c r="K413" s="6" t="s">
        <v>53</v>
      </c>
      <c r="L413" s="6" t="s">
        <v>805</v>
      </c>
      <c r="M413" s="6" t="s">
        <v>311</v>
      </c>
      <c r="N413" s="6" t="s">
        <v>140</v>
      </c>
      <c r="O413" s="6" t="s">
        <v>62</v>
      </c>
      <c r="P413" s="6" t="s">
        <v>298</v>
      </c>
      <c r="Q413" s="6" t="s">
        <v>298</v>
      </c>
      <c r="R413" s="6" t="s">
        <v>298</v>
      </c>
      <c r="S413" s="6" t="s">
        <v>1219</v>
      </c>
      <c r="T413" s="131">
        <v>1.8109999999999999</v>
      </c>
      <c r="U413" s="6" t="s">
        <v>2372</v>
      </c>
      <c r="V413" s="134">
        <v>4.4999999999999998E-2</v>
      </c>
      <c r="W413" s="132">
        <v>6.4119999999999996E-2</v>
      </c>
      <c r="X413" s="3" t="s">
        <v>620</v>
      </c>
      <c r="Y413" s="3" t="s">
        <v>62</v>
      </c>
      <c r="Z413" s="131">
        <v>53666.66</v>
      </c>
      <c r="AA413" s="129">
        <v>1</v>
      </c>
      <c r="AB413" s="157">
        <v>97.21</v>
      </c>
      <c r="AD413" s="131">
        <v>52.168999999999997</v>
      </c>
      <c r="AG413" s="6" t="s">
        <v>17</v>
      </c>
      <c r="AH413" s="132">
        <v>3.8299999999999999E-4</v>
      </c>
      <c r="AI413" s="132">
        <v>8.6040986129062597E-4</v>
      </c>
      <c r="AJ413" s="132">
        <v>1.56436127088362E-4</v>
      </c>
    </row>
    <row r="414" spans="1:36" x14ac:dyDescent="0.2">
      <c r="A414" s="6">
        <v>559</v>
      </c>
      <c r="B414" s="6">
        <v>556</v>
      </c>
      <c r="C414" s="6" t="s">
        <v>2014</v>
      </c>
      <c r="D414" s="6" t="s">
        <v>2015</v>
      </c>
      <c r="E414" s="3" t="s">
        <v>1477</v>
      </c>
      <c r="F414" s="6" t="s">
        <v>2016</v>
      </c>
      <c r="G414" s="6" t="s">
        <v>2017</v>
      </c>
      <c r="H414" s="6" t="s">
        <v>76</v>
      </c>
      <c r="I414" s="6" t="s">
        <v>228</v>
      </c>
      <c r="J414" s="6" t="s">
        <v>53</v>
      </c>
      <c r="K414" s="6" t="s">
        <v>53</v>
      </c>
      <c r="L414" s="6" t="s">
        <v>805</v>
      </c>
      <c r="M414" s="6" t="s">
        <v>311</v>
      </c>
      <c r="N414" s="6" t="s">
        <v>140</v>
      </c>
      <c r="O414" s="6" t="s">
        <v>62</v>
      </c>
      <c r="P414" s="6" t="s">
        <v>298</v>
      </c>
      <c r="Q414" s="6" t="s">
        <v>298</v>
      </c>
      <c r="R414" s="6" t="s">
        <v>298</v>
      </c>
      <c r="S414" s="6" t="s">
        <v>1219</v>
      </c>
      <c r="T414" s="131">
        <v>2.7589999999999999</v>
      </c>
      <c r="U414" s="6" t="s">
        <v>1549</v>
      </c>
      <c r="V414" s="134">
        <v>6.5000000000000002E-2</v>
      </c>
      <c r="W414" s="132">
        <v>6.5180000000000002E-2</v>
      </c>
      <c r="X414" s="3" t="s">
        <v>620</v>
      </c>
      <c r="Y414" s="3" t="s">
        <v>62</v>
      </c>
      <c r="Z414" s="131">
        <v>88000</v>
      </c>
      <c r="AA414" s="129">
        <v>1</v>
      </c>
      <c r="AB414" s="157">
        <v>100.24</v>
      </c>
      <c r="AD414" s="131">
        <v>88.210999999999999</v>
      </c>
      <c r="AG414" s="6" t="s">
        <v>17</v>
      </c>
      <c r="AH414" s="132">
        <v>4.7600000000000002E-4</v>
      </c>
      <c r="AI414" s="132">
        <v>1.45483452520177E-3</v>
      </c>
      <c r="AJ414" s="132">
        <v>2.6451193659683897E-4</v>
      </c>
    </row>
    <row r="415" spans="1:36" x14ac:dyDescent="0.2">
      <c r="A415" s="6">
        <v>559</v>
      </c>
      <c r="B415" s="6">
        <v>556</v>
      </c>
      <c r="C415" s="6" t="s">
        <v>2014</v>
      </c>
      <c r="D415" s="6" t="s">
        <v>2015</v>
      </c>
      <c r="E415" s="3" t="s">
        <v>1477</v>
      </c>
      <c r="F415" s="6" t="s">
        <v>2018</v>
      </c>
      <c r="G415" s="6" t="s">
        <v>2019</v>
      </c>
      <c r="H415" s="6" t="s">
        <v>76</v>
      </c>
      <c r="I415" s="6" t="s">
        <v>228</v>
      </c>
      <c r="J415" s="6" t="s">
        <v>53</v>
      </c>
      <c r="K415" s="6" t="s">
        <v>53</v>
      </c>
      <c r="L415" s="6" t="s">
        <v>805</v>
      </c>
      <c r="M415" s="6" t="s">
        <v>1227</v>
      </c>
      <c r="N415" s="6" t="s">
        <v>140</v>
      </c>
      <c r="O415" s="6" t="s">
        <v>62</v>
      </c>
      <c r="P415" s="6" t="s">
        <v>298</v>
      </c>
      <c r="Q415" s="6" t="s">
        <v>298</v>
      </c>
      <c r="R415" s="6" t="s">
        <v>298</v>
      </c>
      <c r="S415" s="6" t="s">
        <v>1219</v>
      </c>
      <c r="T415" s="131">
        <v>3.5529999999999999</v>
      </c>
      <c r="U415" s="6" t="s">
        <v>1564</v>
      </c>
      <c r="V415" s="134">
        <v>6.5000000000000002E-2</v>
      </c>
      <c r="W415" s="132">
        <v>6.8769999999999998E-2</v>
      </c>
      <c r="X415" s="3" t="s">
        <v>620</v>
      </c>
      <c r="Y415" s="3" t="s">
        <v>62</v>
      </c>
      <c r="Z415" s="131">
        <v>125000</v>
      </c>
      <c r="AA415" s="129">
        <v>1</v>
      </c>
      <c r="AB415" s="157">
        <v>101.5</v>
      </c>
      <c r="AD415" s="131">
        <v>126.875</v>
      </c>
      <c r="AG415" s="6" t="s">
        <v>17</v>
      </c>
      <c r="AH415" s="132">
        <v>6.2500000000000001E-4</v>
      </c>
      <c r="AI415" s="132">
        <v>2.0925022036314602E-3</v>
      </c>
      <c r="AJ415" s="132">
        <v>3.8045001038104E-4</v>
      </c>
    </row>
    <row r="416" spans="1:36" x14ac:dyDescent="0.2">
      <c r="A416" s="6">
        <v>559</v>
      </c>
      <c r="B416" s="6">
        <v>556</v>
      </c>
      <c r="C416" s="6" t="s">
        <v>2020</v>
      </c>
      <c r="D416" s="6" t="s">
        <v>2021</v>
      </c>
      <c r="E416" s="3" t="s">
        <v>1477</v>
      </c>
      <c r="F416" s="6" t="s">
        <v>2022</v>
      </c>
      <c r="G416" s="6" t="s">
        <v>2023</v>
      </c>
      <c r="H416" s="6" t="s">
        <v>76</v>
      </c>
      <c r="I416" s="6" t="s">
        <v>228</v>
      </c>
      <c r="J416" s="6" t="s">
        <v>53</v>
      </c>
      <c r="K416" s="6" t="s">
        <v>317</v>
      </c>
      <c r="L416" s="6" t="s">
        <v>805</v>
      </c>
      <c r="M416" s="6" t="s">
        <v>311</v>
      </c>
      <c r="N416" s="6" t="s">
        <v>636</v>
      </c>
      <c r="O416" s="6" t="s">
        <v>62</v>
      </c>
      <c r="P416" s="6" t="s">
        <v>2024</v>
      </c>
      <c r="Q416" s="6" t="s">
        <v>70</v>
      </c>
      <c r="R416" s="6" t="s">
        <v>57</v>
      </c>
      <c r="S416" s="6" t="s">
        <v>1219</v>
      </c>
      <c r="T416" s="131">
        <v>1.421</v>
      </c>
      <c r="U416" s="6" t="s">
        <v>1516</v>
      </c>
      <c r="V416" s="134">
        <v>2.75E-2</v>
      </c>
      <c r="W416" s="132">
        <v>5.0349999999999999E-2</v>
      </c>
      <c r="X416" s="3" t="s">
        <v>620</v>
      </c>
      <c r="Y416" s="3" t="s">
        <v>62</v>
      </c>
      <c r="Z416" s="131">
        <v>57814.05</v>
      </c>
      <c r="AA416" s="129">
        <v>1</v>
      </c>
      <c r="AB416" s="157">
        <v>96.95</v>
      </c>
      <c r="AD416" s="131">
        <v>56.051000000000002</v>
      </c>
      <c r="AG416" s="6" t="s">
        <v>17</v>
      </c>
      <c r="AH416" s="132">
        <v>7.7999999999999999E-4</v>
      </c>
      <c r="AI416" s="132">
        <v>9.2442370996311798E-4</v>
      </c>
      <c r="AJ416" s="132">
        <v>1.68074857671161E-4</v>
      </c>
    </row>
    <row r="417" spans="1:36" x14ac:dyDescent="0.2">
      <c r="A417" s="6">
        <v>559</v>
      </c>
      <c r="B417" s="6">
        <v>556</v>
      </c>
      <c r="C417" s="6" t="s">
        <v>2025</v>
      </c>
      <c r="D417" s="6" t="s">
        <v>2026</v>
      </c>
      <c r="E417" s="3" t="s">
        <v>1477</v>
      </c>
      <c r="F417" s="6" t="s">
        <v>2027</v>
      </c>
      <c r="G417" s="6" t="s">
        <v>2028</v>
      </c>
      <c r="H417" s="6" t="s">
        <v>76</v>
      </c>
      <c r="I417" s="6" t="s">
        <v>229</v>
      </c>
      <c r="J417" s="6" t="s">
        <v>53</v>
      </c>
      <c r="K417" s="6" t="s">
        <v>53</v>
      </c>
      <c r="L417" s="6" t="s">
        <v>805</v>
      </c>
      <c r="M417" s="6" t="s">
        <v>102</v>
      </c>
      <c r="N417" s="6" t="s">
        <v>631</v>
      </c>
      <c r="O417" s="6" t="s">
        <v>62</v>
      </c>
      <c r="P417" s="6" t="s">
        <v>298</v>
      </c>
      <c r="Q417" s="6" t="s">
        <v>298</v>
      </c>
      <c r="R417" s="6" t="s">
        <v>298</v>
      </c>
      <c r="S417" s="6" t="s">
        <v>1219</v>
      </c>
      <c r="T417" s="131">
        <v>3.996</v>
      </c>
      <c r="U417" s="6" t="s">
        <v>1713</v>
      </c>
      <c r="V417" s="134">
        <v>4.9000000000000002E-2</v>
      </c>
      <c r="W417" s="132">
        <v>4.4699999999999997E-2</v>
      </c>
      <c r="X417" s="3" t="s">
        <v>620</v>
      </c>
      <c r="Y417" s="3" t="s">
        <v>62</v>
      </c>
      <c r="Z417" s="131">
        <v>472000</v>
      </c>
      <c r="AA417" s="129">
        <v>1</v>
      </c>
      <c r="AB417" s="157">
        <v>103.5</v>
      </c>
      <c r="AD417" s="131">
        <v>488.52</v>
      </c>
      <c r="AG417" s="6" t="s">
        <v>17</v>
      </c>
      <c r="AH417" s="132">
        <v>1.036E-3</v>
      </c>
      <c r="AI417" s="132">
        <v>8.0569787311766602E-3</v>
      </c>
      <c r="AJ417" s="132">
        <v>1.4648862192815401E-3</v>
      </c>
    </row>
    <row r="418" spans="1:36" x14ac:dyDescent="0.2">
      <c r="A418" s="6">
        <v>559</v>
      </c>
      <c r="B418" s="6">
        <v>556</v>
      </c>
      <c r="C418" s="6" t="s">
        <v>2029</v>
      </c>
      <c r="D418" s="6" t="s">
        <v>2030</v>
      </c>
      <c r="E418" s="3" t="s">
        <v>78</v>
      </c>
      <c r="F418" s="6" t="s">
        <v>2031</v>
      </c>
      <c r="G418" s="6" t="s">
        <v>2032</v>
      </c>
      <c r="H418" s="6" t="s">
        <v>76</v>
      </c>
      <c r="I418" s="6" t="s">
        <v>230</v>
      </c>
      <c r="J418" s="6" t="s">
        <v>53</v>
      </c>
      <c r="K418" s="6" t="s">
        <v>314</v>
      </c>
      <c r="L418" s="6" t="s">
        <v>805</v>
      </c>
      <c r="M418" s="6" t="s">
        <v>311</v>
      </c>
      <c r="N418" s="6" t="s">
        <v>633</v>
      </c>
      <c r="O418" s="6" t="s">
        <v>62</v>
      </c>
      <c r="P418" s="6" t="s">
        <v>1521</v>
      </c>
      <c r="Q418" s="6" t="s">
        <v>70</v>
      </c>
      <c r="R418" s="6" t="s">
        <v>57</v>
      </c>
      <c r="S418" s="6" t="s">
        <v>1219</v>
      </c>
      <c r="T418" s="131">
        <v>1.1160000000000001</v>
      </c>
      <c r="U418" s="6" t="s">
        <v>2033</v>
      </c>
      <c r="V418" s="134">
        <v>7.9135999999999998E-2</v>
      </c>
      <c r="W418" s="132">
        <v>5.5309999999999998E-2</v>
      </c>
      <c r="X418" s="3" t="s">
        <v>620</v>
      </c>
      <c r="Y418" s="3" t="s">
        <v>62</v>
      </c>
      <c r="Z418" s="131">
        <v>135000</v>
      </c>
      <c r="AA418" s="129">
        <v>1</v>
      </c>
      <c r="AB418" s="157">
        <v>95.62</v>
      </c>
      <c r="AD418" s="131">
        <v>129.08699999999999</v>
      </c>
      <c r="AG418" s="6" t="s">
        <v>17</v>
      </c>
      <c r="AH418" s="132">
        <v>3.21E-4</v>
      </c>
      <c r="AI418" s="132">
        <v>2.1289838972230499E-3</v>
      </c>
      <c r="AJ418" s="132">
        <v>3.87082959527545E-4</v>
      </c>
    </row>
    <row r="419" spans="1:36" x14ac:dyDescent="0.2">
      <c r="A419" s="6">
        <v>559</v>
      </c>
      <c r="B419" s="6">
        <v>556</v>
      </c>
      <c r="C419" s="6" t="s">
        <v>2034</v>
      </c>
      <c r="D419" s="6" t="s">
        <v>2035</v>
      </c>
      <c r="E419" s="3" t="s">
        <v>1477</v>
      </c>
      <c r="F419" s="6" t="s">
        <v>2036</v>
      </c>
      <c r="G419" s="6" t="s">
        <v>2037</v>
      </c>
      <c r="H419" s="6" t="s">
        <v>76</v>
      </c>
      <c r="I419" s="6" t="s">
        <v>229</v>
      </c>
      <c r="J419" s="6" t="s">
        <v>53</v>
      </c>
      <c r="K419" s="6" t="s">
        <v>53</v>
      </c>
      <c r="L419" s="6" t="s">
        <v>805</v>
      </c>
      <c r="M419" s="6" t="s">
        <v>311</v>
      </c>
      <c r="N419" s="6" t="s">
        <v>635</v>
      </c>
      <c r="O419" s="6" t="s">
        <v>62</v>
      </c>
      <c r="P419" s="6" t="s">
        <v>1965</v>
      </c>
      <c r="Q419" s="6" t="s">
        <v>70</v>
      </c>
      <c r="R419" s="6" t="s">
        <v>57</v>
      </c>
      <c r="S419" s="6" t="s">
        <v>1219</v>
      </c>
      <c r="T419" s="131">
        <v>2.21</v>
      </c>
      <c r="U419" s="6" t="s">
        <v>2038</v>
      </c>
      <c r="V419" s="134">
        <v>1.9599999999999999E-2</v>
      </c>
      <c r="W419" s="132">
        <v>2.9499999999999998E-2</v>
      </c>
      <c r="X419" s="3" t="s">
        <v>620</v>
      </c>
      <c r="Y419" s="3" t="s">
        <v>62</v>
      </c>
      <c r="Z419" s="131">
        <v>609000.76</v>
      </c>
      <c r="AA419" s="129">
        <v>1</v>
      </c>
      <c r="AB419" s="157">
        <v>115.75</v>
      </c>
      <c r="AD419" s="131">
        <v>704.91800000000001</v>
      </c>
      <c r="AG419" s="6" t="s">
        <v>17</v>
      </c>
      <c r="AH419" s="132">
        <v>5.3200000000000003E-4</v>
      </c>
      <c r="AI419" s="132">
        <v>1.16259567519414E-2</v>
      </c>
      <c r="AJ419" s="132">
        <v>2.1137828955637501E-3</v>
      </c>
    </row>
    <row r="420" spans="1:36" x14ac:dyDescent="0.2">
      <c r="A420" s="6">
        <v>559</v>
      </c>
      <c r="B420" s="6">
        <v>556</v>
      </c>
      <c r="C420" s="6" t="s">
        <v>2034</v>
      </c>
      <c r="D420" s="6" t="s">
        <v>2035</v>
      </c>
      <c r="E420" s="3" t="s">
        <v>1477</v>
      </c>
      <c r="F420" s="6" t="s">
        <v>2039</v>
      </c>
      <c r="G420" s="6" t="s">
        <v>2040</v>
      </c>
      <c r="H420" s="6" t="s">
        <v>76</v>
      </c>
      <c r="I420" s="6" t="s">
        <v>229</v>
      </c>
      <c r="J420" s="6" t="s">
        <v>53</v>
      </c>
      <c r="K420" s="6" t="s">
        <v>53</v>
      </c>
      <c r="L420" s="6" t="s">
        <v>805</v>
      </c>
      <c r="M420" s="6" t="s">
        <v>311</v>
      </c>
      <c r="N420" s="6" t="s">
        <v>635</v>
      </c>
      <c r="O420" s="6" t="s">
        <v>62</v>
      </c>
      <c r="P420" s="6" t="s">
        <v>1965</v>
      </c>
      <c r="Q420" s="6" t="s">
        <v>70</v>
      </c>
      <c r="R420" s="6" t="s">
        <v>57</v>
      </c>
      <c r="S420" s="6" t="s">
        <v>1219</v>
      </c>
      <c r="T420" s="131">
        <v>5.9009999999999998</v>
      </c>
      <c r="U420" s="6" t="s">
        <v>2041</v>
      </c>
      <c r="V420" s="134">
        <v>1.5800000000000002E-2</v>
      </c>
      <c r="W420" s="132">
        <v>3.0099999999999998E-2</v>
      </c>
      <c r="X420" s="3" t="s">
        <v>620</v>
      </c>
      <c r="Y420" s="3" t="s">
        <v>62</v>
      </c>
      <c r="Z420" s="131">
        <v>285000.25</v>
      </c>
      <c r="AA420" s="129">
        <v>1</v>
      </c>
      <c r="AB420" s="157">
        <v>108.34</v>
      </c>
      <c r="AD420" s="131">
        <v>308.76900000000001</v>
      </c>
      <c r="AG420" s="6" t="s">
        <v>17</v>
      </c>
      <c r="AH420" s="132">
        <v>2.5799999999999998E-4</v>
      </c>
      <c r="AI420" s="132">
        <v>5.0924167855550999E-3</v>
      </c>
      <c r="AJ420" s="132">
        <v>9.25881949164364E-4</v>
      </c>
    </row>
    <row r="421" spans="1:36" x14ac:dyDescent="0.2">
      <c r="A421" s="6">
        <v>559</v>
      </c>
      <c r="B421" s="6">
        <v>556</v>
      </c>
      <c r="C421" s="6" t="s">
        <v>2034</v>
      </c>
      <c r="D421" s="6" t="s">
        <v>2035</v>
      </c>
      <c r="E421" s="3" t="s">
        <v>1477</v>
      </c>
      <c r="F421" s="6" t="s">
        <v>2042</v>
      </c>
      <c r="G421" s="6" t="s">
        <v>2043</v>
      </c>
      <c r="H421" s="6" t="s">
        <v>76</v>
      </c>
      <c r="I421" s="6" t="s">
        <v>229</v>
      </c>
      <c r="J421" s="6" t="s">
        <v>53</v>
      </c>
      <c r="K421" s="6" t="s">
        <v>53</v>
      </c>
      <c r="L421" s="6" t="s">
        <v>805</v>
      </c>
      <c r="M421" s="6" t="s">
        <v>1227</v>
      </c>
      <c r="N421" s="6" t="s">
        <v>635</v>
      </c>
      <c r="O421" s="6" t="s">
        <v>62</v>
      </c>
      <c r="P421" s="6" t="s">
        <v>1533</v>
      </c>
      <c r="Q421" s="6" t="s">
        <v>65</v>
      </c>
      <c r="R421" s="6" t="s">
        <v>57</v>
      </c>
      <c r="S421" s="6" t="s">
        <v>1219</v>
      </c>
      <c r="T421" s="131">
        <v>7.1980000000000004</v>
      </c>
      <c r="U421" s="6" t="s">
        <v>2044</v>
      </c>
      <c r="V421" s="134">
        <v>0.03</v>
      </c>
      <c r="W421" s="132">
        <v>3.1690000000000003E-2</v>
      </c>
      <c r="X421" s="3" t="s">
        <v>620</v>
      </c>
      <c r="Y421" s="3" t="s">
        <v>62</v>
      </c>
      <c r="Z421" s="131">
        <v>119000</v>
      </c>
      <c r="AA421" s="129">
        <v>1</v>
      </c>
      <c r="AB421" s="157">
        <v>104.37</v>
      </c>
      <c r="AD421" s="131">
        <v>124.2</v>
      </c>
      <c r="AG421" s="6" t="s">
        <v>17</v>
      </c>
      <c r="AH421" s="132">
        <v>2.6899999999999998E-4</v>
      </c>
      <c r="AI421" s="132">
        <v>2.0483893709689698E-3</v>
      </c>
      <c r="AJ421" s="132">
        <v>3.7242959940357302E-4</v>
      </c>
    </row>
    <row r="422" spans="1:36" x14ac:dyDescent="0.2">
      <c r="A422" s="6">
        <v>559</v>
      </c>
      <c r="B422" s="6">
        <v>556</v>
      </c>
      <c r="C422" s="6" t="s">
        <v>2045</v>
      </c>
      <c r="D422" s="6" t="s">
        <v>2046</v>
      </c>
      <c r="E422" s="3" t="s">
        <v>1477</v>
      </c>
      <c r="F422" s="6" t="s">
        <v>2047</v>
      </c>
      <c r="G422" s="6" t="s">
        <v>2048</v>
      </c>
      <c r="H422" s="6" t="s">
        <v>76</v>
      </c>
      <c r="I422" s="6" t="s">
        <v>228</v>
      </c>
      <c r="J422" s="6" t="s">
        <v>53</v>
      </c>
      <c r="K422" s="6" t="s">
        <v>53</v>
      </c>
      <c r="L422" s="6" t="s">
        <v>805</v>
      </c>
      <c r="M422" s="6" t="s">
        <v>311</v>
      </c>
      <c r="N422" s="6" t="s">
        <v>260</v>
      </c>
      <c r="O422" s="6" t="s">
        <v>62</v>
      </c>
      <c r="P422" s="6" t="s">
        <v>1493</v>
      </c>
      <c r="Q422" s="6" t="s">
        <v>65</v>
      </c>
      <c r="R422" s="6" t="s">
        <v>57</v>
      </c>
      <c r="S422" s="6" t="s">
        <v>1219</v>
      </c>
      <c r="T422" s="131">
        <v>1.0999999999999999E-2</v>
      </c>
      <c r="U422" s="6" t="s">
        <v>2049</v>
      </c>
      <c r="V422" s="134">
        <v>4.1399999999999999E-2</v>
      </c>
      <c r="W422" s="132">
        <v>0.11332</v>
      </c>
      <c r="X422" s="3" t="s">
        <v>620</v>
      </c>
      <c r="Y422" s="3" t="s">
        <v>62</v>
      </c>
      <c r="Z422" s="131">
        <v>51000</v>
      </c>
      <c r="AA422" s="129">
        <v>1</v>
      </c>
      <c r="AB422" s="157">
        <v>101.95</v>
      </c>
      <c r="AD422" s="131">
        <v>51.994999999999997</v>
      </c>
      <c r="AG422" s="6" t="s">
        <v>17</v>
      </c>
      <c r="AH422" s="132">
        <v>4.5300000000000001E-4</v>
      </c>
      <c r="AI422" s="132">
        <v>8.5752595725490299E-4</v>
      </c>
      <c r="AJ422" s="132">
        <v>1.5591178770251799E-4</v>
      </c>
    </row>
    <row r="423" spans="1:36" x14ac:dyDescent="0.2">
      <c r="A423" s="6">
        <v>559</v>
      </c>
      <c r="B423" s="6">
        <v>556</v>
      </c>
      <c r="C423" s="6" t="s">
        <v>2050</v>
      </c>
      <c r="D423" s="6" t="s">
        <v>2051</v>
      </c>
      <c r="E423" s="3" t="s">
        <v>767</v>
      </c>
      <c r="F423" s="6" t="s">
        <v>2052</v>
      </c>
      <c r="G423" s="6" t="s">
        <v>2053</v>
      </c>
      <c r="H423" s="6" t="s">
        <v>76</v>
      </c>
      <c r="I423" s="6" t="s">
        <v>228</v>
      </c>
      <c r="J423" s="6" t="s">
        <v>53</v>
      </c>
      <c r="K423" s="6" t="s">
        <v>53</v>
      </c>
      <c r="L423" s="6" t="s">
        <v>805</v>
      </c>
      <c r="M423" s="6" t="s">
        <v>1227</v>
      </c>
      <c r="N423" s="6" t="s">
        <v>636</v>
      </c>
      <c r="O423" s="6" t="s">
        <v>62</v>
      </c>
      <c r="P423" s="6" t="s">
        <v>1493</v>
      </c>
      <c r="Q423" s="6" t="s">
        <v>65</v>
      </c>
      <c r="R423" s="6" t="s">
        <v>57</v>
      </c>
      <c r="S423" s="6" t="s">
        <v>1219</v>
      </c>
      <c r="T423" s="131">
        <v>2.948</v>
      </c>
      <c r="U423" s="6" t="s">
        <v>2054</v>
      </c>
      <c r="V423" s="134">
        <v>6.3899999999999998E-2</v>
      </c>
      <c r="W423" s="132">
        <v>5.4820000000000001E-2</v>
      </c>
      <c r="X423" s="3" t="s">
        <v>620</v>
      </c>
      <c r="Y423" s="3" t="s">
        <v>62</v>
      </c>
      <c r="Z423" s="131">
        <v>131000</v>
      </c>
      <c r="AA423" s="129">
        <v>1</v>
      </c>
      <c r="AB423" s="157">
        <v>104.47</v>
      </c>
      <c r="AD423" s="131">
        <v>136.85599999999999</v>
      </c>
      <c r="AG423" s="6" t="s">
        <v>17</v>
      </c>
      <c r="AH423" s="132">
        <v>3.1799999999999998E-4</v>
      </c>
      <c r="AI423" s="132">
        <v>2.2571101779667001E-3</v>
      </c>
      <c r="AJ423" s="132">
        <v>4.1037834471491198E-4</v>
      </c>
    </row>
    <row r="424" spans="1:36" x14ac:dyDescent="0.2">
      <c r="A424" s="6">
        <v>559</v>
      </c>
      <c r="B424" s="6">
        <v>556</v>
      </c>
      <c r="C424" s="6" t="s">
        <v>2050</v>
      </c>
      <c r="D424" s="6" t="s">
        <v>2051</v>
      </c>
      <c r="E424" s="3" t="s">
        <v>767</v>
      </c>
      <c r="F424" s="6" t="s">
        <v>2055</v>
      </c>
      <c r="G424" s="6" t="s">
        <v>2056</v>
      </c>
      <c r="H424" s="6" t="s">
        <v>76</v>
      </c>
      <c r="I424" s="6" t="s">
        <v>228</v>
      </c>
      <c r="J424" s="6" t="s">
        <v>53</v>
      </c>
      <c r="K424" s="6" t="s">
        <v>314</v>
      </c>
      <c r="L424" s="6" t="s">
        <v>805</v>
      </c>
      <c r="M424" s="6" t="s">
        <v>102</v>
      </c>
      <c r="N424" s="6" t="s">
        <v>636</v>
      </c>
      <c r="O424" s="6" t="s">
        <v>62</v>
      </c>
      <c r="P424" s="6" t="s">
        <v>1493</v>
      </c>
      <c r="Q424" s="6" t="s">
        <v>65</v>
      </c>
      <c r="R424" s="6" t="s">
        <v>57</v>
      </c>
      <c r="S424" s="6" t="s">
        <v>1219</v>
      </c>
      <c r="T424" s="131">
        <v>2.097</v>
      </c>
      <c r="U424" s="6" t="s">
        <v>1280</v>
      </c>
      <c r="V424" s="134">
        <v>6.4399999999999999E-2</v>
      </c>
      <c r="W424" s="132">
        <v>5.6160000000000002E-2</v>
      </c>
      <c r="X424" s="3" t="s">
        <v>620</v>
      </c>
      <c r="Y424" s="3" t="s">
        <v>62</v>
      </c>
      <c r="Z424" s="131">
        <v>98730.33</v>
      </c>
      <c r="AA424" s="129">
        <v>1</v>
      </c>
      <c r="AB424" s="157">
        <v>103.5</v>
      </c>
      <c r="AD424" s="131">
        <v>102.18600000000001</v>
      </c>
      <c r="AG424" s="6" t="s">
        <v>17</v>
      </c>
      <c r="AH424" s="132">
        <v>2.22E-4</v>
      </c>
      <c r="AI424" s="132">
        <v>1.6853139172289301E-3</v>
      </c>
      <c r="AJ424" s="132">
        <v>3.0641673695364199E-4</v>
      </c>
    </row>
    <row r="425" spans="1:36" x14ac:dyDescent="0.2">
      <c r="A425" s="6">
        <v>559</v>
      </c>
      <c r="B425" s="6">
        <v>556</v>
      </c>
      <c r="C425" s="6" t="s">
        <v>2057</v>
      </c>
      <c r="D425" s="6" t="s">
        <v>2058</v>
      </c>
      <c r="E425" s="3" t="s">
        <v>1477</v>
      </c>
      <c r="F425" s="6" t="s">
        <v>2059</v>
      </c>
      <c r="G425" s="6" t="s">
        <v>2060</v>
      </c>
      <c r="H425" s="6" t="s">
        <v>76</v>
      </c>
      <c r="I425" s="6" t="s">
        <v>229</v>
      </c>
      <c r="J425" s="6" t="s">
        <v>53</v>
      </c>
      <c r="K425" s="6" t="s">
        <v>53</v>
      </c>
      <c r="L425" s="6" t="s">
        <v>805</v>
      </c>
      <c r="M425" s="6" t="s">
        <v>311</v>
      </c>
      <c r="N425" s="6" t="s">
        <v>635</v>
      </c>
      <c r="O425" s="6" t="s">
        <v>62</v>
      </c>
      <c r="P425" s="6" t="s">
        <v>1339</v>
      </c>
      <c r="Q425" s="6" t="s">
        <v>65</v>
      </c>
      <c r="R425" s="6" t="s">
        <v>57</v>
      </c>
      <c r="S425" s="6" t="s">
        <v>1219</v>
      </c>
      <c r="T425" s="131">
        <v>2.6779999999999999</v>
      </c>
      <c r="U425" s="6" t="s">
        <v>2061</v>
      </c>
      <c r="V425" s="134">
        <v>1.34E-2</v>
      </c>
      <c r="W425" s="132">
        <v>2.8029999999999999E-2</v>
      </c>
      <c r="X425" s="3" t="s">
        <v>620</v>
      </c>
      <c r="Y425" s="3" t="s">
        <v>62</v>
      </c>
      <c r="Z425" s="131">
        <v>396364.19</v>
      </c>
      <c r="AA425" s="129">
        <v>1</v>
      </c>
      <c r="AB425" s="157">
        <v>114.07</v>
      </c>
      <c r="AC425" s="131">
        <v>50.457999999999998</v>
      </c>
      <c r="AD425" s="131">
        <v>502.59100000000001</v>
      </c>
      <c r="AG425" s="6" t="s">
        <v>17</v>
      </c>
      <c r="AH425" s="132">
        <v>1.7899999999999999E-4</v>
      </c>
      <c r="AI425" s="132">
        <v>8.2890448786831408E-3</v>
      </c>
      <c r="AJ425" s="132">
        <v>1.5070795168917899E-3</v>
      </c>
    </row>
    <row r="426" spans="1:36" x14ac:dyDescent="0.2">
      <c r="A426" s="6">
        <v>559</v>
      </c>
      <c r="B426" s="6">
        <v>556</v>
      </c>
      <c r="C426" s="6" t="s">
        <v>2057</v>
      </c>
      <c r="D426" s="6" t="s">
        <v>2058</v>
      </c>
      <c r="E426" s="3" t="s">
        <v>1477</v>
      </c>
      <c r="F426" s="6" t="s">
        <v>2062</v>
      </c>
      <c r="G426" s="6" t="s">
        <v>2063</v>
      </c>
      <c r="H426" s="6" t="s">
        <v>76</v>
      </c>
      <c r="I426" s="6" t="s">
        <v>229</v>
      </c>
      <c r="J426" s="6" t="s">
        <v>53</v>
      </c>
      <c r="K426" s="6" t="s">
        <v>53</v>
      </c>
      <c r="L426" s="6" t="s">
        <v>805</v>
      </c>
      <c r="M426" s="6" t="s">
        <v>311</v>
      </c>
      <c r="N426" s="6" t="s">
        <v>635</v>
      </c>
      <c r="O426" s="6" t="s">
        <v>62</v>
      </c>
      <c r="P426" s="6" t="s">
        <v>2024</v>
      </c>
      <c r="Q426" s="6" t="s">
        <v>70</v>
      </c>
      <c r="R426" s="6" t="s">
        <v>57</v>
      </c>
      <c r="S426" s="6" t="s">
        <v>1219</v>
      </c>
      <c r="T426" s="131">
        <v>1.9570000000000001</v>
      </c>
      <c r="U426" s="6" t="s">
        <v>1544</v>
      </c>
      <c r="V426" s="134">
        <v>1.77E-2</v>
      </c>
      <c r="W426" s="132">
        <v>2.8219999999999999E-2</v>
      </c>
      <c r="X426" s="3" t="s">
        <v>620</v>
      </c>
      <c r="Y426" s="3" t="s">
        <v>62</v>
      </c>
      <c r="Z426" s="131">
        <v>833437.93</v>
      </c>
      <c r="AA426" s="129">
        <v>1</v>
      </c>
      <c r="AB426" s="157">
        <v>114.73</v>
      </c>
      <c r="AD426" s="131">
        <v>956.20299999999997</v>
      </c>
      <c r="AG426" s="6" t="s">
        <v>17</v>
      </c>
      <c r="AH426" s="132">
        <v>3.4299999999999999E-4</v>
      </c>
      <c r="AI426" s="132">
        <v>1.5770306127909198E-2</v>
      </c>
      <c r="AJ426" s="132">
        <v>2.86729118834991E-3</v>
      </c>
    </row>
    <row r="427" spans="1:36" x14ac:dyDescent="0.2">
      <c r="A427" s="6">
        <v>559</v>
      </c>
      <c r="B427" s="6">
        <v>556</v>
      </c>
      <c r="C427" s="6" t="s">
        <v>2064</v>
      </c>
      <c r="D427" s="6" t="s">
        <v>2065</v>
      </c>
      <c r="E427" s="3" t="s">
        <v>1477</v>
      </c>
      <c r="F427" s="6" t="s">
        <v>2066</v>
      </c>
      <c r="G427" s="6" t="s">
        <v>2067</v>
      </c>
      <c r="H427" s="6" t="s">
        <v>76</v>
      </c>
      <c r="I427" s="6" t="s">
        <v>228</v>
      </c>
      <c r="J427" s="6" t="s">
        <v>53</v>
      </c>
      <c r="K427" s="6" t="s">
        <v>53</v>
      </c>
      <c r="L427" s="6" t="s">
        <v>805</v>
      </c>
      <c r="M427" s="6" t="s">
        <v>311</v>
      </c>
      <c r="N427" s="6" t="s">
        <v>635</v>
      </c>
      <c r="O427" s="6" t="s">
        <v>62</v>
      </c>
      <c r="P427" s="6" t="s">
        <v>1213</v>
      </c>
      <c r="Q427" s="6" t="s">
        <v>65</v>
      </c>
      <c r="R427" s="6" t="s">
        <v>57</v>
      </c>
      <c r="S427" s="6" t="s">
        <v>1219</v>
      </c>
      <c r="T427" s="131">
        <v>1.4550000000000001</v>
      </c>
      <c r="U427" s="6" t="s">
        <v>1733</v>
      </c>
      <c r="V427" s="134">
        <v>1.44E-2</v>
      </c>
      <c r="W427" s="132">
        <v>4.3180000000000003E-2</v>
      </c>
      <c r="X427" s="3" t="s">
        <v>620</v>
      </c>
      <c r="Y427" s="3" t="s">
        <v>62</v>
      </c>
      <c r="Z427" s="131">
        <v>446000.45</v>
      </c>
      <c r="AA427" s="129">
        <v>1</v>
      </c>
      <c r="AB427" s="157">
        <v>96.34</v>
      </c>
      <c r="AD427" s="131">
        <v>429.67700000000002</v>
      </c>
      <c r="AG427" s="6" t="s">
        <v>17</v>
      </c>
      <c r="AH427" s="132">
        <v>1.487E-3</v>
      </c>
      <c r="AI427" s="132">
        <v>7.0865002641254098E-3</v>
      </c>
      <c r="AJ427" s="132">
        <v>1.2884378780451699E-3</v>
      </c>
    </row>
    <row r="428" spans="1:36" x14ac:dyDescent="0.2">
      <c r="A428" s="6">
        <v>559</v>
      </c>
      <c r="B428" s="6">
        <v>556</v>
      </c>
      <c r="C428" s="6" t="s">
        <v>2068</v>
      </c>
      <c r="D428" s="6" t="s">
        <v>2069</v>
      </c>
      <c r="E428" s="3" t="s">
        <v>1477</v>
      </c>
      <c r="F428" s="6" t="s">
        <v>2070</v>
      </c>
      <c r="G428" s="6" t="s">
        <v>2071</v>
      </c>
      <c r="H428" s="6" t="s">
        <v>76</v>
      </c>
      <c r="I428" s="6" t="s">
        <v>228</v>
      </c>
      <c r="J428" s="6" t="s">
        <v>53</v>
      </c>
      <c r="K428" s="6" t="s">
        <v>53</v>
      </c>
      <c r="L428" s="6" t="s">
        <v>805</v>
      </c>
      <c r="M428" s="6" t="s">
        <v>311</v>
      </c>
      <c r="N428" s="6" t="s">
        <v>140</v>
      </c>
      <c r="O428" s="6" t="s">
        <v>62</v>
      </c>
      <c r="P428" s="6" t="s">
        <v>1604</v>
      </c>
      <c r="Q428" s="6" t="s">
        <v>70</v>
      </c>
      <c r="R428" s="6" t="s">
        <v>57</v>
      </c>
      <c r="S428" s="6" t="s">
        <v>1219</v>
      </c>
      <c r="T428" s="131">
        <v>1.5840000000000001</v>
      </c>
      <c r="U428" s="6" t="s">
        <v>1605</v>
      </c>
      <c r="V428" s="134">
        <v>7.3999999999999996E-2</v>
      </c>
      <c r="W428" s="132">
        <v>5.2659999999999998E-2</v>
      </c>
      <c r="X428" s="3" t="s">
        <v>620</v>
      </c>
      <c r="Y428" s="3" t="s">
        <v>62</v>
      </c>
      <c r="Z428" s="131">
        <v>40000</v>
      </c>
      <c r="AA428" s="129">
        <v>1</v>
      </c>
      <c r="AB428" s="157">
        <v>103.44</v>
      </c>
      <c r="AD428" s="131">
        <v>41.375999999999998</v>
      </c>
      <c r="AG428" s="6" t="s">
        <v>17</v>
      </c>
      <c r="AH428" s="132">
        <v>3.8200000000000002E-4</v>
      </c>
      <c r="AI428" s="132">
        <v>6.8239898464989295E-4</v>
      </c>
      <c r="AJ428" s="132">
        <v>1.2407093304059801E-4</v>
      </c>
    </row>
    <row r="429" spans="1:36" x14ac:dyDescent="0.2">
      <c r="A429" s="6">
        <v>559</v>
      </c>
      <c r="B429" s="6">
        <v>556</v>
      </c>
      <c r="C429" s="6" t="s">
        <v>2072</v>
      </c>
      <c r="D429" s="6" t="s">
        <v>2073</v>
      </c>
      <c r="E429" s="3" t="s">
        <v>1477</v>
      </c>
      <c r="F429" s="6" t="s">
        <v>2074</v>
      </c>
      <c r="G429" s="6" t="s">
        <v>2075</v>
      </c>
      <c r="H429" s="6" t="s">
        <v>76</v>
      </c>
      <c r="I429" s="6" t="s">
        <v>228</v>
      </c>
      <c r="J429" s="6" t="s">
        <v>53</v>
      </c>
      <c r="K429" s="6" t="s">
        <v>53</v>
      </c>
      <c r="L429" s="6" t="s">
        <v>805</v>
      </c>
      <c r="M429" s="6" t="s">
        <v>102</v>
      </c>
      <c r="N429" s="6" t="s">
        <v>256</v>
      </c>
      <c r="O429" s="6" t="s">
        <v>62</v>
      </c>
      <c r="P429" s="6" t="s">
        <v>1213</v>
      </c>
      <c r="Q429" s="6" t="s">
        <v>65</v>
      </c>
      <c r="R429" s="6" t="s">
        <v>57</v>
      </c>
      <c r="S429" s="6" t="s">
        <v>1219</v>
      </c>
      <c r="T429" s="131">
        <v>4.7919999999999998</v>
      </c>
      <c r="U429" s="6" t="s">
        <v>2076</v>
      </c>
      <c r="V429" s="134">
        <v>4.8800000000000003E-2</v>
      </c>
      <c r="W429" s="132">
        <v>4.4699999999999997E-2</v>
      </c>
      <c r="X429" s="3" t="s">
        <v>620</v>
      </c>
      <c r="Y429" s="3" t="s">
        <v>62</v>
      </c>
      <c r="Z429" s="131">
        <v>560000</v>
      </c>
      <c r="AA429" s="129">
        <v>1</v>
      </c>
      <c r="AB429" s="157">
        <v>102.07</v>
      </c>
      <c r="AD429" s="131">
        <v>571.59199999999998</v>
      </c>
      <c r="AG429" s="6" t="s">
        <v>17</v>
      </c>
      <c r="AH429" s="132">
        <v>3.5500000000000001E-4</v>
      </c>
      <c r="AI429" s="132">
        <v>9.4270543415023601E-3</v>
      </c>
      <c r="AJ429" s="132">
        <v>1.7139876440096099E-3</v>
      </c>
    </row>
    <row r="430" spans="1:36" x14ac:dyDescent="0.2">
      <c r="A430" s="6">
        <v>559</v>
      </c>
      <c r="B430" s="6">
        <v>556</v>
      </c>
      <c r="C430" s="6" t="s">
        <v>2072</v>
      </c>
      <c r="D430" s="6" t="s">
        <v>2073</v>
      </c>
      <c r="E430" s="3" t="s">
        <v>1477</v>
      </c>
      <c r="F430" s="6" t="s">
        <v>2077</v>
      </c>
      <c r="G430" s="6" t="s">
        <v>2078</v>
      </c>
      <c r="H430" s="6" t="s">
        <v>76</v>
      </c>
      <c r="I430" s="6" t="s">
        <v>229</v>
      </c>
      <c r="J430" s="6" t="s">
        <v>53</v>
      </c>
      <c r="K430" s="6" t="s">
        <v>53</v>
      </c>
      <c r="L430" s="6" t="s">
        <v>805</v>
      </c>
      <c r="M430" s="6" t="s">
        <v>311</v>
      </c>
      <c r="N430" s="6" t="s">
        <v>256</v>
      </c>
      <c r="O430" s="6" t="s">
        <v>62</v>
      </c>
      <c r="P430" s="6" t="s">
        <v>1213</v>
      </c>
      <c r="Q430" s="6" t="s">
        <v>65</v>
      </c>
      <c r="R430" s="6" t="s">
        <v>57</v>
      </c>
      <c r="S430" s="6" t="s">
        <v>1219</v>
      </c>
      <c r="T430" s="131">
        <v>3.335</v>
      </c>
      <c r="U430" s="6" t="s">
        <v>2079</v>
      </c>
      <c r="V430" s="134">
        <v>1E-3</v>
      </c>
      <c r="W430" s="132">
        <v>2.5729999999999999E-2</v>
      </c>
      <c r="X430" s="3" t="s">
        <v>620</v>
      </c>
      <c r="Y430" s="3" t="s">
        <v>62</v>
      </c>
      <c r="Z430" s="131">
        <v>607638.88</v>
      </c>
      <c r="AA430" s="129">
        <v>1</v>
      </c>
      <c r="AB430" s="157">
        <v>105.19</v>
      </c>
      <c r="AD430" s="131">
        <v>639.17499999999995</v>
      </c>
      <c r="AG430" s="6" t="s">
        <v>17</v>
      </c>
      <c r="AH430" s="132">
        <v>6.1700000000000004E-4</v>
      </c>
      <c r="AI430" s="132">
        <v>1.0541681205943201E-2</v>
      </c>
      <c r="AJ430" s="132">
        <v>1.91664444475828E-3</v>
      </c>
    </row>
    <row r="431" spans="1:36" x14ac:dyDescent="0.2">
      <c r="A431" s="6">
        <v>559</v>
      </c>
      <c r="B431" s="6">
        <v>556</v>
      </c>
      <c r="C431" s="6" t="s">
        <v>2072</v>
      </c>
      <c r="D431" s="6" t="s">
        <v>2073</v>
      </c>
      <c r="E431" s="3" t="s">
        <v>1477</v>
      </c>
      <c r="F431" s="6" t="s">
        <v>2080</v>
      </c>
      <c r="G431" s="6" t="s">
        <v>2081</v>
      </c>
      <c r="H431" s="6" t="s">
        <v>76</v>
      </c>
      <c r="I431" s="6" t="s">
        <v>229</v>
      </c>
      <c r="J431" s="6" t="s">
        <v>53</v>
      </c>
      <c r="K431" s="6" t="s">
        <v>53</v>
      </c>
      <c r="L431" s="6" t="s">
        <v>805</v>
      </c>
      <c r="M431" s="6" t="s">
        <v>311</v>
      </c>
      <c r="N431" s="6" t="s">
        <v>256</v>
      </c>
      <c r="O431" s="6" t="s">
        <v>62</v>
      </c>
      <c r="P431" s="6" t="s">
        <v>1213</v>
      </c>
      <c r="Q431" s="6" t="s">
        <v>65</v>
      </c>
      <c r="R431" s="6" t="s">
        <v>57</v>
      </c>
      <c r="S431" s="6" t="s">
        <v>1219</v>
      </c>
      <c r="T431" s="131">
        <v>3.7149999999999999</v>
      </c>
      <c r="U431" s="6" t="s">
        <v>2082</v>
      </c>
      <c r="V431" s="134">
        <v>1.3899999999999999E-2</v>
      </c>
      <c r="W431" s="132">
        <v>2.511E-2</v>
      </c>
      <c r="X431" s="3" t="s">
        <v>620</v>
      </c>
      <c r="Y431" s="3" t="s">
        <v>62</v>
      </c>
      <c r="Z431" s="131">
        <v>596000.89</v>
      </c>
      <c r="AA431" s="129">
        <v>1</v>
      </c>
      <c r="AB431" s="157">
        <v>105.13</v>
      </c>
      <c r="AD431" s="131">
        <v>626.57600000000002</v>
      </c>
      <c r="AG431" s="6" t="s">
        <v>17</v>
      </c>
      <c r="AH431" s="132">
        <v>3.7300000000000001E-4</v>
      </c>
      <c r="AI431" s="132">
        <v>1.03338806510682E-2</v>
      </c>
      <c r="AJ431" s="132">
        <v>1.87886301584405E-3</v>
      </c>
    </row>
    <row r="432" spans="1:36" x14ac:dyDescent="0.2">
      <c r="A432" s="6">
        <v>559</v>
      </c>
      <c r="B432" s="6">
        <v>556</v>
      </c>
      <c r="C432" s="6" t="s">
        <v>2072</v>
      </c>
      <c r="D432" s="6" t="s">
        <v>2073</v>
      </c>
      <c r="E432" s="3" t="s">
        <v>1477</v>
      </c>
      <c r="F432" s="6" t="s">
        <v>2083</v>
      </c>
      <c r="G432" s="6" t="s">
        <v>2084</v>
      </c>
      <c r="H432" s="6" t="s">
        <v>76</v>
      </c>
      <c r="I432" s="6" t="s">
        <v>229</v>
      </c>
      <c r="J432" s="6" t="s">
        <v>53</v>
      </c>
      <c r="K432" s="6" t="s">
        <v>53</v>
      </c>
      <c r="L432" s="6" t="s">
        <v>805</v>
      </c>
      <c r="M432" s="6" t="s">
        <v>311</v>
      </c>
      <c r="N432" s="6" t="s">
        <v>256</v>
      </c>
      <c r="O432" s="6" t="s">
        <v>62</v>
      </c>
      <c r="P432" s="6" t="s">
        <v>1213</v>
      </c>
      <c r="Q432" s="6" t="s">
        <v>65</v>
      </c>
      <c r="R432" s="6" t="s">
        <v>57</v>
      </c>
      <c r="S432" s="6" t="s">
        <v>1219</v>
      </c>
      <c r="T432" s="131">
        <v>1.806</v>
      </c>
      <c r="U432" s="6" t="s">
        <v>2085</v>
      </c>
      <c r="V432" s="134">
        <v>6.0000000000000001E-3</v>
      </c>
      <c r="W432" s="132">
        <v>2.4760000000000001E-2</v>
      </c>
      <c r="X432" s="3" t="s">
        <v>620</v>
      </c>
      <c r="Y432" s="3" t="s">
        <v>62</v>
      </c>
      <c r="Z432" s="131">
        <v>679000.13</v>
      </c>
      <c r="AA432" s="129">
        <v>1</v>
      </c>
      <c r="AB432" s="157">
        <v>114.32</v>
      </c>
      <c r="AD432" s="131">
        <v>776.23299999999995</v>
      </c>
      <c r="AG432" s="6" t="s">
        <v>17</v>
      </c>
      <c r="AH432" s="132">
        <v>1.018E-3</v>
      </c>
      <c r="AI432" s="132">
        <v>1.2802121422741499E-2</v>
      </c>
      <c r="AJ432" s="132">
        <v>2.32762824322414E-3</v>
      </c>
    </row>
    <row r="433" spans="1:36" x14ac:dyDescent="0.2">
      <c r="A433" s="6">
        <v>559</v>
      </c>
      <c r="B433" s="6">
        <v>556</v>
      </c>
      <c r="C433" s="6" t="s">
        <v>2072</v>
      </c>
      <c r="D433" s="6" t="s">
        <v>2073</v>
      </c>
      <c r="E433" s="3" t="s">
        <v>1477</v>
      </c>
      <c r="F433" s="6" t="s">
        <v>2086</v>
      </c>
      <c r="G433" s="6" t="s">
        <v>2087</v>
      </c>
      <c r="H433" s="6" t="s">
        <v>76</v>
      </c>
      <c r="I433" s="6" t="s">
        <v>229</v>
      </c>
      <c r="J433" s="6" t="s">
        <v>53</v>
      </c>
      <c r="K433" s="6" t="s">
        <v>53</v>
      </c>
      <c r="L433" s="6" t="s">
        <v>805</v>
      </c>
      <c r="M433" s="6" t="s">
        <v>311</v>
      </c>
      <c r="N433" s="6" t="s">
        <v>256</v>
      </c>
      <c r="O433" s="6" t="s">
        <v>62</v>
      </c>
      <c r="P433" s="6" t="s">
        <v>1213</v>
      </c>
      <c r="Q433" s="6" t="s">
        <v>65</v>
      </c>
      <c r="R433" s="6" t="s">
        <v>57</v>
      </c>
      <c r="S433" s="6" t="s">
        <v>1219</v>
      </c>
      <c r="T433" s="131">
        <v>2.8039999999999998</v>
      </c>
      <c r="U433" s="6" t="s">
        <v>2088</v>
      </c>
      <c r="V433" s="134">
        <v>1.7500000000000002E-2</v>
      </c>
      <c r="W433" s="132">
        <v>2.4469999999999999E-2</v>
      </c>
      <c r="X433" s="3" t="s">
        <v>620</v>
      </c>
      <c r="Y433" s="3" t="s">
        <v>62</v>
      </c>
      <c r="Z433" s="131">
        <v>1434000.34</v>
      </c>
      <c r="AA433" s="129">
        <v>1</v>
      </c>
      <c r="AB433" s="157">
        <v>115.29</v>
      </c>
      <c r="AD433" s="131">
        <v>1653.259</v>
      </c>
      <c r="AG433" s="6" t="s">
        <v>17</v>
      </c>
      <c r="AH433" s="132">
        <v>6.4300000000000002E-4</v>
      </c>
      <c r="AI433" s="132">
        <v>2.7266585882989001E-2</v>
      </c>
      <c r="AJ433" s="132">
        <v>4.9574967539989896E-3</v>
      </c>
    </row>
    <row r="434" spans="1:36" x14ac:dyDescent="0.2">
      <c r="A434" s="6">
        <v>559</v>
      </c>
      <c r="B434" s="6">
        <v>556</v>
      </c>
      <c r="C434" s="6" t="s">
        <v>2089</v>
      </c>
      <c r="D434" s="6" t="s">
        <v>2090</v>
      </c>
      <c r="E434" s="3" t="s">
        <v>1477</v>
      </c>
      <c r="F434" s="6" t="s">
        <v>2091</v>
      </c>
      <c r="G434" s="6" t="s">
        <v>2092</v>
      </c>
      <c r="H434" s="6" t="s">
        <v>76</v>
      </c>
      <c r="I434" s="6" t="s">
        <v>228</v>
      </c>
      <c r="J434" s="6" t="s">
        <v>53</v>
      </c>
      <c r="K434" s="6" t="s">
        <v>53</v>
      </c>
      <c r="L434" s="6" t="s">
        <v>805</v>
      </c>
      <c r="M434" s="6" t="s">
        <v>311</v>
      </c>
      <c r="N434" s="6" t="s">
        <v>252</v>
      </c>
      <c r="O434" s="6" t="s">
        <v>62</v>
      </c>
      <c r="P434" s="6" t="s">
        <v>1577</v>
      </c>
      <c r="Q434" s="6" t="s">
        <v>65</v>
      </c>
      <c r="R434" s="6" t="s">
        <v>57</v>
      </c>
      <c r="S434" s="6" t="s">
        <v>1219</v>
      </c>
      <c r="T434" s="131">
        <v>0.90200000000000002</v>
      </c>
      <c r="U434" s="6" t="s">
        <v>2093</v>
      </c>
      <c r="V434" s="134">
        <v>2.29E-2</v>
      </c>
      <c r="W434" s="132">
        <v>4.7030000000000002E-2</v>
      </c>
      <c r="X434" s="3" t="s">
        <v>620</v>
      </c>
      <c r="Y434" s="3" t="s">
        <v>62</v>
      </c>
      <c r="Z434" s="131">
        <v>408000.98</v>
      </c>
      <c r="AA434" s="129">
        <v>1</v>
      </c>
      <c r="AB434" s="157">
        <v>98.11</v>
      </c>
      <c r="AD434" s="131">
        <v>400.29</v>
      </c>
      <c r="AG434" s="6" t="s">
        <v>17</v>
      </c>
      <c r="AH434" s="132">
        <v>1.232E-3</v>
      </c>
      <c r="AI434" s="132">
        <v>6.6018302107099499E-3</v>
      </c>
      <c r="AJ434" s="132">
        <v>1.2003171933771799E-3</v>
      </c>
    </row>
    <row r="435" spans="1:36" x14ac:dyDescent="0.2">
      <c r="A435" s="6">
        <v>559</v>
      </c>
      <c r="B435" s="6">
        <v>556</v>
      </c>
      <c r="C435" s="6" t="s">
        <v>2094</v>
      </c>
      <c r="D435" s="6" t="s">
        <v>2095</v>
      </c>
      <c r="E435" s="3" t="s">
        <v>1477</v>
      </c>
      <c r="F435" s="6" t="s">
        <v>2373</v>
      </c>
      <c r="G435" s="6" t="s">
        <v>2374</v>
      </c>
      <c r="H435" s="6" t="s">
        <v>76</v>
      </c>
      <c r="I435" s="6" t="s">
        <v>228</v>
      </c>
      <c r="J435" s="6" t="s">
        <v>53</v>
      </c>
      <c r="K435" s="6" t="s">
        <v>53</v>
      </c>
      <c r="L435" s="6" t="s">
        <v>805</v>
      </c>
      <c r="M435" s="6" t="s">
        <v>311</v>
      </c>
      <c r="N435" s="6" t="s">
        <v>156</v>
      </c>
      <c r="O435" s="6" t="s">
        <v>62</v>
      </c>
      <c r="P435" s="6" t="s">
        <v>298</v>
      </c>
      <c r="Q435" s="6" t="s">
        <v>298</v>
      </c>
      <c r="R435" s="6" t="s">
        <v>298</v>
      </c>
      <c r="S435" s="6" t="s">
        <v>1219</v>
      </c>
      <c r="T435" s="131">
        <v>1.827</v>
      </c>
      <c r="U435" s="6" t="s">
        <v>2375</v>
      </c>
      <c r="V435" s="134">
        <v>7.4999999999999997E-2</v>
      </c>
      <c r="W435" s="132">
        <v>5.4579999999999997E-2</v>
      </c>
      <c r="X435" s="3" t="s">
        <v>620</v>
      </c>
      <c r="Y435" s="3" t="s">
        <v>62</v>
      </c>
      <c r="Z435" s="131">
        <v>36900.1</v>
      </c>
      <c r="AA435" s="129">
        <v>1</v>
      </c>
      <c r="AB435" s="157">
        <v>122.27</v>
      </c>
      <c r="AD435" s="131">
        <v>45.118000000000002</v>
      </c>
      <c r="AG435" s="6" t="s">
        <v>17</v>
      </c>
      <c r="AH435" s="132">
        <v>3.39E-4</v>
      </c>
      <c r="AI435" s="132">
        <v>7.4411031367781796E-4</v>
      </c>
      <c r="AJ435" s="132">
        <v>1.3529102911913801E-4</v>
      </c>
    </row>
    <row r="436" spans="1:36" x14ac:dyDescent="0.2">
      <c r="A436" s="6">
        <v>559</v>
      </c>
      <c r="B436" s="6">
        <v>556</v>
      </c>
      <c r="C436" s="6" t="s">
        <v>2094</v>
      </c>
      <c r="D436" s="6" t="s">
        <v>2095</v>
      </c>
      <c r="E436" s="3" t="s">
        <v>1477</v>
      </c>
      <c r="F436" s="6" t="s">
        <v>2096</v>
      </c>
      <c r="G436" s="6" t="s">
        <v>2097</v>
      </c>
      <c r="H436" s="6" t="s">
        <v>76</v>
      </c>
      <c r="I436" s="6" t="s">
        <v>228</v>
      </c>
      <c r="J436" s="6" t="s">
        <v>53</v>
      </c>
      <c r="K436" s="6" t="s">
        <v>53</v>
      </c>
      <c r="L436" s="6" t="s">
        <v>805</v>
      </c>
      <c r="M436" s="6" t="s">
        <v>311</v>
      </c>
      <c r="N436" s="6" t="s">
        <v>156</v>
      </c>
      <c r="O436" s="6" t="s">
        <v>62</v>
      </c>
      <c r="P436" s="6" t="s">
        <v>298</v>
      </c>
      <c r="Q436" s="6" t="s">
        <v>298</v>
      </c>
      <c r="R436" s="6" t="s">
        <v>298</v>
      </c>
      <c r="S436" s="6" t="s">
        <v>1219</v>
      </c>
      <c r="T436" s="131">
        <v>2.0819999999999999</v>
      </c>
      <c r="U436" s="6" t="s">
        <v>1634</v>
      </c>
      <c r="V436" s="134">
        <v>0.10539999999999999</v>
      </c>
      <c r="W436" s="132">
        <v>4.4450000000000003E-2</v>
      </c>
      <c r="X436" s="3" t="s">
        <v>620</v>
      </c>
      <c r="Y436" s="3" t="s">
        <v>62</v>
      </c>
      <c r="Z436" s="131">
        <v>40000</v>
      </c>
      <c r="AA436" s="129">
        <v>1</v>
      </c>
      <c r="AB436" s="157">
        <v>138.33000000000001</v>
      </c>
      <c r="AD436" s="131">
        <v>55.332000000000001</v>
      </c>
      <c r="AG436" s="6" t="s">
        <v>17</v>
      </c>
      <c r="AH436" s="132">
        <v>1.94E-4</v>
      </c>
      <c r="AI436" s="132">
        <v>9.1257010389230201E-4</v>
      </c>
      <c r="AJ436" s="132">
        <v>1.6591968452731999E-4</v>
      </c>
    </row>
    <row r="437" spans="1:36" x14ac:dyDescent="0.2">
      <c r="A437" s="6">
        <v>559</v>
      </c>
      <c r="B437" s="6">
        <v>556</v>
      </c>
      <c r="C437" s="6" t="s">
        <v>2376</v>
      </c>
      <c r="D437" s="6" t="s">
        <v>2377</v>
      </c>
      <c r="E437" s="3" t="s">
        <v>767</v>
      </c>
      <c r="F437" s="6" t="s">
        <v>2378</v>
      </c>
      <c r="G437" s="6" t="s">
        <v>2379</v>
      </c>
      <c r="H437" s="6" t="s">
        <v>76</v>
      </c>
      <c r="I437" s="6" t="s">
        <v>229</v>
      </c>
      <c r="J437" s="6" t="s">
        <v>53</v>
      </c>
      <c r="K437" s="6" t="s">
        <v>53</v>
      </c>
      <c r="L437" s="6" t="s">
        <v>805</v>
      </c>
      <c r="M437" s="6" t="s">
        <v>311</v>
      </c>
      <c r="N437" s="6" t="s">
        <v>140</v>
      </c>
      <c r="O437" s="6" t="s">
        <v>62</v>
      </c>
      <c r="P437" s="6" t="s">
        <v>298</v>
      </c>
      <c r="Q437" s="6" t="s">
        <v>298</v>
      </c>
      <c r="R437" s="6" t="s">
        <v>298</v>
      </c>
      <c r="S437" s="6" t="s">
        <v>1219</v>
      </c>
      <c r="T437" s="131">
        <v>3.1139999999999999</v>
      </c>
      <c r="U437" s="6" t="s">
        <v>2380</v>
      </c>
      <c r="V437" s="134">
        <v>0.06</v>
      </c>
      <c r="W437" s="132">
        <v>1E-4</v>
      </c>
      <c r="X437" s="3" t="s">
        <v>620</v>
      </c>
      <c r="Y437" s="3" t="s">
        <v>55</v>
      </c>
      <c r="Z437" s="131">
        <v>267231.21999999997</v>
      </c>
      <c r="AA437" s="129">
        <v>1</v>
      </c>
      <c r="AB437" s="157">
        <v>9.77</v>
      </c>
      <c r="AD437" s="131">
        <v>26.108000000000001</v>
      </c>
      <c r="AG437" s="6" t="s">
        <v>17</v>
      </c>
      <c r="AH437" s="132">
        <v>2.2690000000000002E-3</v>
      </c>
      <c r="AI437" s="132">
        <v>4.3059762178865199E-4</v>
      </c>
      <c r="AJ437" s="132">
        <v>7.8289461007610404E-5</v>
      </c>
    </row>
    <row r="438" spans="1:36" x14ac:dyDescent="0.2">
      <c r="A438" s="6">
        <v>559</v>
      </c>
      <c r="B438" s="6">
        <v>556</v>
      </c>
      <c r="C438" s="6" t="s">
        <v>2376</v>
      </c>
      <c r="D438" s="6" t="s">
        <v>2377</v>
      </c>
      <c r="E438" s="3" t="s">
        <v>767</v>
      </c>
      <c r="F438" s="6" t="s">
        <v>2381</v>
      </c>
      <c r="G438" s="6" t="s">
        <v>2382</v>
      </c>
      <c r="H438" s="6" t="s">
        <v>76</v>
      </c>
      <c r="I438" s="6" t="s">
        <v>229</v>
      </c>
      <c r="J438" s="6" t="s">
        <v>53</v>
      </c>
      <c r="K438" s="6" t="s">
        <v>53</v>
      </c>
      <c r="L438" s="6" t="s">
        <v>805</v>
      </c>
      <c r="M438" s="6" t="s">
        <v>311</v>
      </c>
      <c r="N438" s="6" t="s">
        <v>140</v>
      </c>
      <c r="O438" s="6" t="s">
        <v>62</v>
      </c>
      <c r="P438" s="6" t="s">
        <v>298</v>
      </c>
      <c r="Q438" s="6" t="s">
        <v>298</v>
      </c>
      <c r="R438" s="6" t="s">
        <v>298</v>
      </c>
      <c r="S438" s="6" t="s">
        <v>1219</v>
      </c>
      <c r="T438" s="131">
        <v>2.9289999999999998</v>
      </c>
      <c r="U438" s="6" t="s">
        <v>2380</v>
      </c>
      <c r="V438" s="134">
        <v>6.9000000000000006E-2</v>
      </c>
      <c r="W438" s="132">
        <v>1E-4</v>
      </c>
      <c r="X438" s="3" t="s">
        <v>620</v>
      </c>
      <c r="Y438" s="3" t="s">
        <v>55</v>
      </c>
      <c r="Z438" s="131">
        <v>333758.03000000003</v>
      </c>
      <c r="AA438" s="129">
        <v>1</v>
      </c>
      <c r="AB438" s="157">
        <v>10.5</v>
      </c>
      <c r="AD438" s="131">
        <v>35.045000000000002</v>
      </c>
      <c r="AG438" s="6" t="s">
        <v>17</v>
      </c>
      <c r="AH438" s="132">
        <v>1.9319999999999999E-3</v>
      </c>
      <c r="AI438" s="132">
        <v>5.7797744545215999E-4</v>
      </c>
      <c r="AJ438" s="132">
        <v>1.05085444947522E-4</v>
      </c>
    </row>
    <row r="439" spans="1:36" x14ac:dyDescent="0.2">
      <c r="A439" s="6">
        <v>559</v>
      </c>
      <c r="B439" s="6">
        <v>556</v>
      </c>
      <c r="C439" s="6" t="s">
        <v>2098</v>
      </c>
      <c r="D439" s="6" t="s">
        <v>2099</v>
      </c>
      <c r="E439" s="3" t="s">
        <v>1477</v>
      </c>
      <c r="F439" s="6" t="s">
        <v>2100</v>
      </c>
      <c r="G439" s="6" t="s">
        <v>2101</v>
      </c>
      <c r="H439" s="6" t="s">
        <v>76</v>
      </c>
      <c r="I439" s="6" t="s">
        <v>228</v>
      </c>
      <c r="J439" s="6" t="s">
        <v>53</v>
      </c>
      <c r="K439" s="6" t="s">
        <v>53</v>
      </c>
      <c r="L439" s="6" t="s">
        <v>805</v>
      </c>
      <c r="M439" s="6" t="s">
        <v>311</v>
      </c>
      <c r="N439" s="6" t="s">
        <v>269</v>
      </c>
      <c r="O439" s="6" t="s">
        <v>62</v>
      </c>
      <c r="P439" s="6" t="s">
        <v>1533</v>
      </c>
      <c r="Q439" s="6" t="s">
        <v>65</v>
      </c>
      <c r="R439" s="6" t="s">
        <v>57</v>
      </c>
      <c r="S439" s="6" t="s">
        <v>1219</v>
      </c>
      <c r="T439" s="131">
        <v>7.9000000000000001E-2</v>
      </c>
      <c r="U439" s="6" t="s">
        <v>2102</v>
      </c>
      <c r="V439" s="134">
        <v>3.61E-2</v>
      </c>
      <c r="W439" s="132">
        <v>5.4059999999999997E-2</v>
      </c>
      <c r="X439" s="3" t="s">
        <v>620</v>
      </c>
      <c r="Y439" s="3" t="s">
        <v>62</v>
      </c>
      <c r="Z439" s="131">
        <v>159000</v>
      </c>
      <c r="AA439" s="129">
        <v>1</v>
      </c>
      <c r="AB439" s="157">
        <v>101.38</v>
      </c>
      <c r="AD439" s="131">
        <v>161.19399999999999</v>
      </c>
      <c r="AG439" s="6" t="s">
        <v>17</v>
      </c>
      <c r="AH439" s="132">
        <v>2.0699999999999999E-4</v>
      </c>
      <c r="AI439" s="132">
        <v>2.6585160095575198E-3</v>
      </c>
      <c r="AJ439" s="132">
        <v>4.8336027636148497E-4</v>
      </c>
    </row>
    <row r="440" spans="1:36" x14ac:dyDescent="0.2">
      <c r="A440" s="6">
        <v>559</v>
      </c>
      <c r="B440" s="6">
        <v>556</v>
      </c>
      <c r="C440" s="6" t="s">
        <v>2103</v>
      </c>
      <c r="D440" s="6" t="s">
        <v>2104</v>
      </c>
      <c r="E440" s="3" t="s">
        <v>1477</v>
      </c>
      <c r="F440" s="6" t="s">
        <v>2105</v>
      </c>
      <c r="G440" s="6" t="s">
        <v>2106</v>
      </c>
      <c r="H440" s="6" t="s">
        <v>76</v>
      </c>
      <c r="I440" s="6" t="s">
        <v>228</v>
      </c>
      <c r="J440" s="6" t="s">
        <v>53</v>
      </c>
      <c r="K440" s="6" t="s">
        <v>317</v>
      </c>
      <c r="L440" s="6" t="s">
        <v>805</v>
      </c>
      <c r="M440" s="6" t="s">
        <v>311</v>
      </c>
      <c r="N440" s="6" t="s">
        <v>254</v>
      </c>
      <c r="O440" s="6" t="s">
        <v>62</v>
      </c>
      <c r="P440" s="6" t="s">
        <v>298</v>
      </c>
      <c r="Q440" s="6" t="s">
        <v>298</v>
      </c>
      <c r="R440" s="6" t="s">
        <v>298</v>
      </c>
      <c r="S440" s="6" t="s">
        <v>1219</v>
      </c>
      <c r="T440" s="131">
        <v>0.499</v>
      </c>
      <c r="U440" s="6" t="s">
        <v>1499</v>
      </c>
      <c r="V440" s="134">
        <v>1.9900000000000001E-2</v>
      </c>
      <c r="W440" s="132">
        <v>5.1869999999999999E-2</v>
      </c>
      <c r="X440" s="3" t="s">
        <v>620</v>
      </c>
      <c r="Y440" s="3" t="s">
        <v>62</v>
      </c>
      <c r="Z440" s="131">
        <v>62000</v>
      </c>
      <c r="AA440" s="129">
        <v>1</v>
      </c>
      <c r="AB440" s="157">
        <v>98.48</v>
      </c>
      <c r="AD440" s="131">
        <v>61.058</v>
      </c>
      <c r="AG440" s="6" t="s">
        <v>17</v>
      </c>
      <c r="AH440" s="132">
        <v>4.1300000000000001E-4</v>
      </c>
      <c r="AI440" s="132">
        <v>1.0070002959483601E-3</v>
      </c>
      <c r="AJ440" s="132">
        <v>1.8308858761648399E-4</v>
      </c>
    </row>
    <row r="441" spans="1:36" x14ac:dyDescent="0.2">
      <c r="A441" s="6">
        <v>559</v>
      </c>
      <c r="B441" s="6">
        <v>556</v>
      </c>
      <c r="C441" s="6" t="s">
        <v>2107</v>
      </c>
      <c r="D441" s="6" t="s">
        <v>2108</v>
      </c>
      <c r="E441" s="3" t="s">
        <v>1477</v>
      </c>
      <c r="F441" s="6" t="s">
        <v>2109</v>
      </c>
      <c r="G441" s="6" t="s">
        <v>2110</v>
      </c>
      <c r="H441" s="6" t="s">
        <v>76</v>
      </c>
      <c r="I441" s="6" t="s">
        <v>607</v>
      </c>
      <c r="J441" s="6" t="s">
        <v>53</v>
      </c>
      <c r="K441" s="6" t="s">
        <v>53</v>
      </c>
      <c r="L441" s="6" t="s">
        <v>805</v>
      </c>
      <c r="M441" s="6" t="s">
        <v>311</v>
      </c>
      <c r="N441" s="6" t="s">
        <v>631</v>
      </c>
      <c r="O441" s="6" t="s">
        <v>62</v>
      </c>
      <c r="P441" s="6" t="s">
        <v>298</v>
      </c>
      <c r="Q441" s="6" t="s">
        <v>298</v>
      </c>
      <c r="R441" s="6" t="s">
        <v>298</v>
      </c>
      <c r="S441" s="6" t="s">
        <v>1219</v>
      </c>
      <c r="T441" s="131">
        <v>0.98699999999999999</v>
      </c>
      <c r="U441" s="6" t="s">
        <v>1595</v>
      </c>
      <c r="V441" s="134">
        <v>0.03</v>
      </c>
      <c r="W441" s="132">
        <v>5.7160000000000002E-2</v>
      </c>
      <c r="X441" s="3" t="s">
        <v>620</v>
      </c>
      <c r="Y441" s="3" t="s">
        <v>62</v>
      </c>
      <c r="Z441" s="131">
        <v>15000</v>
      </c>
      <c r="AA441" s="129">
        <v>1</v>
      </c>
      <c r="AB441" s="157">
        <v>97.5</v>
      </c>
      <c r="AD441" s="131">
        <v>14.625</v>
      </c>
      <c r="AG441" s="6" t="s">
        <v>17</v>
      </c>
      <c r="AH441" s="132">
        <v>5.2599999999999999E-4</v>
      </c>
      <c r="AI441" s="132">
        <v>2.4120468751219799E-4</v>
      </c>
      <c r="AJ441" s="132">
        <v>4.3854828782839101E-5</v>
      </c>
    </row>
    <row r="442" spans="1:36" x14ac:dyDescent="0.2">
      <c r="A442" s="6">
        <v>559</v>
      </c>
      <c r="B442" s="6">
        <v>556</v>
      </c>
      <c r="C442" s="6" t="s">
        <v>2107</v>
      </c>
      <c r="D442" s="6" t="s">
        <v>2108</v>
      </c>
      <c r="E442" s="3" t="s">
        <v>1477</v>
      </c>
      <c r="F442" s="6" t="s">
        <v>2383</v>
      </c>
      <c r="G442" s="6" t="s">
        <v>2384</v>
      </c>
      <c r="H442" s="6" t="s">
        <v>76</v>
      </c>
      <c r="I442" s="6" t="s">
        <v>229</v>
      </c>
      <c r="J442" s="6" t="s">
        <v>53</v>
      </c>
      <c r="K442" s="6" t="s">
        <v>53</v>
      </c>
      <c r="L442" s="6" t="s">
        <v>805</v>
      </c>
      <c r="M442" s="6" t="s">
        <v>311</v>
      </c>
      <c r="N442" s="6" t="s">
        <v>631</v>
      </c>
      <c r="O442" s="6" t="s">
        <v>62</v>
      </c>
      <c r="P442" s="6" t="s">
        <v>298</v>
      </c>
      <c r="Q442" s="6" t="s">
        <v>298</v>
      </c>
      <c r="R442" s="6" t="s">
        <v>298</v>
      </c>
      <c r="S442" s="6" t="s">
        <v>1219</v>
      </c>
      <c r="T442" s="131">
        <v>2.06</v>
      </c>
      <c r="U442" s="6" t="s">
        <v>1544</v>
      </c>
      <c r="V442" s="134">
        <v>0.04</v>
      </c>
      <c r="W442" s="132">
        <v>3.6859999999999997E-2</v>
      </c>
      <c r="X442" s="3" t="s">
        <v>620</v>
      </c>
      <c r="Y442" s="3" t="s">
        <v>62</v>
      </c>
      <c r="Z442" s="131">
        <v>95200</v>
      </c>
      <c r="AA442" s="129">
        <v>1</v>
      </c>
      <c r="AB442" s="157">
        <v>114.78</v>
      </c>
      <c r="AD442" s="131">
        <v>109.271</v>
      </c>
      <c r="AG442" s="6" t="s">
        <v>17</v>
      </c>
      <c r="AH442" s="132">
        <v>1.4660000000000001E-3</v>
      </c>
      <c r="AI442" s="132">
        <v>1.80215871993729E-3</v>
      </c>
      <c r="AJ442" s="132">
        <v>3.2766097092683401E-4</v>
      </c>
    </row>
    <row r="443" spans="1:36" x14ac:dyDescent="0.2">
      <c r="A443" s="6">
        <v>559</v>
      </c>
      <c r="B443" s="6">
        <v>556</v>
      </c>
      <c r="C443" s="6" t="s">
        <v>2111</v>
      </c>
      <c r="D443" s="6" t="s">
        <v>2112</v>
      </c>
      <c r="E443" s="3" t="s">
        <v>1477</v>
      </c>
      <c r="F443" s="6" t="s">
        <v>2113</v>
      </c>
      <c r="G443" s="6" t="s">
        <v>2114</v>
      </c>
      <c r="H443" s="6" t="s">
        <v>76</v>
      </c>
      <c r="I443" s="6" t="s">
        <v>228</v>
      </c>
      <c r="J443" s="6" t="s">
        <v>53</v>
      </c>
      <c r="K443" s="6" t="s">
        <v>53</v>
      </c>
      <c r="L443" s="6" t="s">
        <v>805</v>
      </c>
      <c r="M443" s="6" t="s">
        <v>1227</v>
      </c>
      <c r="N443" s="6" t="s">
        <v>140</v>
      </c>
      <c r="O443" s="6" t="s">
        <v>62</v>
      </c>
      <c r="P443" s="6" t="s">
        <v>1527</v>
      </c>
      <c r="Q443" s="6" t="s">
        <v>70</v>
      </c>
      <c r="R443" s="6" t="s">
        <v>57</v>
      </c>
      <c r="S443" s="6" t="s">
        <v>1219</v>
      </c>
      <c r="T443" s="131">
        <v>4.7699999999999996</v>
      </c>
      <c r="U443" s="6" t="s">
        <v>2006</v>
      </c>
      <c r="V443" s="134">
        <v>5.8799999999999998E-2</v>
      </c>
      <c r="W443" s="132">
        <v>5.3900000000000003E-2</v>
      </c>
      <c r="X443" s="3" t="s">
        <v>620</v>
      </c>
      <c r="Y443" s="3" t="s">
        <v>62</v>
      </c>
      <c r="Z443" s="131">
        <v>110000</v>
      </c>
      <c r="AA443" s="129">
        <v>1</v>
      </c>
      <c r="AB443" s="157">
        <v>102.87</v>
      </c>
      <c r="AD443" s="131">
        <v>113.157</v>
      </c>
      <c r="AG443" s="6" t="s">
        <v>17</v>
      </c>
      <c r="AH443" s="132">
        <v>3.6699999999999998E-4</v>
      </c>
      <c r="AI443" s="132">
        <v>1.86625632990207E-3</v>
      </c>
      <c r="AJ443" s="132">
        <v>3.3931493063793001E-4</v>
      </c>
    </row>
    <row r="444" spans="1:36" x14ac:dyDescent="0.2">
      <c r="A444" s="6">
        <v>559</v>
      </c>
      <c r="B444" s="6">
        <v>556</v>
      </c>
      <c r="C444" s="6" t="s">
        <v>2115</v>
      </c>
      <c r="D444" s="6" t="s">
        <v>2116</v>
      </c>
      <c r="E444" s="3" t="s">
        <v>1477</v>
      </c>
      <c r="F444" s="6" t="s">
        <v>2117</v>
      </c>
      <c r="G444" s="6" t="s">
        <v>2118</v>
      </c>
      <c r="H444" s="6" t="s">
        <v>76</v>
      </c>
      <c r="I444" s="6" t="s">
        <v>228</v>
      </c>
      <c r="J444" s="6" t="s">
        <v>53</v>
      </c>
      <c r="K444" s="6" t="s">
        <v>53</v>
      </c>
      <c r="L444" s="6" t="s">
        <v>805</v>
      </c>
      <c r="M444" s="6" t="s">
        <v>311</v>
      </c>
      <c r="N444" s="6" t="s">
        <v>636</v>
      </c>
      <c r="O444" s="6" t="s">
        <v>62</v>
      </c>
      <c r="P444" s="6" t="s">
        <v>1527</v>
      </c>
      <c r="Q444" s="6" t="s">
        <v>70</v>
      </c>
      <c r="R444" s="6" t="s">
        <v>57</v>
      </c>
      <c r="S444" s="6" t="s">
        <v>1219</v>
      </c>
      <c r="T444" s="131">
        <v>0.121</v>
      </c>
      <c r="U444" s="6" t="s">
        <v>2119</v>
      </c>
      <c r="V444" s="134">
        <v>3.5000000000000003E-2</v>
      </c>
      <c r="W444" s="132">
        <v>2.7310000000000001E-2</v>
      </c>
      <c r="X444" s="3" t="s">
        <v>620</v>
      </c>
      <c r="Y444" s="3" t="s">
        <v>62</v>
      </c>
      <c r="Z444" s="131">
        <v>9735</v>
      </c>
      <c r="AA444" s="129">
        <v>1</v>
      </c>
      <c r="AB444" s="157">
        <v>101.42</v>
      </c>
      <c r="AD444" s="131">
        <v>9.8729999999999993</v>
      </c>
      <c r="AG444" s="6" t="s">
        <v>17</v>
      </c>
      <c r="AH444" s="132">
        <v>2.03E-4</v>
      </c>
      <c r="AI444" s="132">
        <v>1.6283562703034999E-4</v>
      </c>
      <c r="AJ444" s="132">
        <v>2.96060935499071E-5</v>
      </c>
    </row>
    <row r="445" spans="1:36" x14ac:dyDescent="0.2">
      <c r="A445" s="6">
        <v>559</v>
      </c>
      <c r="B445" s="6">
        <v>556</v>
      </c>
      <c r="C445" s="6" t="s">
        <v>2115</v>
      </c>
      <c r="D445" s="6" t="s">
        <v>2116</v>
      </c>
      <c r="E445" s="3" t="s">
        <v>1477</v>
      </c>
      <c r="F445" s="6" t="s">
        <v>2120</v>
      </c>
      <c r="G445" s="6" t="s">
        <v>2121</v>
      </c>
      <c r="H445" s="6" t="s">
        <v>76</v>
      </c>
      <c r="I445" s="6" t="s">
        <v>228</v>
      </c>
      <c r="J445" s="6" t="s">
        <v>53</v>
      </c>
      <c r="K445" s="6" t="s">
        <v>53</v>
      </c>
      <c r="L445" s="6" t="s">
        <v>805</v>
      </c>
      <c r="M445" s="6" t="s">
        <v>311</v>
      </c>
      <c r="N445" s="6" t="s">
        <v>636</v>
      </c>
      <c r="O445" s="6" t="s">
        <v>62</v>
      </c>
      <c r="P445" s="6" t="s">
        <v>1527</v>
      </c>
      <c r="Q445" s="6" t="s">
        <v>70</v>
      </c>
      <c r="R445" s="6" t="s">
        <v>57</v>
      </c>
      <c r="S445" s="6" t="s">
        <v>1219</v>
      </c>
      <c r="T445" s="131">
        <v>1.014</v>
      </c>
      <c r="U445" s="6" t="s">
        <v>1578</v>
      </c>
      <c r="V445" s="134">
        <v>4.99E-2</v>
      </c>
      <c r="W445" s="132">
        <v>4.6120000000000001E-2</v>
      </c>
      <c r="X445" s="3" t="s">
        <v>620</v>
      </c>
      <c r="Y445" s="3" t="s">
        <v>62</v>
      </c>
      <c r="Z445" s="131">
        <v>178000.53</v>
      </c>
      <c r="AA445" s="129">
        <v>1</v>
      </c>
      <c r="AB445" s="157">
        <v>101.69</v>
      </c>
      <c r="AD445" s="131">
        <v>181.00899999999999</v>
      </c>
      <c r="AG445" s="6" t="s">
        <v>17</v>
      </c>
      <c r="AH445" s="132">
        <v>7.1900000000000002E-4</v>
      </c>
      <c r="AI445" s="132">
        <v>2.9853098336478701E-3</v>
      </c>
      <c r="AJ445" s="132">
        <v>5.4277656445516904E-4</v>
      </c>
    </row>
    <row r="446" spans="1:36" x14ac:dyDescent="0.2">
      <c r="A446" s="6">
        <v>559</v>
      </c>
      <c r="B446" s="6">
        <v>556</v>
      </c>
      <c r="C446" s="6" t="s">
        <v>2122</v>
      </c>
      <c r="D446" s="6" t="s">
        <v>2123</v>
      </c>
      <c r="E446" s="3" t="s">
        <v>1477</v>
      </c>
      <c r="F446" s="6" t="s">
        <v>2124</v>
      </c>
      <c r="G446" s="6" t="s">
        <v>2125</v>
      </c>
      <c r="H446" s="6" t="s">
        <v>76</v>
      </c>
      <c r="I446" s="6" t="s">
        <v>228</v>
      </c>
      <c r="J446" s="6" t="s">
        <v>53</v>
      </c>
      <c r="K446" s="6" t="s">
        <v>53</v>
      </c>
      <c r="L446" s="6" t="s">
        <v>805</v>
      </c>
      <c r="M446" s="6" t="s">
        <v>311</v>
      </c>
      <c r="N446" s="6" t="s">
        <v>259</v>
      </c>
      <c r="O446" s="6" t="s">
        <v>62</v>
      </c>
      <c r="P446" s="6" t="s">
        <v>1527</v>
      </c>
      <c r="Q446" s="6" t="s">
        <v>70</v>
      </c>
      <c r="R446" s="6" t="s">
        <v>57</v>
      </c>
      <c r="S446" s="6" t="s">
        <v>1219</v>
      </c>
      <c r="T446" s="131">
        <v>0.98399999999999999</v>
      </c>
      <c r="U446" s="6" t="s">
        <v>1516</v>
      </c>
      <c r="V446" s="134">
        <v>3.2500000000000001E-2</v>
      </c>
      <c r="W446" s="132">
        <v>4.8820000000000002E-2</v>
      </c>
      <c r="X446" s="3" t="s">
        <v>620</v>
      </c>
      <c r="Y446" s="3" t="s">
        <v>62</v>
      </c>
      <c r="Z446" s="131">
        <v>53285.57</v>
      </c>
      <c r="AA446" s="129">
        <v>1</v>
      </c>
      <c r="AB446" s="157">
        <v>98.5</v>
      </c>
      <c r="AD446" s="131">
        <v>52.485999999999997</v>
      </c>
      <c r="AG446" s="6" t="s">
        <v>17</v>
      </c>
      <c r="AH446" s="132">
        <v>3.3599999999999998E-4</v>
      </c>
      <c r="AI446" s="132">
        <v>8.6563680833148305E-4</v>
      </c>
      <c r="AJ446" s="132">
        <v>1.57386468766619E-4</v>
      </c>
    </row>
    <row r="447" spans="1:36" x14ac:dyDescent="0.2">
      <c r="A447" s="6">
        <v>559</v>
      </c>
      <c r="B447" s="6">
        <v>556</v>
      </c>
      <c r="C447" s="6" t="s">
        <v>2126</v>
      </c>
      <c r="D447" s="6" t="s">
        <v>2127</v>
      </c>
      <c r="E447" s="3" t="s">
        <v>1477</v>
      </c>
      <c r="F447" s="6" t="s">
        <v>2128</v>
      </c>
      <c r="G447" s="6" t="s">
        <v>2129</v>
      </c>
      <c r="H447" s="6" t="s">
        <v>76</v>
      </c>
      <c r="I447" s="6" t="s">
        <v>229</v>
      </c>
      <c r="J447" s="6" t="s">
        <v>53</v>
      </c>
      <c r="K447" s="6" t="s">
        <v>53</v>
      </c>
      <c r="L447" s="6" t="s">
        <v>805</v>
      </c>
      <c r="M447" s="6" t="s">
        <v>311</v>
      </c>
      <c r="N447" s="6" t="s">
        <v>140</v>
      </c>
      <c r="O447" s="6" t="s">
        <v>62</v>
      </c>
      <c r="P447" s="6" t="s">
        <v>298</v>
      </c>
      <c r="Q447" s="6" t="s">
        <v>298</v>
      </c>
      <c r="R447" s="6" t="s">
        <v>298</v>
      </c>
      <c r="S447" s="6" t="s">
        <v>1219</v>
      </c>
      <c r="T447" s="131">
        <v>0.93500000000000005</v>
      </c>
      <c r="U447" s="6" t="s">
        <v>1629</v>
      </c>
      <c r="V447" s="134">
        <v>2.8500000000000001E-2</v>
      </c>
      <c r="W447" s="132">
        <v>1E-4</v>
      </c>
      <c r="X447" s="3" t="s">
        <v>620</v>
      </c>
      <c r="Y447" s="3" t="s">
        <v>62</v>
      </c>
      <c r="Z447" s="131">
        <v>365290.4</v>
      </c>
      <c r="AA447" s="129">
        <v>1</v>
      </c>
      <c r="AB447" s="157">
        <v>122.1</v>
      </c>
      <c r="AD447" s="131">
        <v>446.02</v>
      </c>
      <c r="AG447" s="6" t="s">
        <v>17</v>
      </c>
      <c r="AH447" s="132">
        <v>2.9629999999999999E-3</v>
      </c>
      <c r="AI447" s="132">
        <v>7.3560350791312202E-3</v>
      </c>
      <c r="AJ447" s="132">
        <v>1.3374435722752901E-3</v>
      </c>
    </row>
    <row r="448" spans="1:36" x14ac:dyDescent="0.2">
      <c r="A448" s="6">
        <v>559</v>
      </c>
      <c r="B448" s="6">
        <v>556</v>
      </c>
      <c r="C448" s="6" t="s">
        <v>2126</v>
      </c>
      <c r="D448" s="6" t="s">
        <v>2127</v>
      </c>
      <c r="E448" s="3" t="s">
        <v>1477</v>
      </c>
      <c r="F448" s="6" t="s">
        <v>2385</v>
      </c>
      <c r="G448" s="6" t="s">
        <v>2386</v>
      </c>
      <c r="H448" s="6" t="s">
        <v>76</v>
      </c>
      <c r="I448" s="6" t="s">
        <v>229</v>
      </c>
      <c r="J448" s="6" t="s">
        <v>53</v>
      </c>
      <c r="K448" s="6" t="s">
        <v>53</v>
      </c>
      <c r="L448" s="6" t="s">
        <v>805</v>
      </c>
      <c r="M448" s="6" t="s">
        <v>311</v>
      </c>
      <c r="N448" s="6" t="s">
        <v>140</v>
      </c>
      <c r="O448" s="6" t="s">
        <v>62</v>
      </c>
      <c r="P448" s="6" t="s">
        <v>298</v>
      </c>
      <c r="Q448" s="6" t="s">
        <v>298</v>
      </c>
      <c r="R448" s="6" t="s">
        <v>298</v>
      </c>
      <c r="S448" s="6" t="s">
        <v>1219</v>
      </c>
      <c r="T448" s="131">
        <v>2.7589999999999999</v>
      </c>
      <c r="U448" s="6" t="s">
        <v>2144</v>
      </c>
      <c r="V448" s="134">
        <v>3.7900000000000003E-2</v>
      </c>
      <c r="W448" s="132">
        <v>2.7040000000000002E-2</v>
      </c>
      <c r="X448" s="3" t="s">
        <v>620</v>
      </c>
      <c r="Y448" s="3" t="s">
        <v>62</v>
      </c>
      <c r="Z448" s="131">
        <v>130015.94</v>
      </c>
      <c r="AA448" s="129">
        <v>1</v>
      </c>
      <c r="AB448" s="157">
        <v>114.2</v>
      </c>
      <c r="AD448" s="131">
        <v>148.47800000000001</v>
      </c>
      <c r="AG448" s="6" t="s">
        <v>17</v>
      </c>
      <c r="AH448" s="132">
        <v>1.1000000000000001E-3</v>
      </c>
      <c r="AI448" s="132">
        <v>2.4487958066848501E-3</v>
      </c>
      <c r="AJ448" s="132">
        <v>4.4522982506659399E-4</v>
      </c>
    </row>
    <row r="449" spans="1:36" x14ac:dyDescent="0.2">
      <c r="A449" s="6">
        <v>559</v>
      </c>
      <c r="B449" s="6">
        <v>556</v>
      </c>
      <c r="C449" s="6" t="s">
        <v>2130</v>
      </c>
      <c r="D449" s="6" t="s">
        <v>2131</v>
      </c>
      <c r="E449" s="3" t="s">
        <v>1477</v>
      </c>
      <c r="F449" s="6" t="s">
        <v>2132</v>
      </c>
      <c r="G449" s="6" t="s">
        <v>2133</v>
      </c>
      <c r="H449" s="6" t="s">
        <v>76</v>
      </c>
      <c r="I449" s="6" t="s">
        <v>228</v>
      </c>
      <c r="J449" s="6" t="s">
        <v>53</v>
      </c>
      <c r="K449" s="6" t="s">
        <v>53</v>
      </c>
      <c r="L449" s="6" t="s">
        <v>805</v>
      </c>
      <c r="M449" s="6" t="s">
        <v>311</v>
      </c>
      <c r="N449" s="6" t="s">
        <v>140</v>
      </c>
      <c r="O449" s="6" t="s">
        <v>62</v>
      </c>
      <c r="P449" s="6" t="s">
        <v>1515</v>
      </c>
      <c r="Q449" s="6" t="s">
        <v>65</v>
      </c>
      <c r="R449" s="6" t="s">
        <v>57</v>
      </c>
      <c r="S449" s="6" t="s">
        <v>1219</v>
      </c>
      <c r="T449" s="131">
        <v>0.499</v>
      </c>
      <c r="U449" s="6" t="s">
        <v>1499</v>
      </c>
      <c r="V449" s="134">
        <v>4.9500000000000002E-2</v>
      </c>
      <c r="W449" s="132">
        <v>6.0859999999999997E-2</v>
      </c>
      <c r="X449" s="3" t="s">
        <v>620</v>
      </c>
      <c r="Y449" s="3" t="s">
        <v>62</v>
      </c>
      <c r="Z449" s="131">
        <v>26400</v>
      </c>
      <c r="AA449" s="129">
        <v>1</v>
      </c>
      <c r="AB449" s="157">
        <v>99.5</v>
      </c>
      <c r="AD449" s="131">
        <v>26.268000000000001</v>
      </c>
      <c r="AG449" s="6" t="s">
        <v>17</v>
      </c>
      <c r="AH449" s="132">
        <v>1.1999999999999999E-3</v>
      </c>
      <c r="AI449" s="132">
        <v>4.3322835771421602E-4</v>
      </c>
      <c r="AJ449" s="132">
        <v>7.8767770425136203E-5</v>
      </c>
    </row>
    <row r="450" spans="1:36" x14ac:dyDescent="0.2">
      <c r="A450" s="6">
        <v>559</v>
      </c>
      <c r="B450" s="6">
        <v>556</v>
      </c>
      <c r="C450" s="6" t="s">
        <v>2134</v>
      </c>
      <c r="D450" s="6" t="s">
        <v>2135</v>
      </c>
      <c r="E450" s="3" t="s">
        <v>1477</v>
      </c>
      <c r="F450" s="6" t="s">
        <v>2136</v>
      </c>
      <c r="G450" s="6" t="s">
        <v>2137</v>
      </c>
      <c r="H450" s="6" t="s">
        <v>76</v>
      </c>
      <c r="I450" s="6" t="s">
        <v>228</v>
      </c>
      <c r="J450" s="6" t="s">
        <v>53</v>
      </c>
      <c r="K450" s="6" t="s">
        <v>53</v>
      </c>
      <c r="L450" s="6" t="s">
        <v>805</v>
      </c>
      <c r="M450" s="6" t="s">
        <v>102</v>
      </c>
      <c r="N450" s="6" t="s">
        <v>692</v>
      </c>
      <c r="O450" s="6" t="s">
        <v>62</v>
      </c>
      <c r="P450" s="6" t="s">
        <v>1493</v>
      </c>
      <c r="Q450" s="6" t="s">
        <v>65</v>
      </c>
      <c r="R450" s="6" t="s">
        <v>57</v>
      </c>
      <c r="S450" s="6" t="s">
        <v>1219</v>
      </c>
      <c r="T450" s="131">
        <v>4.9429999999999996</v>
      </c>
      <c r="U450" s="6" t="s">
        <v>1522</v>
      </c>
      <c r="V450" s="134">
        <v>5.8799999999999998E-2</v>
      </c>
      <c r="W450" s="132">
        <v>5.5820000000000002E-2</v>
      </c>
      <c r="X450" s="3" t="s">
        <v>620</v>
      </c>
      <c r="Y450" s="3" t="s">
        <v>62</v>
      </c>
      <c r="Z450" s="131">
        <v>150000</v>
      </c>
      <c r="AA450" s="129">
        <v>1</v>
      </c>
      <c r="AB450" s="157">
        <v>103.90900000000001</v>
      </c>
      <c r="AD450" s="131">
        <v>155.864</v>
      </c>
      <c r="AG450" s="6" t="s">
        <v>17</v>
      </c>
      <c r="AH450" s="132">
        <v>0</v>
      </c>
      <c r="AI450" s="132">
        <v>2.5706002614972398E-3</v>
      </c>
      <c r="AJ450" s="132">
        <v>4.6737580226910902E-4</v>
      </c>
    </row>
    <row r="451" spans="1:36" x14ac:dyDescent="0.2">
      <c r="A451" s="6">
        <v>559</v>
      </c>
      <c r="B451" s="6">
        <v>556</v>
      </c>
      <c r="C451" s="6" t="s">
        <v>2387</v>
      </c>
      <c r="D451" s="6" t="s">
        <v>2388</v>
      </c>
      <c r="E451" s="3" t="s">
        <v>767</v>
      </c>
      <c r="F451" s="6" t="s">
        <v>2389</v>
      </c>
      <c r="G451" s="6" t="s">
        <v>2390</v>
      </c>
      <c r="H451" s="6" t="s">
        <v>76</v>
      </c>
      <c r="I451" s="6" t="s">
        <v>229</v>
      </c>
      <c r="J451" s="6" t="s">
        <v>53</v>
      </c>
      <c r="K451" s="6" t="s">
        <v>53</v>
      </c>
      <c r="L451" s="6" t="s">
        <v>805</v>
      </c>
      <c r="M451" s="6" t="s">
        <v>311</v>
      </c>
      <c r="N451" s="6" t="s">
        <v>692</v>
      </c>
      <c r="O451" s="6" t="s">
        <v>62</v>
      </c>
      <c r="P451" s="6" t="s">
        <v>298</v>
      </c>
      <c r="Q451" s="6" t="s">
        <v>298</v>
      </c>
      <c r="R451" s="6" t="s">
        <v>298</v>
      </c>
      <c r="S451" s="6" t="s">
        <v>1219</v>
      </c>
      <c r="T451" s="131">
        <v>1.4990000000000001</v>
      </c>
      <c r="U451" s="6" t="s">
        <v>1516</v>
      </c>
      <c r="V451" s="134">
        <v>6.8000000000000005E-2</v>
      </c>
      <c r="W451" s="132">
        <v>1E-4</v>
      </c>
      <c r="X451" s="3" t="s">
        <v>620</v>
      </c>
      <c r="Y451" s="3" t="s">
        <v>55</v>
      </c>
      <c r="Z451" s="131">
        <v>142983.67999999999</v>
      </c>
      <c r="AA451" s="129">
        <v>1</v>
      </c>
      <c r="AB451" s="157">
        <v>25.91</v>
      </c>
      <c r="AD451" s="131">
        <v>37.046999999999997</v>
      </c>
      <c r="AG451" s="6" t="s">
        <v>17</v>
      </c>
      <c r="AH451" s="132">
        <v>3.1500000000000001E-4</v>
      </c>
      <c r="AI451" s="132">
        <v>6.1100357617128803E-4</v>
      </c>
      <c r="AJ451" s="132">
        <v>1.1109011808627999E-4</v>
      </c>
    </row>
    <row r="452" spans="1:36" x14ac:dyDescent="0.2">
      <c r="A452" s="6">
        <v>559</v>
      </c>
      <c r="B452" s="6">
        <v>556</v>
      </c>
      <c r="C452" s="6" t="s">
        <v>2138</v>
      </c>
      <c r="D452" s="6" t="s">
        <v>2139</v>
      </c>
      <c r="E452" s="3" t="s">
        <v>1477</v>
      </c>
      <c r="F452" s="6" t="s">
        <v>2140</v>
      </c>
      <c r="G452" s="6" t="s">
        <v>2141</v>
      </c>
      <c r="H452" s="6" t="s">
        <v>76</v>
      </c>
      <c r="I452" s="6" t="s">
        <v>228</v>
      </c>
      <c r="J452" s="6" t="s">
        <v>53</v>
      </c>
      <c r="K452" s="6" t="s">
        <v>53</v>
      </c>
      <c r="L452" s="6" t="s">
        <v>805</v>
      </c>
      <c r="M452" s="6" t="s">
        <v>311</v>
      </c>
      <c r="N452" s="6" t="s">
        <v>75</v>
      </c>
      <c r="O452" s="6" t="s">
        <v>62</v>
      </c>
      <c r="P452" s="6" t="s">
        <v>1577</v>
      </c>
      <c r="Q452" s="6" t="s">
        <v>65</v>
      </c>
      <c r="R452" s="6" t="s">
        <v>57</v>
      </c>
      <c r="S452" s="6" t="s">
        <v>1219</v>
      </c>
      <c r="T452" s="131">
        <v>0.65700000000000003</v>
      </c>
      <c r="U452" s="6" t="s">
        <v>1621</v>
      </c>
      <c r="V452" s="134">
        <v>2.75E-2</v>
      </c>
      <c r="W452" s="132">
        <v>5.0619999999999998E-2</v>
      </c>
      <c r="X452" s="3" t="s">
        <v>620</v>
      </c>
      <c r="Y452" s="3" t="s">
        <v>62</v>
      </c>
      <c r="Z452" s="131">
        <v>104179.92</v>
      </c>
      <c r="AA452" s="129">
        <v>1</v>
      </c>
      <c r="AB452" s="157">
        <v>99.46</v>
      </c>
      <c r="AD452" s="131">
        <v>103.617</v>
      </c>
      <c r="AG452" s="6" t="s">
        <v>17</v>
      </c>
      <c r="AH452" s="132">
        <v>7.6800000000000002E-4</v>
      </c>
      <c r="AI452" s="132">
        <v>1.70892240337662E-3</v>
      </c>
      <c r="AJ452" s="132">
        <v>3.1070913329347998E-4</v>
      </c>
    </row>
    <row r="453" spans="1:36" x14ac:dyDescent="0.2">
      <c r="A453" s="6">
        <v>559</v>
      </c>
      <c r="B453" s="6">
        <v>556</v>
      </c>
      <c r="C453" s="6" t="s">
        <v>2138</v>
      </c>
      <c r="D453" s="6" t="s">
        <v>2139</v>
      </c>
      <c r="E453" s="3" t="s">
        <v>1477</v>
      </c>
      <c r="F453" s="6" t="s">
        <v>2142</v>
      </c>
      <c r="G453" s="6" t="s">
        <v>2143</v>
      </c>
      <c r="H453" s="6" t="s">
        <v>76</v>
      </c>
      <c r="I453" s="6" t="s">
        <v>228</v>
      </c>
      <c r="J453" s="6" t="s">
        <v>53</v>
      </c>
      <c r="K453" s="6" t="s">
        <v>53</v>
      </c>
      <c r="L453" s="6" t="s">
        <v>805</v>
      </c>
      <c r="M453" s="6" t="s">
        <v>311</v>
      </c>
      <c r="N453" s="6" t="s">
        <v>75</v>
      </c>
      <c r="O453" s="6" t="s">
        <v>62</v>
      </c>
      <c r="P453" s="6" t="s">
        <v>1577</v>
      </c>
      <c r="Q453" s="6" t="s">
        <v>65</v>
      </c>
      <c r="R453" s="6" t="s">
        <v>57</v>
      </c>
      <c r="S453" s="6" t="s">
        <v>1219</v>
      </c>
      <c r="T453" s="131">
        <v>1.694</v>
      </c>
      <c r="U453" s="6" t="s">
        <v>2144</v>
      </c>
      <c r="V453" s="134">
        <v>2.1499999999999998E-2</v>
      </c>
      <c r="W453" s="132">
        <v>4.9500000000000002E-2</v>
      </c>
      <c r="X453" s="3" t="s">
        <v>620</v>
      </c>
      <c r="Y453" s="3" t="s">
        <v>62</v>
      </c>
      <c r="Z453" s="131">
        <v>217475.03</v>
      </c>
      <c r="AA453" s="129">
        <v>1</v>
      </c>
      <c r="AB453" s="157">
        <v>95.52</v>
      </c>
      <c r="AC453" s="131">
        <v>17.949000000000002</v>
      </c>
      <c r="AD453" s="131">
        <v>225.68100000000001</v>
      </c>
      <c r="AG453" s="6" t="s">
        <v>17</v>
      </c>
      <c r="AH453" s="132">
        <v>3.0800000000000001E-4</v>
      </c>
      <c r="AI453" s="132">
        <v>3.7220741233939202E-3</v>
      </c>
      <c r="AJ453" s="132">
        <v>6.7673197018702997E-4</v>
      </c>
    </row>
    <row r="454" spans="1:36" x14ac:dyDescent="0.2">
      <c r="A454" s="6">
        <v>559</v>
      </c>
      <c r="B454" s="6">
        <v>556</v>
      </c>
      <c r="C454" s="6" t="s">
        <v>2145</v>
      </c>
      <c r="D454" s="6" t="s">
        <v>2146</v>
      </c>
      <c r="E454" s="3" t="s">
        <v>1477</v>
      </c>
      <c r="F454" s="6" t="s">
        <v>2147</v>
      </c>
      <c r="G454" s="6" t="s">
        <v>2148</v>
      </c>
      <c r="H454" s="6" t="s">
        <v>76</v>
      </c>
      <c r="I454" s="6" t="s">
        <v>229</v>
      </c>
      <c r="J454" s="6" t="s">
        <v>53</v>
      </c>
      <c r="K454" s="6" t="s">
        <v>53</v>
      </c>
      <c r="L454" s="6" t="s">
        <v>805</v>
      </c>
      <c r="M454" s="6" t="s">
        <v>311</v>
      </c>
      <c r="N454" s="6" t="s">
        <v>635</v>
      </c>
      <c r="O454" s="6" t="s">
        <v>62</v>
      </c>
      <c r="P454" s="6" t="s">
        <v>1533</v>
      </c>
      <c r="Q454" s="6" t="s">
        <v>65</v>
      </c>
      <c r="R454" s="6" t="s">
        <v>57</v>
      </c>
      <c r="S454" s="6" t="s">
        <v>1219</v>
      </c>
      <c r="T454" s="131">
        <v>0.91700000000000004</v>
      </c>
      <c r="U454" s="6" t="s">
        <v>2149</v>
      </c>
      <c r="V454" s="134">
        <v>1.6E-2</v>
      </c>
      <c r="W454" s="132">
        <v>2.7320000000000001E-2</v>
      </c>
      <c r="X454" s="3" t="s">
        <v>620</v>
      </c>
      <c r="Y454" s="3" t="s">
        <v>62</v>
      </c>
      <c r="Z454" s="131">
        <v>276697.78999999998</v>
      </c>
      <c r="AA454" s="129">
        <v>1</v>
      </c>
      <c r="AB454" s="157">
        <v>117.65</v>
      </c>
      <c r="AD454" s="131">
        <v>325.53500000000003</v>
      </c>
      <c r="AG454" s="6" t="s">
        <v>17</v>
      </c>
      <c r="AH454" s="132">
        <v>9.7599999999999998E-4</v>
      </c>
      <c r="AI454" s="132">
        <v>5.3689268973244799E-3</v>
      </c>
      <c r="AJ454" s="132">
        <v>9.7615586271654797E-4</v>
      </c>
    </row>
    <row r="455" spans="1:36" x14ac:dyDescent="0.2">
      <c r="A455" s="6">
        <v>559</v>
      </c>
      <c r="B455" s="6">
        <v>556</v>
      </c>
      <c r="C455" s="6" t="s">
        <v>2145</v>
      </c>
      <c r="D455" s="6" t="s">
        <v>2146</v>
      </c>
      <c r="E455" s="3" t="s">
        <v>1477</v>
      </c>
      <c r="F455" s="6" t="s">
        <v>2150</v>
      </c>
      <c r="G455" s="6" t="s">
        <v>2151</v>
      </c>
      <c r="H455" s="6" t="s">
        <v>76</v>
      </c>
      <c r="I455" s="6" t="s">
        <v>229</v>
      </c>
      <c r="J455" s="6" t="s">
        <v>53</v>
      </c>
      <c r="K455" s="6" t="s">
        <v>53</v>
      </c>
      <c r="L455" s="6" t="s">
        <v>805</v>
      </c>
      <c r="M455" s="6" t="s">
        <v>311</v>
      </c>
      <c r="N455" s="6" t="s">
        <v>635</v>
      </c>
      <c r="O455" s="6" t="s">
        <v>62</v>
      </c>
      <c r="P455" s="6" t="s">
        <v>1533</v>
      </c>
      <c r="Q455" s="6" t="s">
        <v>65</v>
      </c>
      <c r="R455" s="6" t="s">
        <v>57</v>
      </c>
      <c r="S455" s="6" t="s">
        <v>1219</v>
      </c>
      <c r="T455" s="131">
        <v>2.0529999999999999</v>
      </c>
      <c r="U455" s="6" t="s">
        <v>1311</v>
      </c>
      <c r="V455" s="134">
        <v>1.4200000000000001E-2</v>
      </c>
      <c r="W455" s="132">
        <v>2.8410000000000001E-2</v>
      </c>
      <c r="X455" s="3" t="s">
        <v>620</v>
      </c>
      <c r="Y455" s="3" t="s">
        <v>62</v>
      </c>
      <c r="Z455" s="131">
        <v>319963.28000000003</v>
      </c>
      <c r="AA455" s="129">
        <v>1</v>
      </c>
      <c r="AB455" s="157">
        <v>114.01</v>
      </c>
      <c r="AD455" s="131">
        <v>364.79</v>
      </c>
      <c r="AG455" s="6" t="s">
        <v>17</v>
      </c>
      <c r="AH455" s="132">
        <v>3.1500000000000001E-4</v>
      </c>
      <c r="AI455" s="132">
        <v>6.01634807846588E-3</v>
      </c>
      <c r="AJ455" s="132">
        <v>1.09386727762387E-3</v>
      </c>
    </row>
    <row r="456" spans="1:36" x14ac:dyDescent="0.2">
      <c r="A456" s="6">
        <v>559</v>
      </c>
      <c r="B456" s="6">
        <v>556</v>
      </c>
      <c r="C456" s="6" t="s">
        <v>2152</v>
      </c>
      <c r="D456" s="6" t="s">
        <v>2153</v>
      </c>
      <c r="E456" s="3" t="s">
        <v>1477</v>
      </c>
      <c r="F456" s="6" t="s">
        <v>2154</v>
      </c>
      <c r="G456" s="6" t="s">
        <v>2155</v>
      </c>
      <c r="H456" s="6" t="s">
        <v>76</v>
      </c>
      <c r="I456" s="6" t="s">
        <v>228</v>
      </c>
      <c r="J456" s="6" t="s">
        <v>53</v>
      </c>
      <c r="K456" s="6" t="s">
        <v>53</v>
      </c>
      <c r="L456" s="6" t="s">
        <v>805</v>
      </c>
      <c r="M456" s="6" t="s">
        <v>311</v>
      </c>
      <c r="N456" s="6" t="s">
        <v>140</v>
      </c>
      <c r="O456" s="6" t="s">
        <v>62</v>
      </c>
      <c r="P456" s="6" t="s">
        <v>1604</v>
      </c>
      <c r="Q456" s="6" t="s">
        <v>70</v>
      </c>
      <c r="R456" s="6" t="s">
        <v>57</v>
      </c>
      <c r="S456" s="6" t="s">
        <v>1219</v>
      </c>
      <c r="T456" s="131">
        <v>3.3000000000000002E-2</v>
      </c>
      <c r="U456" s="6" t="s">
        <v>2156</v>
      </c>
      <c r="V456" s="134">
        <v>4.3499999999999997E-2</v>
      </c>
      <c r="W456" s="132">
        <v>9.1929999999999998E-2</v>
      </c>
      <c r="X456" s="3" t="s">
        <v>620</v>
      </c>
      <c r="Y456" s="3" t="s">
        <v>62</v>
      </c>
      <c r="Z456" s="131">
        <v>21214</v>
      </c>
      <c r="AA456" s="129">
        <v>1</v>
      </c>
      <c r="AB456" s="157">
        <v>101.88</v>
      </c>
      <c r="AD456" s="131">
        <v>21.613</v>
      </c>
      <c r="AG456" s="6" t="s">
        <v>17</v>
      </c>
      <c r="AH456" s="132">
        <v>8.8400000000000002E-4</v>
      </c>
      <c r="AI456" s="132">
        <v>3.5645225751879502E-4</v>
      </c>
      <c r="AJ456" s="132">
        <v>6.4808660577762202E-5</v>
      </c>
    </row>
    <row r="457" spans="1:36" x14ac:dyDescent="0.2">
      <c r="A457" s="6">
        <v>559</v>
      </c>
      <c r="B457" s="6">
        <v>556</v>
      </c>
      <c r="C457" s="6" t="s">
        <v>2157</v>
      </c>
      <c r="D457" s="6" t="s">
        <v>2158</v>
      </c>
      <c r="E457" s="3" t="s">
        <v>1477</v>
      </c>
      <c r="F457" s="6" t="s">
        <v>2159</v>
      </c>
      <c r="G457" s="6" t="s">
        <v>2160</v>
      </c>
      <c r="H457" s="6" t="s">
        <v>76</v>
      </c>
      <c r="I457" s="6" t="s">
        <v>229</v>
      </c>
      <c r="J457" s="6" t="s">
        <v>53</v>
      </c>
      <c r="K457" s="6" t="s">
        <v>53</v>
      </c>
      <c r="L457" s="6" t="s">
        <v>805</v>
      </c>
      <c r="M457" s="6" t="s">
        <v>311</v>
      </c>
      <c r="N457" s="6" t="s">
        <v>635</v>
      </c>
      <c r="O457" s="6" t="s">
        <v>62</v>
      </c>
      <c r="P457" s="6" t="s">
        <v>1533</v>
      </c>
      <c r="Q457" s="6" t="s">
        <v>65</v>
      </c>
      <c r="R457" s="6" t="s">
        <v>57</v>
      </c>
      <c r="S457" s="6" t="s">
        <v>1219</v>
      </c>
      <c r="T457" s="131">
        <v>3.0139999999999998</v>
      </c>
      <c r="U457" s="6" t="s">
        <v>2161</v>
      </c>
      <c r="V457" s="134">
        <v>3.5000000000000003E-2</v>
      </c>
      <c r="W457" s="132">
        <v>2.8129999999999999E-2</v>
      </c>
      <c r="X457" s="3" t="s">
        <v>620</v>
      </c>
      <c r="Y457" s="3" t="s">
        <v>62</v>
      </c>
      <c r="Z457" s="131">
        <v>665000.66</v>
      </c>
      <c r="AA457" s="129">
        <v>1</v>
      </c>
      <c r="AB457" s="157">
        <v>122.62</v>
      </c>
      <c r="AD457" s="131">
        <v>815.42399999999998</v>
      </c>
      <c r="AG457" s="6" t="s">
        <v>17</v>
      </c>
      <c r="AH457" s="132">
        <v>8.3199999999999995E-4</v>
      </c>
      <c r="AI457" s="132">
        <v>1.34484817169424E-2</v>
      </c>
      <c r="AJ457" s="132">
        <v>2.4451467720992201E-3</v>
      </c>
    </row>
    <row r="458" spans="1:36" x14ac:dyDescent="0.2">
      <c r="A458" s="6">
        <v>559</v>
      </c>
      <c r="B458" s="6">
        <v>556</v>
      </c>
      <c r="C458" s="6" t="s">
        <v>2157</v>
      </c>
      <c r="D458" s="6" t="s">
        <v>2158</v>
      </c>
      <c r="E458" s="3" t="s">
        <v>1477</v>
      </c>
      <c r="F458" s="6" t="s">
        <v>2162</v>
      </c>
      <c r="G458" s="6" t="s">
        <v>2163</v>
      </c>
      <c r="H458" s="6" t="s">
        <v>76</v>
      </c>
      <c r="I458" s="6" t="s">
        <v>229</v>
      </c>
      <c r="J458" s="6" t="s">
        <v>53</v>
      </c>
      <c r="K458" s="6" t="s">
        <v>53</v>
      </c>
      <c r="L458" s="6" t="s">
        <v>805</v>
      </c>
      <c r="M458" s="6" t="s">
        <v>311</v>
      </c>
      <c r="N458" s="6" t="s">
        <v>635</v>
      </c>
      <c r="O458" s="6" t="s">
        <v>62</v>
      </c>
      <c r="P458" s="6" t="s">
        <v>1533</v>
      </c>
      <c r="Q458" s="6" t="s">
        <v>65</v>
      </c>
      <c r="R458" s="6" t="s">
        <v>57</v>
      </c>
      <c r="S458" s="6" t="s">
        <v>1219</v>
      </c>
      <c r="T458" s="131">
        <v>1.6539999999999999</v>
      </c>
      <c r="U458" s="6" t="s">
        <v>2164</v>
      </c>
      <c r="V458" s="134">
        <v>0.04</v>
      </c>
      <c r="W458" s="132">
        <v>2.929E-2</v>
      </c>
      <c r="X458" s="3" t="s">
        <v>620</v>
      </c>
      <c r="Y458" s="3" t="s">
        <v>62</v>
      </c>
      <c r="Z458" s="131">
        <v>310416.03999999998</v>
      </c>
      <c r="AA458" s="129">
        <v>1</v>
      </c>
      <c r="AB458" s="157">
        <v>121.17</v>
      </c>
      <c r="AD458" s="131">
        <v>376.13099999999997</v>
      </c>
      <c r="AG458" s="6" t="s">
        <v>17</v>
      </c>
      <c r="AH458" s="132">
        <v>3.6900000000000002E-4</v>
      </c>
      <c r="AI458" s="132">
        <v>6.2033906474060997E-3</v>
      </c>
      <c r="AJ458" s="132">
        <v>1.1278745762405701E-3</v>
      </c>
    </row>
    <row r="459" spans="1:36" x14ac:dyDescent="0.2">
      <c r="A459" s="6">
        <v>559</v>
      </c>
      <c r="B459" s="6">
        <v>556</v>
      </c>
      <c r="C459" s="6" t="s">
        <v>2165</v>
      </c>
      <c r="D459" s="6" t="s">
        <v>2166</v>
      </c>
      <c r="E459" s="3" t="s">
        <v>1477</v>
      </c>
      <c r="F459" s="6" t="s">
        <v>2167</v>
      </c>
      <c r="G459" s="6" t="s">
        <v>2168</v>
      </c>
      <c r="H459" s="6" t="s">
        <v>76</v>
      </c>
      <c r="I459" s="6" t="s">
        <v>228</v>
      </c>
      <c r="J459" s="6" t="s">
        <v>53</v>
      </c>
      <c r="K459" s="6" t="s">
        <v>53</v>
      </c>
      <c r="L459" s="6" t="s">
        <v>805</v>
      </c>
      <c r="M459" s="6" t="s">
        <v>102</v>
      </c>
      <c r="N459" s="6" t="s">
        <v>635</v>
      </c>
      <c r="O459" s="6" t="s">
        <v>62</v>
      </c>
      <c r="P459" s="6" t="s">
        <v>298</v>
      </c>
      <c r="Q459" s="6" t="s">
        <v>298</v>
      </c>
      <c r="R459" s="6" t="s">
        <v>298</v>
      </c>
      <c r="S459" s="6" t="s">
        <v>1219</v>
      </c>
      <c r="T459" s="131">
        <v>3.1549999999999998</v>
      </c>
      <c r="U459" s="6" t="s">
        <v>1713</v>
      </c>
      <c r="V459" s="134">
        <v>6.3500000000000001E-2</v>
      </c>
      <c r="W459" s="132">
        <v>6.0040000000000003E-2</v>
      </c>
      <c r="X459" s="3" t="s">
        <v>620</v>
      </c>
      <c r="Y459" s="3" t="s">
        <v>62</v>
      </c>
      <c r="Z459" s="131">
        <v>140000</v>
      </c>
      <c r="AA459" s="129">
        <v>1</v>
      </c>
      <c r="AB459" s="157">
        <v>101.72</v>
      </c>
      <c r="AD459" s="131">
        <v>142.40799999999999</v>
      </c>
      <c r="AG459" s="6" t="s">
        <v>17</v>
      </c>
      <c r="AH459" s="132">
        <v>7.1699999999999997E-4</v>
      </c>
      <c r="AI459" s="132">
        <v>2.34868219755467E-3</v>
      </c>
      <c r="AJ459" s="132">
        <v>4.2702758682437898E-4</v>
      </c>
    </row>
    <row r="460" spans="1:36" x14ac:dyDescent="0.2">
      <c r="A460" s="6">
        <v>559</v>
      </c>
      <c r="B460" s="6">
        <v>556</v>
      </c>
      <c r="C460" s="6" t="s">
        <v>2169</v>
      </c>
      <c r="D460" s="6" t="s">
        <v>2170</v>
      </c>
      <c r="E460" s="3" t="s">
        <v>1477</v>
      </c>
      <c r="F460" s="6" t="s">
        <v>2171</v>
      </c>
      <c r="G460" s="6" t="s">
        <v>2172</v>
      </c>
      <c r="H460" s="6" t="s">
        <v>76</v>
      </c>
      <c r="I460" s="6" t="s">
        <v>229</v>
      </c>
      <c r="J460" s="6" t="s">
        <v>53</v>
      </c>
      <c r="K460" s="6" t="s">
        <v>53</v>
      </c>
      <c r="L460" s="6" t="s">
        <v>805</v>
      </c>
      <c r="M460" s="6" t="s">
        <v>311</v>
      </c>
      <c r="N460" s="6" t="s">
        <v>258</v>
      </c>
      <c r="O460" s="6" t="s">
        <v>62</v>
      </c>
      <c r="P460" s="6" t="s">
        <v>1213</v>
      </c>
      <c r="Q460" s="6" t="s">
        <v>65</v>
      </c>
      <c r="R460" s="6" t="s">
        <v>57</v>
      </c>
      <c r="S460" s="6" t="s">
        <v>1219</v>
      </c>
      <c r="T460" s="131">
        <v>3.4020000000000001</v>
      </c>
      <c r="U460" s="6" t="s">
        <v>2173</v>
      </c>
      <c r="V460" s="134">
        <v>7.0000000000000001E-3</v>
      </c>
      <c r="W460" s="132">
        <v>2.5940000000000001E-2</v>
      </c>
      <c r="X460" s="3" t="s">
        <v>620</v>
      </c>
      <c r="Y460" s="3" t="s">
        <v>62</v>
      </c>
      <c r="Z460" s="131">
        <v>206666.67</v>
      </c>
      <c r="AA460" s="129">
        <v>1</v>
      </c>
      <c r="AB460" s="157">
        <v>108.28</v>
      </c>
      <c r="AD460" s="131">
        <v>223.779</v>
      </c>
      <c r="AG460" s="6" t="s">
        <v>17</v>
      </c>
      <c r="AH460" s="132">
        <v>3.444E-3</v>
      </c>
      <c r="AI460" s="132">
        <v>3.6906984092866801E-3</v>
      </c>
      <c r="AJ460" s="132">
        <v>6.71027368902932E-4</v>
      </c>
    </row>
    <row r="461" spans="1:36" x14ac:dyDescent="0.2">
      <c r="A461" s="6">
        <v>559</v>
      </c>
      <c r="B461" s="6">
        <v>556</v>
      </c>
      <c r="C461" s="6" t="s">
        <v>2391</v>
      </c>
      <c r="D461" s="6" t="s">
        <v>2392</v>
      </c>
      <c r="E461" s="3" t="s">
        <v>1477</v>
      </c>
      <c r="F461" s="6" t="s">
        <v>2393</v>
      </c>
      <c r="G461" s="6" t="s">
        <v>2394</v>
      </c>
      <c r="H461" s="6" t="s">
        <v>76</v>
      </c>
      <c r="I461" s="6" t="s">
        <v>230</v>
      </c>
      <c r="J461" s="6" t="s">
        <v>53</v>
      </c>
      <c r="K461" s="6" t="s">
        <v>53</v>
      </c>
      <c r="L461" s="6" t="s">
        <v>805</v>
      </c>
      <c r="M461" s="6" t="s">
        <v>311</v>
      </c>
      <c r="N461" s="6" t="s">
        <v>267</v>
      </c>
      <c r="O461" s="6" t="s">
        <v>62</v>
      </c>
      <c r="P461" s="6" t="s">
        <v>298</v>
      </c>
      <c r="Q461" s="6" t="s">
        <v>298</v>
      </c>
      <c r="R461" s="6" t="s">
        <v>298</v>
      </c>
      <c r="S461" s="6" t="s">
        <v>1219</v>
      </c>
      <c r="T461" s="131">
        <v>2.3260000000000001</v>
      </c>
      <c r="U461" s="6" t="s">
        <v>2395</v>
      </c>
      <c r="V461" s="134">
        <v>5.7000000000000002E-2</v>
      </c>
      <c r="W461" s="132">
        <v>6.6570000000000004E-2</v>
      </c>
      <c r="X461" s="3" t="s">
        <v>620</v>
      </c>
      <c r="Y461" s="3" t="s">
        <v>62</v>
      </c>
      <c r="Z461" s="131">
        <v>14440</v>
      </c>
      <c r="AA461" s="129">
        <v>1</v>
      </c>
      <c r="AB461" s="157">
        <v>102.58</v>
      </c>
      <c r="AD461" s="131">
        <v>14.813000000000001</v>
      </c>
      <c r="AG461" s="6" t="s">
        <v>17</v>
      </c>
      <c r="AH461" s="132">
        <v>4.6999999999999997E-5</v>
      </c>
      <c r="AI461" s="132">
        <v>2.4429791291748199E-4</v>
      </c>
      <c r="AJ461" s="132">
        <v>4.4417226105771E-5</v>
      </c>
    </row>
    <row r="462" spans="1:36" x14ac:dyDescent="0.2">
      <c r="A462" s="6">
        <v>559</v>
      </c>
      <c r="B462" s="6">
        <v>556</v>
      </c>
      <c r="C462" s="6" t="s">
        <v>2174</v>
      </c>
      <c r="D462" s="6" t="s">
        <v>2175</v>
      </c>
      <c r="E462" s="3" t="s">
        <v>1477</v>
      </c>
      <c r="F462" s="6" t="s">
        <v>2176</v>
      </c>
      <c r="G462" s="6" t="s">
        <v>2177</v>
      </c>
      <c r="H462" s="6" t="s">
        <v>76</v>
      </c>
      <c r="I462" s="6" t="s">
        <v>228</v>
      </c>
      <c r="J462" s="6" t="s">
        <v>53</v>
      </c>
      <c r="K462" s="6" t="s">
        <v>53</v>
      </c>
      <c r="L462" s="6" t="s">
        <v>805</v>
      </c>
      <c r="M462" s="6" t="s">
        <v>311</v>
      </c>
      <c r="N462" s="6" t="s">
        <v>261</v>
      </c>
      <c r="O462" s="6" t="s">
        <v>62</v>
      </c>
      <c r="P462" s="6" t="s">
        <v>1339</v>
      </c>
      <c r="Q462" s="6" t="s">
        <v>65</v>
      </c>
      <c r="R462" s="6" t="s">
        <v>57</v>
      </c>
      <c r="S462" s="6" t="s">
        <v>1219</v>
      </c>
      <c r="T462" s="131">
        <v>1.468</v>
      </c>
      <c r="U462" s="6" t="s">
        <v>1644</v>
      </c>
      <c r="V462" s="134">
        <v>2.6100000000000002E-2</v>
      </c>
      <c r="W462" s="132">
        <v>4.471E-2</v>
      </c>
      <c r="X462" s="3" t="s">
        <v>620</v>
      </c>
      <c r="Y462" s="3" t="s">
        <v>62</v>
      </c>
      <c r="Z462" s="131">
        <v>508667.05</v>
      </c>
      <c r="AA462" s="129">
        <v>1</v>
      </c>
      <c r="AB462" s="157">
        <v>97.43</v>
      </c>
      <c r="AD462" s="131">
        <v>495.59399999999999</v>
      </c>
      <c r="AG462" s="6" t="s">
        <v>17</v>
      </c>
      <c r="AH462" s="132">
        <v>2.1090000000000002E-3</v>
      </c>
      <c r="AI462" s="132">
        <v>8.1736526432913594E-3</v>
      </c>
      <c r="AJ462" s="132">
        <v>1.4860993826408E-3</v>
      </c>
    </row>
    <row r="463" spans="1:36" x14ac:dyDescent="0.2">
      <c r="A463" s="6">
        <v>559</v>
      </c>
      <c r="B463" s="6">
        <v>556</v>
      </c>
      <c r="C463" s="6" t="s">
        <v>2174</v>
      </c>
      <c r="D463" s="6" t="s">
        <v>2175</v>
      </c>
      <c r="E463" s="3" t="s">
        <v>1477</v>
      </c>
      <c r="F463" s="6" t="s">
        <v>2178</v>
      </c>
      <c r="G463" s="6" t="s">
        <v>2179</v>
      </c>
      <c r="H463" s="6" t="s">
        <v>76</v>
      </c>
      <c r="I463" s="6" t="s">
        <v>228</v>
      </c>
      <c r="J463" s="6" t="s">
        <v>53</v>
      </c>
      <c r="K463" s="6" t="s">
        <v>53</v>
      </c>
      <c r="L463" s="6" t="s">
        <v>805</v>
      </c>
      <c r="M463" s="6" t="s">
        <v>311</v>
      </c>
      <c r="N463" s="6" t="s">
        <v>261</v>
      </c>
      <c r="O463" s="6" t="s">
        <v>62</v>
      </c>
      <c r="P463" s="6" t="s">
        <v>1339</v>
      </c>
      <c r="Q463" s="6" t="s">
        <v>65</v>
      </c>
      <c r="R463" s="6" t="s">
        <v>57</v>
      </c>
      <c r="S463" s="6" t="s">
        <v>1219</v>
      </c>
      <c r="T463" s="131">
        <v>6.056</v>
      </c>
      <c r="U463" s="6" t="s">
        <v>2180</v>
      </c>
      <c r="V463" s="134">
        <v>1.9E-2</v>
      </c>
      <c r="W463" s="132">
        <v>4.6149999999999997E-2</v>
      </c>
      <c r="X463" s="3" t="s">
        <v>620</v>
      </c>
      <c r="Y463" s="3" t="s">
        <v>62</v>
      </c>
      <c r="Z463" s="131">
        <v>132631.57999999999</v>
      </c>
      <c r="AA463" s="129">
        <v>1</v>
      </c>
      <c r="AB463" s="157">
        <v>85</v>
      </c>
      <c r="AD463" s="131">
        <v>112.73699999999999</v>
      </c>
      <c r="AG463" s="6" t="s">
        <v>17</v>
      </c>
      <c r="AH463" s="132">
        <v>8.8999999999999995E-5</v>
      </c>
      <c r="AI463" s="132">
        <v>1.85932683671293E-3</v>
      </c>
      <c r="AJ463" s="132">
        <v>3.3805503913044902E-4</v>
      </c>
    </row>
    <row r="464" spans="1:36" x14ac:dyDescent="0.2">
      <c r="A464" s="6">
        <v>559</v>
      </c>
      <c r="B464" s="6">
        <v>556</v>
      </c>
      <c r="C464" s="6" t="s">
        <v>2181</v>
      </c>
      <c r="D464" s="6" t="s">
        <v>2182</v>
      </c>
      <c r="E464" s="3" t="s">
        <v>1477</v>
      </c>
      <c r="F464" s="6" t="s">
        <v>2183</v>
      </c>
      <c r="G464" s="6" t="s">
        <v>2184</v>
      </c>
      <c r="H464" s="6" t="s">
        <v>76</v>
      </c>
      <c r="I464" s="6" t="s">
        <v>228</v>
      </c>
      <c r="J464" s="6" t="s">
        <v>53</v>
      </c>
      <c r="K464" s="6" t="s">
        <v>53</v>
      </c>
      <c r="L464" s="6" t="s">
        <v>805</v>
      </c>
      <c r="M464" s="6" t="s">
        <v>311</v>
      </c>
      <c r="N464" s="6" t="s">
        <v>258</v>
      </c>
      <c r="O464" s="6" t="s">
        <v>62</v>
      </c>
      <c r="P464" s="6" t="s">
        <v>1533</v>
      </c>
      <c r="Q464" s="6" t="s">
        <v>65</v>
      </c>
      <c r="R464" s="6" t="s">
        <v>57</v>
      </c>
      <c r="S464" s="6" t="s">
        <v>1219</v>
      </c>
      <c r="T464" s="131">
        <v>0.58899999999999997</v>
      </c>
      <c r="U464" s="6" t="s">
        <v>2185</v>
      </c>
      <c r="V464" s="134">
        <v>2.7E-2</v>
      </c>
      <c r="W464" s="132">
        <v>4.5679999999999998E-2</v>
      </c>
      <c r="X464" s="3" t="s">
        <v>620</v>
      </c>
      <c r="Y464" s="3" t="s">
        <v>62</v>
      </c>
      <c r="Z464" s="131">
        <v>172625.41</v>
      </c>
      <c r="AA464" s="129">
        <v>1</v>
      </c>
      <c r="AB464" s="157">
        <v>99.04</v>
      </c>
      <c r="AD464" s="131">
        <v>170.96799999999999</v>
      </c>
      <c r="AG464" s="6" t="s">
        <v>17</v>
      </c>
      <c r="AH464" s="132">
        <v>2.761E-3</v>
      </c>
      <c r="AI464" s="132">
        <v>2.8197150576538899E-3</v>
      </c>
      <c r="AJ464" s="132">
        <v>5.1266881396553005E-4</v>
      </c>
    </row>
    <row r="465" spans="1:36" x14ac:dyDescent="0.2">
      <c r="A465" s="6">
        <v>559</v>
      </c>
      <c r="B465" s="6">
        <v>556</v>
      </c>
      <c r="C465" s="6" t="s">
        <v>2181</v>
      </c>
      <c r="D465" s="6" t="s">
        <v>2182</v>
      </c>
      <c r="E465" s="3" t="s">
        <v>1477</v>
      </c>
      <c r="F465" s="6" t="s">
        <v>2186</v>
      </c>
      <c r="G465" s="6" t="s">
        <v>2187</v>
      </c>
      <c r="H465" s="6" t="s">
        <v>76</v>
      </c>
      <c r="I465" s="6" t="s">
        <v>229</v>
      </c>
      <c r="J465" s="6" t="s">
        <v>53</v>
      </c>
      <c r="K465" s="6" t="s">
        <v>53</v>
      </c>
      <c r="L465" s="6" t="s">
        <v>805</v>
      </c>
      <c r="M465" s="6" t="s">
        <v>311</v>
      </c>
      <c r="N465" s="6" t="s">
        <v>258</v>
      </c>
      <c r="O465" s="6" t="s">
        <v>62</v>
      </c>
      <c r="P465" s="6" t="s">
        <v>1533</v>
      </c>
      <c r="Q465" s="6" t="s">
        <v>65</v>
      </c>
      <c r="R465" s="6" t="s">
        <v>57</v>
      </c>
      <c r="S465" s="6" t="s">
        <v>1219</v>
      </c>
      <c r="T465" s="131">
        <v>0.59099999999999997</v>
      </c>
      <c r="U465" s="6" t="s">
        <v>2185</v>
      </c>
      <c r="V465" s="134">
        <v>1.7999999999999999E-2</v>
      </c>
      <c r="W465" s="132">
        <v>2.9579999999999999E-2</v>
      </c>
      <c r="X465" s="3" t="s">
        <v>620</v>
      </c>
      <c r="Y465" s="3" t="s">
        <v>62</v>
      </c>
      <c r="Z465" s="131">
        <v>91272.58</v>
      </c>
      <c r="AA465" s="129">
        <v>1</v>
      </c>
      <c r="AB465" s="157">
        <v>116.91</v>
      </c>
      <c r="AD465" s="131">
        <v>106.70699999999999</v>
      </c>
      <c r="AG465" s="6" t="s">
        <v>17</v>
      </c>
      <c r="AH465" s="132">
        <v>2.81E-4</v>
      </c>
      <c r="AI465" s="132">
        <v>1.7598751387319601E-3</v>
      </c>
      <c r="AJ465" s="132">
        <v>3.1997314680861001E-4</v>
      </c>
    </row>
    <row r="466" spans="1:36" x14ac:dyDescent="0.2">
      <c r="A466" s="6">
        <v>559</v>
      </c>
      <c r="B466" s="6">
        <v>556</v>
      </c>
      <c r="C466" s="6" t="s">
        <v>2188</v>
      </c>
      <c r="D466" s="6" t="s">
        <v>2189</v>
      </c>
      <c r="E466" s="3" t="s">
        <v>767</v>
      </c>
      <c r="F466" s="6" t="s">
        <v>2190</v>
      </c>
      <c r="G466" s="6" t="s">
        <v>2191</v>
      </c>
      <c r="H466" s="6" t="s">
        <v>76</v>
      </c>
      <c r="I466" s="6" t="s">
        <v>230</v>
      </c>
      <c r="J466" s="6" t="s">
        <v>53</v>
      </c>
      <c r="K466" s="6" t="s">
        <v>315</v>
      </c>
      <c r="L466" s="6" t="s">
        <v>805</v>
      </c>
      <c r="M466" s="6" t="s">
        <v>311</v>
      </c>
      <c r="N466" s="6" t="s">
        <v>636</v>
      </c>
      <c r="O466" s="6" t="s">
        <v>62</v>
      </c>
      <c r="P466" s="6" t="s">
        <v>1965</v>
      </c>
      <c r="Q466" s="6" t="s">
        <v>70</v>
      </c>
      <c r="R466" s="6" t="s">
        <v>57</v>
      </c>
      <c r="S466" s="6" t="s">
        <v>1219</v>
      </c>
      <c r="T466" s="131">
        <v>2.456</v>
      </c>
      <c r="U466" s="6" t="s">
        <v>2192</v>
      </c>
      <c r="V466" s="134">
        <v>4.2999999999999997E-2</v>
      </c>
      <c r="W466" s="132">
        <v>7.0510000000000003E-2</v>
      </c>
      <c r="X466" s="3" t="s">
        <v>620</v>
      </c>
      <c r="Y466" s="3" t="s">
        <v>62</v>
      </c>
      <c r="Z466" s="131">
        <v>113363.78</v>
      </c>
      <c r="AA466" s="129">
        <v>1</v>
      </c>
      <c r="AB466" s="157">
        <v>91.8</v>
      </c>
      <c r="AD466" s="131">
        <v>104.068</v>
      </c>
      <c r="AG466" s="6" t="s">
        <v>17</v>
      </c>
      <c r="AH466" s="132">
        <v>1.06E-4</v>
      </c>
      <c r="AI466" s="132">
        <v>1.7163540081663699E-3</v>
      </c>
      <c r="AJ466" s="132">
        <v>3.1206031663488901E-4</v>
      </c>
    </row>
    <row r="467" spans="1:36" x14ac:dyDescent="0.2">
      <c r="A467" s="6">
        <v>559</v>
      </c>
      <c r="B467" s="6">
        <v>556</v>
      </c>
      <c r="C467" s="6" t="s">
        <v>2193</v>
      </c>
      <c r="D467" s="6" t="s">
        <v>2194</v>
      </c>
      <c r="E467" s="3" t="s">
        <v>1477</v>
      </c>
      <c r="F467" s="6" t="s">
        <v>2195</v>
      </c>
      <c r="G467" s="6" t="s">
        <v>2196</v>
      </c>
      <c r="H467" s="6" t="s">
        <v>76</v>
      </c>
      <c r="I467" s="6" t="s">
        <v>228</v>
      </c>
      <c r="J467" s="6" t="s">
        <v>53</v>
      </c>
      <c r="K467" s="6" t="s">
        <v>53</v>
      </c>
      <c r="L467" s="6" t="s">
        <v>805</v>
      </c>
      <c r="M467" s="6" t="s">
        <v>311</v>
      </c>
      <c r="N467" s="6" t="s">
        <v>263</v>
      </c>
      <c r="O467" s="6" t="s">
        <v>62</v>
      </c>
      <c r="P467" s="6" t="s">
        <v>1493</v>
      </c>
      <c r="Q467" s="6" t="s">
        <v>65</v>
      </c>
      <c r="R467" s="6" t="s">
        <v>57</v>
      </c>
      <c r="S467" s="6" t="s">
        <v>1219</v>
      </c>
      <c r="T467" s="131">
        <v>0.255</v>
      </c>
      <c r="U467" s="6" t="s">
        <v>2197</v>
      </c>
      <c r="V467" s="134">
        <v>3.3500000000000002E-2</v>
      </c>
      <c r="W467" s="132">
        <v>5.5300000000000002E-2</v>
      </c>
      <c r="X467" s="3" t="s">
        <v>620</v>
      </c>
      <c r="Y467" s="3" t="s">
        <v>62</v>
      </c>
      <c r="Z467" s="131">
        <v>50000</v>
      </c>
      <c r="AA467" s="129">
        <v>1</v>
      </c>
      <c r="AB467" s="157">
        <v>100.29</v>
      </c>
      <c r="AD467" s="131">
        <v>50.145000000000003</v>
      </c>
      <c r="AG467" s="6" t="s">
        <v>17</v>
      </c>
      <c r="AH467" s="132">
        <v>7.2800000000000002E-4</v>
      </c>
      <c r="AI467" s="132">
        <v>8.2702284138797596E-4</v>
      </c>
      <c r="AJ467" s="132">
        <v>1.50365838585673E-4</v>
      </c>
    </row>
    <row r="468" spans="1:36" x14ac:dyDescent="0.2">
      <c r="A468" s="6">
        <v>559</v>
      </c>
      <c r="B468" s="6">
        <v>556</v>
      </c>
      <c r="C468" s="6" t="s">
        <v>2198</v>
      </c>
      <c r="D468" s="6" t="s">
        <v>2199</v>
      </c>
      <c r="E468" s="3" t="s">
        <v>1477</v>
      </c>
      <c r="F468" s="6" t="s">
        <v>2200</v>
      </c>
      <c r="G468" s="6" t="s">
        <v>2201</v>
      </c>
      <c r="H468" s="6" t="s">
        <v>76</v>
      </c>
      <c r="I468" s="6" t="s">
        <v>230</v>
      </c>
      <c r="J468" s="6" t="s">
        <v>53</v>
      </c>
      <c r="K468" s="6" t="s">
        <v>53</v>
      </c>
      <c r="L468" s="6" t="s">
        <v>805</v>
      </c>
      <c r="M468" s="6" t="s">
        <v>311</v>
      </c>
      <c r="N468" s="6" t="s">
        <v>267</v>
      </c>
      <c r="O468" s="6" t="s">
        <v>62</v>
      </c>
      <c r="P468" s="6" t="s">
        <v>1965</v>
      </c>
      <c r="Q468" s="6" t="s">
        <v>70</v>
      </c>
      <c r="R468" s="6" t="s">
        <v>57</v>
      </c>
      <c r="S468" s="6" t="s">
        <v>1219</v>
      </c>
      <c r="T468" s="131">
        <v>2.2320000000000002</v>
      </c>
      <c r="U468" s="6" t="s">
        <v>2202</v>
      </c>
      <c r="V468" s="134">
        <v>5.4800000000000001E-2</v>
      </c>
      <c r="W468" s="132">
        <v>5.919E-2</v>
      </c>
      <c r="X468" s="3" t="s">
        <v>620</v>
      </c>
      <c r="Y468" s="3" t="s">
        <v>62</v>
      </c>
      <c r="Z468" s="131">
        <v>258517.11</v>
      </c>
      <c r="AA468" s="129">
        <v>1</v>
      </c>
      <c r="AB468" s="157">
        <v>95.79</v>
      </c>
      <c r="AD468" s="131">
        <v>247.63399999999999</v>
      </c>
      <c r="AG468" s="6" t="s">
        <v>17</v>
      </c>
      <c r="AH468" s="132">
        <v>9.6299999999999999E-4</v>
      </c>
      <c r="AI468" s="132">
        <v>4.08412790108721E-3</v>
      </c>
      <c r="AJ468" s="132">
        <v>7.4255907576563297E-4</v>
      </c>
    </row>
    <row r="469" spans="1:36" x14ac:dyDescent="0.2">
      <c r="A469" s="6">
        <v>559</v>
      </c>
      <c r="B469" s="6">
        <v>556</v>
      </c>
      <c r="C469" s="6" t="s">
        <v>2203</v>
      </c>
      <c r="D469" s="6" t="s">
        <v>2204</v>
      </c>
      <c r="E469" s="3" t="s">
        <v>1477</v>
      </c>
      <c r="F469" s="6" t="s">
        <v>2205</v>
      </c>
      <c r="G469" s="6" t="s">
        <v>2206</v>
      </c>
      <c r="H469" s="6" t="s">
        <v>76</v>
      </c>
      <c r="I469" s="6" t="s">
        <v>230</v>
      </c>
      <c r="J469" s="6" t="s">
        <v>53</v>
      </c>
      <c r="K469" s="6" t="s">
        <v>53</v>
      </c>
      <c r="L469" s="6" t="s">
        <v>805</v>
      </c>
      <c r="M469" s="6" t="s">
        <v>311</v>
      </c>
      <c r="N469" s="6" t="s">
        <v>267</v>
      </c>
      <c r="O469" s="6" t="s">
        <v>62</v>
      </c>
      <c r="P469" s="6" t="s">
        <v>1521</v>
      </c>
      <c r="Q469" s="6" t="s">
        <v>70</v>
      </c>
      <c r="R469" s="6" t="s">
        <v>57</v>
      </c>
      <c r="S469" s="6" t="s">
        <v>1219</v>
      </c>
      <c r="T469" s="131">
        <v>2.4249999999999998</v>
      </c>
      <c r="U469" s="6" t="s">
        <v>2202</v>
      </c>
      <c r="V469" s="134">
        <v>4.6899999999999997E-2</v>
      </c>
      <c r="W469" s="132">
        <v>6.2420000000000003E-2</v>
      </c>
      <c r="X469" s="3" t="s">
        <v>620</v>
      </c>
      <c r="Y469" s="3" t="s">
        <v>62</v>
      </c>
      <c r="Z469" s="131">
        <v>348720.22</v>
      </c>
      <c r="AA469" s="129">
        <v>1</v>
      </c>
      <c r="AB469" s="157">
        <v>94.12</v>
      </c>
      <c r="AD469" s="131">
        <v>328.21499999999997</v>
      </c>
      <c r="AG469" s="6" t="s">
        <v>17</v>
      </c>
      <c r="AH469" s="132">
        <v>2.5799999999999998E-4</v>
      </c>
      <c r="AI469" s="132">
        <v>5.4131357357032998E-3</v>
      </c>
      <c r="AJ469" s="132">
        <v>9.8419372905234797E-4</v>
      </c>
    </row>
    <row r="470" spans="1:36" x14ac:dyDescent="0.2">
      <c r="A470" s="6">
        <v>559</v>
      </c>
      <c r="B470" s="6">
        <v>556</v>
      </c>
      <c r="C470" s="6" t="s">
        <v>2207</v>
      </c>
      <c r="D470" s="6" t="s">
        <v>2208</v>
      </c>
      <c r="E470" s="3" t="s">
        <v>1477</v>
      </c>
      <c r="F470" s="6" t="s">
        <v>2209</v>
      </c>
      <c r="G470" s="6" t="s">
        <v>2210</v>
      </c>
      <c r="H470" s="6" t="s">
        <v>76</v>
      </c>
      <c r="I470" s="6" t="s">
        <v>228</v>
      </c>
      <c r="J470" s="6" t="s">
        <v>53</v>
      </c>
      <c r="K470" s="6" t="s">
        <v>53</v>
      </c>
      <c r="L470" s="6" t="s">
        <v>805</v>
      </c>
      <c r="M470" s="6" t="s">
        <v>311</v>
      </c>
      <c r="N470" s="6" t="s">
        <v>638</v>
      </c>
      <c r="O470" s="6" t="s">
        <v>62</v>
      </c>
      <c r="P470" s="6" t="s">
        <v>1213</v>
      </c>
      <c r="Q470" s="6" t="s">
        <v>65</v>
      </c>
      <c r="R470" s="6" t="s">
        <v>57</v>
      </c>
      <c r="S470" s="6" t="s">
        <v>1219</v>
      </c>
      <c r="T470" s="131">
        <v>0.41599999999999998</v>
      </c>
      <c r="U470" s="6" t="s">
        <v>1685</v>
      </c>
      <c r="V470" s="134">
        <v>5.45E-2</v>
      </c>
      <c r="W470" s="132">
        <v>4.4229999999999998E-2</v>
      </c>
      <c r="X470" s="3" t="s">
        <v>620</v>
      </c>
      <c r="Y470" s="3" t="s">
        <v>62</v>
      </c>
      <c r="Z470" s="131">
        <v>70667.64</v>
      </c>
      <c r="AA470" s="129">
        <v>1</v>
      </c>
      <c r="AB470" s="157">
        <v>100.89</v>
      </c>
      <c r="AD470" s="131">
        <v>71.296999999999997</v>
      </c>
      <c r="AG470" s="6" t="s">
        <v>17</v>
      </c>
      <c r="AH470" s="132">
        <v>4.5800000000000002E-4</v>
      </c>
      <c r="AI470" s="132">
        <v>1.1758680192159299E-3</v>
      </c>
      <c r="AJ470" s="132">
        <v>2.1379141170846001E-4</v>
      </c>
    </row>
    <row r="471" spans="1:36" x14ac:dyDescent="0.2">
      <c r="A471" s="6">
        <v>559</v>
      </c>
      <c r="B471" s="6">
        <v>556</v>
      </c>
      <c r="C471" s="6" t="s">
        <v>2211</v>
      </c>
      <c r="D471" s="6" t="s">
        <v>2212</v>
      </c>
      <c r="E471" s="3" t="s">
        <v>430</v>
      </c>
      <c r="F471" s="6" t="s">
        <v>2213</v>
      </c>
      <c r="G471" s="6" t="s">
        <v>2214</v>
      </c>
      <c r="H471" s="6" t="s">
        <v>76</v>
      </c>
      <c r="I471" s="6" t="s">
        <v>230</v>
      </c>
      <c r="J471" s="6" t="s">
        <v>61</v>
      </c>
      <c r="K471" s="6" t="s">
        <v>315</v>
      </c>
      <c r="L471" s="6" t="s">
        <v>805</v>
      </c>
      <c r="M471" s="6" t="s">
        <v>102</v>
      </c>
      <c r="N471" s="6" t="s">
        <v>2215</v>
      </c>
      <c r="O471" s="6" t="s">
        <v>62</v>
      </c>
      <c r="P471" s="6" t="s">
        <v>2216</v>
      </c>
      <c r="Q471" s="6" t="s">
        <v>84</v>
      </c>
      <c r="R471" s="6" t="s">
        <v>57</v>
      </c>
      <c r="S471" s="6" t="s">
        <v>1217</v>
      </c>
      <c r="T471" s="131">
        <v>2.9129999999999998</v>
      </c>
      <c r="U471" s="6" t="s">
        <v>2217</v>
      </c>
      <c r="V471" s="134">
        <v>8.1250000000000003E-2</v>
      </c>
      <c r="W471" s="132">
        <v>7.3950000000000002E-2</v>
      </c>
      <c r="X471" s="3" t="s">
        <v>620</v>
      </c>
      <c r="Y471" s="3" t="s">
        <v>62</v>
      </c>
      <c r="Z471" s="131">
        <v>70000</v>
      </c>
      <c r="AA471" s="129">
        <v>3.3719999999999999</v>
      </c>
      <c r="AB471" s="157">
        <v>103.986</v>
      </c>
      <c r="AD471" s="131">
        <v>245.44800000000001</v>
      </c>
      <c r="AG471" s="6" t="s">
        <v>17</v>
      </c>
      <c r="AH471" s="132">
        <v>9.2999999999999997E-5</v>
      </c>
      <c r="AI471" s="132">
        <v>4.04808039520643E-3</v>
      </c>
      <c r="AJ471" s="132">
        <v>7.3600506881512501E-4</v>
      </c>
    </row>
    <row r="472" spans="1:36" x14ac:dyDescent="0.2">
      <c r="A472" s="6">
        <v>559</v>
      </c>
      <c r="B472" s="6">
        <v>556</v>
      </c>
      <c r="C472" s="6" t="s">
        <v>2218</v>
      </c>
      <c r="D472" s="6" t="s">
        <v>2219</v>
      </c>
      <c r="E472" s="3" t="s">
        <v>430</v>
      </c>
      <c r="F472" s="6" t="s">
        <v>2220</v>
      </c>
      <c r="G472" s="6" t="s">
        <v>2221</v>
      </c>
      <c r="H472" s="6" t="s">
        <v>76</v>
      </c>
      <c r="I472" s="6" t="s">
        <v>230</v>
      </c>
      <c r="J472" s="6" t="s">
        <v>61</v>
      </c>
      <c r="K472" s="6" t="s">
        <v>314</v>
      </c>
      <c r="L472" s="6" t="s">
        <v>805</v>
      </c>
      <c r="M472" s="6" t="s">
        <v>102</v>
      </c>
      <c r="N472" s="6" t="s">
        <v>2222</v>
      </c>
      <c r="O472" s="6" t="s">
        <v>62</v>
      </c>
      <c r="P472" s="6" t="s">
        <v>2223</v>
      </c>
      <c r="Q472" s="6" t="s">
        <v>96</v>
      </c>
      <c r="R472" s="6" t="s">
        <v>57</v>
      </c>
      <c r="S472" s="6" t="s">
        <v>1217</v>
      </c>
      <c r="T472" s="131">
        <v>2.6230000000000002</v>
      </c>
      <c r="U472" s="6" t="s">
        <v>2224</v>
      </c>
      <c r="V472" s="134">
        <v>7.9500000000000001E-2</v>
      </c>
      <c r="W472" s="132">
        <v>5.6099999999999997E-2</v>
      </c>
      <c r="X472" s="3" t="s">
        <v>620</v>
      </c>
      <c r="Y472" s="3" t="s">
        <v>62</v>
      </c>
      <c r="Z472" s="131">
        <v>37000</v>
      </c>
      <c r="AA472" s="129">
        <v>3.3719999999999999</v>
      </c>
      <c r="AB472" s="157">
        <v>106.99299999999999</v>
      </c>
      <c r="AD472" s="131">
        <v>133.489</v>
      </c>
      <c r="AG472" s="6" t="s">
        <v>17</v>
      </c>
      <c r="AH472" s="132">
        <v>5.7000000000000003E-5</v>
      </c>
      <c r="AI472" s="132">
        <v>2.2015888415808402E-3</v>
      </c>
      <c r="AJ472" s="132">
        <v>4.0028368724324298E-4</v>
      </c>
    </row>
    <row r="473" spans="1:36" x14ac:dyDescent="0.2">
      <c r="A473" s="6">
        <v>559</v>
      </c>
      <c r="B473" s="6">
        <v>556</v>
      </c>
      <c r="C473" s="6" t="s">
        <v>2218</v>
      </c>
      <c r="D473" s="6" t="s">
        <v>2219</v>
      </c>
      <c r="E473" s="3" t="s">
        <v>430</v>
      </c>
      <c r="F473" s="6" t="s">
        <v>2225</v>
      </c>
      <c r="G473" s="6" t="s">
        <v>2226</v>
      </c>
      <c r="H473" s="6" t="s">
        <v>76</v>
      </c>
      <c r="I473" s="6" t="s">
        <v>230</v>
      </c>
      <c r="J473" s="6" t="s">
        <v>61</v>
      </c>
      <c r="K473" s="6" t="s">
        <v>314</v>
      </c>
      <c r="L473" s="6" t="s">
        <v>805</v>
      </c>
      <c r="M473" s="6" t="s">
        <v>102</v>
      </c>
      <c r="N473" s="6" t="s">
        <v>2222</v>
      </c>
      <c r="O473" s="6" t="s">
        <v>62</v>
      </c>
      <c r="P473" s="6" t="s">
        <v>2223</v>
      </c>
      <c r="Q473" s="6" t="s">
        <v>96</v>
      </c>
      <c r="R473" s="6" t="s">
        <v>57</v>
      </c>
      <c r="S473" s="6" t="s">
        <v>1217</v>
      </c>
      <c r="T473" s="131">
        <v>4.649</v>
      </c>
      <c r="U473" s="6" t="s">
        <v>2227</v>
      </c>
      <c r="V473" s="134">
        <v>6.6500000000000004E-2</v>
      </c>
      <c r="W473" s="132">
        <v>6.1460000000000001E-2</v>
      </c>
      <c r="X473" s="3" t="s">
        <v>620</v>
      </c>
      <c r="Y473" s="3" t="s">
        <v>62</v>
      </c>
      <c r="Z473" s="131">
        <v>12000</v>
      </c>
      <c r="AA473" s="129">
        <v>3.3719999999999999</v>
      </c>
      <c r="AB473" s="157">
        <v>112.43300000000001</v>
      </c>
      <c r="AD473" s="131">
        <v>45.494999999999997</v>
      </c>
      <c r="AG473" s="6" t="s">
        <v>17</v>
      </c>
      <c r="AH473" s="132">
        <v>1.5999999999999999E-5</v>
      </c>
      <c r="AI473" s="132">
        <v>7.50330241475808E-4</v>
      </c>
      <c r="AJ473" s="132">
        <v>1.3642191041102301E-4</v>
      </c>
    </row>
    <row r="474" spans="1:36" x14ac:dyDescent="0.2">
      <c r="A474" s="6">
        <v>559</v>
      </c>
      <c r="B474" s="6">
        <v>556</v>
      </c>
      <c r="C474" s="6" t="s">
        <v>2228</v>
      </c>
      <c r="D474" s="6" t="s">
        <v>2229</v>
      </c>
      <c r="E474" s="3" t="s">
        <v>430</v>
      </c>
      <c r="F474" s="6" t="s">
        <v>2230</v>
      </c>
      <c r="G474" s="6" t="s">
        <v>2231</v>
      </c>
      <c r="H474" s="6" t="s">
        <v>76</v>
      </c>
      <c r="I474" s="6" t="s">
        <v>230</v>
      </c>
      <c r="J474" s="6" t="s">
        <v>61</v>
      </c>
      <c r="K474" s="6" t="s">
        <v>313</v>
      </c>
      <c r="L474" s="6" t="s">
        <v>805</v>
      </c>
      <c r="M474" s="6" t="s">
        <v>476</v>
      </c>
      <c r="N474" s="6" t="s">
        <v>865</v>
      </c>
      <c r="O474" s="6" t="s">
        <v>62</v>
      </c>
      <c r="P474" s="6" t="s">
        <v>1778</v>
      </c>
      <c r="Q474" s="6" t="s">
        <v>96</v>
      </c>
      <c r="R474" s="6" t="s">
        <v>57</v>
      </c>
      <c r="S474" s="6" t="s">
        <v>1217</v>
      </c>
      <c r="T474" s="131">
        <v>5.7140000000000004</v>
      </c>
      <c r="U474" s="6" t="s">
        <v>2232</v>
      </c>
      <c r="V474" s="134">
        <v>7.3779999999999998E-2</v>
      </c>
      <c r="W474" s="132">
        <v>5.4050000000000001E-2</v>
      </c>
      <c r="X474" s="3" t="s">
        <v>620</v>
      </c>
      <c r="Y474" s="3" t="s">
        <v>62</v>
      </c>
      <c r="Z474" s="131">
        <v>40000</v>
      </c>
      <c r="AA474" s="129">
        <v>3.3719999999999999</v>
      </c>
      <c r="AB474" s="157">
        <v>111.904</v>
      </c>
      <c r="AD474" s="131">
        <v>150.93600000000001</v>
      </c>
      <c r="AG474" s="6" t="s">
        <v>17</v>
      </c>
      <c r="AH474" s="132">
        <v>6.7000000000000002E-5</v>
      </c>
      <c r="AI474" s="132">
        <v>2.48932754718274E-3</v>
      </c>
      <c r="AJ474" s="132">
        <v>4.5259913682474899E-4</v>
      </c>
    </row>
    <row r="475" spans="1:36" x14ac:dyDescent="0.2">
      <c r="A475" s="6">
        <v>559</v>
      </c>
      <c r="B475" s="6">
        <v>556</v>
      </c>
      <c r="C475" s="6" t="s">
        <v>2233</v>
      </c>
      <c r="D475" s="6" t="s">
        <v>2234</v>
      </c>
      <c r="E475" s="3" t="s">
        <v>430</v>
      </c>
      <c r="F475" s="6" t="s">
        <v>2235</v>
      </c>
      <c r="G475" s="6" t="s">
        <v>2236</v>
      </c>
      <c r="H475" s="6" t="s">
        <v>76</v>
      </c>
      <c r="I475" s="6" t="s">
        <v>230</v>
      </c>
      <c r="J475" s="6" t="s">
        <v>61</v>
      </c>
      <c r="K475" s="6" t="s">
        <v>314</v>
      </c>
      <c r="L475" s="6" t="s">
        <v>805</v>
      </c>
      <c r="M475" s="6" t="s">
        <v>102</v>
      </c>
      <c r="N475" s="6" t="s">
        <v>903</v>
      </c>
      <c r="O475" s="6" t="s">
        <v>62</v>
      </c>
      <c r="P475" s="6" t="s">
        <v>1577</v>
      </c>
      <c r="Q475" s="6" t="s">
        <v>96</v>
      </c>
      <c r="R475" s="6" t="s">
        <v>57</v>
      </c>
      <c r="S475" s="6" t="s">
        <v>1217</v>
      </c>
      <c r="T475" s="131">
        <v>2.641</v>
      </c>
      <c r="U475" s="6" t="s">
        <v>2237</v>
      </c>
      <c r="V475" s="134">
        <v>4.5999999999999999E-2</v>
      </c>
      <c r="W475" s="132">
        <v>3.9879999999999999E-2</v>
      </c>
      <c r="X475" s="3" t="s">
        <v>620</v>
      </c>
      <c r="Y475" s="3" t="s">
        <v>62</v>
      </c>
      <c r="Z475" s="131">
        <v>14000</v>
      </c>
      <c r="AA475" s="129">
        <v>3.3719999999999999</v>
      </c>
      <c r="AB475" s="157">
        <v>102.379</v>
      </c>
      <c r="AD475" s="131">
        <v>48.331000000000003</v>
      </c>
      <c r="AG475" s="6" t="s">
        <v>17</v>
      </c>
      <c r="AH475" s="132">
        <v>9.0000000000000002E-6</v>
      </c>
      <c r="AI475" s="132">
        <v>7.9710477595627599E-4</v>
      </c>
      <c r="AJ475" s="132">
        <v>1.4492626089523199E-4</v>
      </c>
    </row>
    <row r="476" spans="1:36" x14ac:dyDescent="0.2">
      <c r="A476" s="6">
        <v>559</v>
      </c>
      <c r="B476" s="6">
        <v>556</v>
      </c>
      <c r="C476" s="6" t="s">
        <v>2238</v>
      </c>
      <c r="D476" s="6" t="s">
        <v>2239</v>
      </c>
      <c r="E476" s="3" t="s">
        <v>430</v>
      </c>
      <c r="F476" s="6" t="s">
        <v>2240</v>
      </c>
      <c r="G476" s="6" t="s">
        <v>2241</v>
      </c>
      <c r="H476" s="6" t="s">
        <v>76</v>
      </c>
      <c r="I476" s="6" t="s">
        <v>230</v>
      </c>
      <c r="J476" s="6" t="s">
        <v>61</v>
      </c>
      <c r="K476" s="6" t="s">
        <v>314</v>
      </c>
      <c r="L476" s="6" t="s">
        <v>805</v>
      </c>
      <c r="M476" s="6" t="s">
        <v>102</v>
      </c>
      <c r="N476" s="6" t="s">
        <v>882</v>
      </c>
      <c r="O476" s="6" t="s">
        <v>62</v>
      </c>
      <c r="P476" s="6" t="s">
        <v>1521</v>
      </c>
      <c r="Q476" s="6" t="s">
        <v>84</v>
      </c>
      <c r="R476" s="6" t="s">
        <v>57</v>
      </c>
      <c r="S476" s="6" t="s">
        <v>1217</v>
      </c>
      <c r="T476" s="131">
        <v>2.2320000000000002</v>
      </c>
      <c r="U476" s="6" t="s">
        <v>2242</v>
      </c>
      <c r="V476" s="134">
        <v>4.5499999999999999E-2</v>
      </c>
      <c r="W476" s="132">
        <v>4.027E-2</v>
      </c>
      <c r="X476" s="3" t="s">
        <v>620</v>
      </c>
      <c r="Y476" s="3" t="s">
        <v>62</v>
      </c>
      <c r="Z476" s="131">
        <v>60000</v>
      </c>
      <c r="AA476" s="129">
        <v>3.3719999999999999</v>
      </c>
      <c r="AB476" s="157">
        <v>101.29600000000001</v>
      </c>
      <c r="AD476" s="131">
        <v>204.94200000000001</v>
      </c>
      <c r="AG476" s="6" t="s">
        <v>17</v>
      </c>
      <c r="AH476" s="132">
        <v>3.0000000000000001E-5</v>
      </c>
      <c r="AI476" s="132">
        <v>3.3800333180909301E-3</v>
      </c>
      <c r="AJ476" s="132">
        <v>6.1454353965518702E-4</v>
      </c>
    </row>
    <row r="477" spans="1:36" x14ac:dyDescent="0.2">
      <c r="A477" s="6">
        <v>559</v>
      </c>
      <c r="B477" s="6">
        <v>556</v>
      </c>
      <c r="C477" s="6" t="s">
        <v>2243</v>
      </c>
      <c r="D477" s="6" t="s">
        <v>2244</v>
      </c>
      <c r="E477" s="3" t="s">
        <v>430</v>
      </c>
      <c r="F477" s="6" t="s">
        <v>2245</v>
      </c>
      <c r="G477" s="6" t="s">
        <v>2246</v>
      </c>
      <c r="H477" s="6" t="s">
        <v>76</v>
      </c>
      <c r="I477" s="6" t="s">
        <v>230</v>
      </c>
      <c r="J477" s="6" t="s">
        <v>61</v>
      </c>
      <c r="K477" s="6" t="s">
        <v>314</v>
      </c>
      <c r="L477" s="6" t="s">
        <v>805</v>
      </c>
      <c r="M477" s="6" t="s">
        <v>102</v>
      </c>
      <c r="N477" s="6" t="s">
        <v>1141</v>
      </c>
      <c r="O477" s="6" t="s">
        <v>62</v>
      </c>
      <c r="P477" s="6" t="s">
        <v>2223</v>
      </c>
      <c r="Q477" s="6" t="s">
        <v>96</v>
      </c>
      <c r="R477" s="6" t="s">
        <v>57</v>
      </c>
      <c r="S477" s="6" t="s">
        <v>1217</v>
      </c>
      <c r="T477" s="131">
        <v>3.2919999999999998</v>
      </c>
      <c r="U477" s="6" t="s">
        <v>2038</v>
      </c>
      <c r="V477" s="134">
        <v>6.9000000000000006E-2</v>
      </c>
      <c r="W477" s="132">
        <v>5.6759999999999998E-2</v>
      </c>
      <c r="X477" s="3" t="s">
        <v>620</v>
      </c>
      <c r="Y477" s="3" t="s">
        <v>62</v>
      </c>
      <c r="Z477" s="131">
        <v>50000</v>
      </c>
      <c r="AA477" s="129">
        <v>3.3719999999999999</v>
      </c>
      <c r="AB477" s="157">
        <v>105.711</v>
      </c>
      <c r="AD477" s="131">
        <v>178.22900000000001</v>
      </c>
      <c r="AG477" s="6" t="s">
        <v>17</v>
      </c>
      <c r="AH477" s="132">
        <v>5.0000000000000002E-5</v>
      </c>
      <c r="AI477" s="132">
        <v>2.9394722500629901E-3</v>
      </c>
      <c r="AJ477" s="132">
        <v>5.3444256646919598E-4</v>
      </c>
    </row>
    <row r="478" spans="1:36" x14ac:dyDescent="0.2">
      <c r="A478" s="6">
        <v>559</v>
      </c>
      <c r="B478" s="6">
        <v>556</v>
      </c>
      <c r="C478" s="6" t="s">
        <v>2247</v>
      </c>
      <c r="D478" s="6" t="s">
        <v>2248</v>
      </c>
      <c r="E478" s="3" t="s">
        <v>430</v>
      </c>
      <c r="F478" s="6" t="s">
        <v>2249</v>
      </c>
      <c r="G478" s="6" t="s">
        <v>2250</v>
      </c>
      <c r="H478" s="6" t="s">
        <v>76</v>
      </c>
      <c r="I478" s="6" t="s">
        <v>230</v>
      </c>
      <c r="J478" s="6" t="s">
        <v>61</v>
      </c>
      <c r="K478" s="6" t="s">
        <v>314</v>
      </c>
      <c r="L478" s="6" t="s">
        <v>805</v>
      </c>
      <c r="M478" s="6" t="s">
        <v>102</v>
      </c>
      <c r="N478" s="6" t="s">
        <v>2251</v>
      </c>
      <c r="O478" s="6" t="s">
        <v>62</v>
      </c>
      <c r="P478" s="6" t="s">
        <v>2223</v>
      </c>
      <c r="Q478" s="6" t="s">
        <v>96</v>
      </c>
      <c r="R478" s="6" t="s">
        <v>57</v>
      </c>
      <c r="S478" s="6" t="s">
        <v>1217</v>
      </c>
      <c r="T478" s="131">
        <v>6.7709999999999999</v>
      </c>
      <c r="U478" s="6" t="s">
        <v>2252</v>
      </c>
      <c r="V478" s="134">
        <v>5.8749999999999997E-2</v>
      </c>
      <c r="W478" s="132">
        <v>5.4800000000000001E-2</v>
      </c>
      <c r="X478" s="3" t="s">
        <v>620</v>
      </c>
      <c r="Y478" s="3" t="s">
        <v>62</v>
      </c>
      <c r="Z478" s="131">
        <v>50000</v>
      </c>
      <c r="AA478" s="129">
        <v>3.3719999999999999</v>
      </c>
      <c r="AB478" s="157">
        <v>104.32899999999999</v>
      </c>
      <c r="AD478" s="131">
        <v>175.898</v>
      </c>
      <c r="AG478" s="6" t="s">
        <v>17</v>
      </c>
      <c r="AH478" s="132">
        <v>1E-4</v>
      </c>
      <c r="AI478" s="132">
        <v>2.9010194048160998E-3</v>
      </c>
      <c r="AJ478" s="132">
        <v>5.2745123076212996E-4</v>
      </c>
    </row>
    <row r="479" spans="1:36" x14ac:dyDescent="0.2">
      <c r="A479" s="6">
        <v>559</v>
      </c>
      <c r="B479" s="6">
        <v>556</v>
      </c>
      <c r="C479" s="6" t="s">
        <v>2396</v>
      </c>
      <c r="D479" s="6" t="s">
        <v>2397</v>
      </c>
      <c r="E479" s="3" t="s">
        <v>430</v>
      </c>
      <c r="F479" s="6" t="s">
        <v>2398</v>
      </c>
      <c r="G479" s="6" t="s">
        <v>2399</v>
      </c>
      <c r="H479" s="6" t="s">
        <v>76</v>
      </c>
      <c r="I479" s="6" t="s">
        <v>230</v>
      </c>
      <c r="J479" s="6" t="s">
        <v>61</v>
      </c>
      <c r="K479" s="6" t="s">
        <v>196</v>
      </c>
      <c r="L479" s="6" t="s">
        <v>805</v>
      </c>
      <c r="M479" s="6" t="s">
        <v>476</v>
      </c>
      <c r="N479" s="6" t="s">
        <v>915</v>
      </c>
      <c r="O479" s="6" t="s">
        <v>62</v>
      </c>
      <c r="P479" s="6" t="s">
        <v>2400</v>
      </c>
      <c r="Q479" s="6" t="s">
        <v>84</v>
      </c>
      <c r="R479" s="6" t="s">
        <v>57</v>
      </c>
      <c r="S479" s="6" t="s">
        <v>1215</v>
      </c>
      <c r="T479" s="131">
        <v>2.097</v>
      </c>
      <c r="U479" s="6" t="s">
        <v>2401</v>
      </c>
      <c r="V479" s="134">
        <v>2.6249999999999999E-2</v>
      </c>
      <c r="W479" s="132">
        <v>7.1129999999999999E-2</v>
      </c>
      <c r="X479" s="3" t="s">
        <v>620</v>
      </c>
      <c r="Y479" s="3" t="s">
        <v>62</v>
      </c>
      <c r="Z479" s="131">
        <v>45000</v>
      </c>
      <c r="AA479" s="129">
        <v>3.9552</v>
      </c>
      <c r="AB479" s="157">
        <v>93.527000000000001</v>
      </c>
      <c r="AD479" s="131">
        <v>166.46299999999999</v>
      </c>
      <c r="AG479" s="6" t="s">
        <v>17</v>
      </c>
      <c r="AH479" s="132">
        <v>1.8799999999999999E-4</v>
      </c>
      <c r="AI479" s="132">
        <v>2.7454094786962101E-3</v>
      </c>
      <c r="AJ479" s="132">
        <v>4.9915888397035002E-4</v>
      </c>
    </row>
    <row r="480" spans="1:36" x14ac:dyDescent="0.2">
      <c r="A480" s="6">
        <v>559</v>
      </c>
      <c r="B480" s="6">
        <v>556</v>
      </c>
      <c r="C480" s="6" t="s">
        <v>2402</v>
      </c>
      <c r="D480" s="6" t="s">
        <v>2403</v>
      </c>
      <c r="E480" s="3" t="s">
        <v>430</v>
      </c>
      <c r="F480" s="6" t="s">
        <v>2404</v>
      </c>
      <c r="G480" s="6" t="s">
        <v>2405</v>
      </c>
      <c r="H480" s="6" t="s">
        <v>76</v>
      </c>
      <c r="I480" s="6" t="s">
        <v>230</v>
      </c>
      <c r="J480" s="6" t="s">
        <v>61</v>
      </c>
      <c r="K480" s="6" t="s">
        <v>314</v>
      </c>
      <c r="L480" s="6" t="s">
        <v>805</v>
      </c>
      <c r="M480" s="6" t="s">
        <v>102</v>
      </c>
      <c r="N480" s="6" t="s">
        <v>202</v>
      </c>
      <c r="O480" s="6" t="s">
        <v>62</v>
      </c>
      <c r="P480" s="6" t="s">
        <v>1778</v>
      </c>
      <c r="Q480" s="6" t="s">
        <v>96</v>
      </c>
      <c r="R480" s="6" t="s">
        <v>57</v>
      </c>
      <c r="S480" s="6" t="s">
        <v>1217</v>
      </c>
      <c r="T480" s="131">
        <v>5.21</v>
      </c>
      <c r="U480" s="6" t="s">
        <v>2406</v>
      </c>
      <c r="V480" s="134">
        <v>2.4500000000000001E-2</v>
      </c>
      <c r="W480" s="132">
        <v>4.6370000000000001E-2</v>
      </c>
      <c r="X480" s="3" t="s">
        <v>620</v>
      </c>
      <c r="Y480" s="3" t="s">
        <v>62</v>
      </c>
      <c r="Z480" s="131">
        <v>15000</v>
      </c>
      <c r="AA480" s="129">
        <v>3.3719999999999999</v>
      </c>
      <c r="AB480" s="157">
        <v>90.284000000000006</v>
      </c>
      <c r="AD480" s="131">
        <v>45.664999999999999</v>
      </c>
      <c r="AG480" s="6" t="s">
        <v>17</v>
      </c>
      <c r="AH480" s="132">
        <v>5.0000000000000004E-6</v>
      </c>
      <c r="AI480" s="132">
        <v>7.5314283165764796E-4</v>
      </c>
      <c r="AJ480" s="132">
        <v>1.3693328380982899E-4</v>
      </c>
    </row>
    <row r="481" spans="1:36" x14ac:dyDescent="0.2">
      <c r="A481" s="6">
        <v>559</v>
      </c>
      <c r="B481" s="6">
        <v>556</v>
      </c>
      <c r="C481" s="6" t="s">
        <v>1220</v>
      </c>
      <c r="D481" s="6" t="s">
        <v>1483</v>
      </c>
      <c r="E481" s="3" t="s">
        <v>1477</v>
      </c>
      <c r="F481" s="6" t="s">
        <v>2407</v>
      </c>
      <c r="G481" s="6" t="s">
        <v>2408</v>
      </c>
      <c r="H481" s="6" t="s">
        <v>76</v>
      </c>
      <c r="I481" s="6" t="s">
        <v>230</v>
      </c>
      <c r="J481" s="6" t="s">
        <v>61</v>
      </c>
      <c r="K481" s="6" t="s">
        <v>53</v>
      </c>
      <c r="L481" s="6" t="s">
        <v>805</v>
      </c>
      <c r="M481" s="6" t="s">
        <v>102</v>
      </c>
      <c r="N481" s="6" t="s">
        <v>195</v>
      </c>
      <c r="O481" s="6" t="s">
        <v>62</v>
      </c>
      <c r="P481" s="6" t="s">
        <v>1515</v>
      </c>
      <c r="Q481" s="6" t="s">
        <v>96</v>
      </c>
      <c r="R481" s="6" t="s">
        <v>57</v>
      </c>
      <c r="S481" s="6" t="s">
        <v>1217</v>
      </c>
      <c r="T481" s="131">
        <v>1.8759999999999999</v>
      </c>
      <c r="U481" s="6" t="s">
        <v>2409</v>
      </c>
      <c r="V481" s="134">
        <v>5.1249999999999997E-2</v>
      </c>
      <c r="W481" s="132">
        <v>4.6589999999999999E-2</v>
      </c>
      <c r="X481" s="3" t="s">
        <v>620</v>
      </c>
      <c r="Y481" s="3" t="s">
        <v>62</v>
      </c>
      <c r="Z481" s="131">
        <v>105000</v>
      </c>
      <c r="AA481" s="129">
        <v>3.3719999999999999</v>
      </c>
      <c r="AB481" s="157">
        <v>102.059</v>
      </c>
      <c r="AD481" s="131">
        <v>361.351</v>
      </c>
      <c r="AG481" s="6" t="s">
        <v>17</v>
      </c>
      <c r="AH481" s="132">
        <v>2.1000000000000001E-4</v>
      </c>
      <c r="AI481" s="132">
        <v>5.9596319732779096E-3</v>
      </c>
      <c r="AJ481" s="132">
        <v>1.0835553922791E-3</v>
      </c>
    </row>
    <row r="482" spans="1:36" x14ac:dyDescent="0.2">
      <c r="A482" s="6">
        <v>559</v>
      </c>
      <c r="B482" s="6">
        <v>556</v>
      </c>
      <c r="C482" s="6" t="s">
        <v>2253</v>
      </c>
      <c r="D482" s="6" t="s">
        <v>2254</v>
      </c>
      <c r="E482" s="3" t="s">
        <v>430</v>
      </c>
      <c r="F482" s="6" t="s">
        <v>2255</v>
      </c>
      <c r="G482" s="6" t="s">
        <v>2256</v>
      </c>
      <c r="H482" s="6" t="s">
        <v>76</v>
      </c>
      <c r="I482" s="6" t="s">
        <v>230</v>
      </c>
      <c r="J482" s="6" t="s">
        <v>61</v>
      </c>
      <c r="K482" s="6" t="s">
        <v>153</v>
      </c>
      <c r="L482" s="6" t="s">
        <v>805</v>
      </c>
      <c r="M482" s="6" t="s">
        <v>102</v>
      </c>
      <c r="N482" s="6" t="s">
        <v>894</v>
      </c>
      <c r="O482" s="6" t="s">
        <v>62</v>
      </c>
      <c r="P482" s="6" t="s">
        <v>1778</v>
      </c>
      <c r="Q482" s="6" t="s">
        <v>96</v>
      </c>
      <c r="R482" s="6" t="s">
        <v>57</v>
      </c>
      <c r="S482" s="6" t="s">
        <v>1217</v>
      </c>
      <c r="T482" s="131">
        <v>3.2370000000000001</v>
      </c>
      <c r="U482" s="6" t="s">
        <v>2257</v>
      </c>
      <c r="V482" s="134">
        <v>4.3749999999999997E-2</v>
      </c>
      <c r="W482" s="132">
        <v>4.7140000000000001E-2</v>
      </c>
      <c r="X482" s="3" t="s">
        <v>620</v>
      </c>
      <c r="Y482" s="3" t="s">
        <v>62</v>
      </c>
      <c r="Z482" s="131">
        <v>55000</v>
      </c>
      <c r="AA482" s="129">
        <v>3.3719999999999999</v>
      </c>
      <c r="AB482" s="157">
        <v>98.981999999999999</v>
      </c>
      <c r="AD482" s="131">
        <v>183.57300000000001</v>
      </c>
      <c r="AG482" s="6" t="s">
        <v>17</v>
      </c>
      <c r="AH482" s="132">
        <v>1.5999999999999999E-5</v>
      </c>
      <c r="AI482" s="132">
        <v>3.0275939490461302E-3</v>
      </c>
      <c r="AJ482" s="132">
        <v>5.5046448569812004E-4</v>
      </c>
    </row>
    <row r="483" spans="1:36" x14ac:dyDescent="0.2">
      <c r="A483" s="6">
        <v>559</v>
      </c>
      <c r="B483" s="6">
        <v>556</v>
      </c>
      <c r="C483" s="6" t="s">
        <v>2410</v>
      </c>
      <c r="D483" s="6" t="s">
        <v>2411</v>
      </c>
      <c r="E483" s="3" t="s">
        <v>430</v>
      </c>
      <c r="F483" s="6" t="s">
        <v>2412</v>
      </c>
      <c r="G483" s="6" t="s">
        <v>2413</v>
      </c>
      <c r="H483" s="6" t="s">
        <v>76</v>
      </c>
      <c r="I483" s="6" t="s">
        <v>230</v>
      </c>
      <c r="J483" s="6" t="s">
        <v>61</v>
      </c>
      <c r="K483" s="6" t="s">
        <v>198</v>
      </c>
      <c r="L483" s="6" t="s">
        <v>805</v>
      </c>
      <c r="M483" s="6" t="s">
        <v>486</v>
      </c>
      <c r="N483" s="6" t="s">
        <v>915</v>
      </c>
      <c r="O483" s="6" t="s">
        <v>62</v>
      </c>
      <c r="P483" s="6" t="s">
        <v>2223</v>
      </c>
      <c r="Q483" s="6" t="s">
        <v>96</v>
      </c>
      <c r="R483" s="6" t="s">
        <v>57</v>
      </c>
      <c r="S483" s="6" t="s">
        <v>1215</v>
      </c>
      <c r="T483" s="131">
        <v>2.6440000000000001</v>
      </c>
      <c r="U483" s="6" t="s">
        <v>2414</v>
      </c>
      <c r="V483" s="134">
        <v>1.6250000000000001E-2</v>
      </c>
      <c r="W483" s="132">
        <v>4.0410000000000001E-2</v>
      </c>
      <c r="X483" s="3" t="s">
        <v>620</v>
      </c>
      <c r="Y483" s="3" t="s">
        <v>62</v>
      </c>
      <c r="Z483" s="131">
        <v>30000</v>
      </c>
      <c r="AA483" s="129">
        <v>3.9552</v>
      </c>
      <c r="AB483" s="157">
        <v>94.441000000000003</v>
      </c>
      <c r="AD483" s="131">
        <v>112.06</v>
      </c>
      <c r="AG483" s="6" t="s">
        <v>17</v>
      </c>
      <c r="AH483" s="132">
        <v>8.7000000000000001E-5</v>
      </c>
      <c r="AI483" s="132">
        <v>1.8481571192007101E-3</v>
      </c>
      <c r="AJ483" s="132">
        <v>3.3602420774776E-4</v>
      </c>
    </row>
    <row r="484" spans="1:36" x14ac:dyDescent="0.2">
      <c r="A484" s="6">
        <v>559</v>
      </c>
      <c r="B484" s="6">
        <v>556</v>
      </c>
      <c r="C484" s="6" t="s">
        <v>2415</v>
      </c>
      <c r="D484" s="6" t="s">
        <v>2416</v>
      </c>
      <c r="E484" s="3" t="s">
        <v>430</v>
      </c>
      <c r="F484" s="6" t="s">
        <v>2417</v>
      </c>
      <c r="G484" s="6" t="s">
        <v>2418</v>
      </c>
      <c r="H484" s="6" t="s">
        <v>76</v>
      </c>
      <c r="I484" s="6" t="s">
        <v>230</v>
      </c>
      <c r="J484" s="6" t="s">
        <v>61</v>
      </c>
      <c r="K484" s="6" t="s">
        <v>314</v>
      </c>
      <c r="L484" s="6" t="s">
        <v>805</v>
      </c>
      <c r="M484" s="6" t="s">
        <v>476</v>
      </c>
      <c r="N484" s="6" t="s">
        <v>879</v>
      </c>
      <c r="O484" s="6" t="s">
        <v>62</v>
      </c>
      <c r="P484" s="6" t="s">
        <v>2216</v>
      </c>
      <c r="Q484" s="6" t="s">
        <v>84</v>
      </c>
      <c r="R484" s="6" t="s">
        <v>57</v>
      </c>
      <c r="S484" s="6" t="s">
        <v>1217</v>
      </c>
      <c r="T484" s="131">
        <v>5.6879999999999997</v>
      </c>
      <c r="U484" s="6" t="s">
        <v>1440</v>
      </c>
      <c r="V484" s="134">
        <v>4.4999999999999998E-2</v>
      </c>
      <c r="W484" s="132">
        <v>5.0369999999999998E-2</v>
      </c>
      <c r="X484" s="3" t="s">
        <v>620</v>
      </c>
      <c r="Y484" s="3" t="s">
        <v>62</v>
      </c>
      <c r="Z484" s="131">
        <v>50000</v>
      </c>
      <c r="AA484" s="129">
        <v>3.3719999999999999</v>
      </c>
      <c r="AB484" s="157">
        <v>99.114000000000004</v>
      </c>
      <c r="AD484" s="131">
        <v>167.10599999999999</v>
      </c>
      <c r="AG484" s="6" t="s">
        <v>17</v>
      </c>
      <c r="AH484" s="132">
        <v>1.4300000000000001E-4</v>
      </c>
      <c r="AI484" s="132">
        <v>2.7560204934816801E-3</v>
      </c>
      <c r="AJ484" s="132">
        <v>5.0108813435693499E-4</v>
      </c>
    </row>
    <row r="485" spans="1:36" x14ac:dyDescent="0.2">
      <c r="A485" s="6">
        <v>559</v>
      </c>
      <c r="B485" s="6">
        <v>556</v>
      </c>
      <c r="C485" s="6" t="s">
        <v>2258</v>
      </c>
      <c r="D485" s="6" t="s">
        <v>2259</v>
      </c>
      <c r="E485" s="3" t="s">
        <v>430</v>
      </c>
      <c r="F485" s="6" t="s">
        <v>2260</v>
      </c>
      <c r="G485" s="6" t="s">
        <v>2261</v>
      </c>
      <c r="H485" s="6" t="s">
        <v>76</v>
      </c>
      <c r="I485" s="6" t="s">
        <v>230</v>
      </c>
      <c r="J485" s="6" t="s">
        <v>61</v>
      </c>
      <c r="K485" s="6" t="s">
        <v>314</v>
      </c>
      <c r="L485" s="6" t="s">
        <v>805</v>
      </c>
      <c r="M485" s="6" t="s">
        <v>476</v>
      </c>
      <c r="N485" s="6" t="s">
        <v>2262</v>
      </c>
      <c r="O485" s="6" t="s">
        <v>62</v>
      </c>
      <c r="P485" s="6" t="s">
        <v>2263</v>
      </c>
      <c r="Q485" s="6" t="s">
        <v>84</v>
      </c>
      <c r="R485" s="6" t="s">
        <v>57</v>
      </c>
      <c r="S485" s="6" t="s">
        <v>1217</v>
      </c>
      <c r="T485" s="131">
        <v>2.6880000000000002</v>
      </c>
      <c r="U485" s="6" t="s">
        <v>2264</v>
      </c>
      <c r="V485" s="134">
        <v>5.1999999999999998E-2</v>
      </c>
      <c r="W485" s="132">
        <v>4.5629999999999997E-2</v>
      </c>
      <c r="X485" s="3" t="s">
        <v>620</v>
      </c>
      <c r="Y485" s="3" t="s">
        <v>62</v>
      </c>
      <c r="Z485" s="131">
        <v>45000</v>
      </c>
      <c r="AA485" s="129">
        <v>3.3719999999999999</v>
      </c>
      <c r="AB485" s="157">
        <v>104.39400000000001</v>
      </c>
      <c r="AD485" s="131">
        <v>158.40700000000001</v>
      </c>
      <c r="AG485" s="6" t="s">
        <v>17</v>
      </c>
      <c r="AH485" s="132">
        <v>9.0000000000000006E-5</v>
      </c>
      <c r="AI485" s="132">
        <v>2.6125497089490401E-3</v>
      </c>
      <c r="AJ485" s="132">
        <v>4.7500287558392598E-4</v>
      </c>
    </row>
    <row r="486" spans="1:36" x14ac:dyDescent="0.2">
      <c r="A486" s="6">
        <v>559</v>
      </c>
      <c r="B486" s="6">
        <v>556</v>
      </c>
      <c r="C486" s="6" t="s">
        <v>2258</v>
      </c>
      <c r="D486" s="6" t="s">
        <v>2259</v>
      </c>
      <c r="E486" s="3" t="s">
        <v>430</v>
      </c>
      <c r="F486" s="6" t="s">
        <v>2265</v>
      </c>
      <c r="G486" s="6" t="s">
        <v>2266</v>
      </c>
      <c r="H486" s="6" t="s">
        <v>76</v>
      </c>
      <c r="I486" s="6" t="s">
        <v>230</v>
      </c>
      <c r="J486" s="6" t="s">
        <v>61</v>
      </c>
      <c r="K486" s="6" t="s">
        <v>314</v>
      </c>
      <c r="L486" s="6" t="s">
        <v>805</v>
      </c>
      <c r="M486" s="6" t="s">
        <v>476</v>
      </c>
      <c r="N486" s="6" t="s">
        <v>2262</v>
      </c>
      <c r="O486" s="6" t="s">
        <v>62</v>
      </c>
      <c r="P486" s="6" t="s">
        <v>2263</v>
      </c>
      <c r="Q486" s="6" t="s">
        <v>84</v>
      </c>
      <c r="R486" s="6" t="s">
        <v>57</v>
      </c>
      <c r="S486" s="6" t="s">
        <v>1217</v>
      </c>
      <c r="T486" s="131">
        <v>6.2809999999999997</v>
      </c>
      <c r="U486" s="6" t="s">
        <v>2267</v>
      </c>
      <c r="V486" s="134">
        <v>5.45E-2</v>
      </c>
      <c r="W486" s="132">
        <v>5.203E-2</v>
      </c>
      <c r="X486" s="3" t="s">
        <v>620</v>
      </c>
      <c r="Y486" s="3" t="s">
        <v>62</v>
      </c>
      <c r="Z486" s="131">
        <v>45000</v>
      </c>
      <c r="AA486" s="129">
        <v>3.3719999999999999</v>
      </c>
      <c r="AB486" s="157">
        <v>104.78100000000001</v>
      </c>
      <c r="AD486" s="131">
        <v>158.995</v>
      </c>
      <c r="AG486" s="6" t="s">
        <v>17</v>
      </c>
      <c r="AH486" s="132">
        <v>4.5000000000000003E-5</v>
      </c>
      <c r="AI486" s="132">
        <v>2.6222479458037099E-3</v>
      </c>
      <c r="AJ486" s="132">
        <v>4.76766168499764E-4</v>
      </c>
    </row>
    <row r="487" spans="1:36" x14ac:dyDescent="0.2">
      <c r="A487" s="6">
        <v>559</v>
      </c>
      <c r="B487" s="6">
        <v>556</v>
      </c>
      <c r="C487" s="6" t="s">
        <v>2419</v>
      </c>
      <c r="D487" s="6" t="s">
        <v>2420</v>
      </c>
      <c r="E487" s="3" t="s">
        <v>78</v>
      </c>
      <c r="F487" s="6" t="s">
        <v>2421</v>
      </c>
      <c r="G487" s="6" t="s">
        <v>2422</v>
      </c>
      <c r="H487" s="6" t="s">
        <v>76</v>
      </c>
      <c r="I487" s="6" t="s">
        <v>230</v>
      </c>
      <c r="J487" s="6" t="s">
        <v>61</v>
      </c>
      <c r="K487" s="6" t="s">
        <v>314</v>
      </c>
      <c r="L487" s="6" t="s">
        <v>805</v>
      </c>
      <c r="M487" s="6" t="s">
        <v>102</v>
      </c>
      <c r="N487" s="6" t="s">
        <v>862</v>
      </c>
      <c r="O487" s="6" t="s">
        <v>62</v>
      </c>
      <c r="P487" s="6" t="s">
        <v>2223</v>
      </c>
      <c r="Q487" s="6" t="s">
        <v>96</v>
      </c>
      <c r="R487" s="6" t="s">
        <v>57</v>
      </c>
      <c r="S487" s="6" t="s">
        <v>1217</v>
      </c>
      <c r="T487" s="131">
        <v>4.6710000000000003</v>
      </c>
      <c r="U487" s="6" t="s">
        <v>2423</v>
      </c>
      <c r="V487" s="134">
        <v>4.4999999999999998E-2</v>
      </c>
      <c r="W487" s="132">
        <v>5.287E-2</v>
      </c>
      <c r="X487" s="3" t="s">
        <v>620</v>
      </c>
      <c r="Y487" s="3" t="s">
        <v>62</v>
      </c>
      <c r="Z487" s="131">
        <v>15000</v>
      </c>
      <c r="AA487" s="129">
        <v>3.3719999999999999</v>
      </c>
      <c r="AB487" s="157">
        <v>98.24</v>
      </c>
      <c r="AD487" s="131">
        <v>49.69</v>
      </c>
      <c r="AG487" s="6" t="s">
        <v>17</v>
      </c>
      <c r="AH487" s="132">
        <v>3.6144999999999997E-2</v>
      </c>
      <c r="AI487" s="132">
        <v>8.1951526508759602E-4</v>
      </c>
      <c r="AJ487" s="132">
        <v>1.4900084242153099E-4</v>
      </c>
    </row>
    <row r="488" spans="1:36" x14ac:dyDescent="0.2">
      <c r="A488" s="6">
        <v>559</v>
      </c>
      <c r="B488" s="6">
        <v>556</v>
      </c>
      <c r="C488" s="6" t="s">
        <v>2424</v>
      </c>
      <c r="D488" s="6" t="s">
        <v>2425</v>
      </c>
      <c r="E488" s="3" t="s">
        <v>430</v>
      </c>
      <c r="F488" s="6" t="s">
        <v>2426</v>
      </c>
      <c r="G488" s="6" t="s">
        <v>2427</v>
      </c>
      <c r="H488" s="6" t="s">
        <v>76</v>
      </c>
      <c r="I488" s="6" t="s">
        <v>230</v>
      </c>
      <c r="J488" s="6" t="s">
        <v>61</v>
      </c>
      <c r="K488" s="6" t="s">
        <v>314</v>
      </c>
      <c r="L488" s="6" t="s">
        <v>805</v>
      </c>
      <c r="M488" s="6" t="s">
        <v>476</v>
      </c>
      <c r="N488" s="6" t="s">
        <v>882</v>
      </c>
      <c r="O488" s="6" t="s">
        <v>62</v>
      </c>
      <c r="P488" s="6" t="s">
        <v>1778</v>
      </c>
      <c r="Q488" s="6" t="s">
        <v>96</v>
      </c>
      <c r="R488" s="6" t="s">
        <v>57</v>
      </c>
      <c r="S488" s="6" t="s">
        <v>1217</v>
      </c>
      <c r="T488" s="131">
        <v>5.8239999999999998</v>
      </c>
      <c r="U488" s="6" t="s">
        <v>2428</v>
      </c>
      <c r="V488" s="134">
        <v>3.15E-2</v>
      </c>
      <c r="W488" s="132">
        <v>5.11E-2</v>
      </c>
      <c r="X488" s="3" t="s">
        <v>620</v>
      </c>
      <c r="Y488" s="3" t="s">
        <v>62</v>
      </c>
      <c r="Z488" s="131">
        <v>30000</v>
      </c>
      <c r="AA488" s="129">
        <v>3.3719999999999999</v>
      </c>
      <c r="AB488" s="157">
        <v>90.897000000000006</v>
      </c>
      <c r="AD488" s="131">
        <v>91.950999999999993</v>
      </c>
      <c r="AG488" s="6" t="s">
        <v>17</v>
      </c>
      <c r="AH488" s="132">
        <v>4.0000000000000003E-5</v>
      </c>
      <c r="AI488" s="132">
        <v>1.51651616799371E-3</v>
      </c>
      <c r="AJ488" s="132">
        <v>2.7572663524794898E-4</v>
      </c>
    </row>
    <row r="489" spans="1:36" x14ac:dyDescent="0.2">
      <c r="A489" s="6">
        <v>559</v>
      </c>
      <c r="B489" s="6">
        <v>556</v>
      </c>
      <c r="C489" s="6" t="s">
        <v>2268</v>
      </c>
      <c r="D489" s="6" t="s">
        <v>2269</v>
      </c>
      <c r="E489" s="3" t="s">
        <v>430</v>
      </c>
      <c r="F489" s="6" t="s">
        <v>2270</v>
      </c>
      <c r="G489" s="6" t="s">
        <v>2271</v>
      </c>
      <c r="H489" s="6" t="s">
        <v>76</v>
      </c>
      <c r="I489" s="6" t="s">
        <v>230</v>
      </c>
      <c r="J489" s="6" t="s">
        <v>61</v>
      </c>
      <c r="K489" s="6" t="s">
        <v>314</v>
      </c>
      <c r="L489" s="6" t="s">
        <v>805</v>
      </c>
      <c r="M489" s="6" t="s">
        <v>102</v>
      </c>
      <c r="N489" s="6" t="s">
        <v>2272</v>
      </c>
      <c r="O489" s="6" t="s">
        <v>62</v>
      </c>
      <c r="P489" s="6" t="s">
        <v>2273</v>
      </c>
      <c r="Q489" s="6" t="s">
        <v>96</v>
      </c>
      <c r="R489" s="6" t="s">
        <v>57</v>
      </c>
      <c r="S489" s="6" t="s">
        <v>1217</v>
      </c>
      <c r="T489" s="131">
        <v>3.6320000000000001</v>
      </c>
      <c r="U489" s="6" t="s">
        <v>2274</v>
      </c>
      <c r="V489" s="134">
        <v>6.8750000000000006E-2</v>
      </c>
      <c r="W489" s="132">
        <v>6.2810000000000005E-2</v>
      </c>
      <c r="X489" s="3" t="s">
        <v>620</v>
      </c>
      <c r="Y489" s="3" t="s">
        <v>62</v>
      </c>
      <c r="Z489" s="131">
        <v>35000</v>
      </c>
      <c r="AA489" s="129">
        <v>3.3719999999999999</v>
      </c>
      <c r="AB489" s="157">
        <v>105.73699999999999</v>
      </c>
      <c r="AD489" s="131">
        <v>124.79</v>
      </c>
      <c r="AG489" s="6" t="s">
        <v>17</v>
      </c>
      <c r="AH489" s="132">
        <v>3.4999999999999997E-5</v>
      </c>
      <c r="AI489" s="132">
        <v>2.05812000906949E-3</v>
      </c>
      <c r="AJ489" s="132">
        <v>3.7419878337859199E-4</v>
      </c>
    </row>
    <row r="490" spans="1:36" x14ac:dyDescent="0.2">
      <c r="A490" s="6">
        <v>559</v>
      </c>
      <c r="B490" s="6">
        <v>556</v>
      </c>
      <c r="C490" s="6" t="s">
        <v>2429</v>
      </c>
      <c r="D490" s="6" t="s">
        <v>2430</v>
      </c>
      <c r="E490" s="3" t="s">
        <v>430</v>
      </c>
      <c r="F490" s="6" t="s">
        <v>2431</v>
      </c>
      <c r="G490" s="6" t="s">
        <v>2432</v>
      </c>
      <c r="H490" s="6" t="s">
        <v>76</v>
      </c>
      <c r="I490" s="6" t="s">
        <v>230</v>
      </c>
      <c r="J490" s="6" t="s">
        <v>61</v>
      </c>
      <c r="K490" s="6" t="s">
        <v>314</v>
      </c>
      <c r="L490" s="6" t="s">
        <v>805</v>
      </c>
      <c r="M490" s="6" t="s">
        <v>476</v>
      </c>
      <c r="N490" s="6" t="s">
        <v>882</v>
      </c>
      <c r="O490" s="6" t="s">
        <v>62</v>
      </c>
      <c r="P490" s="6" t="s">
        <v>1994</v>
      </c>
      <c r="Q490" s="6" t="s">
        <v>96</v>
      </c>
      <c r="R490" s="6" t="s">
        <v>57</v>
      </c>
      <c r="S490" s="6" t="s">
        <v>1217</v>
      </c>
      <c r="T490" s="131">
        <v>4.3899999999999997</v>
      </c>
      <c r="U490" s="6" t="s">
        <v>2433</v>
      </c>
      <c r="V490" s="134">
        <v>2.7E-2</v>
      </c>
      <c r="W490" s="132">
        <v>4.5260000000000002E-2</v>
      </c>
      <c r="X490" s="3" t="s">
        <v>620</v>
      </c>
      <c r="Y490" s="3" t="s">
        <v>62</v>
      </c>
      <c r="Z490" s="131">
        <v>30000</v>
      </c>
      <c r="AA490" s="129">
        <v>3.3719999999999999</v>
      </c>
      <c r="AB490" s="157">
        <v>93.265000000000001</v>
      </c>
      <c r="AD490" s="131">
        <v>94.346999999999994</v>
      </c>
      <c r="AG490" s="6" t="s">
        <v>17</v>
      </c>
      <c r="AH490" s="132">
        <v>3.1999999999999999E-5</v>
      </c>
      <c r="AI490" s="132">
        <v>1.55602951693526E-3</v>
      </c>
      <c r="AJ490" s="132">
        <v>2.8291078730710399E-4</v>
      </c>
    </row>
    <row r="491" spans="1:36" x14ac:dyDescent="0.2">
      <c r="A491" s="6">
        <v>559</v>
      </c>
      <c r="B491" s="6">
        <v>556</v>
      </c>
      <c r="C491" s="6" t="s">
        <v>2275</v>
      </c>
      <c r="D491" s="6" t="s">
        <v>2276</v>
      </c>
      <c r="E491" s="3" t="s">
        <v>430</v>
      </c>
      <c r="F491" s="6" t="s">
        <v>2277</v>
      </c>
      <c r="G491" s="6" t="s">
        <v>2278</v>
      </c>
      <c r="H491" s="6" t="s">
        <v>76</v>
      </c>
      <c r="I491" s="6" t="s">
        <v>230</v>
      </c>
      <c r="J491" s="6" t="s">
        <v>61</v>
      </c>
      <c r="K491" s="6" t="s">
        <v>203</v>
      </c>
      <c r="L491" s="6" t="s">
        <v>805</v>
      </c>
      <c r="M491" s="6" t="s">
        <v>102</v>
      </c>
      <c r="N491" s="6" t="s">
        <v>908</v>
      </c>
      <c r="O491" s="6" t="s">
        <v>62</v>
      </c>
      <c r="P491" s="6" t="s">
        <v>1778</v>
      </c>
      <c r="Q491" s="6" t="s">
        <v>96</v>
      </c>
      <c r="R491" s="6" t="s">
        <v>57</v>
      </c>
      <c r="S491" s="6" t="s">
        <v>1217</v>
      </c>
      <c r="T491" s="131">
        <v>2.6280000000000001</v>
      </c>
      <c r="U491" s="6" t="s">
        <v>2279</v>
      </c>
      <c r="V491" s="134">
        <v>5.7000000000000002E-2</v>
      </c>
      <c r="W491" s="132">
        <v>4.5949999999999998E-2</v>
      </c>
      <c r="X491" s="3" t="s">
        <v>620</v>
      </c>
      <c r="Y491" s="3" t="s">
        <v>62</v>
      </c>
      <c r="Z491" s="131">
        <v>60000</v>
      </c>
      <c r="AA491" s="129">
        <v>3.3719999999999999</v>
      </c>
      <c r="AB491" s="157">
        <v>103.504</v>
      </c>
      <c r="AD491" s="131">
        <v>209.40899999999999</v>
      </c>
      <c r="AG491" s="6" t="s">
        <v>17</v>
      </c>
      <c r="AH491" s="132">
        <v>6.0000000000000002E-5</v>
      </c>
      <c r="AI491" s="132">
        <v>3.4537040477096502E-3</v>
      </c>
      <c r="AJ491" s="132">
        <v>6.2793804399529198E-4</v>
      </c>
    </row>
    <row r="492" spans="1:36" x14ac:dyDescent="0.2">
      <c r="A492" s="6">
        <v>559</v>
      </c>
      <c r="B492" s="6">
        <v>556</v>
      </c>
      <c r="C492" s="6" t="s">
        <v>2275</v>
      </c>
      <c r="D492" s="6" t="s">
        <v>2276</v>
      </c>
      <c r="E492" s="3" t="s">
        <v>430</v>
      </c>
      <c r="F492" s="6" t="s">
        <v>2280</v>
      </c>
      <c r="G492" s="6" t="s">
        <v>2281</v>
      </c>
      <c r="H492" s="6" t="s">
        <v>76</v>
      </c>
      <c r="I492" s="6" t="s">
        <v>230</v>
      </c>
      <c r="J492" s="6" t="s">
        <v>61</v>
      </c>
      <c r="K492" s="6" t="s">
        <v>314</v>
      </c>
      <c r="L492" s="6" t="s">
        <v>805</v>
      </c>
      <c r="M492" s="6" t="s">
        <v>102</v>
      </c>
      <c r="N492" s="6" t="s">
        <v>908</v>
      </c>
      <c r="O492" s="6" t="s">
        <v>62</v>
      </c>
      <c r="P492" s="6" t="s">
        <v>1778</v>
      </c>
      <c r="Q492" s="6" t="s">
        <v>96</v>
      </c>
      <c r="R492" s="6" t="s">
        <v>57</v>
      </c>
      <c r="S492" s="6" t="s">
        <v>1217</v>
      </c>
      <c r="T492" s="131">
        <v>2.6280000000000001</v>
      </c>
      <c r="U492" s="6" t="s">
        <v>2279</v>
      </c>
      <c r="V492" s="134">
        <v>5.7000000000000002E-2</v>
      </c>
      <c r="W492" s="132">
        <v>4.5949999999999998E-2</v>
      </c>
      <c r="X492" s="3" t="s">
        <v>620</v>
      </c>
      <c r="Y492" s="3" t="s">
        <v>62</v>
      </c>
      <c r="Z492" s="131">
        <v>25000</v>
      </c>
      <c r="AA492" s="129">
        <v>3.3719999999999999</v>
      </c>
      <c r="AB492" s="157">
        <v>103.47499999999999</v>
      </c>
      <c r="AD492" s="131">
        <v>87.228999999999999</v>
      </c>
      <c r="AG492" s="6" t="s">
        <v>17</v>
      </c>
      <c r="AH492" s="132">
        <v>2.5000000000000001E-5</v>
      </c>
      <c r="AI492" s="132">
        <v>1.43864015607683E-3</v>
      </c>
      <c r="AJ492" s="132">
        <v>2.6156754404566002E-4</v>
      </c>
    </row>
    <row r="493" spans="1:36" x14ac:dyDescent="0.2">
      <c r="A493" s="6">
        <v>559</v>
      </c>
      <c r="B493" s="6">
        <v>556</v>
      </c>
      <c r="C493" s="6" t="s">
        <v>2434</v>
      </c>
      <c r="D493" s="6" t="s">
        <v>2435</v>
      </c>
      <c r="E493" s="3" t="s">
        <v>430</v>
      </c>
      <c r="F493" s="6" t="s">
        <v>2436</v>
      </c>
      <c r="G493" s="6" t="s">
        <v>2437</v>
      </c>
      <c r="H493" s="6" t="s">
        <v>76</v>
      </c>
      <c r="I493" s="6" t="s">
        <v>307</v>
      </c>
      <c r="J493" s="6" t="s">
        <v>61</v>
      </c>
      <c r="K493" s="6" t="s">
        <v>315</v>
      </c>
      <c r="L493" s="6" t="s">
        <v>805</v>
      </c>
      <c r="M493" s="6" t="s">
        <v>102</v>
      </c>
      <c r="N493" s="6" t="s">
        <v>862</v>
      </c>
      <c r="O493" s="6" t="s">
        <v>62</v>
      </c>
      <c r="P493" s="6" t="s">
        <v>2438</v>
      </c>
      <c r="Q493" s="6" t="s">
        <v>96</v>
      </c>
      <c r="R493" s="6" t="s">
        <v>57</v>
      </c>
      <c r="S493" s="6" t="s">
        <v>1217</v>
      </c>
      <c r="T493" s="131">
        <v>1.7370000000000001</v>
      </c>
      <c r="U493" s="6" t="s">
        <v>2375</v>
      </c>
      <c r="V493" s="134">
        <v>6.5000000000000002E-2</v>
      </c>
      <c r="W493" s="132">
        <v>7.8329999999999997E-2</v>
      </c>
      <c r="X493" s="3" t="s">
        <v>620</v>
      </c>
      <c r="Y493" s="3" t="s">
        <v>62</v>
      </c>
      <c r="Z493" s="131">
        <v>80000</v>
      </c>
      <c r="AA493" s="129">
        <v>3.3719999999999999</v>
      </c>
      <c r="AB493" s="157">
        <v>98.903999999999996</v>
      </c>
      <c r="AD493" s="131">
        <v>266.80399999999997</v>
      </c>
      <c r="AG493" s="6" t="s">
        <v>17</v>
      </c>
      <c r="AH493" s="132">
        <v>1.7799999999999999E-4</v>
      </c>
      <c r="AI493" s="132">
        <v>4.4003046136875702E-3</v>
      </c>
      <c r="AJ493" s="132">
        <v>8.0004500499538105E-4</v>
      </c>
    </row>
    <row r="494" spans="1:36" x14ac:dyDescent="0.2">
      <c r="A494" s="6">
        <v>559</v>
      </c>
      <c r="B494" s="6">
        <v>556</v>
      </c>
      <c r="C494" s="6" t="s">
        <v>2439</v>
      </c>
      <c r="D494" s="6" t="s">
        <v>2440</v>
      </c>
      <c r="E494" s="3" t="s">
        <v>430</v>
      </c>
      <c r="F494" s="6" t="s">
        <v>2441</v>
      </c>
      <c r="G494" s="6" t="s">
        <v>2442</v>
      </c>
      <c r="H494" s="6" t="s">
        <v>76</v>
      </c>
      <c r="I494" s="6" t="s">
        <v>230</v>
      </c>
      <c r="J494" s="6" t="s">
        <v>61</v>
      </c>
      <c r="K494" s="6" t="s">
        <v>314</v>
      </c>
      <c r="L494" s="6" t="s">
        <v>805</v>
      </c>
      <c r="M494" s="6" t="s">
        <v>476</v>
      </c>
      <c r="N494" s="6" t="s">
        <v>878</v>
      </c>
      <c r="O494" s="6" t="s">
        <v>62</v>
      </c>
      <c r="P494" s="6" t="s">
        <v>1778</v>
      </c>
      <c r="Q494" s="6" t="s">
        <v>96</v>
      </c>
      <c r="R494" s="6" t="s">
        <v>57</v>
      </c>
      <c r="S494" s="6" t="s">
        <v>1217</v>
      </c>
      <c r="T494" s="131">
        <v>4.4249999999999998</v>
      </c>
      <c r="U494" s="6" t="s">
        <v>2443</v>
      </c>
      <c r="V494" s="134">
        <v>4.2500000000000003E-2</v>
      </c>
      <c r="W494" s="132">
        <v>4.6059999999999997E-2</v>
      </c>
      <c r="X494" s="3" t="s">
        <v>620</v>
      </c>
      <c r="Y494" s="3" t="s">
        <v>62</v>
      </c>
      <c r="Z494" s="131">
        <v>30000</v>
      </c>
      <c r="AA494" s="129">
        <v>3.3719999999999999</v>
      </c>
      <c r="AB494" s="157">
        <v>99.468000000000004</v>
      </c>
      <c r="AD494" s="131">
        <v>100.621</v>
      </c>
      <c r="AG494" s="6" t="s">
        <v>17</v>
      </c>
      <c r="AH494" s="132">
        <v>8.7000000000000001E-5</v>
      </c>
      <c r="AI494" s="132">
        <v>1.6595120107297E-3</v>
      </c>
      <c r="AJ494" s="132">
        <v>3.01725542087302E-4</v>
      </c>
    </row>
    <row r="495" spans="1:36" x14ac:dyDescent="0.2">
      <c r="A495" s="6">
        <v>559</v>
      </c>
      <c r="B495" s="6">
        <v>556</v>
      </c>
      <c r="C495" s="6" t="s">
        <v>2444</v>
      </c>
      <c r="D495" s="6" t="s">
        <v>2445</v>
      </c>
      <c r="E495" s="3" t="s">
        <v>430</v>
      </c>
      <c r="F495" s="6" t="s">
        <v>2446</v>
      </c>
      <c r="G495" s="6" t="s">
        <v>2447</v>
      </c>
      <c r="H495" s="6" t="s">
        <v>76</v>
      </c>
      <c r="I495" s="6" t="s">
        <v>230</v>
      </c>
      <c r="J495" s="6" t="s">
        <v>61</v>
      </c>
      <c r="K495" s="6" t="s">
        <v>314</v>
      </c>
      <c r="L495" s="6" t="s">
        <v>805</v>
      </c>
      <c r="M495" s="6" t="s">
        <v>476</v>
      </c>
      <c r="N495" s="6" t="s">
        <v>2448</v>
      </c>
      <c r="O495" s="6" t="s">
        <v>62</v>
      </c>
      <c r="P495" s="6" t="s">
        <v>2263</v>
      </c>
      <c r="Q495" s="6" t="s">
        <v>84</v>
      </c>
      <c r="R495" s="6" t="s">
        <v>57</v>
      </c>
      <c r="S495" s="6" t="s">
        <v>1217</v>
      </c>
      <c r="T495" s="131">
        <v>3.1139999999999999</v>
      </c>
      <c r="U495" s="6" t="s">
        <v>2449</v>
      </c>
      <c r="V495" s="134">
        <v>3.125E-2</v>
      </c>
      <c r="W495" s="132">
        <v>6.0909999999999999E-2</v>
      </c>
      <c r="X495" s="3" t="s">
        <v>620</v>
      </c>
      <c r="Y495" s="3" t="s">
        <v>62</v>
      </c>
      <c r="Z495" s="131">
        <v>60000</v>
      </c>
      <c r="AA495" s="129">
        <v>3.3719999999999999</v>
      </c>
      <c r="AB495" s="157">
        <v>92.18</v>
      </c>
      <c r="AD495" s="131">
        <v>186.499</v>
      </c>
      <c r="AG495" s="6" t="s">
        <v>17</v>
      </c>
      <c r="AH495" s="132">
        <v>8.0000000000000007E-5</v>
      </c>
      <c r="AI495" s="132">
        <v>3.0758640154656702E-3</v>
      </c>
      <c r="AJ495" s="132">
        <v>5.5924074755272504E-4</v>
      </c>
    </row>
    <row r="496" spans="1:36" x14ac:dyDescent="0.2">
      <c r="A496" s="6">
        <v>559</v>
      </c>
      <c r="B496" s="6">
        <v>556</v>
      </c>
      <c r="C496" s="6" t="s">
        <v>2282</v>
      </c>
      <c r="D496" s="6" t="s">
        <v>2283</v>
      </c>
      <c r="E496" s="3" t="s">
        <v>430</v>
      </c>
      <c r="F496" s="6" t="s">
        <v>2284</v>
      </c>
      <c r="G496" s="6" t="s">
        <v>2285</v>
      </c>
      <c r="H496" s="6" t="s">
        <v>76</v>
      </c>
      <c r="I496" s="6" t="s">
        <v>230</v>
      </c>
      <c r="J496" s="6" t="s">
        <v>61</v>
      </c>
      <c r="K496" s="6" t="s">
        <v>314</v>
      </c>
      <c r="L496" s="6" t="s">
        <v>805</v>
      </c>
      <c r="M496" s="6" t="s">
        <v>102</v>
      </c>
      <c r="N496" s="6" t="s">
        <v>1141</v>
      </c>
      <c r="O496" s="6" t="s">
        <v>62</v>
      </c>
      <c r="P496" s="6" t="s">
        <v>2223</v>
      </c>
      <c r="Q496" s="6" t="s">
        <v>96</v>
      </c>
      <c r="R496" s="6" t="s">
        <v>57</v>
      </c>
      <c r="S496" s="6" t="s">
        <v>1217</v>
      </c>
      <c r="T496" s="131">
        <v>3.722</v>
      </c>
      <c r="U496" s="6" t="s">
        <v>2286</v>
      </c>
      <c r="V496" s="134">
        <v>5.8000000000000003E-2</v>
      </c>
      <c r="W496" s="132">
        <v>5.8549999999999998E-2</v>
      </c>
      <c r="X496" s="3" t="s">
        <v>620</v>
      </c>
      <c r="Y496" s="3" t="s">
        <v>62</v>
      </c>
      <c r="Z496" s="131">
        <v>15000</v>
      </c>
      <c r="AA496" s="129">
        <v>3.3719999999999999</v>
      </c>
      <c r="AB496" s="157">
        <v>101.224</v>
      </c>
      <c r="AD496" s="131">
        <v>51.198999999999998</v>
      </c>
      <c r="AG496" s="6" t="s">
        <v>17</v>
      </c>
      <c r="AH496" s="132">
        <v>5.1020000000000003E-2</v>
      </c>
      <c r="AI496" s="132">
        <v>8.4440770758577798E-4</v>
      </c>
      <c r="AJ496" s="132">
        <v>1.53526682341989E-4</v>
      </c>
    </row>
    <row r="497" spans="1:36" x14ac:dyDescent="0.2">
      <c r="A497" s="6">
        <v>559</v>
      </c>
      <c r="B497" s="6">
        <v>556</v>
      </c>
      <c r="C497" s="6" t="s">
        <v>2282</v>
      </c>
      <c r="D497" s="6" t="s">
        <v>2283</v>
      </c>
      <c r="E497" s="3" t="s">
        <v>430</v>
      </c>
      <c r="F497" s="6" t="s">
        <v>2287</v>
      </c>
      <c r="G497" s="6" t="s">
        <v>2288</v>
      </c>
      <c r="H497" s="6" t="s">
        <v>76</v>
      </c>
      <c r="I497" s="6" t="s">
        <v>230</v>
      </c>
      <c r="J497" s="6" t="s">
        <v>61</v>
      </c>
      <c r="K497" s="6" t="s">
        <v>314</v>
      </c>
      <c r="L497" s="6" t="s">
        <v>805</v>
      </c>
      <c r="M497" s="6" t="s">
        <v>102</v>
      </c>
      <c r="N497" s="6" t="s">
        <v>1141</v>
      </c>
      <c r="O497" s="6" t="s">
        <v>62</v>
      </c>
      <c r="P497" s="6" t="s">
        <v>2223</v>
      </c>
      <c r="Q497" s="6" t="s">
        <v>96</v>
      </c>
      <c r="R497" s="6" t="s">
        <v>57</v>
      </c>
      <c r="S497" s="6" t="s">
        <v>1217</v>
      </c>
      <c r="T497" s="131">
        <v>4.1929999999999996</v>
      </c>
      <c r="U497" s="6" t="s">
        <v>2289</v>
      </c>
      <c r="V497" s="134">
        <v>5.8749999999999997E-2</v>
      </c>
      <c r="W497" s="132">
        <v>6.5129999999999993E-2</v>
      </c>
      <c r="X497" s="3" t="s">
        <v>620</v>
      </c>
      <c r="Y497" s="3" t="s">
        <v>62</v>
      </c>
      <c r="Z497" s="131">
        <v>13000</v>
      </c>
      <c r="AA497" s="129">
        <v>3.3719999999999999</v>
      </c>
      <c r="AB497" s="157">
        <v>100.97499999999999</v>
      </c>
      <c r="AD497" s="131">
        <v>44.264000000000003</v>
      </c>
      <c r="AG497" s="6" t="s">
        <v>17</v>
      </c>
      <c r="AH497" s="132">
        <v>2.5999999999999998E-5</v>
      </c>
      <c r="AI497" s="132">
        <v>7.3002162325154203E-4</v>
      </c>
      <c r="AJ497" s="132">
        <v>1.3272948227362999E-4</v>
      </c>
    </row>
    <row r="498" spans="1:36" x14ac:dyDescent="0.2">
      <c r="A498" s="6">
        <v>559</v>
      </c>
      <c r="B498" s="6">
        <v>556</v>
      </c>
      <c r="C498" s="6" t="s">
        <v>2290</v>
      </c>
      <c r="D498" s="6" t="s">
        <v>2291</v>
      </c>
      <c r="E498" s="3" t="s">
        <v>430</v>
      </c>
      <c r="F498" s="6" t="s">
        <v>2292</v>
      </c>
      <c r="G498" s="6" t="s">
        <v>2293</v>
      </c>
      <c r="H498" s="6" t="s">
        <v>76</v>
      </c>
      <c r="I498" s="6" t="s">
        <v>230</v>
      </c>
      <c r="J498" s="6" t="s">
        <v>61</v>
      </c>
      <c r="K498" s="6" t="s">
        <v>173</v>
      </c>
      <c r="L498" s="6" t="s">
        <v>805</v>
      </c>
      <c r="M498" s="6" t="s">
        <v>486</v>
      </c>
      <c r="N498" s="6" t="s">
        <v>915</v>
      </c>
      <c r="O498" s="6" t="s">
        <v>62</v>
      </c>
      <c r="P498" s="6" t="s">
        <v>1994</v>
      </c>
      <c r="Q498" s="6" t="s">
        <v>96</v>
      </c>
      <c r="R498" s="6" t="s">
        <v>57</v>
      </c>
      <c r="S498" s="6" t="s">
        <v>1215</v>
      </c>
      <c r="T498" s="131">
        <v>2.5249999999999999</v>
      </c>
      <c r="U498" s="6" t="s">
        <v>2294</v>
      </c>
      <c r="V498" s="134">
        <v>1.25E-3</v>
      </c>
      <c r="W498" s="132">
        <v>3.0190000000000002E-2</v>
      </c>
      <c r="X498" s="3" t="s">
        <v>620</v>
      </c>
      <c r="Y498" s="3" t="s">
        <v>62</v>
      </c>
      <c r="Z498" s="131">
        <v>50000</v>
      </c>
      <c r="AA498" s="129">
        <v>3.9552</v>
      </c>
      <c r="AB498" s="157">
        <v>93.034999999999997</v>
      </c>
      <c r="AD498" s="131">
        <v>183.98599999999999</v>
      </c>
      <c r="AG498" s="6" t="s">
        <v>17</v>
      </c>
      <c r="AH498" s="132">
        <v>5.0000000000000002E-5</v>
      </c>
      <c r="AI498" s="132">
        <v>3.0344201063723002E-3</v>
      </c>
      <c r="AJ498" s="132">
        <v>5.5170558911062702E-4</v>
      </c>
    </row>
    <row r="499" spans="1:36" x14ac:dyDescent="0.2">
      <c r="A499" s="6">
        <v>559</v>
      </c>
      <c r="B499" s="6">
        <v>556</v>
      </c>
      <c r="C499" s="6" t="s">
        <v>2295</v>
      </c>
      <c r="D499" s="6" t="s">
        <v>2296</v>
      </c>
      <c r="E499" s="3" t="s">
        <v>1477</v>
      </c>
      <c r="F499" s="6" t="s">
        <v>2297</v>
      </c>
      <c r="G499" s="6" t="s">
        <v>2298</v>
      </c>
      <c r="H499" s="6" t="s">
        <v>76</v>
      </c>
      <c r="I499" s="6" t="s">
        <v>230</v>
      </c>
      <c r="J499" s="6" t="s">
        <v>53</v>
      </c>
      <c r="K499" s="6" t="s">
        <v>53</v>
      </c>
      <c r="L499" s="6" t="s">
        <v>805</v>
      </c>
      <c r="M499" s="6" t="s">
        <v>102</v>
      </c>
      <c r="N499" s="6" t="s">
        <v>195</v>
      </c>
      <c r="O499" s="6" t="s">
        <v>62</v>
      </c>
      <c r="P499" s="6" t="s">
        <v>1355</v>
      </c>
      <c r="Q499" s="6" t="s">
        <v>84</v>
      </c>
      <c r="R499" s="6" t="s">
        <v>57</v>
      </c>
      <c r="S499" s="6" t="s">
        <v>1217</v>
      </c>
      <c r="T499" s="131">
        <v>2.3769999999999998</v>
      </c>
      <c r="U499" s="6" t="s">
        <v>2299</v>
      </c>
      <c r="V499" s="134">
        <v>5.3749999999999999E-2</v>
      </c>
      <c r="W499" s="132">
        <v>5.4789999999999998E-2</v>
      </c>
      <c r="X499" s="3" t="s">
        <v>620</v>
      </c>
      <c r="Y499" s="3" t="s">
        <v>62</v>
      </c>
      <c r="Z499" s="131">
        <v>100000</v>
      </c>
      <c r="AA499" s="129">
        <v>3.3719999999999999</v>
      </c>
      <c r="AB499" s="157">
        <v>102.18</v>
      </c>
      <c r="AD499" s="131">
        <v>344.55200000000002</v>
      </c>
      <c r="AG499" s="6" t="s">
        <v>17</v>
      </c>
      <c r="AH499" s="132">
        <v>1.25E-4</v>
      </c>
      <c r="AI499" s="132">
        <v>5.68256787666365E-3</v>
      </c>
      <c r="AJ499" s="132">
        <v>1.03318075551639E-3</v>
      </c>
    </row>
    <row r="500" spans="1:36" x14ac:dyDescent="0.2">
      <c r="A500" s="6">
        <v>559</v>
      </c>
      <c r="B500" s="6">
        <v>556</v>
      </c>
      <c r="C500" s="6" t="s">
        <v>2300</v>
      </c>
      <c r="D500" s="6" t="s">
        <v>2301</v>
      </c>
      <c r="E500" s="3" t="s">
        <v>430</v>
      </c>
      <c r="F500" s="6" t="s">
        <v>2302</v>
      </c>
      <c r="G500" s="6" t="s">
        <v>2303</v>
      </c>
      <c r="H500" s="6" t="s">
        <v>76</v>
      </c>
      <c r="I500" s="6" t="s">
        <v>230</v>
      </c>
      <c r="J500" s="6" t="s">
        <v>61</v>
      </c>
      <c r="K500" s="6" t="s">
        <v>314</v>
      </c>
      <c r="L500" s="6" t="s">
        <v>805</v>
      </c>
      <c r="M500" s="6" t="s">
        <v>102</v>
      </c>
      <c r="N500" s="6" t="s">
        <v>202</v>
      </c>
      <c r="O500" s="6" t="s">
        <v>62</v>
      </c>
      <c r="P500" s="6" t="s">
        <v>1994</v>
      </c>
      <c r="Q500" s="6" t="s">
        <v>96</v>
      </c>
      <c r="R500" s="6" t="s">
        <v>57</v>
      </c>
      <c r="S500" s="6" t="s">
        <v>1217</v>
      </c>
      <c r="T500" s="131">
        <v>0.59599999999999997</v>
      </c>
      <c r="U500" s="6" t="s">
        <v>2304</v>
      </c>
      <c r="V500" s="134">
        <v>4.8750000000000002E-2</v>
      </c>
      <c r="W500" s="132">
        <v>4.7559999999999998E-2</v>
      </c>
      <c r="X500" s="3" t="s">
        <v>620</v>
      </c>
      <c r="Y500" s="3" t="s">
        <v>62</v>
      </c>
      <c r="Z500" s="131">
        <v>30000</v>
      </c>
      <c r="AA500" s="129">
        <v>3.3719999999999999</v>
      </c>
      <c r="AB500" s="157">
        <v>101.84</v>
      </c>
      <c r="AD500" s="131">
        <v>103.021</v>
      </c>
      <c r="AG500" s="6" t="s">
        <v>17</v>
      </c>
      <c r="AH500" s="132">
        <v>2.0000000000000002E-5</v>
      </c>
      <c r="AI500" s="132">
        <v>1.6990899432134199E-3</v>
      </c>
      <c r="AJ500" s="132">
        <v>3.0892143645632999E-4</v>
      </c>
    </row>
    <row r="501" spans="1:36" x14ac:dyDescent="0.2">
      <c r="A501" s="6">
        <v>559</v>
      </c>
      <c r="B501" s="6">
        <v>556</v>
      </c>
      <c r="C501" s="6" t="s">
        <v>2305</v>
      </c>
      <c r="D501" s="6" t="s">
        <v>2306</v>
      </c>
      <c r="E501" s="3" t="s">
        <v>430</v>
      </c>
      <c r="F501" s="6" t="s">
        <v>2307</v>
      </c>
      <c r="G501" s="6" t="s">
        <v>2308</v>
      </c>
      <c r="H501" s="6" t="s">
        <v>76</v>
      </c>
      <c r="I501" s="6" t="s">
        <v>230</v>
      </c>
      <c r="J501" s="6" t="s">
        <v>61</v>
      </c>
      <c r="K501" s="6" t="s">
        <v>314</v>
      </c>
      <c r="L501" s="6" t="s">
        <v>805</v>
      </c>
      <c r="M501" s="6" t="s">
        <v>102</v>
      </c>
      <c r="N501" s="6" t="s">
        <v>890</v>
      </c>
      <c r="O501" s="6" t="s">
        <v>62</v>
      </c>
      <c r="P501" s="6" t="s">
        <v>2223</v>
      </c>
      <c r="Q501" s="6" t="s">
        <v>96</v>
      </c>
      <c r="R501" s="6" t="s">
        <v>57</v>
      </c>
      <c r="S501" s="6" t="s">
        <v>1217</v>
      </c>
      <c r="T501" s="131">
        <v>2.6070000000000002</v>
      </c>
      <c r="U501" s="6" t="s">
        <v>2237</v>
      </c>
      <c r="V501" s="134">
        <v>5.7000000000000002E-2</v>
      </c>
      <c r="W501" s="132">
        <v>4.8579999999999998E-2</v>
      </c>
      <c r="X501" s="3" t="s">
        <v>620</v>
      </c>
      <c r="Y501" s="3" t="s">
        <v>62</v>
      </c>
      <c r="Z501" s="131">
        <v>30000</v>
      </c>
      <c r="AA501" s="129">
        <v>3.3719999999999999</v>
      </c>
      <c r="AB501" s="157">
        <v>103.224</v>
      </c>
      <c r="AD501" s="131">
        <v>104.422</v>
      </c>
      <c r="AG501" s="6" t="s">
        <v>17</v>
      </c>
      <c r="AH501" s="132">
        <v>0.12</v>
      </c>
      <c r="AI501" s="132">
        <v>1.7221916425292001E-3</v>
      </c>
      <c r="AJ501" s="132">
        <v>3.1312169093121499E-4</v>
      </c>
    </row>
    <row r="502" spans="1:36" x14ac:dyDescent="0.2">
      <c r="A502" s="6">
        <v>559</v>
      </c>
      <c r="B502" s="6">
        <v>556</v>
      </c>
      <c r="C502" s="6" t="s">
        <v>1529</v>
      </c>
      <c r="D502" s="6" t="s">
        <v>1530</v>
      </c>
      <c r="E502" s="3" t="s">
        <v>1477</v>
      </c>
      <c r="F502" s="6" t="s">
        <v>2450</v>
      </c>
      <c r="G502" s="6" t="s">
        <v>2451</v>
      </c>
      <c r="H502" s="6" t="s">
        <v>76</v>
      </c>
      <c r="I502" s="6" t="s">
        <v>230</v>
      </c>
      <c r="J502" s="6" t="s">
        <v>61</v>
      </c>
      <c r="K502" s="6" t="s">
        <v>53</v>
      </c>
      <c r="L502" s="6" t="s">
        <v>805</v>
      </c>
      <c r="M502" s="6" t="s">
        <v>102</v>
      </c>
      <c r="N502" s="6" t="s">
        <v>865</v>
      </c>
      <c r="O502" s="6" t="s">
        <v>62</v>
      </c>
      <c r="P502" s="6" t="s">
        <v>2223</v>
      </c>
      <c r="Q502" s="6" t="s">
        <v>96</v>
      </c>
      <c r="R502" s="6" t="s">
        <v>57</v>
      </c>
      <c r="S502" s="6" t="s">
        <v>1217</v>
      </c>
      <c r="T502" s="131">
        <v>8.7210000000000001</v>
      </c>
      <c r="U502" s="6" t="s">
        <v>2452</v>
      </c>
      <c r="V502" s="134">
        <v>6.3750000000000001E-2</v>
      </c>
      <c r="W502" s="132">
        <v>6.3640000000000002E-2</v>
      </c>
      <c r="X502" s="3" t="s">
        <v>620</v>
      </c>
      <c r="Y502" s="3" t="s">
        <v>62</v>
      </c>
      <c r="Z502" s="131">
        <v>250000</v>
      </c>
      <c r="AA502" s="129">
        <v>3.3719999999999999</v>
      </c>
      <c r="AB502" s="157">
        <v>101.21</v>
      </c>
      <c r="AD502" s="131">
        <v>853.20399999999995</v>
      </c>
      <c r="AG502" s="6" t="s">
        <v>17</v>
      </c>
      <c r="AH502" s="132">
        <v>3.6099999999999999E-4</v>
      </c>
      <c r="AI502" s="132">
        <v>1.4071576279558099E-2</v>
      </c>
      <c r="AJ502" s="132">
        <v>2.5584352228373401E-3</v>
      </c>
    </row>
    <row r="503" spans="1:36" x14ac:dyDescent="0.2">
      <c r="A503" s="6">
        <v>559</v>
      </c>
      <c r="B503" s="6">
        <v>556</v>
      </c>
      <c r="C503" s="6" t="s">
        <v>2453</v>
      </c>
      <c r="D503" s="6" t="s">
        <v>2454</v>
      </c>
      <c r="E503" s="3" t="s">
        <v>430</v>
      </c>
      <c r="F503" s="6" t="s">
        <v>2455</v>
      </c>
      <c r="G503" s="6" t="s">
        <v>2456</v>
      </c>
      <c r="H503" s="6" t="s">
        <v>76</v>
      </c>
      <c r="I503" s="6" t="s">
        <v>230</v>
      </c>
      <c r="J503" s="6" t="s">
        <v>61</v>
      </c>
      <c r="K503" s="6" t="s">
        <v>314</v>
      </c>
      <c r="L503" s="6" t="s">
        <v>805</v>
      </c>
      <c r="M503" s="6" t="s">
        <v>102</v>
      </c>
      <c r="N503" s="6" t="s">
        <v>887</v>
      </c>
      <c r="O503" s="6" t="s">
        <v>62</v>
      </c>
      <c r="P503" s="6" t="s">
        <v>1778</v>
      </c>
      <c r="Q503" s="6" t="s">
        <v>96</v>
      </c>
      <c r="R503" s="6" t="s">
        <v>57</v>
      </c>
      <c r="S503" s="6" t="s">
        <v>1217</v>
      </c>
      <c r="T503" s="131">
        <v>4.3470000000000004</v>
      </c>
      <c r="U503" s="6" t="s">
        <v>2457</v>
      </c>
      <c r="V503" s="134">
        <v>3.7499999999999999E-2</v>
      </c>
      <c r="W503" s="132">
        <v>4.5789999999999997E-2</v>
      </c>
      <c r="X503" s="3" t="s">
        <v>620</v>
      </c>
      <c r="Y503" s="3" t="s">
        <v>62</v>
      </c>
      <c r="Z503" s="131">
        <v>30000</v>
      </c>
      <c r="AA503" s="129">
        <v>3.3719999999999999</v>
      </c>
      <c r="AB503" s="157">
        <v>97.596000000000004</v>
      </c>
      <c r="AD503" s="131">
        <v>98.727999999999994</v>
      </c>
      <c r="AG503" s="6" t="s">
        <v>17</v>
      </c>
      <c r="AH503" s="132">
        <v>4.1E-5</v>
      </c>
      <c r="AI503" s="132">
        <v>1.6282874614093599E-3</v>
      </c>
      <c r="AJ503" s="132">
        <v>2.9604842495335097E-4</v>
      </c>
    </row>
    <row r="504" spans="1:36" x14ac:dyDescent="0.2">
      <c r="A504" s="6">
        <v>559</v>
      </c>
      <c r="B504" s="6">
        <v>556</v>
      </c>
      <c r="C504" s="6" t="s">
        <v>2309</v>
      </c>
      <c r="D504" s="6" t="s">
        <v>2310</v>
      </c>
      <c r="E504" s="3" t="s">
        <v>1477</v>
      </c>
      <c r="F504" s="6" t="s">
        <v>2311</v>
      </c>
      <c r="G504" s="6" t="s">
        <v>2312</v>
      </c>
      <c r="H504" s="6" t="s">
        <v>76</v>
      </c>
      <c r="I504" s="6" t="s">
        <v>230</v>
      </c>
      <c r="J504" s="6" t="s">
        <v>61</v>
      </c>
      <c r="K504" s="6" t="s">
        <v>314</v>
      </c>
      <c r="L504" s="6" t="s">
        <v>805</v>
      </c>
      <c r="M504" s="6" t="s">
        <v>102</v>
      </c>
      <c r="N504" s="6" t="s">
        <v>2215</v>
      </c>
      <c r="O504" s="6" t="s">
        <v>62</v>
      </c>
      <c r="P504" s="6" t="s">
        <v>2273</v>
      </c>
      <c r="Q504" s="6" t="s">
        <v>96</v>
      </c>
      <c r="R504" s="6" t="s">
        <v>57</v>
      </c>
      <c r="S504" s="6" t="s">
        <v>1217</v>
      </c>
      <c r="T504" s="131">
        <v>0.13300000000000001</v>
      </c>
      <c r="U504" s="6" t="s">
        <v>2313</v>
      </c>
      <c r="V504" s="134">
        <v>6.1249999999999999E-2</v>
      </c>
      <c r="W504" s="132">
        <v>0.23773</v>
      </c>
      <c r="X504" s="3" t="s">
        <v>620</v>
      </c>
      <c r="Y504" s="3" t="s">
        <v>62</v>
      </c>
      <c r="Z504" s="131">
        <v>0</v>
      </c>
      <c r="AA504" s="129">
        <v>3.3719999999999999</v>
      </c>
      <c r="AB504" s="157">
        <v>0</v>
      </c>
      <c r="AC504" s="131">
        <v>10</v>
      </c>
      <c r="AD504" s="131">
        <v>33.72</v>
      </c>
      <c r="AG504" s="6" t="s">
        <v>17</v>
      </c>
      <c r="AH504" s="132">
        <v>0</v>
      </c>
      <c r="AI504" s="132">
        <v>5.5613253536789203E-4</v>
      </c>
      <c r="AJ504" s="132">
        <v>1.0111369464116199E-4</v>
      </c>
    </row>
    <row r="505" spans="1:36" x14ac:dyDescent="0.2">
      <c r="A505" s="6">
        <v>559</v>
      </c>
      <c r="B505" s="6">
        <v>556</v>
      </c>
      <c r="C505" s="6" t="s">
        <v>2458</v>
      </c>
      <c r="D505" s="6" t="s">
        <v>2459</v>
      </c>
      <c r="E505" s="3" t="s">
        <v>430</v>
      </c>
      <c r="F505" s="6" t="s">
        <v>2460</v>
      </c>
      <c r="G505" s="6" t="s">
        <v>2461</v>
      </c>
      <c r="H505" s="6" t="s">
        <v>76</v>
      </c>
      <c r="I505" s="6" t="s">
        <v>230</v>
      </c>
      <c r="J505" s="6" t="s">
        <v>61</v>
      </c>
      <c r="K505" s="6" t="s">
        <v>314</v>
      </c>
      <c r="L505" s="6" t="s">
        <v>805</v>
      </c>
      <c r="M505" s="6" t="s">
        <v>476</v>
      </c>
      <c r="N505" s="6" t="s">
        <v>884</v>
      </c>
      <c r="O505" s="6" t="s">
        <v>62</v>
      </c>
      <c r="P505" s="6" t="s">
        <v>1994</v>
      </c>
      <c r="Q505" s="6" t="s">
        <v>96</v>
      </c>
      <c r="R505" s="6" t="s">
        <v>57</v>
      </c>
      <c r="S505" s="6" t="s">
        <v>1217</v>
      </c>
      <c r="T505" s="131">
        <v>4.6130000000000004</v>
      </c>
      <c r="U505" s="6" t="s">
        <v>1930</v>
      </c>
      <c r="V505" s="134">
        <v>3.5999999999999997E-2</v>
      </c>
      <c r="W505" s="132">
        <v>4.3810000000000002E-2</v>
      </c>
      <c r="X505" s="3" t="s">
        <v>620</v>
      </c>
      <c r="Y505" s="3" t="s">
        <v>62</v>
      </c>
      <c r="Z505" s="131">
        <v>30000</v>
      </c>
      <c r="AA505" s="129">
        <v>3.3719999999999999</v>
      </c>
      <c r="AB505" s="157">
        <v>96.638999999999996</v>
      </c>
      <c r="AC505" s="131">
        <v>0.54</v>
      </c>
      <c r="AD505" s="131">
        <v>99.581000000000003</v>
      </c>
      <c r="AG505" s="6" t="s">
        <v>17</v>
      </c>
      <c r="AH505" s="132">
        <v>3.0000000000000001E-5</v>
      </c>
      <c r="AI505" s="132">
        <v>1.6423506347711301E-3</v>
      </c>
      <c r="AJ505" s="132">
        <v>2.9860533239277402E-4</v>
      </c>
    </row>
    <row r="506" spans="1:36" x14ac:dyDescent="0.2">
      <c r="A506" s="6">
        <v>559</v>
      </c>
      <c r="B506" s="6">
        <v>556</v>
      </c>
      <c r="C506" s="6" t="s">
        <v>2462</v>
      </c>
      <c r="D506" s="6" t="s">
        <v>2463</v>
      </c>
      <c r="E506" s="3" t="s">
        <v>430</v>
      </c>
      <c r="F506" s="6" t="s">
        <v>2464</v>
      </c>
      <c r="G506" s="6" t="s">
        <v>2465</v>
      </c>
      <c r="H506" s="6" t="s">
        <v>76</v>
      </c>
      <c r="I506" s="6" t="s">
        <v>230</v>
      </c>
      <c r="J506" s="6" t="s">
        <v>61</v>
      </c>
      <c r="K506" s="6" t="s">
        <v>314</v>
      </c>
      <c r="L506" s="6" t="s">
        <v>805</v>
      </c>
      <c r="M506" s="6" t="s">
        <v>476</v>
      </c>
      <c r="N506" s="6" t="s">
        <v>901</v>
      </c>
      <c r="O506" s="6" t="s">
        <v>62</v>
      </c>
      <c r="P506" s="6" t="s">
        <v>1778</v>
      </c>
      <c r="Q506" s="6" t="s">
        <v>96</v>
      </c>
      <c r="R506" s="6" t="s">
        <v>57</v>
      </c>
      <c r="S506" s="6" t="s">
        <v>1217</v>
      </c>
      <c r="T506" s="131">
        <v>3.3809999999999998</v>
      </c>
      <c r="U506" s="6" t="s">
        <v>2466</v>
      </c>
      <c r="V506" s="134">
        <v>4.5999999999999999E-2</v>
      </c>
      <c r="W506" s="132">
        <v>4.5260000000000002E-2</v>
      </c>
      <c r="X506" s="3" t="s">
        <v>620</v>
      </c>
      <c r="Y506" s="3" t="s">
        <v>62</v>
      </c>
      <c r="Z506" s="131">
        <v>30000</v>
      </c>
      <c r="AA506" s="129">
        <v>3.3719999999999999</v>
      </c>
      <c r="AB506" s="157">
        <v>100.78700000000001</v>
      </c>
      <c r="AD506" s="131">
        <v>101.956</v>
      </c>
      <c r="AG506" s="6" t="s">
        <v>17</v>
      </c>
      <c r="AH506" s="132">
        <v>3.6999999999999998E-5</v>
      </c>
      <c r="AI506" s="132">
        <v>1.68151711898278E-3</v>
      </c>
      <c r="AJ506" s="132">
        <v>3.0572641895557502E-4</v>
      </c>
    </row>
    <row r="507" spans="1:36" x14ac:dyDescent="0.2">
      <c r="A507" s="6">
        <v>559</v>
      </c>
      <c r="B507" s="6">
        <v>556</v>
      </c>
      <c r="C507" s="6" t="s">
        <v>2467</v>
      </c>
      <c r="D507" s="6" t="s">
        <v>2468</v>
      </c>
      <c r="E507" s="3" t="s">
        <v>430</v>
      </c>
      <c r="F507" s="6" t="s">
        <v>2469</v>
      </c>
      <c r="G507" s="6" t="s">
        <v>2470</v>
      </c>
      <c r="H507" s="6" t="s">
        <v>76</v>
      </c>
      <c r="I507" s="6" t="s">
        <v>230</v>
      </c>
      <c r="J507" s="6" t="s">
        <v>61</v>
      </c>
      <c r="K507" s="6" t="s">
        <v>314</v>
      </c>
      <c r="L507" s="6" t="s">
        <v>805</v>
      </c>
      <c r="M507" s="6" t="s">
        <v>476</v>
      </c>
      <c r="N507" s="6" t="s">
        <v>899</v>
      </c>
      <c r="O507" s="6" t="s">
        <v>62</v>
      </c>
      <c r="P507" s="6" t="s">
        <v>1778</v>
      </c>
      <c r="Q507" s="6" t="s">
        <v>96</v>
      </c>
      <c r="R507" s="6" t="s">
        <v>57</v>
      </c>
      <c r="S507" s="6" t="s">
        <v>1217</v>
      </c>
      <c r="T507" s="131">
        <v>2.2919999999999998</v>
      </c>
      <c r="U507" s="6" t="s">
        <v>2471</v>
      </c>
      <c r="V507" s="134">
        <v>3.2500000000000001E-2</v>
      </c>
      <c r="W507" s="132">
        <v>4.3729999999999998E-2</v>
      </c>
      <c r="X507" s="3" t="s">
        <v>620</v>
      </c>
      <c r="Y507" s="3" t="s">
        <v>62</v>
      </c>
      <c r="Z507" s="131">
        <v>30000</v>
      </c>
      <c r="AA507" s="129">
        <v>3.3719999999999999</v>
      </c>
      <c r="AB507" s="157">
        <v>98.055999999999997</v>
      </c>
      <c r="AD507" s="131">
        <v>99.194000000000003</v>
      </c>
      <c r="AG507" s="6" t="s">
        <v>17</v>
      </c>
      <c r="AH507" s="132">
        <v>1.1E-5</v>
      </c>
      <c r="AI507" s="132">
        <v>1.6359689099034E-3</v>
      </c>
      <c r="AJ507" s="132">
        <v>2.9744503383348801E-4</v>
      </c>
    </row>
    <row r="508" spans="1:36" x14ac:dyDescent="0.2">
      <c r="A508" s="6">
        <v>559</v>
      </c>
      <c r="B508" s="6">
        <v>556</v>
      </c>
      <c r="C508" s="6" t="s">
        <v>2314</v>
      </c>
      <c r="D508" s="6" t="s">
        <v>2315</v>
      </c>
      <c r="E508" s="3" t="s">
        <v>1477</v>
      </c>
      <c r="F508" s="6" t="s">
        <v>2316</v>
      </c>
      <c r="G508" s="6" t="s">
        <v>2317</v>
      </c>
      <c r="H508" s="6" t="s">
        <v>76</v>
      </c>
      <c r="I508" s="6" t="s">
        <v>307</v>
      </c>
      <c r="J508" s="6" t="s">
        <v>61</v>
      </c>
      <c r="K508" s="6" t="s">
        <v>314</v>
      </c>
      <c r="L508" s="6" t="s">
        <v>805</v>
      </c>
      <c r="M508" s="6" t="s">
        <v>102</v>
      </c>
      <c r="N508" s="6" t="s">
        <v>2318</v>
      </c>
      <c r="O508" s="6" t="s">
        <v>62</v>
      </c>
      <c r="P508" s="6" t="s">
        <v>298</v>
      </c>
      <c r="Q508" s="6" t="s">
        <v>298</v>
      </c>
      <c r="R508" s="6" t="s">
        <v>298</v>
      </c>
      <c r="S508" s="6" t="s">
        <v>1217</v>
      </c>
      <c r="T508" s="131">
        <v>0.159</v>
      </c>
      <c r="U508" s="6" t="s">
        <v>2319</v>
      </c>
      <c r="V508" s="134">
        <v>2.5000000000000001E-2</v>
      </c>
      <c r="W508" s="132">
        <v>-1.9959999999999999E-2</v>
      </c>
      <c r="X508" s="3" t="s">
        <v>620</v>
      </c>
      <c r="Y508" s="3" t="s">
        <v>62</v>
      </c>
      <c r="Z508" s="131">
        <v>115000</v>
      </c>
      <c r="AA508" s="129">
        <v>3.3719999999999999</v>
      </c>
      <c r="AB508" s="157">
        <v>112.158</v>
      </c>
      <c r="AD508" s="131">
        <v>434.92500000000001</v>
      </c>
      <c r="AG508" s="6" t="s">
        <v>17</v>
      </c>
      <c r="AH508" s="132">
        <v>2.6699999999999998E-4</v>
      </c>
      <c r="AI508" s="132">
        <v>7.1730541854886998E-3</v>
      </c>
      <c r="AJ508" s="132">
        <v>1.30417475049579E-3</v>
      </c>
    </row>
    <row r="509" spans="1:36" x14ac:dyDescent="0.2">
      <c r="A509" s="6">
        <v>559</v>
      </c>
      <c r="B509" s="6">
        <v>556</v>
      </c>
      <c r="C509" s="6" t="s">
        <v>2320</v>
      </c>
      <c r="D509" s="6" t="s">
        <v>2321</v>
      </c>
      <c r="E509" s="3" t="s">
        <v>430</v>
      </c>
      <c r="F509" s="6" t="s">
        <v>2322</v>
      </c>
      <c r="G509" s="6" t="s">
        <v>2323</v>
      </c>
      <c r="H509" s="6" t="s">
        <v>76</v>
      </c>
      <c r="I509" s="6" t="s">
        <v>230</v>
      </c>
      <c r="J509" s="6" t="s">
        <v>61</v>
      </c>
      <c r="K509" s="6" t="s">
        <v>314</v>
      </c>
      <c r="L509" s="6" t="s">
        <v>805</v>
      </c>
      <c r="M509" s="6" t="s">
        <v>102</v>
      </c>
      <c r="N509" s="6" t="s">
        <v>2215</v>
      </c>
      <c r="O509" s="6" t="s">
        <v>62</v>
      </c>
      <c r="P509" s="6" t="s">
        <v>2223</v>
      </c>
      <c r="Q509" s="6" t="s">
        <v>96</v>
      </c>
      <c r="R509" s="6" t="s">
        <v>57</v>
      </c>
      <c r="S509" s="6" t="s">
        <v>1217</v>
      </c>
      <c r="T509" s="131">
        <v>3.7719999999999998</v>
      </c>
      <c r="U509" s="6" t="s">
        <v>2324</v>
      </c>
      <c r="V509" s="134">
        <v>5.0259999999999999E-2</v>
      </c>
      <c r="W509" s="132">
        <v>5.0189999999999999E-2</v>
      </c>
      <c r="X509" s="3" t="s">
        <v>620</v>
      </c>
      <c r="Y509" s="3" t="s">
        <v>62</v>
      </c>
      <c r="Z509" s="131">
        <v>15000</v>
      </c>
      <c r="AA509" s="129">
        <v>3.3719999999999999</v>
      </c>
      <c r="AB509" s="157">
        <v>101.46</v>
      </c>
      <c r="AD509" s="131">
        <v>51.317999999999998</v>
      </c>
      <c r="AG509" s="6" t="s">
        <v>17</v>
      </c>
      <c r="AH509" s="132">
        <v>1.5E-5</v>
      </c>
      <c r="AI509" s="132">
        <v>8.4637256439412201E-4</v>
      </c>
      <c r="AJ509" s="132">
        <v>1.53883924399768E-4</v>
      </c>
    </row>
    <row r="510" spans="1:36" x14ac:dyDescent="0.2">
      <c r="A510" s="6">
        <v>559</v>
      </c>
      <c r="B510" s="6">
        <v>556</v>
      </c>
      <c r="C510" s="6" t="s">
        <v>2325</v>
      </c>
      <c r="D510" s="6" t="s">
        <v>2326</v>
      </c>
      <c r="E510" s="3" t="s">
        <v>1477</v>
      </c>
      <c r="F510" s="6" t="s">
        <v>2472</v>
      </c>
      <c r="G510" s="6" t="s">
        <v>2473</v>
      </c>
      <c r="H510" s="6" t="s">
        <v>76</v>
      </c>
      <c r="I510" s="6" t="s">
        <v>230</v>
      </c>
      <c r="J510" s="6" t="s">
        <v>53</v>
      </c>
      <c r="K510" s="6" t="s">
        <v>314</v>
      </c>
      <c r="L510" s="6" t="s">
        <v>805</v>
      </c>
      <c r="M510" s="6" t="s">
        <v>102</v>
      </c>
      <c r="N510" s="6" t="s">
        <v>894</v>
      </c>
      <c r="O510" s="6" t="s">
        <v>62</v>
      </c>
      <c r="P510" s="6" t="s">
        <v>2329</v>
      </c>
      <c r="Q510" s="6" t="s">
        <v>96</v>
      </c>
      <c r="R510" s="6" t="s">
        <v>57</v>
      </c>
      <c r="S510" s="6" t="s">
        <v>1215</v>
      </c>
      <c r="T510" s="131">
        <v>1.5620000000000001</v>
      </c>
      <c r="U510" s="6" t="s">
        <v>2474</v>
      </c>
      <c r="V510" s="134">
        <v>3.7499999999999999E-2</v>
      </c>
      <c r="W510" s="132">
        <v>3.6420000000000001E-2</v>
      </c>
      <c r="X510" s="3" t="s">
        <v>620</v>
      </c>
      <c r="Y510" s="3" t="s">
        <v>62</v>
      </c>
      <c r="Z510" s="131">
        <v>150000</v>
      </c>
      <c r="AA510" s="129">
        <v>3.9552</v>
      </c>
      <c r="AB510" s="157">
        <v>100.706</v>
      </c>
      <c r="AD510" s="131">
        <v>597.47</v>
      </c>
      <c r="AG510" s="6" t="s">
        <v>17</v>
      </c>
      <c r="AH510" s="132">
        <v>1.36E-4</v>
      </c>
      <c r="AI510" s="132">
        <v>9.8538512339213808E-3</v>
      </c>
      <c r="AJ510" s="132">
        <v>1.7915860722786999E-3</v>
      </c>
    </row>
    <row r="511" spans="1:36" x14ac:dyDescent="0.2">
      <c r="A511" s="6">
        <v>559</v>
      </c>
      <c r="B511" s="6">
        <v>556</v>
      </c>
      <c r="C511" s="6" t="s">
        <v>2325</v>
      </c>
      <c r="D511" s="6" t="s">
        <v>2326</v>
      </c>
      <c r="E511" s="3" t="s">
        <v>1477</v>
      </c>
      <c r="F511" s="6" t="s">
        <v>2475</v>
      </c>
      <c r="G511" s="6" t="s">
        <v>2476</v>
      </c>
      <c r="H511" s="6" t="s">
        <v>76</v>
      </c>
      <c r="I511" s="6" t="s">
        <v>230</v>
      </c>
      <c r="J511" s="6" t="s">
        <v>53</v>
      </c>
      <c r="K511" s="6" t="s">
        <v>314</v>
      </c>
      <c r="L511" s="6" t="s">
        <v>805</v>
      </c>
      <c r="M511" s="6" t="s">
        <v>476</v>
      </c>
      <c r="N511" s="6" t="s">
        <v>894</v>
      </c>
      <c r="O511" s="6" t="s">
        <v>62</v>
      </c>
      <c r="P511" s="6" t="s">
        <v>2329</v>
      </c>
      <c r="Q511" s="6" t="s">
        <v>96</v>
      </c>
      <c r="R511" s="6" t="s">
        <v>57</v>
      </c>
      <c r="S511" s="6" t="s">
        <v>1215</v>
      </c>
      <c r="T511" s="131">
        <v>4.2009999999999996</v>
      </c>
      <c r="U511" s="6" t="s">
        <v>2477</v>
      </c>
      <c r="V511" s="134">
        <v>4.3749999999999997E-2</v>
      </c>
      <c r="W511" s="132">
        <v>4.0820000000000002E-2</v>
      </c>
      <c r="X511" s="3" t="s">
        <v>620</v>
      </c>
      <c r="Y511" s="3" t="s">
        <v>62</v>
      </c>
      <c r="Z511" s="131">
        <v>70000</v>
      </c>
      <c r="AA511" s="129">
        <v>3.9552</v>
      </c>
      <c r="AB511" s="157">
        <v>102.01</v>
      </c>
      <c r="AD511" s="131">
        <v>282.43</v>
      </c>
      <c r="AG511" s="6" t="s">
        <v>17</v>
      </c>
      <c r="AH511" s="132">
        <v>4.6999999999999997E-5</v>
      </c>
      <c r="AI511" s="132">
        <v>4.6580090750823096E-3</v>
      </c>
      <c r="AJ511" s="132">
        <v>8.4689975374676501E-4</v>
      </c>
    </row>
    <row r="512" spans="1:36" x14ac:dyDescent="0.2">
      <c r="A512" s="6">
        <v>559</v>
      </c>
      <c r="B512" s="6">
        <v>556</v>
      </c>
      <c r="C512" s="6" t="s">
        <v>2325</v>
      </c>
      <c r="D512" s="6" t="s">
        <v>2326</v>
      </c>
      <c r="E512" s="3" t="s">
        <v>1477</v>
      </c>
      <c r="F512" s="6" t="s">
        <v>2327</v>
      </c>
      <c r="G512" s="6" t="s">
        <v>2328</v>
      </c>
      <c r="H512" s="6" t="s">
        <v>76</v>
      </c>
      <c r="I512" s="6" t="s">
        <v>230</v>
      </c>
      <c r="J512" s="6" t="s">
        <v>53</v>
      </c>
      <c r="K512" s="6" t="s">
        <v>314</v>
      </c>
      <c r="L512" s="6" t="s">
        <v>805</v>
      </c>
      <c r="M512" s="6" t="s">
        <v>102</v>
      </c>
      <c r="N512" s="6" t="s">
        <v>894</v>
      </c>
      <c r="O512" s="6" t="s">
        <v>62</v>
      </c>
      <c r="P512" s="6" t="s">
        <v>2329</v>
      </c>
      <c r="Q512" s="6" t="s">
        <v>96</v>
      </c>
      <c r="R512" s="6" t="s">
        <v>57</v>
      </c>
      <c r="S512" s="6" t="s">
        <v>1215</v>
      </c>
      <c r="T512" s="131">
        <v>3.4660000000000002</v>
      </c>
      <c r="U512" s="6" t="s">
        <v>2330</v>
      </c>
      <c r="V512" s="134">
        <v>7.3749999999999996E-2</v>
      </c>
      <c r="W512" s="132">
        <v>3.9849999999999997E-2</v>
      </c>
      <c r="X512" s="3" t="s">
        <v>620</v>
      </c>
      <c r="Y512" s="3" t="s">
        <v>62</v>
      </c>
      <c r="Z512" s="131">
        <v>7000</v>
      </c>
      <c r="AA512" s="129">
        <v>3.9552</v>
      </c>
      <c r="AB512" s="157">
        <v>115.074</v>
      </c>
      <c r="AD512" s="131">
        <v>31.86</v>
      </c>
      <c r="AG512" s="6" t="s">
        <v>17</v>
      </c>
      <c r="AH512" s="132">
        <v>1.1E-5</v>
      </c>
      <c r="AI512" s="132">
        <v>5.25452815878706E-4</v>
      </c>
      <c r="AJ512" s="132">
        <v>9.5535636191382099E-5</v>
      </c>
    </row>
    <row r="513" spans="1:36" x14ac:dyDescent="0.2">
      <c r="A513" s="6">
        <v>559</v>
      </c>
      <c r="B513" s="6">
        <v>556</v>
      </c>
      <c r="C513" s="6" t="s">
        <v>2325</v>
      </c>
      <c r="D513" s="6" t="s">
        <v>2326</v>
      </c>
      <c r="E513" s="3" t="s">
        <v>1477</v>
      </c>
      <c r="F513" s="6" t="s">
        <v>2331</v>
      </c>
      <c r="G513" s="6" t="s">
        <v>2332</v>
      </c>
      <c r="H513" s="6" t="s">
        <v>76</v>
      </c>
      <c r="I513" s="6" t="s">
        <v>230</v>
      </c>
      <c r="J513" s="6" t="s">
        <v>53</v>
      </c>
      <c r="K513" s="6" t="s">
        <v>314</v>
      </c>
      <c r="L513" s="6" t="s">
        <v>805</v>
      </c>
      <c r="M513" s="6" t="s">
        <v>102</v>
      </c>
      <c r="N513" s="6" t="s">
        <v>894</v>
      </c>
      <c r="O513" s="6" t="s">
        <v>62</v>
      </c>
      <c r="P513" s="6" t="s">
        <v>2329</v>
      </c>
      <c r="Q513" s="6" t="s">
        <v>96</v>
      </c>
      <c r="R513" s="6" t="s">
        <v>57</v>
      </c>
      <c r="S513" s="6" t="s">
        <v>1215</v>
      </c>
      <c r="T513" s="131">
        <v>4.88</v>
      </c>
      <c r="U513" s="6" t="s">
        <v>2333</v>
      </c>
      <c r="V513" s="134">
        <v>7.8750000000000001E-2</v>
      </c>
      <c r="W513" s="132">
        <v>4.3709999999999999E-2</v>
      </c>
      <c r="X513" s="3" t="s">
        <v>620</v>
      </c>
      <c r="Y513" s="3" t="s">
        <v>62</v>
      </c>
      <c r="Z513" s="131">
        <v>7000</v>
      </c>
      <c r="AA513" s="129">
        <v>3.9552</v>
      </c>
      <c r="AB513" s="157">
        <v>121.43300000000001</v>
      </c>
      <c r="AD513" s="131">
        <v>33.619999999999997</v>
      </c>
      <c r="AG513" s="6" t="s">
        <v>17</v>
      </c>
      <c r="AH513" s="132">
        <v>1.4E-5</v>
      </c>
      <c r="AI513" s="132">
        <v>5.5448718537979701E-4</v>
      </c>
      <c r="AJ513" s="132">
        <v>1.00814543978876E-4</v>
      </c>
    </row>
    <row r="514" spans="1:36" x14ac:dyDescent="0.2">
      <c r="A514" s="6">
        <v>559</v>
      </c>
      <c r="B514" s="6">
        <v>556</v>
      </c>
      <c r="C514" s="6" t="s">
        <v>2325</v>
      </c>
      <c r="D514" s="6" t="s">
        <v>2326</v>
      </c>
      <c r="E514" s="3" t="s">
        <v>1477</v>
      </c>
      <c r="F514" s="6" t="s">
        <v>2478</v>
      </c>
      <c r="G514" s="6" t="s">
        <v>2479</v>
      </c>
      <c r="H514" s="6" t="s">
        <v>76</v>
      </c>
      <c r="I514" s="6" t="s">
        <v>230</v>
      </c>
      <c r="J514" s="6" t="s">
        <v>53</v>
      </c>
      <c r="K514" s="6" t="s">
        <v>314</v>
      </c>
      <c r="L514" s="6" t="s">
        <v>805</v>
      </c>
      <c r="M514" s="6" t="s">
        <v>476</v>
      </c>
      <c r="N514" s="6" t="s">
        <v>894</v>
      </c>
      <c r="O514" s="6" t="s">
        <v>62</v>
      </c>
      <c r="P514" s="6" t="s">
        <v>2273</v>
      </c>
      <c r="Q514" s="6" t="s">
        <v>65</v>
      </c>
      <c r="R514" s="6" t="s">
        <v>57</v>
      </c>
      <c r="S514" s="6" t="s">
        <v>1217</v>
      </c>
      <c r="T514" s="131">
        <v>1.2270000000000001</v>
      </c>
      <c r="U514" s="6" t="s">
        <v>2480</v>
      </c>
      <c r="V514" s="134">
        <v>3.15E-2</v>
      </c>
      <c r="W514" s="132">
        <v>5.1270000000000003E-2</v>
      </c>
      <c r="X514" s="3" t="s">
        <v>620</v>
      </c>
      <c r="Y514" s="3" t="s">
        <v>62</v>
      </c>
      <c r="Z514" s="131">
        <v>59000</v>
      </c>
      <c r="AA514" s="129">
        <v>3.3719999999999999</v>
      </c>
      <c r="AB514" s="157">
        <v>98.381</v>
      </c>
      <c r="AD514" s="131">
        <v>195.72800000000001</v>
      </c>
      <c r="AG514" s="6" t="s">
        <v>17</v>
      </c>
      <c r="AH514" s="132">
        <v>3.3000000000000003E-5</v>
      </c>
      <c r="AI514" s="132">
        <v>3.2280644060694199E-3</v>
      </c>
      <c r="AJ514" s="132">
        <v>5.8691318683843003E-4</v>
      </c>
    </row>
    <row r="515" spans="1:36" x14ac:dyDescent="0.2">
      <c r="A515" s="6">
        <v>559</v>
      </c>
      <c r="B515" s="6">
        <v>556</v>
      </c>
      <c r="C515" s="6" t="s">
        <v>2481</v>
      </c>
      <c r="D515" s="6" t="s">
        <v>2482</v>
      </c>
      <c r="E515" s="3" t="s">
        <v>430</v>
      </c>
      <c r="F515" s="6" t="s">
        <v>2483</v>
      </c>
      <c r="G515" s="6" t="s">
        <v>2484</v>
      </c>
      <c r="H515" s="6" t="s">
        <v>76</v>
      </c>
      <c r="I515" s="6" t="s">
        <v>230</v>
      </c>
      <c r="J515" s="6" t="s">
        <v>61</v>
      </c>
      <c r="K515" s="6" t="s">
        <v>314</v>
      </c>
      <c r="L515" s="6" t="s">
        <v>805</v>
      </c>
      <c r="M515" s="6" t="s">
        <v>479</v>
      </c>
      <c r="N515" s="6" t="s">
        <v>894</v>
      </c>
      <c r="O515" s="6" t="s">
        <v>62</v>
      </c>
      <c r="P515" s="6" t="s">
        <v>2223</v>
      </c>
      <c r="Q515" s="6" t="s">
        <v>96</v>
      </c>
      <c r="R515" s="6" t="s">
        <v>57</v>
      </c>
      <c r="S515" s="6" t="s">
        <v>1217</v>
      </c>
      <c r="T515" s="131">
        <v>1.94</v>
      </c>
      <c r="U515" s="6" t="s">
        <v>2485</v>
      </c>
      <c r="V515" s="134">
        <v>2.3E-2</v>
      </c>
      <c r="W515" s="132">
        <v>4.9959999999999997E-2</v>
      </c>
      <c r="X515" s="3" t="s">
        <v>620</v>
      </c>
      <c r="Y515" s="3" t="s">
        <v>62</v>
      </c>
      <c r="Z515" s="131">
        <v>30000</v>
      </c>
      <c r="AA515" s="129">
        <v>3.3719999999999999</v>
      </c>
      <c r="AB515" s="157">
        <v>95.15</v>
      </c>
      <c r="AD515" s="131">
        <v>96.254000000000005</v>
      </c>
      <c r="AG515" s="6" t="s">
        <v>17</v>
      </c>
      <c r="AH515" s="132">
        <v>4.0000000000000003E-5</v>
      </c>
      <c r="AI515" s="132">
        <v>1.5874789991709899E-3</v>
      </c>
      <c r="AJ515" s="132">
        <v>2.8862880080419702E-4</v>
      </c>
    </row>
    <row r="516" spans="1:36" x14ac:dyDescent="0.2">
      <c r="A516" s="6">
        <v>559</v>
      </c>
      <c r="B516" s="6">
        <v>556</v>
      </c>
      <c r="C516" s="6" t="s">
        <v>2334</v>
      </c>
      <c r="D516" s="6" t="s">
        <v>2335</v>
      </c>
      <c r="E516" s="3" t="s">
        <v>767</v>
      </c>
      <c r="F516" s="6" t="s">
        <v>2336</v>
      </c>
      <c r="G516" s="6" t="s">
        <v>2337</v>
      </c>
      <c r="H516" s="6" t="s">
        <v>76</v>
      </c>
      <c r="I516" s="6" t="s">
        <v>230</v>
      </c>
      <c r="J516" s="6" t="s">
        <v>53</v>
      </c>
      <c r="K516" s="6" t="s">
        <v>53</v>
      </c>
      <c r="L516" s="6" t="s">
        <v>805</v>
      </c>
      <c r="M516" s="6" t="s">
        <v>311</v>
      </c>
      <c r="N516" s="6" t="s">
        <v>253</v>
      </c>
      <c r="O516" s="6" t="s">
        <v>62</v>
      </c>
      <c r="P516" s="6" t="s">
        <v>1577</v>
      </c>
      <c r="Q516" s="6" t="s">
        <v>65</v>
      </c>
      <c r="R516" s="6" t="s">
        <v>57</v>
      </c>
      <c r="S516" s="6" t="s">
        <v>1219</v>
      </c>
      <c r="T516" s="131">
        <v>0.501</v>
      </c>
      <c r="U516" s="6" t="s">
        <v>2338</v>
      </c>
      <c r="V516" s="134">
        <v>3.3700000000000001E-2</v>
      </c>
      <c r="W516" s="132">
        <v>5.8880000000000002E-2</v>
      </c>
      <c r="X516" s="3" t="s">
        <v>620</v>
      </c>
      <c r="Y516" s="3" t="s">
        <v>62</v>
      </c>
      <c r="Z516" s="131">
        <v>169500.04</v>
      </c>
      <c r="AA516" s="129">
        <v>1</v>
      </c>
      <c r="AB516" s="157">
        <v>94.4</v>
      </c>
      <c r="AC516" s="131">
        <v>2.7240000000000002</v>
      </c>
      <c r="AD516" s="131">
        <v>162.732</v>
      </c>
      <c r="AG516" s="6" t="s">
        <v>17</v>
      </c>
      <c r="AH516" s="132">
        <v>2.421E-3</v>
      </c>
      <c r="AI516" s="132">
        <v>2.6838725638492901E-3</v>
      </c>
      <c r="AJ516" s="132">
        <v>4.8797049914968101E-4</v>
      </c>
    </row>
    <row r="517" spans="1:36" x14ac:dyDescent="0.2">
      <c r="A517" s="6">
        <v>559</v>
      </c>
      <c r="B517" s="6">
        <v>556</v>
      </c>
      <c r="C517" s="6" t="s">
        <v>2111</v>
      </c>
      <c r="D517" s="6" t="s">
        <v>2112</v>
      </c>
      <c r="E517" s="3" t="s">
        <v>1477</v>
      </c>
      <c r="F517" s="6" t="s">
        <v>2339</v>
      </c>
      <c r="G517" s="6" t="s">
        <v>2340</v>
      </c>
      <c r="H517" s="6" t="s">
        <v>76</v>
      </c>
      <c r="I517" s="6" t="s">
        <v>228</v>
      </c>
      <c r="J517" s="6" t="s">
        <v>53</v>
      </c>
      <c r="K517" s="6" t="s">
        <v>53</v>
      </c>
      <c r="L517" s="6" t="s">
        <v>805</v>
      </c>
      <c r="M517" s="6" t="s">
        <v>311</v>
      </c>
      <c r="N517" s="6" t="s">
        <v>140</v>
      </c>
      <c r="O517" s="6" t="s">
        <v>62</v>
      </c>
      <c r="P517" s="6" t="s">
        <v>1527</v>
      </c>
      <c r="Q517" s="6" t="s">
        <v>70</v>
      </c>
      <c r="R517" s="6" t="s">
        <v>57</v>
      </c>
      <c r="S517" s="6" t="s">
        <v>1219</v>
      </c>
      <c r="T517" s="131">
        <v>0.99099999999999999</v>
      </c>
      <c r="U517" s="6" t="s">
        <v>1516</v>
      </c>
      <c r="V517" s="134">
        <v>0.02</v>
      </c>
      <c r="W517" s="132">
        <v>4.9880000000000001E-2</v>
      </c>
      <c r="X517" s="3" t="s">
        <v>620</v>
      </c>
      <c r="Y517" s="3" t="s">
        <v>62</v>
      </c>
      <c r="Z517" s="131">
        <v>129000</v>
      </c>
      <c r="AA517" s="129">
        <v>1</v>
      </c>
      <c r="AB517" s="157">
        <v>97.18</v>
      </c>
      <c r="AD517" s="131">
        <v>125.36199999999999</v>
      </c>
      <c r="AG517" s="6" t="s">
        <v>17</v>
      </c>
      <c r="AH517" s="132">
        <v>5.5000000000000003E-4</v>
      </c>
      <c r="AI517" s="132">
        <v>2.0675521556814801E-3</v>
      </c>
      <c r="AJ517" s="132">
        <v>3.7591369687795098E-4</v>
      </c>
    </row>
    <row r="518" spans="1:36" x14ac:dyDescent="0.2">
      <c r="A518" s="6">
        <v>559</v>
      </c>
      <c r="B518" s="6">
        <v>7205</v>
      </c>
      <c r="C518" s="6" t="s">
        <v>1495</v>
      </c>
      <c r="D518" s="6" t="s">
        <v>1496</v>
      </c>
      <c r="E518" s="3" t="s">
        <v>1477</v>
      </c>
      <c r="F518" s="6" t="s">
        <v>1497</v>
      </c>
      <c r="G518" s="6" t="s">
        <v>1498</v>
      </c>
      <c r="H518" s="6" t="s">
        <v>76</v>
      </c>
      <c r="I518" s="6" t="s">
        <v>230</v>
      </c>
      <c r="J518" s="6" t="s">
        <v>53</v>
      </c>
      <c r="K518" s="6" t="s">
        <v>53</v>
      </c>
      <c r="L518" s="6" t="s">
        <v>805</v>
      </c>
      <c r="M518" s="6" t="s">
        <v>311</v>
      </c>
      <c r="N518" s="6" t="s">
        <v>266</v>
      </c>
      <c r="O518" s="6" t="s">
        <v>62</v>
      </c>
      <c r="P518" s="6" t="s">
        <v>1493</v>
      </c>
      <c r="Q518" s="6" t="s">
        <v>65</v>
      </c>
      <c r="R518" s="6" t="s">
        <v>57</v>
      </c>
      <c r="S518" s="6" t="s">
        <v>1219</v>
      </c>
      <c r="T518" s="131">
        <v>0.499</v>
      </c>
      <c r="U518" s="6" t="s">
        <v>1499</v>
      </c>
      <c r="V518" s="134">
        <v>3.9E-2</v>
      </c>
      <c r="W518" s="132">
        <v>5.6660000000000002E-2</v>
      </c>
      <c r="X518" s="3" t="s">
        <v>620</v>
      </c>
      <c r="Y518" s="3" t="s">
        <v>62</v>
      </c>
      <c r="Z518" s="131">
        <v>27400</v>
      </c>
      <c r="AA518" s="129">
        <v>1</v>
      </c>
      <c r="AB518" s="157">
        <v>91.65</v>
      </c>
      <c r="AD518" s="131">
        <v>25.111999999999998</v>
      </c>
      <c r="AG518" s="6" t="s">
        <v>17</v>
      </c>
      <c r="AH518" s="132">
        <v>6.9499999999999998E-4</v>
      </c>
      <c r="AI518" s="132">
        <v>8.4450304563028205E-5</v>
      </c>
      <c r="AJ518" s="132">
        <v>1.3099955382041001E-5</v>
      </c>
    </row>
    <row r="519" spans="1:36" x14ac:dyDescent="0.2">
      <c r="A519" s="6">
        <v>559</v>
      </c>
      <c r="B519" s="6">
        <v>7205</v>
      </c>
      <c r="C519" s="6" t="s">
        <v>1500</v>
      </c>
      <c r="D519" s="6" t="s">
        <v>1501</v>
      </c>
      <c r="E519" s="3" t="s">
        <v>1477</v>
      </c>
      <c r="F519" s="6" t="s">
        <v>1502</v>
      </c>
      <c r="G519" s="6" t="s">
        <v>1503</v>
      </c>
      <c r="H519" s="6" t="s">
        <v>76</v>
      </c>
      <c r="I519" s="6" t="s">
        <v>229</v>
      </c>
      <c r="J519" s="6" t="s">
        <v>53</v>
      </c>
      <c r="K519" s="6" t="s">
        <v>53</v>
      </c>
      <c r="L519" s="6" t="s">
        <v>805</v>
      </c>
      <c r="M519" s="6" t="s">
        <v>102</v>
      </c>
      <c r="N519" s="6" t="s">
        <v>635</v>
      </c>
      <c r="O519" s="6" t="s">
        <v>62</v>
      </c>
      <c r="P519" s="6" t="s">
        <v>298</v>
      </c>
      <c r="Q519" s="6" t="s">
        <v>298</v>
      </c>
      <c r="R519" s="6" t="s">
        <v>298</v>
      </c>
      <c r="S519" s="6" t="s">
        <v>1219</v>
      </c>
      <c r="T519" s="131">
        <v>2.9169999999999998</v>
      </c>
      <c r="U519" s="6" t="s">
        <v>1504</v>
      </c>
      <c r="V519" s="134">
        <v>3.7400000000000003E-2</v>
      </c>
      <c r="W519" s="132">
        <v>3.1220000000000001E-2</v>
      </c>
      <c r="X519" s="3" t="s">
        <v>620</v>
      </c>
      <c r="Y519" s="3" t="s">
        <v>62</v>
      </c>
      <c r="Z519" s="131">
        <v>911957</v>
      </c>
      <c r="AA519" s="129">
        <v>1</v>
      </c>
      <c r="AB519" s="157">
        <v>106.2</v>
      </c>
      <c r="AD519" s="131">
        <v>968.49800000000005</v>
      </c>
      <c r="AG519" s="6" t="s">
        <v>17</v>
      </c>
      <c r="AH519" s="132">
        <v>4.5830000000000003E-3</v>
      </c>
      <c r="AI519" s="132">
        <v>3.2569948062920002E-3</v>
      </c>
      <c r="AJ519" s="132">
        <v>5.0522596529087597E-4</v>
      </c>
    </row>
    <row r="520" spans="1:36" x14ac:dyDescent="0.2">
      <c r="A520" s="6">
        <v>559</v>
      </c>
      <c r="B520" s="6">
        <v>7205</v>
      </c>
      <c r="C520" s="6" t="s">
        <v>2341</v>
      </c>
      <c r="D520" s="6" t="s">
        <v>2342</v>
      </c>
      <c r="E520" s="3" t="s">
        <v>767</v>
      </c>
      <c r="F520" s="6" t="s">
        <v>2343</v>
      </c>
      <c r="G520" s="6" t="s">
        <v>2344</v>
      </c>
      <c r="H520" s="6" t="s">
        <v>76</v>
      </c>
      <c r="I520" s="6" t="s">
        <v>228</v>
      </c>
      <c r="J520" s="6" t="s">
        <v>53</v>
      </c>
      <c r="K520" s="6" t="s">
        <v>314</v>
      </c>
      <c r="L520" s="6" t="s">
        <v>69</v>
      </c>
      <c r="M520" s="6" t="s">
        <v>311</v>
      </c>
      <c r="N520" s="6" t="s">
        <v>636</v>
      </c>
      <c r="O520" s="6" t="s">
        <v>62</v>
      </c>
      <c r="P520" s="6" t="s">
        <v>1753</v>
      </c>
      <c r="Q520" s="6" t="s">
        <v>70</v>
      </c>
      <c r="R520" s="6" t="s">
        <v>57</v>
      </c>
      <c r="S520" s="6" t="s">
        <v>1219</v>
      </c>
      <c r="T520" s="131">
        <v>0</v>
      </c>
      <c r="U520" s="6" t="s">
        <v>2345</v>
      </c>
      <c r="V520" s="134">
        <v>7.0000000000000007E-2</v>
      </c>
      <c r="W520" s="132">
        <v>0</v>
      </c>
      <c r="X520" s="3" t="s">
        <v>620</v>
      </c>
      <c r="Y520" s="3" t="s">
        <v>62</v>
      </c>
      <c r="Z520" s="131">
        <v>507761.63</v>
      </c>
      <c r="AA520" s="129">
        <v>1</v>
      </c>
      <c r="AB520" s="157">
        <v>0</v>
      </c>
      <c r="AD520" s="131">
        <v>0</v>
      </c>
      <c r="AG520" s="6" t="s">
        <v>17</v>
      </c>
      <c r="AH520" s="132">
        <v>0</v>
      </c>
      <c r="AI520" s="132">
        <v>1.7075682359866198E-11</v>
      </c>
      <c r="AJ520" s="132">
        <v>2.6487847283629798E-12</v>
      </c>
    </row>
    <row r="521" spans="1:36" x14ac:dyDescent="0.2">
      <c r="A521" s="6">
        <v>559</v>
      </c>
      <c r="B521" s="6">
        <v>7205</v>
      </c>
      <c r="C521" s="6" t="s">
        <v>1505</v>
      </c>
      <c r="D521" s="6" t="s">
        <v>1506</v>
      </c>
      <c r="E521" s="3" t="s">
        <v>1477</v>
      </c>
      <c r="F521" s="6" t="s">
        <v>1507</v>
      </c>
      <c r="G521" s="6" t="s">
        <v>1508</v>
      </c>
      <c r="H521" s="6" t="s">
        <v>76</v>
      </c>
      <c r="I521" s="6" t="s">
        <v>228</v>
      </c>
      <c r="J521" s="6" t="s">
        <v>53</v>
      </c>
      <c r="K521" s="6" t="s">
        <v>53</v>
      </c>
      <c r="L521" s="6" t="s">
        <v>805</v>
      </c>
      <c r="M521" s="6" t="s">
        <v>102</v>
      </c>
      <c r="N521" s="6" t="s">
        <v>140</v>
      </c>
      <c r="O521" s="6" t="s">
        <v>62</v>
      </c>
      <c r="P521" s="6" t="s">
        <v>1355</v>
      </c>
      <c r="Q521" s="6" t="s">
        <v>70</v>
      </c>
      <c r="R521" s="6" t="s">
        <v>57</v>
      </c>
      <c r="S521" s="6" t="s">
        <v>1219</v>
      </c>
      <c r="T521" s="131">
        <v>2.2349999999999999</v>
      </c>
      <c r="U521" s="6" t="s">
        <v>1509</v>
      </c>
      <c r="V521" s="134">
        <v>0.08</v>
      </c>
      <c r="W521" s="132">
        <v>6.1850000000000002E-2</v>
      </c>
      <c r="X521" s="3" t="s">
        <v>620</v>
      </c>
      <c r="Y521" s="3" t="s">
        <v>62</v>
      </c>
      <c r="Z521" s="131">
        <v>473684.21</v>
      </c>
      <c r="AA521" s="129">
        <v>1</v>
      </c>
      <c r="AB521" s="157">
        <v>104.13200000000001</v>
      </c>
      <c r="AC521" s="131">
        <v>46.316000000000003</v>
      </c>
      <c r="AD521" s="131">
        <v>539.572</v>
      </c>
      <c r="AG521" s="6" t="s">
        <v>17</v>
      </c>
      <c r="AH521" s="132">
        <v>0</v>
      </c>
      <c r="AI521" s="132">
        <v>1.8145430465341E-3</v>
      </c>
      <c r="AJ521" s="132">
        <v>2.8147243602477001E-4</v>
      </c>
    </row>
    <row r="522" spans="1:36" x14ac:dyDescent="0.2">
      <c r="A522" s="6">
        <v>559</v>
      </c>
      <c r="B522" s="6">
        <v>7205</v>
      </c>
      <c r="C522" s="6" t="s">
        <v>1505</v>
      </c>
      <c r="D522" s="6" t="s">
        <v>1506</v>
      </c>
      <c r="E522" s="3" t="s">
        <v>1477</v>
      </c>
      <c r="F522" s="6" t="s">
        <v>1510</v>
      </c>
      <c r="G522" s="6" t="s">
        <v>1508</v>
      </c>
      <c r="H522" s="6" t="s">
        <v>76</v>
      </c>
      <c r="I522" s="6" t="s">
        <v>228</v>
      </c>
      <c r="J522" s="6" t="s">
        <v>53</v>
      </c>
      <c r="K522" s="6" t="s">
        <v>53</v>
      </c>
      <c r="L522" s="6" t="s">
        <v>54</v>
      </c>
      <c r="M522" s="6" t="s">
        <v>1227</v>
      </c>
      <c r="N522" s="6" t="s">
        <v>140</v>
      </c>
      <c r="O522" s="6" t="s">
        <v>62</v>
      </c>
      <c r="P522" s="6" t="s">
        <v>298</v>
      </c>
      <c r="Q522" s="6" t="s">
        <v>298</v>
      </c>
      <c r="R522" s="6" t="s">
        <v>298</v>
      </c>
      <c r="S522" s="6" t="s">
        <v>1219</v>
      </c>
      <c r="T522" s="131">
        <v>2.6429999999999998</v>
      </c>
      <c r="U522" s="6" t="s">
        <v>1509</v>
      </c>
      <c r="V522" s="134">
        <v>0.08</v>
      </c>
      <c r="W522" s="132">
        <v>6.0499999999999998E-2</v>
      </c>
      <c r="X522" s="3" t="s">
        <v>620</v>
      </c>
      <c r="Y522" s="3" t="s">
        <v>62</v>
      </c>
      <c r="Z522" s="131">
        <v>-26315.79</v>
      </c>
      <c r="AA522" s="129">
        <v>1</v>
      </c>
      <c r="AB522" s="157">
        <v>106.14</v>
      </c>
      <c r="AD522" s="131">
        <v>-27.931999999999999</v>
      </c>
      <c r="AG522" s="6" t="s">
        <v>17</v>
      </c>
      <c r="AH522" s="132">
        <v>0</v>
      </c>
      <c r="AI522" s="132">
        <v>-9.3932024649795803E-5</v>
      </c>
      <c r="AJ522" s="132">
        <v>-1.4570762512037201E-5</v>
      </c>
    </row>
    <row r="523" spans="1:36" x14ac:dyDescent="0.2">
      <c r="A523" s="6">
        <v>559</v>
      </c>
      <c r="B523" s="6">
        <v>7205</v>
      </c>
      <c r="C523" s="6" t="s">
        <v>1511</v>
      </c>
      <c r="D523" s="6" t="s">
        <v>1512</v>
      </c>
      <c r="E523" s="3" t="s">
        <v>1477</v>
      </c>
      <c r="F523" s="6" t="s">
        <v>1513</v>
      </c>
      <c r="G523" s="6" t="s">
        <v>1514</v>
      </c>
      <c r="H523" s="6" t="s">
        <v>76</v>
      </c>
      <c r="I523" s="6" t="s">
        <v>228</v>
      </c>
      <c r="J523" s="6" t="s">
        <v>53</v>
      </c>
      <c r="K523" s="6" t="s">
        <v>53</v>
      </c>
      <c r="L523" s="6" t="s">
        <v>805</v>
      </c>
      <c r="M523" s="6" t="s">
        <v>311</v>
      </c>
      <c r="N523" s="6" t="s">
        <v>258</v>
      </c>
      <c r="O523" s="6" t="s">
        <v>62</v>
      </c>
      <c r="P523" s="6" t="s">
        <v>1515</v>
      </c>
      <c r="Q523" s="6" t="s">
        <v>65</v>
      </c>
      <c r="R523" s="6" t="s">
        <v>57</v>
      </c>
      <c r="S523" s="6" t="s">
        <v>1219</v>
      </c>
      <c r="T523" s="131">
        <v>0.98099999999999998</v>
      </c>
      <c r="U523" s="6" t="s">
        <v>1516</v>
      </c>
      <c r="V523" s="134">
        <v>3.2500000000000001E-2</v>
      </c>
      <c r="W523" s="132">
        <v>5.7090000000000002E-2</v>
      </c>
      <c r="X523" s="3" t="s">
        <v>620</v>
      </c>
      <c r="Y523" s="3" t="s">
        <v>62</v>
      </c>
      <c r="Z523" s="131">
        <v>597706.75</v>
      </c>
      <c r="AA523" s="129">
        <v>1</v>
      </c>
      <c r="AB523" s="157">
        <v>97.74</v>
      </c>
      <c r="AD523" s="131">
        <v>584.19899999999996</v>
      </c>
      <c r="AG523" s="6" t="s">
        <v>17</v>
      </c>
      <c r="AH523" s="132">
        <v>1.37E-2</v>
      </c>
      <c r="AI523" s="132">
        <v>1.96462055307761E-3</v>
      </c>
      <c r="AJ523" s="132">
        <v>3.0475250173608702E-4</v>
      </c>
    </row>
    <row r="524" spans="1:36" x14ac:dyDescent="0.2">
      <c r="A524" s="6">
        <v>559</v>
      </c>
      <c r="B524" s="6">
        <v>7205</v>
      </c>
      <c r="C524" s="6" t="s">
        <v>1517</v>
      </c>
      <c r="D524" s="6" t="s">
        <v>1518</v>
      </c>
      <c r="E524" s="3" t="s">
        <v>1477</v>
      </c>
      <c r="F524" s="6" t="s">
        <v>1519</v>
      </c>
      <c r="G524" s="6" t="s">
        <v>1520</v>
      </c>
      <c r="H524" s="6" t="s">
        <v>76</v>
      </c>
      <c r="I524" s="6" t="s">
        <v>228</v>
      </c>
      <c r="J524" s="6" t="s">
        <v>53</v>
      </c>
      <c r="K524" s="6" t="s">
        <v>53</v>
      </c>
      <c r="L524" s="6" t="s">
        <v>805</v>
      </c>
      <c r="M524" s="6" t="s">
        <v>102</v>
      </c>
      <c r="N524" s="6" t="s">
        <v>140</v>
      </c>
      <c r="O524" s="6" t="s">
        <v>62</v>
      </c>
      <c r="P524" s="6" t="s">
        <v>1521</v>
      </c>
      <c r="Q524" s="6" t="s">
        <v>70</v>
      </c>
      <c r="R524" s="6" t="s">
        <v>57</v>
      </c>
      <c r="S524" s="6" t="s">
        <v>1219</v>
      </c>
      <c r="T524" s="131">
        <v>4.835</v>
      </c>
      <c r="U524" s="6" t="s">
        <v>1522</v>
      </c>
      <c r="V524" s="134">
        <v>5.7700000000000001E-2</v>
      </c>
      <c r="W524" s="132">
        <v>5.321E-2</v>
      </c>
      <c r="X524" s="3" t="s">
        <v>620</v>
      </c>
      <c r="Y524" s="3" t="s">
        <v>62</v>
      </c>
      <c r="Z524" s="131">
        <v>149000</v>
      </c>
      <c r="AA524" s="129">
        <v>1</v>
      </c>
      <c r="AB524" s="157">
        <v>102.7</v>
      </c>
      <c r="AD524" s="131">
        <v>153.023</v>
      </c>
      <c r="AG524" s="6" t="s">
        <v>17</v>
      </c>
      <c r="AH524" s="132">
        <v>5.7300000000000005E-4</v>
      </c>
      <c r="AI524" s="132">
        <v>5.1460606461220895E-4</v>
      </c>
      <c r="AJ524" s="132">
        <v>7.9825839831238897E-5</v>
      </c>
    </row>
    <row r="525" spans="1:36" x14ac:dyDescent="0.2">
      <c r="A525" s="6">
        <v>559</v>
      </c>
      <c r="B525" s="6">
        <v>7205</v>
      </c>
      <c r="C525" s="6" t="s">
        <v>1523</v>
      </c>
      <c r="D525" s="6" t="s">
        <v>1524</v>
      </c>
      <c r="E525" s="3" t="s">
        <v>1477</v>
      </c>
      <c r="F525" s="6" t="s">
        <v>1525</v>
      </c>
      <c r="G525" s="6" t="s">
        <v>1526</v>
      </c>
      <c r="H525" s="6" t="s">
        <v>76</v>
      </c>
      <c r="I525" s="6" t="s">
        <v>228</v>
      </c>
      <c r="J525" s="6" t="s">
        <v>53</v>
      </c>
      <c r="K525" s="6" t="s">
        <v>53</v>
      </c>
      <c r="L525" s="6" t="s">
        <v>805</v>
      </c>
      <c r="M525" s="6" t="s">
        <v>311</v>
      </c>
      <c r="N525" s="6" t="s">
        <v>269</v>
      </c>
      <c r="O525" s="6" t="s">
        <v>62</v>
      </c>
      <c r="P525" s="6" t="s">
        <v>1527</v>
      </c>
      <c r="Q525" s="6" t="s">
        <v>70</v>
      </c>
      <c r="R525" s="6" t="s">
        <v>57</v>
      </c>
      <c r="S525" s="6" t="s">
        <v>1219</v>
      </c>
      <c r="T525" s="131">
        <v>0.375</v>
      </c>
      <c r="U525" s="6" t="s">
        <v>1528</v>
      </c>
      <c r="V525" s="134">
        <v>3.27E-2</v>
      </c>
      <c r="W525" s="132">
        <v>5.1979999999999998E-2</v>
      </c>
      <c r="X525" s="3" t="s">
        <v>620</v>
      </c>
      <c r="Y525" s="3" t="s">
        <v>62</v>
      </c>
      <c r="Z525" s="131">
        <v>524723</v>
      </c>
      <c r="AA525" s="129">
        <v>1</v>
      </c>
      <c r="AB525" s="157">
        <v>99.72</v>
      </c>
      <c r="AD525" s="131">
        <v>523.25400000000002</v>
      </c>
      <c r="AG525" s="6" t="s">
        <v>17</v>
      </c>
      <c r="AH525" s="132">
        <v>1.663E-3</v>
      </c>
      <c r="AI525" s="132">
        <v>1.7596672804414801E-3</v>
      </c>
      <c r="AJ525" s="132">
        <v>2.7296009150347698E-4</v>
      </c>
    </row>
    <row r="526" spans="1:36" x14ac:dyDescent="0.2">
      <c r="A526" s="6">
        <v>559</v>
      </c>
      <c r="B526" s="6">
        <v>7205</v>
      </c>
      <c r="C526" s="6" t="s">
        <v>1529</v>
      </c>
      <c r="D526" s="6" t="s">
        <v>1530</v>
      </c>
      <c r="E526" s="3" t="s">
        <v>1477</v>
      </c>
      <c r="F526" s="6" t="s">
        <v>1531</v>
      </c>
      <c r="G526" s="6" t="s">
        <v>1532</v>
      </c>
      <c r="H526" s="6" t="s">
        <v>76</v>
      </c>
      <c r="I526" s="6" t="s">
        <v>228</v>
      </c>
      <c r="J526" s="6" t="s">
        <v>53</v>
      </c>
      <c r="K526" s="6" t="s">
        <v>53</v>
      </c>
      <c r="L526" s="6" t="s">
        <v>805</v>
      </c>
      <c r="M526" s="6" t="s">
        <v>311</v>
      </c>
      <c r="N526" s="6" t="s">
        <v>265</v>
      </c>
      <c r="O526" s="6" t="s">
        <v>62</v>
      </c>
      <c r="P526" s="6" t="s">
        <v>1533</v>
      </c>
      <c r="Q526" s="6" t="s">
        <v>65</v>
      </c>
      <c r="R526" s="6" t="s">
        <v>57</v>
      </c>
      <c r="S526" s="6" t="s">
        <v>1219</v>
      </c>
      <c r="T526" s="131">
        <v>7.3310000000000004</v>
      </c>
      <c r="U526" s="6" t="s">
        <v>1534</v>
      </c>
      <c r="V526" s="134">
        <v>2.4E-2</v>
      </c>
      <c r="W526" s="132">
        <v>4.6940000000000003E-2</v>
      </c>
      <c r="X526" s="3" t="s">
        <v>620</v>
      </c>
      <c r="Y526" s="3" t="s">
        <v>62</v>
      </c>
      <c r="Z526" s="131">
        <v>624000</v>
      </c>
      <c r="AA526" s="129">
        <v>1</v>
      </c>
      <c r="AB526" s="157">
        <v>84.92</v>
      </c>
      <c r="AD526" s="131">
        <v>529.90099999999995</v>
      </c>
      <c r="AG526" s="6" t="s">
        <v>17</v>
      </c>
      <c r="AH526" s="132">
        <v>3.97E-4</v>
      </c>
      <c r="AI526" s="132">
        <v>1.78202077676468E-3</v>
      </c>
      <c r="AJ526" s="132">
        <v>2.7642757224237798E-4</v>
      </c>
    </row>
    <row r="527" spans="1:36" x14ac:dyDescent="0.2">
      <c r="A527" s="6">
        <v>559</v>
      </c>
      <c r="B527" s="6">
        <v>7205</v>
      </c>
      <c r="C527" s="6" t="s">
        <v>1535</v>
      </c>
      <c r="D527" s="6" t="s">
        <v>1536</v>
      </c>
      <c r="E527" s="3" t="s">
        <v>1477</v>
      </c>
      <c r="F527" s="6" t="s">
        <v>1537</v>
      </c>
      <c r="G527" s="6" t="s">
        <v>1538</v>
      </c>
      <c r="H527" s="6" t="s">
        <v>76</v>
      </c>
      <c r="I527" s="6" t="s">
        <v>229</v>
      </c>
      <c r="J527" s="6" t="s">
        <v>53</v>
      </c>
      <c r="K527" s="6" t="s">
        <v>53</v>
      </c>
      <c r="L527" s="6" t="s">
        <v>805</v>
      </c>
      <c r="M527" s="6" t="s">
        <v>311</v>
      </c>
      <c r="N527" s="6" t="s">
        <v>635</v>
      </c>
      <c r="O527" s="6" t="s">
        <v>62</v>
      </c>
      <c r="P527" s="6" t="s">
        <v>1533</v>
      </c>
      <c r="Q527" s="6" t="s">
        <v>65</v>
      </c>
      <c r="R527" s="6" t="s">
        <v>57</v>
      </c>
      <c r="S527" s="6" t="s">
        <v>1219</v>
      </c>
      <c r="T527" s="131">
        <v>2.0139999999999998</v>
      </c>
      <c r="U527" s="6" t="s">
        <v>1539</v>
      </c>
      <c r="V527" s="134">
        <v>2.3400000000000001E-2</v>
      </c>
      <c r="W527" s="132">
        <v>2.8719999999999999E-2</v>
      </c>
      <c r="X527" s="3" t="s">
        <v>620</v>
      </c>
      <c r="Y527" s="3" t="s">
        <v>62</v>
      </c>
      <c r="Z527" s="131">
        <v>158515.04999999999</v>
      </c>
      <c r="AA527" s="129">
        <v>1</v>
      </c>
      <c r="AB527" s="157">
        <v>116.49</v>
      </c>
      <c r="AD527" s="131">
        <v>184.654</v>
      </c>
      <c r="AG527" s="6" t="s">
        <v>17</v>
      </c>
      <c r="AH527" s="132">
        <v>9.7E-5</v>
      </c>
      <c r="AI527" s="132">
        <v>6.2097960294845897E-4</v>
      </c>
      <c r="AJ527" s="132">
        <v>9.6326533502446294E-5</v>
      </c>
    </row>
    <row r="528" spans="1:36" x14ac:dyDescent="0.2">
      <c r="A528" s="6">
        <v>559</v>
      </c>
      <c r="B528" s="6">
        <v>7205</v>
      </c>
      <c r="C528" s="6" t="s">
        <v>1540</v>
      </c>
      <c r="D528" s="6" t="s">
        <v>1541</v>
      </c>
      <c r="E528" s="3" t="s">
        <v>1477</v>
      </c>
      <c r="F528" s="6" t="s">
        <v>1542</v>
      </c>
      <c r="G528" s="6" t="s">
        <v>1543</v>
      </c>
      <c r="H528" s="6" t="s">
        <v>76</v>
      </c>
      <c r="I528" s="6" t="s">
        <v>607</v>
      </c>
      <c r="J528" s="6" t="s">
        <v>53</v>
      </c>
      <c r="K528" s="6" t="s">
        <v>53</v>
      </c>
      <c r="L528" s="6" t="s">
        <v>805</v>
      </c>
      <c r="M528" s="6" t="s">
        <v>311</v>
      </c>
      <c r="N528" s="6" t="s">
        <v>259</v>
      </c>
      <c r="O528" s="6" t="s">
        <v>62</v>
      </c>
      <c r="P528" s="6" t="s">
        <v>298</v>
      </c>
      <c r="Q528" s="6" t="s">
        <v>298</v>
      </c>
      <c r="R528" s="6" t="s">
        <v>298</v>
      </c>
      <c r="S528" s="6" t="s">
        <v>1219</v>
      </c>
      <c r="T528" s="131">
        <v>2.839</v>
      </c>
      <c r="U528" s="6" t="s">
        <v>1544</v>
      </c>
      <c r="V528" s="134">
        <v>4.8500000000000001E-2</v>
      </c>
      <c r="W528" s="132">
        <v>1E-4</v>
      </c>
      <c r="X528" s="3" t="s">
        <v>620</v>
      </c>
      <c r="Y528" s="3" t="s">
        <v>62</v>
      </c>
      <c r="Z528" s="131">
        <v>1265000</v>
      </c>
      <c r="AA528" s="129">
        <v>1</v>
      </c>
      <c r="AB528" s="157">
        <v>115</v>
      </c>
      <c r="AD528" s="131">
        <v>1454.75</v>
      </c>
      <c r="AG528" s="6" t="s">
        <v>17</v>
      </c>
      <c r="AH528" s="132">
        <v>4.2170000000000003E-3</v>
      </c>
      <c r="AI528" s="132">
        <v>4.8922264789908101E-3</v>
      </c>
      <c r="AJ528" s="132">
        <v>7.5888356975418601E-4</v>
      </c>
    </row>
    <row r="529" spans="1:36" x14ac:dyDescent="0.2">
      <c r="A529" s="6">
        <v>559</v>
      </c>
      <c r="B529" s="6">
        <v>7205</v>
      </c>
      <c r="C529" s="6" t="s">
        <v>1545</v>
      </c>
      <c r="D529" s="6" t="s">
        <v>1546</v>
      </c>
      <c r="E529" s="3" t="s">
        <v>1477</v>
      </c>
      <c r="F529" s="6" t="s">
        <v>2346</v>
      </c>
      <c r="G529" s="6" t="s">
        <v>2347</v>
      </c>
      <c r="H529" s="6" t="s">
        <v>76</v>
      </c>
      <c r="I529" s="6" t="s">
        <v>230</v>
      </c>
      <c r="J529" s="6" t="s">
        <v>53</v>
      </c>
      <c r="K529" s="6" t="s">
        <v>317</v>
      </c>
      <c r="L529" s="6" t="s">
        <v>805</v>
      </c>
      <c r="M529" s="6" t="s">
        <v>311</v>
      </c>
      <c r="N529" s="6" t="s">
        <v>638</v>
      </c>
      <c r="O529" s="6" t="s">
        <v>62</v>
      </c>
      <c r="P529" s="6" t="s">
        <v>1339</v>
      </c>
      <c r="Q529" s="6" t="s">
        <v>65</v>
      </c>
      <c r="R529" s="6" t="s">
        <v>57</v>
      </c>
      <c r="S529" s="6" t="s">
        <v>1219</v>
      </c>
      <c r="T529" s="131">
        <v>4.867</v>
      </c>
      <c r="U529" s="6" t="s">
        <v>2348</v>
      </c>
      <c r="V529" s="134">
        <v>2.6700000000000002E-2</v>
      </c>
      <c r="W529" s="132">
        <v>5.0970000000000001E-2</v>
      </c>
      <c r="X529" s="3" t="s">
        <v>620</v>
      </c>
      <c r="Y529" s="3" t="s">
        <v>62</v>
      </c>
      <c r="Z529" s="131">
        <v>1847498.3</v>
      </c>
      <c r="AA529" s="129">
        <v>1</v>
      </c>
      <c r="AB529" s="157">
        <v>92</v>
      </c>
      <c r="AD529" s="131">
        <v>1699.6980000000001</v>
      </c>
      <c r="AG529" s="6" t="s">
        <v>17</v>
      </c>
      <c r="AH529" s="132">
        <v>1.1756000000000001E-2</v>
      </c>
      <c r="AI529" s="132">
        <v>5.7159716067354998E-3</v>
      </c>
      <c r="AJ529" s="132">
        <v>8.8666314941899702E-4</v>
      </c>
    </row>
    <row r="530" spans="1:36" x14ac:dyDescent="0.2">
      <c r="A530" s="6">
        <v>559</v>
      </c>
      <c r="B530" s="6">
        <v>7205</v>
      </c>
      <c r="C530" s="6" t="s">
        <v>1545</v>
      </c>
      <c r="D530" s="6" t="s">
        <v>1546</v>
      </c>
      <c r="E530" s="3" t="s">
        <v>1477</v>
      </c>
      <c r="F530" s="6" t="s">
        <v>1547</v>
      </c>
      <c r="G530" s="6" t="s">
        <v>1548</v>
      </c>
      <c r="H530" s="6" t="s">
        <v>76</v>
      </c>
      <c r="I530" s="6" t="s">
        <v>228</v>
      </c>
      <c r="J530" s="6" t="s">
        <v>53</v>
      </c>
      <c r="K530" s="6" t="s">
        <v>317</v>
      </c>
      <c r="L530" s="6" t="s">
        <v>805</v>
      </c>
      <c r="M530" s="6" t="s">
        <v>311</v>
      </c>
      <c r="N530" s="6" t="s">
        <v>638</v>
      </c>
      <c r="O530" s="6" t="s">
        <v>62</v>
      </c>
      <c r="P530" s="6" t="s">
        <v>1339</v>
      </c>
      <c r="Q530" s="6" t="s">
        <v>65</v>
      </c>
      <c r="R530" s="6" t="s">
        <v>57</v>
      </c>
      <c r="S530" s="6" t="s">
        <v>1219</v>
      </c>
      <c r="T530" s="131">
        <v>2.4220000000000002</v>
      </c>
      <c r="U530" s="6" t="s">
        <v>1549</v>
      </c>
      <c r="V530" s="134">
        <v>1.0800000000000001E-2</v>
      </c>
      <c r="W530" s="132">
        <v>4.3990000000000001E-2</v>
      </c>
      <c r="X530" s="3" t="s">
        <v>620</v>
      </c>
      <c r="Y530" s="3" t="s">
        <v>62</v>
      </c>
      <c r="Z530" s="131">
        <v>1856013.08</v>
      </c>
      <c r="AA530" s="129">
        <v>1</v>
      </c>
      <c r="AB530" s="157">
        <v>92.42</v>
      </c>
      <c r="AD530" s="131">
        <v>1715.327</v>
      </c>
      <c r="AG530" s="6" t="s">
        <v>17</v>
      </c>
      <c r="AH530" s="132">
        <v>2.4750000000000002E-3</v>
      </c>
      <c r="AI530" s="132">
        <v>5.7685303874283099E-3</v>
      </c>
      <c r="AJ530" s="132">
        <v>8.9481608250281295E-4</v>
      </c>
    </row>
    <row r="531" spans="1:36" x14ac:dyDescent="0.2">
      <c r="A531" s="6">
        <v>559</v>
      </c>
      <c r="B531" s="6">
        <v>7205</v>
      </c>
      <c r="C531" s="6" t="s">
        <v>1550</v>
      </c>
      <c r="D531" s="6" t="s">
        <v>1551</v>
      </c>
      <c r="E531" s="3" t="s">
        <v>1477</v>
      </c>
      <c r="F531" s="6" t="s">
        <v>1552</v>
      </c>
      <c r="G531" s="6" t="s">
        <v>1553</v>
      </c>
      <c r="H531" s="6" t="s">
        <v>76</v>
      </c>
      <c r="I531" s="6" t="s">
        <v>228</v>
      </c>
      <c r="J531" s="6" t="s">
        <v>53</v>
      </c>
      <c r="K531" s="6" t="s">
        <v>53</v>
      </c>
      <c r="L531" s="6" t="s">
        <v>805</v>
      </c>
      <c r="M531" s="6" t="s">
        <v>311</v>
      </c>
      <c r="N531" s="6" t="s">
        <v>258</v>
      </c>
      <c r="O531" s="6" t="s">
        <v>62</v>
      </c>
      <c r="P531" s="6" t="s">
        <v>1493</v>
      </c>
      <c r="Q531" s="6" t="s">
        <v>65</v>
      </c>
      <c r="R531" s="6" t="s">
        <v>57</v>
      </c>
      <c r="S531" s="6" t="s">
        <v>1219</v>
      </c>
      <c r="T531" s="131">
        <v>0.76400000000000001</v>
      </c>
      <c r="U531" s="6" t="s">
        <v>1554</v>
      </c>
      <c r="V531" s="134">
        <v>3.2500000000000001E-2</v>
      </c>
      <c r="W531" s="132">
        <v>5.1630000000000002E-2</v>
      </c>
      <c r="X531" s="3" t="s">
        <v>620</v>
      </c>
      <c r="Y531" s="3" t="s">
        <v>62</v>
      </c>
      <c r="Z531" s="131">
        <v>1333570.48</v>
      </c>
      <c r="AA531" s="129">
        <v>1</v>
      </c>
      <c r="AB531" s="157">
        <v>99.33</v>
      </c>
      <c r="AD531" s="131">
        <v>1324.636</v>
      </c>
      <c r="AG531" s="6" t="s">
        <v>17</v>
      </c>
      <c r="AH531" s="132">
        <v>4.6699999999999997E-3</v>
      </c>
      <c r="AI531" s="132">
        <v>4.4546603545651499E-3</v>
      </c>
      <c r="AJ531" s="132">
        <v>6.9100818746482102E-4</v>
      </c>
    </row>
    <row r="532" spans="1:36" x14ac:dyDescent="0.2">
      <c r="A532" s="6">
        <v>559</v>
      </c>
      <c r="B532" s="6">
        <v>7205</v>
      </c>
      <c r="C532" s="6" t="s">
        <v>1560</v>
      </c>
      <c r="D532" s="6" t="s">
        <v>1561</v>
      </c>
      <c r="E532" s="3" t="s">
        <v>1477</v>
      </c>
      <c r="F532" s="6" t="s">
        <v>1562</v>
      </c>
      <c r="G532" s="6" t="s">
        <v>1563</v>
      </c>
      <c r="H532" s="6" t="s">
        <v>76</v>
      </c>
      <c r="I532" s="6" t="s">
        <v>228</v>
      </c>
      <c r="J532" s="6" t="s">
        <v>53</v>
      </c>
      <c r="K532" s="6" t="s">
        <v>53</v>
      </c>
      <c r="L532" s="6" t="s">
        <v>805</v>
      </c>
      <c r="M532" s="6" t="s">
        <v>102</v>
      </c>
      <c r="N532" s="6" t="s">
        <v>692</v>
      </c>
      <c r="O532" s="6" t="s">
        <v>62</v>
      </c>
      <c r="P532" s="6" t="s">
        <v>298</v>
      </c>
      <c r="Q532" s="6" t="s">
        <v>298</v>
      </c>
      <c r="R532" s="6" t="s">
        <v>298</v>
      </c>
      <c r="S532" s="6" t="s">
        <v>1219</v>
      </c>
      <c r="T532" s="131">
        <v>4.0350000000000001</v>
      </c>
      <c r="U532" s="6" t="s">
        <v>1564</v>
      </c>
      <c r="V532" s="134">
        <v>6.5600000000000006E-2</v>
      </c>
      <c r="W532" s="132">
        <v>6.3450000000000006E-2</v>
      </c>
      <c r="X532" s="3" t="s">
        <v>620</v>
      </c>
      <c r="Y532" s="3" t="s">
        <v>62</v>
      </c>
      <c r="Z532" s="131">
        <v>466000</v>
      </c>
      <c r="AA532" s="129">
        <v>1</v>
      </c>
      <c r="AB532" s="157">
        <v>102.91</v>
      </c>
      <c r="AD532" s="131">
        <v>479.56099999999998</v>
      </c>
      <c r="AG532" s="6" t="s">
        <v>17</v>
      </c>
      <c r="AH532" s="132">
        <v>3.8340000000000002E-3</v>
      </c>
      <c r="AI532" s="132">
        <v>1.61273006743476E-3</v>
      </c>
      <c r="AJ532" s="132">
        <v>2.5016714902317198E-4</v>
      </c>
    </row>
    <row r="533" spans="1:36" x14ac:dyDescent="0.2">
      <c r="A533" s="6">
        <v>559</v>
      </c>
      <c r="B533" s="6">
        <v>7205</v>
      </c>
      <c r="C533" s="6" t="s">
        <v>1565</v>
      </c>
      <c r="D533" s="6" t="s">
        <v>1566</v>
      </c>
      <c r="E533" s="3" t="s">
        <v>1477</v>
      </c>
      <c r="F533" s="6" t="s">
        <v>1567</v>
      </c>
      <c r="G533" s="6" t="s">
        <v>1568</v>
      </c>
      <c r="H533" s="6" t="s">
        <v>76</v>
      </c>
      <c r="I533" s="6" t="s">
        <v>228</v>
      </c>
      <c r="J533" s="6" t="s">
        <v>53</v>
      </c>
      <c r="K533" s="6" t="s">
        <v>53</v>
      </c>
      <c r="L533" s="6" t="s">
        <v>805</v>
      </c>
      <c r="M533" s="6" t="s">
        <v>311</v>
      </c>
      <c r="N533" s="6" t="s">
        <v>631</v>
      </c>
      <c r="O533" s="6" t="s">
        <v>62</v>
      </c>
      <c r="P533" s="6" t="s">
        <v>298</v>
      </c>
      <c r="Q533" s="6" t="s">
        <v>298</v>
      </c>
      <c r="R533" s="6" t="s">
        <v>298</v>
      </c>
      <c r="S533" s="6" t="s">
        <v>1219</v>
      </c>
      <c r="T533" s="131">
        <v>2.0779999999999998</v>
      </c>
      <c r="U533" s="6" t="s">
        <v>1569</v>
      </c>
      <c r="V533" s="134">
        <v>6.0499999999999998E-2</v>
      </c>
      <c r="W533" s="132">
        <v>5.6259999999999998E-2</v>
      </c>
      <c r="X533" s="3" t="s">
        <v>620</v>
      </c>
      <c r="Y533" s="3" t="s">
        <v>62</v>
      </c>
      <c r="Z533" s="131">
        <v>1141000</v>
      </c>
      <c r="AA533" s="129">
        <v>1</v>
      </c>
      <c r="AB533" s="157">
        <v>102.55</v>
      </c>
      <c r="AD533" s="131">
        <v>1170.095</v>
      </c>
      <c r="AG533" s="6" t="s">
        <v>17</v>
      </c>
      <c r="AH533" s="132">
        <v>5.1859999999999996E-3</v>
      </c>
      <c r="AI533" s="132">
        <v>3.9349525265839503E-3</v>
      </c>
      <c r="AJ533" s="132">
        <v>6.1039096064155896E-4</v>
      </c>
    </row>
    <row r="534" spans="1:36" x14ac:dyDescent="0.2">
      <c r="A534" s="6">
        <v>559</v>
      </c>
      <c r="B534" s="6">
        <v>7205</v>
      </c>
      <c r="C534" s="6" t="s">
        <v>1565</v>
      </c>
      <c r="D534" s="6" t="s">
        <v>1566</v>
      </c>
      <c r="E534" s="3" t="s">
        <v>1477</v>
      </c>
      <c r="F534" s="6" t="s">
        <v>1570</v>
      </c>
      <c r="G534" s="6" t="s">
        <v>1571</v>
      </c>
      <c r="H534" s="6" t="s">
        <v>76</v>
      </c>
      <c r="I534" s="6" t="s">
        <v>228</v>
      </c>
      <c r="J534" s="6" t="s">
        <v>53</v>
      </c>
      <c r="K534" s="6" t="s">
        <v>53</v>
      </c>
      <c r="L534" s="6" t="s">
        <v>805</v>
      </c>
      <c r="M534" s="6" t="s">
        <v>102</v>
      </c>
      <c r="N534" s="6" t="s">
        <v>631</v>
      </c>
      <c r="O534" s="6" t="s">
        <v>62</v>
      </c>
      <c r="P534" s="6" t="s">
        <v>298</v>
      </c>
      <c r="Q534" s="6" t="s">
        <v>298</v>
      </c>
      <c r="R534" s="6" t="s">
        <v>298</v>
      </c>
      <c r="S534" s="6" t="s">
        <v>1219</v>
      </c>
      <c r="T534" s="131">
        <v>4.6459999999999999</v>
      </c>
      <c r="U534" s="6" t="s">
        <v>1572</v>
      </c>
      <c r="V534" s="134">
        <v>6.3399999999999998E-2</v>
      </c>
      <c r="W534" s="132">
        <v>6.4640000000000003E-2</v>
      </c>
      <c r="X534" s="3" t="s">
        <v>620</v>
      </c>
      <c r="Y534" s="3" t="s">
        <v>62</v>
      </c>
      <c r="Z534" s="131">
        <v>672000</v>
      </c>
      <c r="AA534" s="129">
        <v>1</v>
      </c>
      <c r="AB534" s="157">
        <v>102.19</v>
      </c>
      <c r="AD534" s="131">
        <v>686.71699999999998</v>
      </c>
      <c r="AG534" s="6" t="s">
        <v>17</v>
      </c>
      <c r="AH534" s="132">
        <v>3.1329999999999999E-3</v>
      </c>
      <c r="AI534" s="132">
        <v>2.3093824454564998E-3</v>
      </c>
      <c r="AJ534" s="132">
        <v>3.5823206502434799E-4</v>
      </c>
    </row>
    <row r="535" spans="1:36" x14ac:dyDescent="0.2">
      <c r="A535" s="6">
        <v>559</v>
      </c>
      <c r="B535" s="6">
        <v>7205</v>
      </c>
      <c r="C535" s="6" t="s">
        <v>1573</v>
      </c>
      <c r="D535" s="6" t="s">
        <v>1574</v>
      </c>
      <c r="E535" s="3" t="s">
        <v>1477</v>
      </c>
      <c r="F535" s="6" t="s">
        <v>1575</v>
      </c>
      <c r="G535" s="6" t="s">
        <v>1576</v>
      </c>
      <c r="H535" s="6" t="s">
        <v>76</v>
      </c>
      <c r="I535" s="6" t="s">
        <v>228</v>
      </c>
      <c r="J535" s="6" t="s">
        <v>53</v>
      </c>
      <c r="K535" s="6" t="s">
        <v>53</v>
      </c>
      <c r="L535" s="6" t="s">
        <v>805</v>
      </c>
      <c r="M535" s="6" t="s">
        <v>311</v>
      </c>
      <c r="N535" s="6" t="s">
        <v>692</v>
      </c>
      <c r="O535" s="6" t="s">
        <v>62</v>
      </c>
      <c r="P535" s="6" t="s">
        <v>1577</v>
      </c>
      <c r="Q535" s="6" t="s">
        <v>65</v>
      </c>
      <c r="R535" s="6" t="s">
        <v>57</v>
      </c>
      <c r="S535" s="6" t="s">
        <v>1219</v>
      </c>
      <c r="T535" s="131">
        <v>0.73</v>
      </c>
      <c r="U535" s="6" t="s">
        <v>1578</v>
      </c>
      <c r="V535" s="134">
        <v>3.9E-2</v>
      </c>
      <c r="W535" s="132">
        <v>4.9660000000000003E-2</v>
      </c>
      <c r="X535" s="3" t="s">
        <v>620</v>
      </c>
      <c r="Y535" s="3" t="s">
        <v>62</v>
      </c>
      <c r="Z535" s="131">
        <v>1481098</v>
      </c>
      <c r="AA535" s="129">
        <v>1</v>
      </c>
      <c r="AB535" s="157">
        <v>100.26</v>
      </c>
      <c r="AD535" s="131">
        <v>1484.9490000000001</v>
      </c>
      <c r="AG535" s="6" t="s">
        <v>17</v>
      </c>
      <c r="AH535" s="132">
        <v>2.5699999999999998E-3</v>
      </c>
      <c r="AI535" s="132">
        <v>4.9937831980750302E-3</v>
      </c>
      <c r="AJ535" s="132">
        <v>7.7463707704623799E-4</v>
      </c>
    </row>
    <row r="536" spans="1:36" x14ac:dyDescent="0.2">
      <c r="A536" s="6">
        <v>559</v>
      </c>
      <c r="B536" s="6">
        <v>7205</v>
      </c>
      <c r="C536" s="6" t="s">
        <v>1579</v>
      </c>
      <c r="D536" s="6" t="s">
        <v>1580</v>
      </c>
      <c r="E536" s="3" t="s">
        <v>1477</v>
      </c>
      <c r="F536" s="6" t="s">
        <v>1581</v>
      </c>
      <c r="G536" s="6" t="s">
        <v>1582</v>
      </c>
      <c r="H536" s="6" t="s">
        <v>76</v>
      </c>
      <c r="I536" s="6" t="s">
        <v>228</v>
      </c>
      <c r="J536" s="6" t="s">
        <v>53</v>
      </c>
      <c r="K536" s="6" t="s">
        <v>53</v>
      </c>
      <c r="L536" s="6" t="s">
        <v>805</v>
      </c>
      <c r="M536" s="6" t="s">
        <v>311</v>
      </c>
      <c r="N536" s="6" t="s">
        <v>635</v>
      </c>
      <c r="O536" s="6" t="s">
        <v>62</v>
      </c>
      <c r="P536" s="6" t="s">
        <v>1577</v>
      </c>
      <c r="Q536" s="6" t="s">
        <v>65</v>
      </c>
      <c r="R536" s="6" t="s">
        <v>57</v>
      </c>
      <c r="S536" s="6" t="s">
        <v>1219</v>
      </c>
      <c r="T536" s="131">
        <v>1.141</v>
      </c>
      <c r="U536" s="6" t="s">
        <v>1583</v>
      </c>
      <c r="V536" s="134">
        <v>3.85E-2</v>
      </c>
      <c r="W536" s="132">
        <v>4.9360000000000001E-2</v>
      </c>
      <c r="X536" s="3" t="s">
        <v>620</v>
      </c>
      <c r="Y536" s="3" t="s">
        <v>62</v>
      </c>
      <c r="Z536" s="131">
        <v>462461</v>
      </c>
      <c r="AA536" s="129">
        <v>1</v>
      </c>
      <c r="AB536" s="157">
        <v>100.09</v>
      </c>
      <c r="AD536" s="131">
        <v>462.87700000000001</v>
      </c>
      <c r="AG536" s="6" t="s">
        <v>17</v>
      </c>
      <c r="AH536" s="132">
        <v>1.4840000000000001E-3</v>
      </c>
      <c r="AI536" s="132">
        <v>1.5566249646023699E-3</v>
      </c>
      <c r="AJ536" s="132">
        <v>2.4146410943542699E-4</v>
      </c>
    </row>
    <row r="537" spans="1:36" x14ac:dyDescent="0.2">
      <c r="A537" s="6">
        <v>559</v>
      </c>
      <c r="B537" s="6">
        <v>7205</v>
      </c>
      <c r="C537" s="6" t="s">
        <v>1586</v>
      </c>
      <c r="D537" s="6" t="s">
        <v>1587</v>
      </c>
      <c r="E537" s="3" t="s">
        <v>1477</v>
      </c>
      <c r="F537" s="6" t="s">
        <v>1588</v>
      </c>
      <c r="G537" s="6" t="s">
        <v>1589</v>
      </c>
      <c r="H537" s="6" t="s">
        <v>76</v>
      </c>
      <c r="I537" s="6" t="s">
        <v>228</v>
      </c>
      <c r="J537" s="6" t="s">
        <v>53</v>
      </c>
      <c r="K537" s="6" t="s">
        <v>53</v>
      </c>
      <c r="L537" s="6" t="s">
        <v>805</v>
      </c>
      <c r="M537" s="6" t="s">
        <v>102</v>
      </c>
      <c r="N537" s="6" t="s">
        <v>140</v>
      </c>
      <c r="O537" s="6" t="s">
        <v>62</v>
      </c>
      <c r="P537" s="6" t="s">
        <v>298</v>
      </c>
      <c r="Q537" s="6" t="s">
        <v>298</v>
      </c>
      <c r="R537" s="6" t="s">
        <v>298</v>
      </c>
      <c r="S537" s="6" t="s">
        <v>1219</v>
      </c>
      <c r="T537" s="131">
        <v>2.605</v>
      </c>
      <c r="U537" s="6" t="s">
        <v>1590</v>
      </c>
      <c r="V537" s="134">
        <v>6.0699999999999997E-2</v>
      </c>
      <c r="W537" s="132">
        <v>5.7910000000000003E-2</v>
      </c>
      <c r="X537" s="3" t="s">
        <v>620</v>
      </c>
      <c r="Y537" s="3" t="s">
        <v>62</v>
      </c>
      <c r="Z537" s="131">
        <v>698000</v>
      </c>
      <c r="AA537" s="129">
        <v>1</v>
      </c>
      <c r="AB537" s="157">
        <v>101.2</v>
      </c>
      <c r="AD537" s="131">
        <v>706.37599999999998</v>
      </c>
      <c r="AG537" s="6" t="s">
        <v>17</v>
      </c>
      <c r="AH537" s="132">
        <v>7.7559999999999999E-3</v>
      </c>
      <c r="AI537" s="132">
        <v>2.3754950137986701E-3</v>
      </c>
      <c r="AJ537" s="132">
        <v>3.6848746552238E-4</v>
      </c>
    </row>
    <row r="538" spans="1:36" x14ac:dyDescent="0.2">
      <c r="A538" s="6">
        <v>559</v>
      </c>
      <c r="B538" s="6">
        <v>7205</v>
      </c>
      <c r="C538" s="6" t="s">
        <v>1591</v>
      </c>
      <c r="D538" s="6" t="s">
        <v>1592</v>
      </c>
      <c r="E538" s="3" t="s">
        <v>1477</v>
      </c>
      <c r="F538" s="6" t="s">
        <v>1593</v>
      </c>
      <c r="G538" s="6" t="s">
        <v>1594</v>
      </c>
      <c r="H538" s="6" t="s">
        <v>76</v>
      </c>
      <c r="I538" s="6" t="s">
        <v>228</v>
      </c>
      <c r="J538" s="6" t="s">
        <v>53</v>
      </c>
      <c r="K538" s="6" t="s">
        <v>53</v>
      </c>
      <c r="L538" s="6" t="s">
        <v>805</v>
      </c>
      <c r="M538" s="6" t="s">
        <v>311</v>
      </c>
      <c r="N538" s="6" t="s">
        <v>140</v>
      </c>
      <c r="O538" s="6" t="s">
        <v>62</v>
      </c>
      <c r="P538" s="6" t="s">
        <v>298</v>
      </c>
      <c r="Q538" s="6" t="s">
        <v>298</v>
      </c>
      <c r="R538" s="6" t="s">
        <v>298</v>
      </c>
      <c r="S538" s="6" t="s">
        <v>1219</v>
      </c>
      <c r="T538" s="131">
        <v>0.81699999999999995</v>
      </c>
      <c r="U538" s="6" t="s">
        <v>1595</v>
      </c>
      <c r="V538" s="134">
        <v>8.2000000000000003E-2</v>
      </c>
      <c r="W538" s="132">
        <v>6.0940000000000001E-2</v>
      </c>
      <c r="X538" s="3" t="s">
        <v>620</v>
      </c>
      <c r="Y538" s="3" t="s">
        <v>62</v>
      </c>
      <c r="Z538" s="131">
        <v>199458.75</v>
      </c>
      <c r="AA538" s="129">
        <v>1</v>
      </c>
      <c r="AB538" s="157">
        <v>101.78</v>
      </c>
      <c r="AD538" s="131">
        <v>203.00899999999999</v>
      </c>
      <c r="AG538" s="6" t="s">
        <v>17</v>
      </c>
      <c r="AH538" s="132">
        <v>2.5820000000000001E-3</v>
      </c>
      <c r="AI538" s="132">
        <v>6.8270601240671004E-4</v>
      </c>
      <c r="AJ538" s="132">
        <v>1.05901551780719E-4</v>
      </c>
    </row>
    <row r="539" spans="1:36" x14ac:dyDescent="0.2">
      <c r="A539" s="6">
        <v>559</v>
      </c>
      <c r="B539" s="6">
        <v>7205</v>
      </c>
      <c r="C539" s="6" t="s">
        <v>1596</v>
      </c>
      <c r="D539" s="6" t="s">
        <v>1597</v>
      </c>
      <c r="E539" s="3" t="s">
        <v>1477</v>
      </c>
      <c r="F539" s="6" t="s">
        <v>1598</v>
      </c>
      <c r="G539" s="6" t="s">
        <v>1599</v>
      </c>
      <c r="H539" s="6" t="s">
        <v>76</v>
      </c>
      <c r="I539" s="6" t="s">
        <v>228</v>
      </c>
      <c r="J539" s="6" t="s">
        <v>53</v>
      </c>
      <c r="K539" s="6" t="s">
        <v>53</v>
      </c>
      <c r="L539" s="6" t="s">
        <v>805</v>
      </c>
      <c r="M539" s="6" t="s">
        <v>311</v>
      </c>
      <c r="N539" s="6" t="s">
        <v>692</v>
      </c>
      <c r="O539" s="6" t="s">
        <v>62</v>
      </c>
      <c r="P539" s="6" t="s">
        <v>1493</v>
      </c>
      <c r="Q539" s="6" t="s">
        <v>65</v>
      </c>
      <c r="R539" s="6" t="s">
        <v>57</v>
      </c>
      <c r="S539" s="6" t="s">
        <v>1219</v>
      </c>
      <c r="T539" s="131">
        <v>0.98499999999999999</v>
      </c>
      <c r="U539" s="6" t="s">
        <v>1595</v>
      </c>
      <c r="V539" s="134">
        <v>0.04</v>
      </c>
      <c r="W539" s="132">
        <v>4.9259999999999998E-2</v>
      </c>
      <c r="X539" s="3" t="s">
        <v>620</v>
      </c>
      <c r="Y539" s="3" t="s">
        <v>62</v>
      </c>
      <c r="Z539" s="131">
        <v>215659.27</v>
      </c>
      <c r="AA539" s="129">
        <v>1</v>
      </c>
      <c r="AB539" s="157">
        <v>99.19</v>
      </c>
      <c r="AD539" s="131">
        <v>213.91200000000001</v>
      </c>
      <c r="AG539" s="6" t="s">
        <v>17</v>
      </c>
      <c r="AH539" s="132">
        <v>3.274E-3</v>
      </c>
      <c r="AI539" s="132">
        <v>7.1937312514565798E-4</v>
      </c>
      <c r="AJ539" s="132">
        <v>1.11589364789256E-4</v>
      </c>
    </row>
    <row r="540" spans="1:36" x14ac:dyDescent="0.2">
      <c r="A540" s="6">
        <v>559</v>
      </c>
      <c r="B540" s="6">
        <v>7205</v>
      </c>
      <c r="C540" s="6" t="s">
        <v>1600</v>
      </c>
      <c r="D540" s="6" t="s">
        <v>1601</v>
      </c>
      <c r="E540" s="3" t="s">
        <v>767</v>
      </c>
      <c r="F540" s="6" t="s">
        <v>1602</v>
      </c>
      <c r="G540" s="6" t="s">
        <v>1603</v>
      </c>
      <c r="H540" s="6" t="s">
        <v>76</v>
      </c>
      <c r="I540" s="6" t="s">
        <v>228</v>
      </c>
      <c r="J540" s="6" t="s">
        <v>53</v>
      </c>
      <c r="K540" s="6" t="s">
        <v>317</v>
      </c>
      <c r="L540" s="6" t="s">
        <v>805</v>
      </c>
      <c r="M540" s="6" t="s">
        <v>102</v>
      </c>
      <c r="N540" s="6" t="s">
        <v>636</v>
      </c>
      <c r="O540" s="6" t="s">
        <v>62</v>
      </c>
      <c r="P540" s="6" t="s">
        <v>1604</v>
      </c>
      <c r="Q540" s="6" t="s">
        <v>70</v>
      </c>
      <c r="R540" s="6" t="s">
        <v>57</v>
      </c>
      <c r="S540" s="6" t="s">
        <v>1219</v>
      </c>
      <c r="T540" s="131">
        <v>2.2410000000000001</v>
      </c>
      <c r="U540" s="6" t="s">
        <v>1605</v>
      </c>
      <c r="V540" s="134">
        <v>7.9500000000000001E-2</v>
      </c>
      <c r="W540" s="132">
        <v>5.8229999999999997E-2</v>
      </c>
      <c r="X540" s="3" t="s">
        <v>620</v>
      </c>
      <c r="Y540" s="3" t="s">
        <v>62</v>
      </c>
      <c r="Z540" s="131">
        <v>71962</v>
      </c>
      <c r="AA540" s="129">
        <v>1</v>
      </c>
      <c r="AB540" s="157">
        <v>104.91</v>
      </c>
      <c r="AD540" s="131">
        <v>75.495000000000005</v>
      </c>
      <c r="AG540" s="6" t="s">
        <v>17</v>
      </c>
      <c r="AH540" s="132">
        <v>4.0400000000000001E-4</v>
      </c>
      <c r="AI540" s="132">
        <v>2.5388573501529502E-4</v>
      </c>
      <c r="AJ540" s="132">
        <v>3.9382827783111402E-5</v>
      </c>
    </row>
    <row r="541" spans="1:36" x14ac:dyDescent="0.2">
      <c r="A541" s="6">
        <v>559</v>
      </c>
      <c r="B541" s="6">
        <v>7205</v>
      </c>
      <c r="C541" s="6" t="s">
        <v>1600</v>
      </c>
      <c r="D541" s="6" t="s">
        <v>1601</v>
      </c>
      <c r="E541" s="3" t="s">
        <v>767</v>
      </c>
      <c r="F541" s="6" t="s">
        <v>1606</v>
      </c>
      <c r="G541" s="6" t="s">
        <v>1607</v>
      </c>
      <c r="H541" s="6" t="s">
        <v>76</v>
      </c>
      <c r="I541" s="6" t="s">
        <v>228</v>
      </c>
      <c r="J541" s="6" t="s">
        <v>53</v>
      </c>
      <c r="K541" s="6" t="s">
        <v>317</v>
      </c>
      <c r="L541" s="6" t="s">
        <v>805</v>
      </c>
      <c r="M541" s="6" t="s">
        <v>102</v>
      </c>
      <c r="N541" s="6" t="s">
        <v>636</v>
      </c>
      <c r="O541" s="6" t="s">
        <v>62</v>
      </c>
      <c r="P541" s="6" t="s">
        <v>1604</v>
      </c>
      <c r="Q541" s="6" t="s">
        <v>70</v>
      </c>
      <c r="R541" s="6" t="s">
        <v>57</v>
      </c>
      <c r="S541" s="6" t="s">
        <v>1219</v>
      </c>
      <c r="T541" s="131">
        <v>2.4500000000000002</v>
      </c>
      <c r="U541" s="6" t="s">
        <v>1608</v>
      </c>
      <c r="V541" s="134">
        <v>0.06</v>
      </c>
      <c r="W541" s="132">
        <v>5.8319999999999997E-2</v>
      </c>
      <c r="X541" s="3" t="s">
        <v>620</v>
      </c>
      <c r="Y541" s="3" t="s">
        <v>62</v>
      </c>
      <c r="Z541" s="131">
        <v>841000</v>
      </c>
      <c r="AA541" s="129">
        <v>1</v>
      </c>
      <c r="AB541" s="157">
        <v>102.71</v>
      </c>
      <c r="AD541" s="131">
        <v>863.79100000000005</v>
      </c>
      <c r="AG541" s="6" t="s">
        <v>17</v>
      </c>
      <c r="AH541" s="132">
        <v>3.0690000000000001E-3</v>
      </c>
      <c r="AI541" s="132">
        <v>2.9048714155261099E-3</v>
      </c>
      <c r="AJ541" s="132">
        <v>4.5060448426870197E-4</v>
      </c>
    </row>
    <row r="542" spans="1:36" x14ac:dyDescent="0.2">
      <c r="A542" s="6">
        <v>559</v>
      </c>
      <c r="B542" s="6">
        <v>7205</v>
      </c>
      <c r="C542" s="6" t="s">
        <v>1609</v>
      </c>
      <c r="D542" s="6" t="s">
        <v>1610</v>
      </c>
      <c r="E542" s="3" t="s">
        <v>1477</v>
      </c>
      <c r="F542" s="6" t="s">
        <v>1611</v>
      </c>
      <c r="G542" s="6" t="s">
        <v>1612</v>
      </c>
      <c r="H542" s="6" t="s">
        <v>76</v>
      </c>
      <c r="I542" s="6" t="s">
        <v>228</v>
      </c>
      <c r="J542" s="6" t="s">
        <v>53</v>
      </c>
      <c r="K542" s="6" t="s">
        <v>53</v>
      </c>
      <c r="L542" s="6" t="s">
        <v>805</v>
      </c>
      <c r="M542" s="6" t="s">
        <v>311</v>
      </c>
      <c r="N542" s="6" t="s">
        <v>635</v>
      </c>
      <c r="O542" s="6" t="s">
        <v>62</v>
      </c>
      <c r="P542" s="6" t="s">
        <v>1533</v>
      </c>
      <c r="Q542" s="6" t="s">
        <v>65</v>
      </c>
      <c r="R542" s="6" t="s">
        <v>57</v>
      </c>
      <c r="S542" s="6" t="s">
        <v>1219</v>
      </c>
      <c r="T542" s="131">
        <v>0.51</v>
      </c>
      <c r="U542" s="6" t="s">
        <v>1613</v>
      </c>
      <c r="V542" s="134">
        <v>3.39E-2</v>
      </c>
      <c r="W542" s="132">
        <v>4.514E-2</v>
      </c>
      <c r="X542" s="3" t="s">
        <v>620</v>
      </c>
      <c r="Y542" s="3" t="s">
        <v>62</v>
      </c>
      <c r="Z542" s="131">
        <v>334064.5</v>
      </c>
      <c r="AA542" s="129">
        <v>1</v>
      </c>
      <c r="AB542" s="157">
        <v>101.09</v>
      </c>
      <c r="AD542" s="131">
        <v>337.70600000000002</v>
      </c>
      <c r="AG542" s="6" t="s">
        <v>17</v>
      </c>
      <c r="AH542" s="132">
        <v>2.0449999999999999E-3</v>
      </c>
      <c r="AI542" s="132">
        <v>1.1356819190858E-3</v>
      </c>
      <c r="AJ542" s="132">
        <v>1.76167303897775E-4</v>
      </c>
    </row>
    <row r="543" spans="1:36" x14ac:dyDescent="0.2">
      <c r="A543" s="6">
        <v>559</v>
      </c>
      <c r="B543" s="6">
        <v>7205</v>
      </c>
      <c r="C543" s="6" t="s">
        <v>1609</v>
      </c>
      <c r="D543" s="6" t="s">
        <v>1610</v>
      </c>
      <c r="E543" s="3" t="s">
        <v>1477</v>
      </c>
      <c r="F543" s="6" t="s">
        <v>1614</v>
      </c>
      <c r="G543" s="6" t="s">
        <v>1615</v>
      </c>
      <c r="H543" s="6" t="s">
        <v>76</v>
      </c>
      <c r="I543" s="6" t="s">
        <v>228</v>
      </c>
      <c r="J543" s="6" t="s">
        <v>53</v>
      </c>
      <c r="K543" s="6" t="s">
        <v>53</v>
      </c>
      <c r="L543" s="6" t="s">
        <v>805</v>
      </c>
      <c r="M543" s="6" t="s">
        <v>1227</v>
      </c>
      <c r="N543" s="6" t="s">
        <v>635</v>
      </c>
      <c r="O543" s="6" t="s">
        <v>62</v>
      </c>
      <c r="P543" s="6" t="s">
        <v>1533</v>
      </c>
      <c r="Q543" s="6" t="s">
        <v>65</v>
      </c>
      <c r="R543" s="6" t="s">
        <v>57</v>
      </c>
      <c r="S543" s="6" t="s">
        <v>1219</v>
      </c>
      <c r="T543" s="131">
        <v>7.4320000000000004</v>
      </c>
      <c r="U543" s="6" t="s">
        <v>1616</v>
      </c>
      <c r="V543" s="134">
        <v>5.79E-2</v>
      </c>
      <c r="W543" s="132">
        <v>4.9489999999999999E-2</v>
      </c>
      <c r="X543" s="3" t="s">
        <v>620</v>
      </c>
      <c r="Y543" s="3" t="s">
        <v>62</v>
      </c>
      <c r="Z543" s="131">
        <v>875000</v>
      </c>
      <c r="AA543" s="129">
        <v>1</v>
      </c>
      <c r="AB543" s="157">
        <v>109</v>
      </c>
      <c r="AD543" s="131">
        <v>953.75</v>
      </c>
      <c r="AG543" s="6" t="s">
        <v>17</v>
      </c>
      <c r="AH543" s="132">
        <v>9.68E-4</v>
      </c>
      <c r="AI543" s="132">
        <v>3.2073971502577701E-3</v>
      </c>
      <c r="AJ543" s="132">
        <v>4.9753236271046905E-4</v>
      </c>
    </row>
    <row r="544" spans="1:36" x14ac:dyDescent="0.2">
      <c r="A544" s="6">
        <v>559</v>
      </c>
      <c r="B544" s="6">
        <v>7205</v>
      </c>
      <c r="C544" s="6" t="s">
        <v>1617</v>
      </c>
      <c r="D544" s="6" t="s">
        <v>1618</v>
      </c>
      <c r="E544" s="3" t="s">
        <v>1477</v>
      </c>
      <c r="F544" s="6" t="s">
        <v>1619</v>
      </c>
      <c r="G544" s="6" t="s">
        <v>1620</v>
      </c>
      <c r="H544" s="6" t="s">
        <v>76</v>
      </c>
      <c r="I544" s="6" t="s">
        <v>228</v>
      </c>
      <c r="J544" s="6" t="s">
        <v>53</v>
      </c>
      <c r="K544" s="6" t="s">
        <v>314</v>
      </c>
      <c r="L544" s="6" t="s">
        <v>805</v>
      </c>
      <c r="M544" s="6" t="s">
        <v>311</v>
      </c>
      <c r="N544" s="6" t="s">
        <v>631</v>
      </c>
      <c r="O544" s="6" t="s">
        <v>62</v>
      </c>
      <c r="P544" s="6" t="s">
        <v>1527</v>
      </c>
      <c r="Q544" s="6" t="s">
        <v>70</v>
      </c>
      <c r="R544" s="6" t="s">
        <v>57</v>
      </c>
      <c r="S544" s="6" t="s">
        <v>1219</v>
      </c>
      <c r="T544" s="131">
        <v>1.01</v>
      </c>
      <c r="U544" s="6" t="s">
        <v>1621</v>
      </c>
      <c r="V544" s="134">
        <v>3.4500000000000003E-2</v>
      </c>
      <c r="W544" s="132">
        <v>4.7660000000000001E-2</v>
      </c>
      <c r="X544" s="3" t="s">
        <v>620</v>
      </c>
      <c r="Y544" s="3" t="s">
        <v>62</v>
      </c>
      <c r="Z544" s="131">
        <v>1562117.59</v>
      </c>
      <c r="AA544" s="129">
        <v>1</v>
      </c>
      <c r="AB544" s="157">
        <v>99.89</v>
      </c>
      <c r="AD544" s="131">
        <v>1560.3989999999999</v>
      </c>
      <c r="AG544" s="6" t="s">
        <v>17</v>
      </c>
      <c r="AH544" s="132">
        <v>2.4299999999999999E-3</v>
      </c>
      <c r="AI544" s="132">
        <v>5.2475178420721899E-3</v>
      </c>
      <c r="AJ544" s="132">
        <v>8.1399646754742904E-4</v>
      </c>
    </row>
    <row r="545" spans="1:36" x14ac:dyDescent="0.2">
      <c r="A545" s="6">
        <v>559</v>
      </c>
      <c r="B545" s="6">
        <v>7205</v>
      </c>
      <c r="C545" s="6" t="s">
        <v>1617</v>
      </c>
      <c r="D545" s="6" t="s">
        <v>1618</v>
      </c>
      <c r="E545" s="3" t="s">
        <v>1477</v>
      </c>
      <c r="F545" s="6" t="s">
        <v>1622</v>
      </c>
      <c r="G545" s="6" t="s">
        <v>1623</v>
      </c>
      <c r="H545" s="6" t="s">
        <v>76</v>
      </c>
      <c r="I545" s="6" t="s">
        <v>607</v>
      </c>
      <c r="J545" s="6" t="s">
        <v>53</v>
      </c>
      <c r="K545" s="6" t="s">
        <v>314</v>
      </c>
      <c r="L545" s="6" t="s">
        <v>805</v>
      </c>
      <c r="M545" s="6" t="s">
        <v>311</v>
      </c>
      <c r="N545" s="6" t="s">
        <v>631</v>
      </c>
      <c r="O545" s="6" t="s">
        <v>62</v>
      </c>
      <c r="P545" s="6" t="s">
        <v>1527</v>
      </c>
      <c r="Q545" s="6" t="s">
        <v>70</v>
      </c>
      <c r="R545" s="6" t="s">
        <v>57</v>
      </c>
      <c r="S545" s="6" t="s">
        <v>1219</v>
      </c>
      <c r="T545" s="131">
        <v>3.1269999999999998</v>
      </c>
      <c r="U545" s="6" t="s">
        <v>1504</v>
      </c>
      <c r="V545" s="134">
        <v>7.4999999999999997E-3</v>
      </c>
      <c r="W545" s="132">
        <v>5.1119999999999999E-2</v>
      </c>
      <c r="X545" s="3" t="s">
        <v>620</v>
      </c>
      <c r="Y545" s="3" t="s">
        <v>62</v>
      </c>
      <c r="Z545" s="131">
        <v>2828000</v>
      </c>
      <c r="AA545" s="129">
        <v>1</v>
      </c>
      <c r="AB545" s="157">
        <v>87.8</v>
      </c>
      <c r="AD545" s="131">
        <v>2482.9839999999999</v>
      </c>
      <c r="AG545" s="6" t="s">
        <v>17</v>
      </c>
      <c r="AH545" s="132">
        <v>5.3210000000000002E-3</v>
      </c>
      <c r="AI545" s="132">
        <v>8.3501083153191408E-3</v>
      </c>
      <c r="AJ545" s="132">
        <v>1.29527118856335E-3</v>
      </c>
    </row>
    <row r="546" spans="1:36" x14ac:dyDescent="0.2">
      <c r="A546" s="6">
        <v>559</v>
      </c>
      <c r="B546" s="6">
        <v>7205</v>
      </c>
      <c r="C546" s="6" t="s">
        <v>1624</v>
      </c>
      <c r="D546" s="6" t="s">
        <v>1625</v>
      </c>
      <c r="E546" s="3" t="s">
        <v>767</v>
      </c>
      <c r="F546" s="6" t="s">
        <v>1626</v>
      </c>
      <c r="G546" s="6" t="s">
        <v>1627</v>
      </c>
      <c r="H546" s="6" t="s">
        <v>76</v>
      </c>
      <c r="I546" s="6" t="s">
        <v>228</v>
      </c>
      <c r="J546" s="6" t="s">
        <v>53</v>
      </c>
      <c r="K546" s="6" t="s">
        <v>314</v>
      </c>
      <c r="L546" s="6" t="s">
        <v>805</v>
      </c>
      <c r="M546" s="6" t="s">
        <v>1227</v>
      </c>
      <c r="N546" s="6" t="s">
        <v>636</v>
      </c>
      <c r="O546" s="6" t="s">
        <v>62</v>
      </c>
      <c r="P546" s="6" t="s">
        <v>1628</v>
      </c>
      <c r="Q546" s="6" t="s">
        <v>65</v>
      </c>
      <c r="R546" s="6" t="s">
        <v>57</v>
      </c>
      <c r="S546" s="6" t="s">
        <v>1219</v>
      </c>
      <c r="T546" s="131">
        <v>0.98399999999999999</v>
      </c>
      <c r="U546" s="6" t="s">
        <v>1629</v>
      </c>
      <c r="V546" s="134">
        <v>7.2499999999999995E-2</v>
      </c>
      <c r="W546" s="132">
        <v>6.1409999999999999E-2</v>
      </c>
      <c r="X546" s="3" t="s">
        <v>620</v>
      </c>
      <c r="Y546" s="3" t="s">
        <v>62</v>
      </c>
      <c r="Z546" s="131">
        <v>832000</v>
      </c>
      <c r="AA546" s="129">
        <v>1</v>
      </c>
      <c r="AB546" s="157">
        <v>104.55</v>
      </c>
      <c r="AD546" s="131">
        <v>869.85599999999999</v>
      </c>
      <c r="AG546" s="6" t="s">
        <v>17</v>
      </c>
      <c r="AH546" s="132">
        <v>5.7619999999999998E-3</v>
      </c>
      <c r="AI546" s="132">
        <v>2.9252672666155899E-3</v>
      </c>
      <c r="AJ546" s="132">
        <v>4.5376829451939998E-4</v>
      </c>
    </row>
    <row r="547" spans="1:36" x14ac:dyDescent="0.2">
      <c r="A547" s="6">
        <v>559</v>
      </c>
      <c r="B547" s="6">
        <v>7205</v>
      </c>
      <c r="C547" s="6" t="s">
        <v>1630</v>
      </c>
      <c r="D547" s="6" t="s">
        <v>1631</v>
      </c>
      <c r="E547" s="3" t="s">
        <v>1477</v>
      </c>
      <c r="F547" s="6" t="s">
        <v>1632</v>
      </c>
      <c r="G547" s="6" t="s">
        <v>1633</v>
      </c>
      <c r="H547" s="6" t="s">
        <v>76</v>
      </c>
      <c r="I547" s="6" t="s">
        <v>607</v>
      </c>
      <c r="J547" s="6" t="s">
        <v>53</v>
      </c>
      <c r="K547" s="6" t="s">
        <v>53</v>
      </c>
      <c r="L547" s="6" t="s">
        <v>805</v>
      </c>
      <c r="M547" s="6" t="s">
        <v>311</v>
      </c>
      <c r="N547" s="6" t="s">
        <v>631</v>
      </c>
      <c r="O547" s="6" t="s">
        <v>62</v>
      </c>
      <c r="P547" s="6" t="s">
        <v>1628</v>
      </c>
      <c r="Q547" s="6" t="s">
        <v>65</v>
      </c>
      <c r="R547" s="6" t="s">
        <v>57</v>
      </c>
      <c r="S547" s="6" t="s">
        <v>1219</v>
      </c>
      <c r="T547" s="131">
        <v>2.0760000000000001</v>
      </c>
      <c r="U547" s="6" t="s">
        <v>1634</v>
      </c>
      <c r="V547" s="134">
        <v>1.25E-3</v>
      </c>
      <c r="W547" s="132">
        <v>4.8520000000000001E-2</v>
      </c>
      <c r="X547" s="3" t="s">
        <v>620</v>
      </c>
      <c r="Y547" s="3" t="s">
        <v>62</v>
      </c>
      <c r="Z547" s="131">
        <v>98669</v>
      </c>
      <c r="AA547" s="129">
        <v>1</v>
      </c>
      <c r="AB547" s="157">
        <v>91.2</v>
      </c>
      <c r="AD547" s="131">
        <v>89.986000000000004</v>
      </c>
      <c r="AG547" s="6" t="s">
        <v>17</v>
      </c>
      <c r="AH547" s="132">
        <v>1.74E-4</v>
      </c>
      <c r="AI547" s="132">
        <v>3.0261730066572E-4</v>
      </c>
      <c r="AJ547" s="132">
        <v>4.69420821756295E-5</v>
      </c>
    </row>
    <row r="548" spans="1:36" x14ac:dyDescent="0.2">
      <c r="A548" s="6">
        <v>559</v>
      </c>
      <c r="B548" s="6">
        <v>7205</v>
      </c>
      <c r="C548" s="6" t="s">
        <v>1635</v>
      </c>
      <c r="D548" s="6" t="s">
        <v>1636</v>
      </c>
      <c r="E548" s="3" t="s">
        <v>1477</v>
      </c>
      <c r="F548" s="6" t="s">
        <v>1637</v>
      </c>
      <c r="G548" s="6" t="s">
        <v>1638</v>
      </c>
      <c r="H548" s="6" t="s">
        <v>76</v>
      </c>
      <c r="I548" s="6" t="s">
        <v>228</v>
      </c>
      <c r="J548" s="6" t="s">
        <v>53</v>
      </c>
      <c r="K548" s="6" t="s">
        <v>53</v>
      </c>
      <c r="L548" s="6" t="s">
        <v>805</v>
      </c>
      <c r="M548" s="6" t="s">
        <v>311</v>
      </c>
      <c r="N548" s="6" t="s">
        <v>636</v>
      </c>
      <c r="O548" s="6" t="s">
        <v>62</v>
      </c>
      <c r="P548" s="6" t="s">
        <v>1493</v>
      </c>
      <c r="Q548" s="6" t="s">
        <v>65</v>
      </c>
      <c r="R548" s="6" t="s">
        <v>57</v>
      </c>
      <c r="S548" s="6" t="s">
        <v>1219</v>
      </c>
      <c r="T548" s="131">
        <v>2</v>
      </c>
      <c r="U548" s="6" t="s">
        <v>1639</v>
      </c>
      <c r="V548" s="134">
        <v>2.3E-2</v>
      </c>
      <c r="W548" s="132">
        <v>4.8910000000000002E-2</v>
      </c>
      <c r="X548" s="3" t="s">
        <v>620</v>
      </c>
      <c r="Y548" s="3" t="s">
        <v>62</v>
      </c>
      <c r="Z548" s="131">
        <v>1494419.16</v>
      </c>
      <c r="AA548" s="129">
        <v>1</v>
      </c>
      <c r="AB548" s="157">
        <v>95.78</v>
      </c>
      <c r="AD548" s="131">
        <v>1431.355</v>
      </c>
      <c r="AG548" s="6" t="s">
        <v>17</v>
      </c>
      <c r="AH548" s="132">
        <v>2.0720000000000001E-3</v>
      </c>
      <c r="AI548" s="132">
        <v>4.81354956142643E-3</v>
      </c>
      <c r="AJ548" s="132">
        <v>7.4667918381356797E-4</v>
      </c>
    </row>
    <row r="549" spans="1:36" x14ac:dyDescent="0.2">
      <c r="A549" s="6">
        <v>559</v>
      </c>
      <c r="B549" s="6">
        <v>7205</v>
      </c>
      <c r="C549" s="6" t="s">
        <v>1640</v>
      </c>
      <c r="D549" s="6" t="s">
        <v>1641</v>
      </c>
      <c r="E549" s="3" t="s">
        <v>1477</v>
      </c>
      <c r="F549" s="6" t="s">
        <v>1642</v>
      </c>
      <c r="G549" s="6" t="s">
        <v>1643</v>
      </c>
      <c r="H549" s="6" t="s">
        <v>76</v>
      </c>
      <c r="I549" s="6" t="s">
        <v>228</v>
      </c>
      <c r="J549" s="6" t="s">
        <v>53</v>
      </c>
      <c r="K549" s="6" t="s">
        <v>53</v>
      </c>
      <c r="L549" s="6" t="s">
        <v>805</v>
      </c>
      <c r="M549" s="6" t="s">
        <v>311</v>
      </c>
      <c r="N549" s="6" t="s">
        <v>140</v>
      </c>
      <c r="O549" s="6" t="s">
        <v>62</v>
      </c>
      <c r="P549" s="6" t="s">
        <v>298</v>
      </c>
      <c r="Q549" s="6" t="s">
        <v>298</v>
      </c>
      <c r="R549" s="6" t="s">
        <v>298</v>
      </c>
      <c r="S549" s="6" t="s">
        <v>1219</v>
      </c>
      <c r="T549" s="131">
        <v>1.4359999999999999</v>
      </c>
      <c r="U549" s="6" t="s">
        <v>1644</v>
      </c>
      <c r="V549" s="134">
        <v>8.5000000000000006E-2</v>
      </c>
      <c r="W549" s="132">
        <v>5.4870000000000002E-2</v>
      </c>
      <c r="X549" s="3" t="s">
        <v>620</v>
      </c>
      <c r="Y549" s="3" t="s">
        <v>62</v>
      </c>
      <c r="Z549" s="131">
        <v>1059046</v>
      </c>
      <c r="AA549" s="129">
        <v>1</v>
      </c>
      <c r="AB549" s="157">
        <v>104.4</v>
      </c>
      <c r="AD549" s="131">
        <v>1105.644</v>
      </c>
      <c r="AG549" s="6" t="s">
        <v>17</v>
      </c>
      <c r="AH549" s="132">
        <v>8.1460000000000005E-3</v>
      </c>
      <c r="AI549" s="132">
        <v>3.7182065444583299E-3</v>
      </c>
      <c r="AJ549" s="132">
        <v>5.7676926194225996E-4</v>
      </c>
    </row>
    <row r="550" spans="1:36" x14ac:dyDescent="0.2">
      <c r="A550" s="6">
        <v>559</v>
      </c>
      <c r="B550" s="6">
        <v>7205</v>
      </c>
      <c r="C550" s="6" t="s">
        <v>1640</v>
      </c>
      <c r="D550" s="6" t="s">
        <v>1641</v>
      </c>
      <c r="E550" s="3" t="s">
        <v>1477</v>
      </c>
      <c r="F550" s="6" t="s">
        <v>1645</v>
      </c>
      <c r="G550" s="6" t="s">
        <v>1646</v>
      </c>
      <c r="H550" s="6" t="s">
        <v>76</v>
      </c>
      <c r="I550" s="6" t="s">
        <v>228</v>
      </c>
      <c r="J550" s="6" t="s">
        <v>53</v>
      </c>
      <c r="K550" s="6" t="s">
        <v>53</v>
      </c>
      <c r="L550" s="6" t="s">
        <v>805</v>
      </c>
      <c r="M550" s="6" t="s">
        <v>102</v>
      </c>
      <c r="N550" s="6" t="s">
        <v>140</v>
      </c>
      <c r="O550" s="6" t="s">
        <v>62</v>
      </c>
      <c r="P550" s="6" t="s">
        <v>298</v>
      </c>
      <c r="Q550" s="6" t="s">
        <v>298</v>
      </c>
      <c r="R550" s="6" t="s">
        <v>298</v>
      </c>
      <c r="S550" s="6" t="s">
        <v>1219</v>
      </c>
      <c r="T550" s="131">
        <v>2.8119999999999998</v>
      </c>
      <c r="U550" s="6" t="s">
        <v>1590</v>
      </c>
      <c r="V550" s="134">
        <v>7.17E-2</v>
      </c>
      <c r="W550" s="132">
        <v>5.9709999999999999E-2</v>
      </c>
      <c r="X550" s="3" t="s">
        <v>620</v>
      </c>
      <c r="Y550" s="3" t="s">
        <v>62</v>
      </c>
      <c r="Z550" s="131">
        <v>258000</v>
      </c>
      <c r="AA550" s="129">
        <v>1</v>
      </c>
      <c r="AB550" s="157">
        <v>103.57</v>
      </c>
      <c r="AD550" s="131">
        <v>267.21100000000001</v>
      </c>
      <c r="AG550" s="6" t="s">
        <v>17</v>
      </c>
      <c r="AH550" s="132">
        <v>1.7979999999999999E-3</v>
      </c>
      <c r="AI550" s="132">
        <v>8.9861128907855201E-4</v>
      </c>
      <c r="AJ550" s="132">
        <v>1.39392840009732E-4</v>
      </c>
    </row>
    <row r="551" spans="1:36" x14ac:dyDescent="0.2">
      <c r="A551" s="6">
        <v>559</v>
      </c>
      <c r="B551" s="6">
        <v>7205</v>
      </c>
      <c r="C551" s="6" t="s">
        <v>1640</v>
      </c>
      <c r="D551" s="6" t="s">
        <v>1641</v>
      </c>
      <c r="E551" s="3" t="s">
        <v>1477</v>
      </c>
      <c r="F551" s="6" t="s">
        <v>1647</v>
      </c>
      <c r="G551" s="6" t="s">
        <v>1648</v>
      </c>
      <c r="H551" s="6" t="s">
        <v>76</v>
      </c>
      <c r="I551" s="6" t="s">
        <v>228</v>
      </c>
      <c r="J551" s="6" t="s">
        <v>53</v>
      </c>
      <c r="K551" s="6" t="s">
        <v>53</v>
      </c>
      <c r="L551" s="6" t="s">
        <v>805</v>
      </c>
      <c r="M551" s="6" t="s">
        <v>102</v>
      </c>
      <c r="N551" s="6" t="s">
        <v>140</v>
      </c>
      <c r="O551" s="6" t="s">
        <v>62</v>
      </c>
      <c r="P551" s="6" t="s">
        <v>298</v>
      </c>
      <c r="Q551" s="6" t="s">
        <v>298</v>
      </c>
      <c r="R551" s="6" t="s">
        <v>298</v>
      </c>
      <c r="S551" s="6" t="s">
        <v>1219</v>
      </c>
      <c r="T551" s="131">
        <v>3.2839999999999998</v>
      </c>
      <c r="U551" s="6" t="s">
        <v>1649</v>
      </c>
      <c r="V551" s="134">
        <v>6.6900000000000001E-2</v>
      </c>
      <c r="W551" s="132">
        <v>6.5750000000000003E-2</v>
      </c>
      <c r="X551" s="3" t="s">
        <v>620</v>
      </c>
      <c r="Y551" s="3" t="s">
        <v>62</v>
      </c>
      <c r="Z551" s="131">
        <v>641218</v>
      </c>
      <c r="AA551" s="129">
        <v>1</v>
      </c>
      <c r="AB551" s="157">
        <v>100.7</v>
      </c>
      <c r="AD551" s="131">
        <v>645.70699999999999</v>
      </c>
      <c r="AG551" s="6" t="s">
        <v>17</v>
      </c>
      <c r="AH551" s="132">
        <v>2.137E-3</v>
      </c>
      <c r="AI551" s="132">
        <v>2.17146765021782E-3</v>
      </c>
      <c r="AJ551" s="132">
        <v>3.36838682567076E-4</v>
      </c>
    </row>
    <row r="552" spans="1:36" x14ac:dyDescent="0.2">
      <c r="A552" s="6">
        <v>559</v>
      </c>
      <c r="B552" s="6">
        <v>7205</v>
      </c>
      <c r="C552" s="6" t="s">
        <v>1650</v>
      </c>
      <c r="D552" s="6" t="s">
        <v>1651</v>
      </c>
      <c r="E552" s="3" t="s">
        <v>1477</v>
      </c>
      <c r="F552" s="6" t="s">
        <v>1652</v>
      </c>
      <c r="G552" s="6" t="s">
        <v>1653</v>
      </c>
      <c r="H552" s="6" t="s">
        <v>76</v>
      </c>
      <c r="I552" s="6" t="s">
        <v>228</v>
      </c>
      <c r="J552" s="6" t="s">
        <v>53</v>
      </c>
      <c r="K552" s="6" t="s">
        <v>53</v>
      </c>
      <c r="L552" s="6" t="s">
        <v>805</v>
      </c>
      <c r="M552" s="6" t="s">
        <v>311</v>
      </c>
      <c r="N552" s="6" t="s">
        <v>692</v>
      </c>
      <c r="O552" s="6" t="s">
        <v>62</v>
      </c>
      <c r="P552" s="6" t="s">
        <v>1533</v>
      </c>
      <c r="Q552" s="6" t="s">
        <v>65</v>
      </c>
      <c r="R552" s="6" t="s">
        <v>57</v>
      </c>
      <c r="S552" s="6" t="s">
        <v>1219</v>
      </c>
      <c r="T552" s="131">
        <v>2.1859999999999999</v>
      </c>
      <c r="U552" s="6" t="s">
        <v>1654</v>
      </c>
      <c r="V552" s="134">
        <v>1.6400000000000001E-2</v>
      </c>
      <c r="W552" s="132">
        <v>4.7849999999999997E-2</v>
      </c>
      <c r="X552" s="3" t="s">
        <v>620</v>
      </c>
      <c r="Y552" s="3" t="s">
        <v>62</v>
      </c>
      <c r="Z552" s="131">
        <v>750000</v>
      </c>
      <c r="AA552" s="129">
        <v>1</v>
      </c>
      <c r="AB552" s="157">
        <v>93.91</v>
      </c>
      <c r="AD552" s="131">
        <v>704.32500000000005</v>
      </c>
      <c r="AG552" s="6" t="s">
        <v>17</v>
      </c>
      <c r="AH552" s="132">
        <v>2.3960000000000001E-3</v>
      </c>
      <c r="AI552" s="132">
        <v>2.36859763864252E-3</v>
      </c>
      <c r="AJ552" s="132">
        <v>3.6741754271669801E-4</v>
      </c>
    </row>
    <row r="553" spans="1:36" x14ac:dyDescent="0.2">
      <c r="A553" s="6">
        <v>559</v>
      </c>
      <c r="B553" s="6">
        <v>7205</v>
      </c>
      <c r="C553" s="6" t="s">
        <v>1655</v>
      </c>
      <c r="D553" s="6" t="s">
        <v>1656</v>
      </c>
      <c r="E553" s="3" t="s">
        <v>1477</v>
      </c>
      <c r="F553" s="6" t="s">
        <v>1657</v>
      </c>
      <c r="G553" s="6" t="s">
        <v>1658</v>
      </c>
      <c r="H553" s="6" t="s">
        <v>76</v>
      </c>
      <c r="I553" s="6" t="s">
        <v>607</v>
      </c>
      <c r="J553" s="6" t="s">
        <v>53</v>
      </c>
      <c r="K553" s="6" t="s">
        <v>53</v>
      </c>
      <c r="L553" s="6" t="s">
        <v>805</v>
      </c>
      <c r="M553" s="6" t="s">
        <v>311</v>
      </c>
      <c r="N553" s="6" t="s">
        <v>631</v>
      </c>
      <c r="O553" s="6" t="s">
        <v>62</v>
      </c>
      <c r="P553" s="6" t="s">
        <v>298</v>
      </c>
      <c r="Q553" s="6" t="s">
        <v>298</v>
      </c>
      <c r="R553" s="6" t="s">
        <v>298</v>
      </c>
      <c r="S553" s="6" t="s">
        <v>1219</v>
      </c>
      <c r="T553" s="131">
        <v>0.98799999999999999</v>
      </c>
      <c r="U553" s="6" t="s">
        <v>1595</v>
      </c>
      <c r="V553" s="134">
        <v>2.5000000000000001E-2</v>
      </c>
      <c r="W553" s="132">
        <v>1.7059999999999999E-2</v>
      </c>
      <c r="X553" s="3" t="s">
        <v>620</v>
      </c>
      <c r="Y553" s="3" t="s">
        <v>62</v>
      </c>
      <c r="Z553" s="131">
        <v>1531327</v>
      </c>
      <c r="AA553" s="129">
        <v>1</v>
      </c>
      <c r="AB553" s="157">
        <v>100.8</v>
      </c>
      <c r="AD553" s="131">
        <v>1543.578</v>
      </c>
      <c r="AG553" s="6" t="s">
        <v>17</v>
      </c>
      <c r="AH553" s="132">
        <v>4.5750000000000001E-3</v>
      </c>
      <c r="AI553" s="132">
        <v>5.19094778166195E-3</v>
      </c>
      <c r="AJ553" s="132">
        <v>8.0522130360731101E-4</v>
      </c>
    </row>
    <row r="554" spans="1:36" x14ac:dyDescent="0.2">
      <c r="A554" s="6">
        <v>559</v>
      </c>
      <c r="B554" s="6">
        <v>7205</v>
      </c>
      <c r="C554" s="6" t="s">
        <v>1659</v>
      </c>
      <c r="D554" s="6" t="s">
        <v>1660</v>
      </c>
      <c r="E554" s="3" t="s">
        <v>1477</v>
      </c>
      <c r="F554" s="6" t="s">
        <v>1661</v>
      </c>
      <c r="G554" s="6" t="s">
        <v>1662</v>
      </c>
      <c r="H554" s="6" t="s">
        <v>76</v>
      </c>
      <c r="I554" s="6" t="s">
        <v>229</v>
      </c>
      <c r="J554" s="6" t="s">
        <v>53</v>
      </c>
      <c r="K554" s="6" t="s">
        <v>53</v>
      </c>
      <c r="L554" s="6" t="s">
        <v>805</v>
      </c>
      <c r="M554" s="6" t="s">
        <v>311</v>
      </c>
      <c r="N554" s="6" t="s">
        <v>635</v>
      </c>
      <c r="O554" s="6" t="s">
        <v>62</v>
      </c>
      <c r="P554" s="6" t="s">
        <v>298</v>
      </c>
      <c r="Q554" s="6" t="s">
        <v>298</v>
      </c>
      <c r="R554" s="6" t="s">
        <v>298</v>
      </c>
      <c r="S554" s="6" t="s">
        <v>1219</v>
      </c>
      <c r="T554" s="131">
        <v>1.6719999999999999</v>
      </c>
      <c r="U554" s="6" t="s">
        <v>1663</v>
      </c>
      <c r="V554" s="134">
        <v>1.9E-2</v>
      </c>
      <c r="W554" s="132">
        <v>3.4250000000000003E-2</v>
      </c>
      <c r="X554" s="3" t="s">
        <v>620</v>
      </c>
      <c r="Y554" s="3" t="s">
        <v>62</v>
      </c>
      <c r="Z554" s="131">
        <v>1852791.21</v>
      </c>
      <c r="AA554" s="129">
        <v>1</v>
      </c>
      <c r="AB554" s="157">
        <v>110.1</v>
      </c>
      <c r="AD554" s="131">
        <v>2039.923</v>
      </c>
      <c r="AG554" s="6" t="s">
        <v>17</v>
      </c>
      <c r="AH554" s="132">
        <v>3.2950000000000002E-3</v>
      </c>
      <c r="AI554" s="132">
        <v>6.8601243605989903E-3</v>
      </c>
      <c r="AJ554" s="132">
        <v>1.0641444516286799E-3</v>
      </c>
    </row>
    <row r="555" spans="1:36" x14ac:dyDescent="0.2">
      <c r="A555" s="6">
        <v>559</v>
      </c>
      <c r="B555" s="6">
        <v>7205</v>
      </c>
      <c r="C555" s="6" t="s">
        <v>1664</v>
      </c>
      <c r="D555" s="6" t="s">
        <v>1665</v>
      </c>
      <c r="E555" s="3" t="s">
        <v>1477</v>
      </c>
      <c r="F555" s="6" t="s">
        <v>1666</v>
      </c>
      <c r="G555" s="6" t="s">
        <v>1667</v>
      </c>
      <c r="H555" s="6" t="s">
        <v>76</v>
      </c>
      <c r="I555" s="6" t="s">
        <v>229</v>
      </c>
      <c r="J555" s="6" t="s">
        <v>53</v>
      </c>
      <c r="K555" s="6" t="s">
        <v>53</v>
      </c>
      <c r="L555" s="6" t="s">
        <v>805</v>
      </c>
      <c r="M555" s="6" t="s">
        <v>311</v>
      </c>
      <c r="N555" s="6" t="s">
        <v>635</v>
      </c>
      <c r="O555" s="6" t="s">
        <v>62</v>
      </c>
      <c r="P555" s="6" t="s">
        <v>1493</v>
      </c>
      <c r="Q555" s="6" t="s">
        <v>65</v>
      </c>
      <c r="R555" s="6" t="s">
        <v>57</v>
      </c>
      <c r="S555" s="6" t="s">
        <v>1219</v>
      </c>
      <c r="T555" s="131">
        <v>2.956</v>
      </c>
      <c r="U555" s="6" t="s">
        <v>1668</v>
      </c>
      <c r="V555" s="134">
        <v>1.83E-2</v>
      </c>
      <c r="W555" s="132">
        <v>2.8729999999999999E-2</v>
      </c>
      <c r="X555" s="3" t="s">
        <v>620</v>
      </c>
      <c r="Y555" s="3" t="s">
        <v>62</v>
      </c>
      <c r="Z555" s="131">
        <v>521777.5</v>
      </c>
      <c r="AA555" s="129">
        <v>1</v>
      </c>
      <c r="AB555" s="157">
        <v>113.83</v>
      </c>
      <c r="AD555" s="131">
        <v>593.93899999999996</v>
      </c>
      <c r="AG555" s="6" t="s">
        <v>17</v>
      </c>
      <c r="AH555" s="132">
        <v>2.0709999999999999E-3</v>
      </c>
      <c r="AI555" s="132">
        <v>1.9973780433604899E-3</v>
      </c>
      <c r="AJ555" s="132">
        <v>3.0983385299175999E-4</v>
      </c>
    </row>
    <row r="556" spans="1:36" x14ac:dyDescent="0.2">
      <c r="A556" s="6">
        <v>559</v>
      </c>
      <c r="B556" s="6">
        <v>7205</v>
      </c>
      <c r="C556" s="6" t="s">
        <v>1664</v>
      </c>
      <c r="D556" s="6" t="s">
        <v>1665</v>
      </c>
      <c r="E556" s="3" t="s">
        <v>1477</v>
      </c>
      <c r="F556" s="6" t="s">
        <v>1669</v>
      </c>
      <c r="G556" s="6" t="s">
        <v>1670</v>
      </c>
      <c r="H556" s="6" t="s">
        <v>76</v>
      </c>
      <c r="I556" s="6" t="s">
        <v>229</v>
      </c>
      <c r="J556" s="6" t="s">
        <v>53</v>
      </c>
      <c r="K556" s="6" t="s">
        <v>53</v>
      </c>
      <c r="L556" s="6" t="s">
        <v>805</v>
      </c>
      <c r="M556" s="6" t="s">
        <v>311</v>
      </c>
      <c r="N556" s="6" t="s">
        <v>635</v>
      </c>
      <c r="O556" s="6" t="s">
        <v>62</v>
      </c>
      <c r="P556" s="6" t="s">
        <v>1493</v>
      </c>
      <c r="Q556" s="6" t="s">
        <v>65</v>
      </c>
      <c r="R556" s="6" t="s">
        <v>57</v>
      </c>
      <c r="S556" s="6" t="s">
        <v>1219</v>
      </c>
      <c r="T556" s="131">
        <v>3.4209999999999998</v>
      </c>
      <c r="U556" s="6" t="s">
        <v>1549</v>
      </c>
      <c r="V556" s="134">
        <v>1.5299999999999999E-2</v>
      </c>
      <c r="W556" s="132">
        <v>2.7949999999999999E-2</v>
      </c>
      <c r="X556" s="3" t="s">
        <v>620</v>
      </c>
      <c r="Y556" s="3" t="s">
        <v>62</v>
      </c>
      <c r="Z556" s="131">
        <v>1532953.64</v>
      </c>
      <c r="AA556" s="129">
        <v>1</v>
      </c>
      <c r="AB556" s="157">
        <v>112.31</v>
      </c>
      <c r="AC556" s="131">
        <v>67.921000000000006</v>
      </c>
      <c r="AD556" s="131">
        <v>1789.5809999999999</v>
      </c>
      <c r="AG556" s="6" t="s">
        <v>17</v>
      </c>
      <c r="AH556" s="132">
        <v>2.9780000000000002E-3</v>
      </c>
      <c r="AI556" s="132">
        <v>6.0182398655263102E-3</v>
      </c>
      <c r="AJ556" s="132">
        <v>9.3355108811922396E-4</v>
      </c>
    </row>
    <row r="557" spans="1:36" x14ac:dyDescent="0.2">
      <c r="A557" s="6">
        <v>559</v>
      </c>
      <c r="B557" s="6">
        <v>7205</v>
      </c>
      <c r="C557" s="6" t="s">
        <v>1671</v>
      </c>
      <c r="D557" s="6" t="s">
        <v>1672</v>
      </c>
      <c r="E557" s="3" t="s">
        <v>1477</v>
      </c>
      <c r="F557" s="6" t="s">
        <v>1673</v>
      </c>
      <c r="G557" s="6" t="s">
        <v>1674</v>
      </c>
      <c r="H557" s="6" t="s">
        <v>76</v>
      </c>
      <c r="I557" s="6" t="s">
        <v>229</v>
      </c>
      <c r="J557" s="6" t="s">
        <v>53</v>
      </c>
      <c r="K557" s="6" t="s">
        <v>53</v>
      </c>
      <c r="L557" s="6" t="s">
        <v>805</v>
      </c>
      <c r="M557" s="6" t="s">
        <v>311</v>
      </c>
      <c r="N557" s="6" t="s">
        <v>140</v>
      </c>
      <c r="O557" s="6" t="s">
        <v>62</v>
      </c>
      <c r="P557" s="6" t="s">
        <v>1628</v>
      </c>
      <c r="Q557" s="6" t="s">
        <v>65</v>
      </c>
      <c r="R557" s="6" t="s">
        <v>57</v>
      </c>
      <c r="S557" s="6" t="s">
        <v>1219</v>
      </c>
      <c r="T557" s="131">
        <v>0.35899999999999999</v>
      </c>
      <c r="U557" s="6" t="s">
        <v>1675</v>
      </c>
      <c r="V557" s="134">
        <v>2.4E-2</v>
      </c>
      <c r="W557" s="132">
        <v>2.7359999999999999E-2</v>
      </c>
      <c r="X557" s="3" t="s">
        <v>620</v>
      </c>
      <c r="Y557" s="3" t="s">
        <v>62</v>
      </c>
      <c r="Z557" s="131">
        <v>31282.46</v>
      </c>
      <c r="AA557" s="129">
        <v>1</v>
      </c>
      <c r="AB557" s="157">
        <v>117.52</v>
      </c>
      <c r="AD557" s="131">
        <v>36.762999999999998</v>
      </c>
      <c r="AG557" s="6" t="s">
        <v>17</v>
      </c>
      <c r="AH557" s="132">
        <v>9.3199999999999999E-4</v>
      </c>
      <c r="AI557" s="132">
        <v>1.23631992552187E-4</v>
      </c>
      <c r="AJ557" s="132">
        <v>1.91778300221253E-5</v>
      </c>
    </row>
    <row r="558" spans="1:36" x14ac:dyDescent="0.2">
      <c r="A558" s="6">
        <v>559</v>
      </c>
      <c r="B558" s="6">
        <v>7205</v>
      </c>
      <c r="C558" s="6" t="s">
        <v>1676</v>
      </c>
      <c r="D558" s="6" t="s">
        <v>1677</v>
      </c>
      <c r="E558" s="3" t="s">
        <v>1477</v>
      </c>
      <c r="F558" s="6" t="s">
        <v>1678</v>
      </c>
      <c r="G558" s="6" t="s">
        <v>1679</v>
      </c>
      <c r="H558" s="6" t="s">
        <v>76</v>
      </c>
      <c r="I558" s="6" t="s">
        <v>230</v>
      </c>
      <c r="J558" s="6" t="s">
        <v>53</v>
      </c>
      <c r="K558" s="6" t="s">
        <v>53</v>
      </c>
      <c r="L558" s="6" t="s">
        <v>805</v>
      </c>
      <c r="M558" s="6" t="s">
        <v>311</v>
      </c>
      <c r="N558" s="6" t="s">
        <v>156</v>
      </c>
      <c r="O558" s="6" t="s">
        <v>62</v>
      </c>
      <c r="P558" s="6" t="s">
        <v>1493</v>
      </c>
      <c r="Q558" s="6" t="s">
        <v>65</v>
      </c>
      <c r="R558" s="6" t="s">
        <v>57</v>
      </c>
      <c r="S558" s="6" t="s">
        <v>1219</v>
      </c>
      <c r="T558" s="131">
        <v>0.247</v>
      </c>
      <c r="U558" s="6" t="s">
        <v>1680</v>
      </c>
      <c r="V558" s="134">
        <v>4.7E-2</v>
      </c>
      <c r="W558" s="132">
        <v>7.2179999999999994E-2</v>
      </c>
      <c r="X558" s="3" t="s">
        <v>620</v>
      </c>
      <c r="Y558" s="3" t="s">
        <v>62</v>
      </c>
      <c r="Z558" s="131">
        <v>235802.33</v>
      </c>
      <c r="AA558" s="129">
        <v>1</v>
      </c>
      <c r="AB558" s="157">
        <v>93.14</v>
      </c>
      <c r="AD558" s="131">
        <v>219.626</v>
      </c>
      <c r="AG558" s="6" t="s">
        <v>17</v>
      </c>
      <c r="AH558" s="132">
        <v>9.6100000000000005E-4</v>
      </c>
      <c r="AI558" s="132">
        <v>7.3858845314525297E-4</v>
      </c>
      <c r="AJ558" s="132">
        <v>1.14570051960823E-4</v>
      </c>
    </row>
    <row r="559" spans="1:36" x14ac:dyDescent="0.2">
      <c r="A559" s="6">
        <v>559</v>
      </c>
      <c r="B559" s="6">
        <v>7205</v>
      </c>
      <c r="C559" s="6" t="s">
        <v>1681</v>
      </c>
      <c r="D559" s="6" t="s">
        <v>1682</v>
      </c>
      <c r="E559" s="3" t="s">
        <v>1477</v>
      </c>
      <c r="F559" s="6" t="s">
        <v>1683</v>
      </c>
      <c r="G559" s="6" t="s">
        <v>1684</v>
      </c>
      <c r="H559" s="6" t="s">
        <v>76</v>
      </c>
      <c r="I559" s="6" t="s">
        <v>229</v>
      </c>
      <c r="J559" s="6" t="s">
        <v>53</v>
      </c>
      <c r="K559" s="6" t="s">
        <v>53</v>
      </c>
      <c r="L559" s="6" t="s">
        <v>805</v>
      </c>
      <c r="M559" s="6" t="s">
        <v>311</v>
      </c>
      <c r="N559" s="6" t="s">
        <v>260</v>
      </c>
      <c r="O559" s="6" t="s">
        <v>62</v>
      </c>
      <c r="P559" s="6" t="s">
        <v>1533</v>
      </c>
      <c r="Q559" s="6" t="s">
        <v>65</v>
      </c>
      <c r="R559" s="6" t="s">
        <v>57</v>
      </c>
      <c r="S559" s="6" t="s">
        <v>1219</v>
      </c>
      <c r="T559" s="131">
        <v>0.41599999999999998</v>
      </c>
      <c r="U559" s="6" t="s">
        <v>1685</v>
      </c>
      <c r="V559" s="134">
        <v>2.1999999999999999E-2</v>
      </c>
      <c r="W559" s="132">
        <v>1.949E-2</v>
      </c>
      <c r="X559" s="3" t="s">
        <v>620</v>
      </c>
      <c r="Y559" s="3" t="s">
        <v>62</v>
      </c>
      <c r="Z559" s="131">
        <v>339405.5</v>
      </c>
      <c r="AA559" s="129">
        <v>1</v>
      </c>
      <c r="AB559" s="157">
        <v>117.6</v>
      </c>
      <c r="AD559" s="131">
        <v>399.14100000000002</v>
      </c>
      <c r="AG559" s="6" t="s">
        <v>17</v>
      </c>
      <c r="AH559" s="132">
        <v>1.2830000000000001E-3</v>
      </c>
      <c r="AI559" s="132">
        <v>1.34228391357758E-3</v>
      </c>
      <c r="AJ559" s="132">
        <v>2.0821546433588201E-4</v>
      </c>
    </row>
    <row r="560" spans="1:36" x14ac:dyDescent="0.2">
      <c r="A560" s="6">
        <v>559</v>
      </c>
      <c r="B560" s="6">
        <v>7205</v>
      </c>
      <c r="C560" s="6" t="s">
        <v>1681</v>
      </c>
      <c r="D560" s="6" t="s">
        <v>1682</v>
      </c>
      <c r="E560" s="3" t="s">
        <v>1477</v>
      </c>
      <c r="F560" s="6" t="s">
        <v>1686</v>
      </c>
      <c r="G560" s="6" t="s">
        <v>1687</v>
      </c>
      <c r="H560" s="6" t="s">
        <v>76</v>
      </c>
      <c r="I560" s="6" t="s">
        <v>228</v>
      </c>
      <c r="J560" s="6" t="s">
        <v>53</v>
      </c>
      <c r="K560" s="6" t="s">
        <v>53</v>
      </c>
      <c r="L560" s="6" t="s">
        <v>805</v>
      </c>
      <c r="M560" s="6" t="s">
        <v>311</v>
      </c>
      <c r="N560" s="6" t="s">
        <v>260</v>
      </c>
      <c r="O560" s="6" t="s">
        <v>62</v>
      </c>
      <c r="P560" s="6" t="s">
        <v>1533</v>
      </c>
      <c r="Q560" s="6" t="s">
        <v>65</v>
      </c>
      <c r="R560" s="6" t="s">
        <v>57</v>
      </c>
      <c r="S560" s="6" t="s">
        <v>1219</v>
      </c>
      <c r="T560" s="131">
        <v>0.41599999999999998</v>
      </c>
      <c r="U560" s="6" t="s">
        <v>1685</v>
      </c>
      <c r="V560" s="134">
        <v>3.6499999999999998E-2</v>
      </c>
      <c r="W560" s="132">
        <v>4.514E-2</v>
      </c>
      <c r="X560" s="3" t="s">
        <v>620</v>
      </c>
      <c r="Y560" s="3" t="s">
        <v>62</v>
      </c>
      <c r="Z560" s="131">
        <v>1130722.5</v>
      </c>
      <c r="AA560" s="129">
        <v>1</v>
      </c>
      <c r="AB560" s="157">
        <v>99.97</v>
      </c>
      <c r="AD560" s="131">
        <v>1130.383</v>
      </c>
      <c r="AG560" s="6" t="s">
        <v>17</v>
      </c>
      <c r="AH560" s="132">
        <v>2.1229999999999999E-3</v>
      </c>
      <c r="AI560" s="132">
        <v>3.80140301063703E-3</v>
      </c>
      <c r="AJ560" s="132">
        <v>5.8967472155574299E-4</v>
      </c>
    </row>
    <row r="561" spans="1:36" x14ac:dyDescent="0.2">
      <c r="A561" s="6">
        <v>559</v>
      </c>
      <c r="B561" s="6">
        <v>7205</v>
      </c>
      <c r="C561" s="6" t="s">
        <v>1688</v>
      </c>
      <c r="D561" s="6" t="s">
        <v>1689</v>
      </c>
      <c r="E561" s="3" t="s">
        <v>1477</v>
      </c>
      <c r="F561" s="6" t="s">
        <v>1690</v>
      </c>
      <c r="G561" s="6" t="s">
        <v>1691</v>
      </c>
      <c r="H561" s="6" t="s">
        <v>76</v>
      </c>
      <c r="I561" s="6" t="s">
        <v>229</v>
      </c>
      <c r="J561" s="6" t="s">
        <v>53</v>
      </c>
      <c r="K561" s="6" t="s">
        <v>53</v>
      </c>
      <c r="L561" s="6" t="s">
        <v>805</v>
      </c>
      <c r="M561" s="6" t="s">
        <v>311</v>
      </c>
      <c r="N561" s="6" t="s">
        <v>635</v>
      </c>
      <c r="O561" s="6" t="s">
        <v>62</v>
      </c>
      <c r="P561" s="6" t="s">
        <v>1533</v>
      </c>
      <c r="Q561" s="6" t="s">
        <v>65</v>
      </c>
      <c r="R561" s="6" t="s">
        <v>57</v>
      </c>
      <c r="S561" s="6" t="s">
        <v>1219</v>
      </c>
      <c r="T561" s="131">
        <v>2.94</v>
      </c>
      <c r="U561" s="6" t="s">
        <v>1692</v>
      </c>
      <c r="V561" s="134">
        <v>7.7999999999999996E-3</v>
      </c>
      <c r="W561" s="132">
        <v>2.6079999999999999E-2</v>
      </c>
      <c r="X561" s="3" t="s">
        <v>620</v>
      </c>
      <c r="Y561" s="3" t="s">
        <v>62</v>
      </c>
      <c r="Z561" s="131">
        <v>403000</v>
      </c>
      <c r="AA561" s="129">
        <v>1</v>
      </c>
      <c r="AB561" s="157">
        <v>110.24</v>
      </c>
      <c r="AD561" s="131">
        <v>444.267</v>
      </c>
      <c r="AG561" s="6" t="s">
        <v>17</v>
      </c>
      <c r="AH561" s="132">
        <v>6.9499999999999998E-4</v>
      </c>
      <c r="AI561" s="132">
        <v>1.4940407352377399E-3</v>
      </c>
      <c r="AJ561" s="132">
        <v>2.3175602588808799E-4</v>
      </c>
    </row>
    <row r="562" spans="1:36" x14ac:dyDescent="0.2">
      <c r="A562" s="6">
        <v>559</v>
      </c>
      <c r="B562" s="6">
        <v>7205</v>
      </c>
      <c r="C562" s="6" t="s">
        <v>1688</v>
      </c>
      <c r="D562" s="6" t="s">
        <v>1689</v>
      </c>
      <c r="E562" s="3" t="s">
        <v>1477</v>
      </c>
      <c r="F562" s="6" t="s">
        <v>1693</v>
      </c>
      <c r="G562" s="6" t="s">
        <v>1694</v>
      </c>
      <c r="H562" s="6" t="s">
        <v>76</v>
      </c>
      <c r="I562" s="6" t="s">
        <v>229</v>
      </c>
      <c r="J562" s="6" t="s">
        <v>53</v>
      </c>
      <c r="K562" s="6" t="s">
        <v>53</v>
      </c>
      <c r="L562" s="6" t="s">
        <v>805</v>
      </c>
      <c r="M562" s="6" t="s">
        <v>311</v>
      </c>
      <c r="N562" s="6" t="s">
        <v>635</v>
      </c>
      <c r="O562" s="6" t="s">
        <v>62</v>
      </c>
      <c r="P562" s="6" t="s">
        <v>1533</v>
      </c>
      <c r="Q562" s="6" t="s">
        <v>65</v>
      </c>
      <c r="R562" s="6" t="s">
        <v>57</v>
      </c>
      <c r="S562" s="6" t="s">
        <v>1219</v>
      </c>
      <c r="T562" s="131">
        <v>0.77500000000000002</v>
      </c>
      <c r="U562" s="6" t="s">
        <v>1695</v>
      </c>
      <c r="V562" s="134">
        <v>1.34E-2</v>
      </c>
      <c r="W562" s="132">
        <v>3.2250000000000001E-2</v>
      </c>
      <c r="X562" s="3" t="s">
        <v>620</v>
      </c>
      <c r="Y562" s="3" t="s">
        <v>62</v>
      </c>
      <c r="Z562" s="131">
        <v>1025047.38</v>
      </c>
      <c r="AA562" s="129">
        <v>1</v>
      </c>
      <c r="AB562" s="157">
        <v>116.88</v>
      </c>
      <c r="AD562" s="131">
        <v>1198.075</v>
      </c>
      <c r="AG562" s="6" t="s">
        <v>17</v>
      </c>
      <c r="AH562" s="132">
        <v>2.2720000000000001E-3</v>
      </c>
      <c r="AI562" s="132">
        <v>4.0290469749621003E-3</v>
      </c>
      <c r="AJ562" s="132">
        <v>6.2498691836876505E-4</v>
      </c>
    </row>
    <row r="563" spans="1:36" x14ac:dyDescent="0.2">
      <c r="A563" s="6">
        <v>559</v>
      </c>
      <c r="B563" s="6">
        <v>7205</v>
      </c>
      <c r="C563" s="6" t="s">
        <v>1688</v>
      </c>
      <c r="D563" s="6" t="s">
        <v>1689</v>
      </c>
      <c r="E563" s="3" t="s">
        <v>1477</v>
      </c>
      <c r="F563" s="6" t="s">
        <v>1696</v>
      </c>
      <c r="G563" s="6" t="s">
        <v>1697</v>
      </c>
      <c r="H563" s="6" t="s">
        <v>76</v>
      </c>
      <c r="I563" s="6" t="s">
        <v>229</v>
      </c>
      <c r="J563" s="6" t="s">
        <v>53</v>
      </c>
      <c r="K563" s="6" t="s">
        <v>53</v>
      </c>
      <c r="L563" s="6" t="s">
        <v>805</v>
      </c>
      <c r="M563" s="6" t="s">
        <v>311</v>
      </c>
      <c r="N563" s="6" t="s">
        <v>635</v>
      </c>
      <c r="O563" s="6" t="s">
        <v>62</v>
      </c>
      <c r="P563" s="6" t="s">
        <v>1533</v>
      </c>
      <c r="Q563" s="6" t="s">
        <v>65</v>
      </c>
      <c r="R563" s="6" t="s">
        <v>57</v>
      </c>
      <c r="S563" s="6" t="s">
        <v>1219</v>
      </c>
      <c r="T563" s="131">
        <v>4.7249999999999996</v>
      </c>
      <c r="U563" s="6" t="s">
        <v>1698</v>
      </c>
      <c r="V563" s="134">
        <v>2.5999999999999999E-2</v>
      </c>
      <c r="W563" s="132">
        <v>2.8320000000000001E-2</v>
      </c>
      <c r="X563" s="3" t="s">
        <v>620</v>
      </c>
      <c r="Y563" s="3" t="s">
        <v>62</v>
      </c>
      <c r="Z563" s="131">
        <v>323316</v>
      </c>
      <c r="AA563" s="129">
        <v>1</v>
      </c>
      <c r="AB563" s="157">
        <v>104</v>
      </c>
      <c r="AC563" s="131">
        <v>4.415</v>
      </c>
      <c r="AD563" s="131">
        <v>340.66399999999999</v>
      </c>
      <c r="AG563" s="6" t="s">
        <v>17</v>
      </c>
      <c r="AH563" s="132">
        <v>6.0300000000000002E-4</v>
      </c>
      <c r="AI563" s="132">
        <v>1.14563010298447E-3</v>
      </c>
      <c r="AJ563" s="132">
        <v>1.77710469027602E-4</v>
      </c>
    </row>
    <row r="564" spans="1:36" x14ac:dyDescent="0.2">
      <c r="A564" s="6">
        <v>559</v>
      </c>
      <c r="B564" s="6">
        <v>7205</v>
      </c>
      <c r="C564" s="6" t="s">
        <v>1688</v>
      </c>
      <c r="D564" s="6" t="s">
        <v>1689</v>
      </c>
      <c r="E564" s="3" t="s">
        <v>1477</v>
      </c>
      <c r="F564" s="6" t="s">
        <v>1699</v>
      </c>
      <c r="G564" s="6" t="s">
        <v>1700</v>
      </c>
      <c r="H564" s="6" t="s">
        <v>76</v>
      </c>
      <c r="I564" s="6" t="s">
        <v>229</v>
      </c>
      <c r="J564" s="6" t="s">
        <v>53</v>
      </c>
      <c r="K564" s="6" t="s">
        <v>53</v>
      </c>
      <c r="L564" s="6" t="s">
        <v>805</v>
      </c>
      <c r="M564" s="6" t="s">
        <v>311</v>
      </c>
      <c r="N564" s="6" t="s">
        <v>635</v>
      </c>
      <c r="O564" s="6" t="s">
        <v>62</v>
      </c>
      <c r="P564" s="6" t="s">
        <v>1533</v>
      </c>
      <c r="Q564" s="6" t="s">
        <v>65</v>
      </c>
      <c r="R564" s="6" t="s">
        <v>57</v>
      </c>
      <c r="S564" s="6" t="s">
        <v>1219</v>
      </c>
      <c r="T564" s="131">
        <v>0.41399999999999998</v>
      </c>
      <c r="U564" s="6" t="s">
        <v>1273</v>
      </c>
      <c r="V564" s="134">
        <v>2E-3</v>
      </c>
      <c r="W564" s="132">
        <v>1.916E-2</v>
      </c>
      <c r="X564" s="3" t="s">
        <v>620</v>
      </c>
      <c r="Y564" s="3" t="s">
        <v>62</v>
      </c>
      <c r="Z564" s="131">
        <v>2657024.9300000002</v>
      </c>
      <c r="AA564" s="129">
        <v>1</v>
      </c>
      <c r="AB564" s="157">
        <v>115.09</v>
      </c>
      <c r="AD564" s="131">
        <v>3057.97</v>
      </c>
      <c r="AG564" s="6" t="s">
        <v>17</v>
      </c>
      <c r="AH564" s="132">
        <v>8.8570000000000003E-3</v>
      </c>
      <c r="AI564" s="132">
        <v>1.0283747562477101E-2</v>
      </c>
      <c r="AJ564" s="132">
        <v>1.59521786126986E-3</v>
      </c>
    </row>
    <row r="565" spans="1:36" x14ac:dyDescent="0.2">
      <c r="A565" s="6">
        <v>559</v>
      </c>
      <c r="B565" s="6">
        <v>7205</v>
      </c>
      <c r="C565" s="6" t="s">
        <v>1701</v>
      </c>
      <c r="D565" s="6" t="s">
        <v>1702</v>
      </c>
      <c r="E565" s="3" t="s">
        <v>1477</v>
      </c>
      <c r="F565" s="6" t="s">
        <v>1703</v>
      </c>
      <c r="G565" s="6" t="s">
        <v>1704</v>
      </c>
      <c r="H565" s="6" t="s">
        <v>76</v>
      </c>
      <c r="I565" s="6" t="s">
        <v>229</v>
      </c>
      <c r="J565" s="6" t="s">
        <v>53</v>
      </c>
      <c r="K565" s="6" t="s">
        <v>53</v>
      </c>
      <c r="L565" s="6" t="s">
        <v>805</v>
      </c>
      <c r="M565" s="6" t="s">
        <v>311</v>
      </c>
      <c r="N565" s="6" t="s">
        <v>256</v>
      </c>
      <c r="O565" s="6" t="s">
        <v>62</v>
      </c>
      <c r="P565" s="6" t="s">
        <v>1213</v>
      </c>
      <c r="Q565" s="6" t="s">
        <v>65</v>
      </c>
      <c r="R565" s="6" t="s">
        <v>57</v>
      </c>
      <c r="S565" s="6" t="s">
        <v>1219</v>
      </c>
      <c r="T565" s="131">
        <v>0.192</v>
      </c>
      <c r="U565" s="6" t="s">
        <v>1705</v>
      </c>
      <c r="V565" s="134">
        <v>1E-3</v>
      </c>
      <c r="W565" s="132">
        <v>2.2579999999999999E-2</v>
      </c>
      <c r="X565" s="3" t="s">
        <v>620</v>
      </c>
      <c r="Y565" s="3" t="s">
        <v>62</v>
      </c>
      <c r="Z565" s="131">
        <v>4518054</v>
      </c>
      <c r="AA565" s="129">
        <v>1</v>
      </c>
      <c r="AB565" s="157">
        <v>115.96</v>
      </c>
      <c r="AD565" s="131">
        <v>5239.1350000000002</v>
      </c>
      <c r="AG565" s="6" t="s">
        <v>17</v>
      </c>
      <c r="AH565" s="132">
        <v>3.0119999999999999E-3</v>
      </c>
      <c r="AI565" s="132">
        <v>1.76188602996495E-2</v>
      </c>
      <c r="AJ565" s="132">
        <v>2.7330426456373801E-3</v>
      </c>
    </row>
    <row r="566" spans="1:36" x14ac:dyDescent="0.2">
      <c r="A566" s="6">
        <v>559</v>
      </c>
      <c r="B566" s="6">
        <v>7205</v>
      </c>
      <c r="C566" s="6" t="s">
        <v>1701</v>
      </c>
      <c r="D566" s="6" t="s">
        <v>1702</v>
      </c>
      <c r="E566" s="3" t="s">
        <v>1477</v>
      </c>
      <c r="F566" s="6" t="s">
        <v>1706</v>
      </c>
      <c r="G566" s="6" t="s">
        <v>1707</v>
      </c>
      <c r="H566" s="6" t="s">
        <v>76</v>
      </c>
      <c r="I566" s="6" t="s">
        <v>229</v>
      </c>
      <c r="J566" s="6" t="s">
        <v>53</v>
      </c>
      <c r="K566" s="6" t="s">
        <v>53</v>
      </c>
      <c r="L566" s="6" t="s">
        <v>805</v>
      </c>
      <c r="M566" s="6" t="s">
        <v>311</v>
      </c>
      <c r="N566" s="6" t="s">
        <v>256</v>
      </c>
      <c r="O566" s="6" t="s">
        <v>62</v>
      </c>
      <c r="P566" s="6" t="s">
        <v>1213</v>
      </c>
      <c r="Q566" s="6" t="s">
        <v>65</v>
      </c>
      <c r="R566" s="6" t="s">
        <v>57</v>
      </c>
      <c r="S566" s="6" t="s">
        <v>1219</v>
      </c>
      <c r="T566" s="131">
        <v>1.415</v>
      </c>
      <c r="U566" s="6" t="s">
        <v>1708</v>
      </c>
      <c r="V566" s="134">
        <v>1E-3</v>
      </c>
      <c r="W566" s="132">
        <v>2.563E-2</v>
      </c>
      <c r="X566" s="3" t="s">
        <v>620</v>
      </c>
      <c r="Y566" s="3" t="s">
        <v>62</v>
      </c>
      <c r="Z566" s="131">
        <v>4490562</v>
      </c>
      <c r="AA566" s="129">
        <v>1</v>
      </c>
      <c r="AB566" s="157">
        <v>110.36</v>
      </c>
      <c r="AD566" s="131">
        <v>4955.7839999999997</v>
      </c>
      <c r="AG566" s="6" t="s">
        <v>17</v>
      </c>
      <c r="AH566" s="132">
        <v>9.6190000000000008E-3</v>
      </c>
      <c r="AI566" s="132">
        <v>1.6665969273692401E-2</v>
      </c>
      <c r="AJ566" s="132">
        <v>2.5852299173284E-3</v>
      </c>
    </row>
    <row r="567" spans="1:36" x14ac:dyDescent="0.2">
      <c r="A567" s="6">
        <v>559</v>
      </c>
      <c r="B567" s="6">
        <v>7205</v>
      </c>
      <c r="C567" s="6" t="s">
        <v>1709</v>
      </c>
      <c r="D567" s="6" t="s">
        <v>1710</v>
      </c>
      <c r="E567" s="3" t="s">
        <v>1477</v>
      </c>
      <c r="F567" s="6" t="s">
        <v>1711</v>
      </c>
      <c r="G567" s="6" t="s">
        <v>1712</v>
      </c>
      <c r="H567" s="6" t="s">
        <v>76</v>
      </c>
      <c r="I567" s="6" t="s">
        <v>228</v>
      </c>
      <c r="J567" s="6" t="s">
        <v>53</v>
      </c>
      <c r="K567" s="6" t="s">
        <v>53</v>
      </c>
      <c r="L567" s="6" t="s">
        <v>805</v>
      </c>
      <c r="M567" s="6" t="s">
        <v>311</v>
      </c>
      <c r="N567" s="6" t="s">
        <v>263</v>
      </c>
      <c r="O567" s="6" t="s">
        <v>62</v>
      </c>
      <c r="P567" s="6" t="s">
        <v>298</v>
      </c>
      <c r="Q567" s="6" t="s">
        <v>298</v>
      </c>
      <c r="R567" s="6" t="s">
        <v>298</v>
      </c>
      <c r="S567" s="6" t="s">
        <v>1219</v>
      </c>
      <c r="T567" s="131">
        <v>3.1269999999999998</v>
      </c>
      <c r="U567" s="6" t="s">
        <v>1713</v>
      </c>
      <c r="V567" s="134">
        <v>7.5800000000000006E-2</v>
      </c>
      <c r="W567" s="132">
        <v>5.926E-2</v>
      </c>
      <c r="X567" s="3" t="s">
        <v>620</v>
      </c>
      <c r="Y567" s="3" t="s">
        <v>62</v>
      </c>
      <c r="Z567" s="131">
        <v>638000</v>
      </c>
      <c r="AA567" s="129">
        <v>1</v>
      </c>
      <c r="AB567" s="157">
        <v>105.4</v>
      </c>
      <c r="AD567" s="131">
        <v>672.452</v>
      </c>
      <c r="AG567" s="6" t="s">
        <v>17</v>
      </c>
      <c r="AH567" s="132">
        <v>1.2269E-2</v>
      </c>
      <c r="AI567" s="132">
        <v>2.2614108817668498E-3</v>
      </c>
      <c r="AJ567" s="132">
        <v>3.5079070235321603E-4</v>
      </c>
    </row>
    <row r="568" spans="1:36" x14ac:dyDescent="0.2">
      <c r="A568" s="6">
        <v>559</v>
      </c>
      <c r="B568" s="6">
        <v>7205</v>
      </c>
      <c r="C568" s="6" t="s">
        <v>1719</v>
      </c>
      <c r="D568" s="6" t="s">
        <v>1720</v>
      </c>
      <c r="E568" s="3" t="s">
        <v>1477</v>
      </c>
      <c r="F568" s="6" t="s">
        <v>1721</v>
      </c>
      <c r="G568" s="6" t="s">
        <v>1722</v>
      </c>
      <c r="H568" s="6" t="s">
        <v>76</v>
      </c>
      <c r="I568" s="6" t="s">
        <v>228</v>
      </c>
      <c r="J568" s="6" t="s">
        <v>53</v>
      </c>
      <c r="K568" s="6" t="s">
        <v>53</v>
      </c>
      <c r="L568" s="6" t="s">
        <v>805</v>
      </c>
      <c r="M568" s="6" t="s">
        <v>311</v>
      </c>
      <c r="N568" s="6" t="s">
        <v>140</v>
      </c>
      <c r="O568" s="6" t="s">
        <v>62</v>
      </c>
      <c r="P568" s="6" t="s">
        <v>298</v>
      </c>
      <c r="Q568" s="6" t="s">
        <v>298</v>
      </c>
      <c r="R568" s="6" t="s">
        <v>298</v>
      </c>
      <c r="S568" s="6" t="s">
        <v>1219</v>
      </c>
      <c r="T568" s="131">
        <v>0.98499999999999999</v>
      </c>
      <c r="U568" s="6" t="s">
        <v>1595</v>
      </c>
      <c r="V568" s="134">
        <v>3.8699999999999998E-2</v>
      </c>
      <c r="W568" s="132">
        <v>4.9630000000000001E-2</v>
      </c>
      <c r="X568" s="3" t="s">
        <v>620</v>
      </c>
      <c r="Y568" s="3" t="s">
        <v>62</v>
      </c>
      <c r="Z568" s="131">
        <v>1170812.3999999999</v>
      </c>
      <c r="AA568" s="129">
        <v>1</v>
      </c>
      <c r="AB568" s="157">
        <v>99.03</v>
      </c>
      <c r="AD568" s="131">
        <v>1159.4559999999999</v>
      </c>
      <c r="AG568" s="6" t="s">
        <v>17</v>
      </c>
      <c r="AH568" s="132">
        <v>3.676E-3</v>
      </c>
      <c r="AI568" s="132">
        <v>3.89917098799535E-3</v>
      </c>
      <c r="AJ568" s="132">
        <v>6.0484051814834697E-4</v>
      </c>
    </row>
    <row r="569" spans="1:36" x14ac:dyDescent="0.2">
      <c r="A569" s="6">
        <v>559</v>
      </c>
      <c r="B569" s="6">
        <v>7205</v>
      </c>
      <c r="C569" s="6" t="s">
        <v>1723</v>
      </c>
      <c r="D569" s="6" t="s">
        <v>1724</v>
      </c>
      <c r="E569" s="3" t="s">
        <v>1477</v>
      </c>
      <c r="F569" s="6" t="s">
        <v>2486</v>
      </c>
      <c r="G569" s="6" t="s">
        <v>1726</v>
      </c>
      <c r="H569" s="6" t="s">
        <v>76</v>
      </c>
      <c r="I569" s="6" t="s">
        <v>229</v>
      </c>
      <c r="J569" s="6" t="s">
        <v>53</v>
      </c>
      <c r="K569" s="6" t="s">
        <v>317</v>
      </c>
      <c r="L569" s="6" t="s">
        <v>805</v>
      </c>
      <c r="M569" s="6" t="s">
        <v>311</v>
      </c>
      <c r="N569" s="6" t="s">
        <v>636</v>
      </c>
      <c r="O569" s="6" t="s">
        <v>62</v>
      </c>
      <c r="P569" s="6" t="s">
        <v>1515</v>
      </c>
      <c r="Q569" s="6" t="s">
        <v>65</v>
      </c>
      <c r="R569" s="6" t="s">
        <v>57</v>
      </c>
      <c r="S569" s="6" t="s">
        <v>1219</v>
      </c>
      <c r="T569" s="131">
        <v>2.8450000000000002</v>
      </c>
      <c r="U569" s="6" t="s">
        <v>1569</v>
      </c>
      <c r="V569" s="134">
        <v>1.7500000000000002E-2</v>
      </c>
      <c r="W569" s="132">
        <v>4.5749999999999999E-2</v>
      </c>
      <c r="X569" s="3" t="s">
        <v>620</v>
      </c>
      <c r="Y569" s="3" t="s">
        <v>62</v>
      </c>
      <c r="Z569" s="131">
        <v>1785.87</v>
      </c>
      <c r="AA569" s="129">
        <v>1</v>
      </c>
      <c r="AB569" s="157">
        <v>106.7</v>
      </c>
      <c r="AD569" s="131">
        <v>1.9059999999999999</v>
      </c>
      <c r="AG569" s="6" t="s">
        <v>17</v>
      </c>
      <c r="AH569" s="132">
        <v>9.9999999999999995E-7</v>
      </c>
      <c r="AI569" s="132">
        <v>6.4081467576365001E-6</v>
      </c>
      <c r="AJ569" s="132">
        <v>9.9403355666949007E-7</v>
      </c>
    </row>
    <row r="570" spans="1:36" x14ac:dyDescent="0.2">
      <c r="A570" s="6">
        <v>559</v>
      </c>
      <c r="B570" s="6">
        <v>7205</v>
      </c>
      <c r="C570" s="6" t="s">
        <v>1723</v>
      </c>
      <c r="D570" s="6" t="s">
        <v>1724</v>
      </c>
      <c r="E570" s="3" t="s">
        <v>1477</v>
      </c>
      <c r="F570" s="6" t="s">
        <v>1725</v>
      </c>
      <c r="G570" s="6" t="s">
        <v>1726</v>
      </c>
      <c r="H570" s="6" t="s">
        <v>76</v>
      </c>
      <c r="I570" s="6" t="s">
        <v>229</v>
      </c>
      <c r="J570" s="6" t="s">
        <v>53</v>
      </c>
      <c r="K570" s="6" t="s">
        <v>53</v>
      </c>
      <c r="L570" s="6" t="s">
        <v>805</v>
      </c>
      <c r="M570" s="6" t="s">
        <v>102</v>
      </c>
      <c r="N570" s="6" t="s">
        <v>636</v>
      </c>
      <c r="O570" s="6" t="s">
        <v>62</v>
      </c>
      <c r="P570" s="6" t="s">
        <v>1515</v>
      </c>
      <c r="Q570" s="6" t="s">
        <v>65</v>
      </c>
      <c r="R570" s="6" t="s">
        <v>57</v>
      </c>
      <c r="S570" s="6" t="s">
        <v>1219</v>
      </c>
      <c r="T570" s="131">
        <v>2.8919999999999999</v>
      </c>
      <c r="U570" s="6" t="s">
        <v>1569</v>
      </c>
      <c r="V570" s="134">
        <v>1.7500000000000002E-2</v>
      </c>
      <c r="W570" s="132">
        <v>5.1749999999999997E-2</v>
      </c>
      <c r="X570" s="3" t="s">
        <v>620</v>
      </c>
      <c r="Y570" s="3" t="s">
        <v>62</v>
      </c>
      <c r="Z570" s="131">
        <v>715000</v>
      </c>
      <c r="AA570" s="129">
        <v>1</v>
      </c>
      <c r="AB570" s="157">
        <v>106.47799999999999</v>
      </c>
      <c r="AD570" s="131">
        <v>761.32</v>
      </c>
      <c r="AG570" s="6" t="s">
        <v>17</v>
      </c>
      <c r="AH570" s="132">
        <v>0</v>
      </c>
      <c r="AI570" s="132">
        <v>2.5602669284449601E-3</v>
      </c>
      <c r="AJ570" s="132">
        <v>3.9714933773521698E-4</v>
      </c>
    </row>
    <row r="571" spans="1:36" x14ac:dyDescent="0.2">
      <c r="A571" s="6">
        <v>559</v>
      </c>
      <c r="B571" s="6">
        <v>7205</v>
      </c>
      <c r="C571" s="6" t="s">
        <v>1723</v>
      </c>
      <c r="D571" s="6" t="s">
        <v>1724</v>
      </c>
      <c r="E571" s="3" t="s">
        <v>1477</v>
      </c>
      <c r="F571" s="6" t="s">
        <v>1727</v>
      </c>
      <c r="G571" s="6" t="s">
        <v>1728</v>
      </c>
      <c r="H571" s="6" t="s">
        <v>76</v>
      </c>
      <c r="I571" s="6" t="s">
        <v>229</v>
      </c>
      <c r="J571" s="6" t="s">
        <v>53</v>
      </c>
      <c r="K571" s="6" t="s">
        <v>317</v>
      </c>
      <c r="L571" s="6" t="s">
        <v>805</v>
      </c>
      <c r="M571" s="6" t="s">
        <v>311</v>
      </c>
      <c r="N571" s="6" t="s">
        <v>636</v>
      </c>
      <c r="O571" s="6" t="s">
        <v>62</v>
      </c>
      <c r="P571" s="6" t="s">
        <v>1515</v>
      </c>
      <c r="Q571" s="6" t="s">
        <v>65</v>
      </c>
      <c r="R571" s="6" t="s">
        <v>57</v>
      </c>
      <c r="S571" s="6" t="s">
        <v>1219</v>
      </c>
      <c r="T571" s="131">
        <v>2.4929999999999999</v>
      </c>
      <c r="U571" s="6" t="s">
        <v>1544</v>
      </c>
      <c r="V571" s="134">
        <v>3.2800000000000003E-2</v>
      </c>
      <c r="W571" s="132">
        <v>4.3709999999999999E-2</v>
      </c>
      <c r="X571" s="3" t="s">
        <v>620</v>
      </c>
      <c r="Y571" s="3" t="s">
        <v>62</v>
      </c>
      <c r="Z571" s="131">
        <v>368000</v>
      </c>
      <c r="AA571" s="129">
        <v>1</v>
      </c>
      <c r="AB571" s="157">
        <v>115.58</v>
      </c>
      <c r="AD571" s="131">
        <v>425.334</v>
      </c>
      <c r="AG571" s="6" t="s">
        <v>17</v>
      </c>
      <c r="AH571" s="132">
        <v>3.4299999999999999E-4</v>
      </c>
      <c r="AI571" s="132">
        <v>1.43037100127559E-3</v>
      </c>
      <c r="AJ571" s="132">
        <v>2.2187955855731501E-4</v>
      </c>
    </row>
    <row r="572" spans="1:36" x14ac:dyDescent="0.2">
      <c r="A572" s="6">
        <v>559</v>
      </c>
      <c r="B572" s="6">
        <v>7205</v>
      </c>
      <c r="C572" s="6" t="s">
        <v>1723</v>
      </c>
      <c r="D572" s="6" t="s">
        <v>1724</v>
      </c>
      <c r="E572" s="3" t="s">
        <v>1477</v>
      </c>
      <c r="F572" s="6" t="s">
        <v>1729</v>
      </c>
      <c r="G572" s="6" t="s">
        <v>1730</v>
      </c>
      <c r="H572" s="6" t="s">
        <v>76</v>
      </c>
      <c r="I572" s="6" t="s">
        <v>607</v>
      </c>
      <c r="J572" s="6" t="s">
        <v>53</v>
      </c>
      <c r="K572" s="6" t="s">
        <v>317</v>
      </c>
      <c r="L572" s="6" t="s">
        <v>805</v>
      </c>
      <c r="M572" s="6" t="s">
        <v>311</v>
      </c>
      <c r="N572" s="6" t="s">
        <v>636</v>
      </c>
      <c r="O572" s="6" t="s">
        <v>62</v>
      </c>
      <c r="P572" s="6" t="s">
        <v>1515</v>
      </c>
      <c r="Q572" s="6" t="s">
        <v>65</v>
      </c>
      <c r="R572" s="6" t="s">
        <v>57</v>
      </c>
      <c r="S572" s="6" t="s">
        <v>1219</v>
      </c>
      <c r="T572" s="131">
        <v>3.7029999999999998</v>
      </c>
      <c r="U572" s="6" t="s">
        <v>1549</v>
      </c>
      <c r="V572" s="134">
        <v>5.5E-2</v>
      </c>
      <c r="W572" s="132">
        <v>4.5249999999999999E-2</v>
      </c>
      <c r="X572" s="3" t="s">
        <v>620</v>
      </c>
      <c r="Y572" s="3" t="s">
        <v>62</v>
      </c>
      <c r="Z572" s="131">
        <v>1823577.3</v>
      </c>
      <c r="AA572" s="129">
        <v>1</v>
      </c>
      <c r="AB572" s="157">
        <v>103.5</v>
      </c>
      <c r="AD572" s="131">
        <v>1887.403</v>
      </c>
      <c r="AG572" s="6" t="s">
        <v>17</v>
      </c>
      <c r="AH572" s="132">
        <v>3.529E-3</v>
      </c>
      <c r="AI572" s="132">
        <v>6.3472077772268104E-3</v>
      </c>
      <c r="AJ572" s="132">
        <v>9.8458068461029996E-4</v>
      </c>
    </row>
    <row r="573" spans="1:36" x14ac:dyDescent="0.2">
      <c r="A573" s="6">
        <v>559</v>
      </c>
      <c r="B573" s="6">
        <v>7205</v>
      </c>
      <c r="C573" s="6" t="s">
        <v>1723</v>
      </c>
      <c r="D573" s="6" t="s">
        <v>1724</v>
      </c>
      <c r="E573" s="3" t="s">
        <v>1477</v>
      </c>
      <c r="F573" s="6" t="s">
        <v>1731</v>
      </c>
      <c r="G573" s="6" t="s">
        <v>1732</v>
      </c>
      <c r="H573" s="6" t="s">
        <v>76</v>
      </c>
      <c r="I573" s="6" t="s">
        <v>229</v>
      </c>
      <c r="J573" s="6" t="s">
        <v>53</v>
      </c>
      <c r="K573" s="6" t="s">
        <v>53</v>
      </c>
      <c r="L573" s="6" t="s">
        <v>805</v>
      </c>
      <c r="M573" s="6" t="s">
        <v>102</v>
      </c>
      <c r="N573" s="6" t="s">
        <v>636</v>
      </c>
      <c r="O573" s="6" t="s">
        <v>62</v>
      </c>
      <c r="P573" s="6" t="s">
        <v>1628</v>
      </c>
      <c r="Q573" s="6" t="s">
        <v>65</v>
      </c>
      <c r="R573" s="6" t="s">
        <v>57</v>
      </c>
      <c r="S573" s="6" t="s">
        <v>1219</v>
      </c>
      <c r="T573" s="131">
        <v>2.3660000000000001</v>
      </c>
      <c r="U573" s="6" t="s">
        <v>1733</v>
      </c>
      <c r="V573" s="134">
        <v>1.3299999999999999E-2</v>
      </c>
      <c r="W573" s="132">
        <v>3.1989999999999998E-2</v>
      </c>
      <c r="X573" s="3" t="s">
        <v>620</v>
      </c>
      <c r="Y573" s="3" t="s">
        <v>62</v>
      </c>
      <c r="Z573" s="131">
        <v>720000</v>
      </c>
      <c r="AA573" s="129">
        <v>1</v>
      </c>
      <c r="AB573" s="157">
        <v>112.72499999999999</v>
      </c>
      <c r="AD573" s="131">
        <v>811.61900000000003</v>
      </c>
      <c r="AG573" s="6" t="s">
        <v>17</v>
      </c>
      <c r="AH573" s="132">
        <v>0</v>
      </c>
      <c r="AI573" s="132">
        <v>2.7294218127867798E-3</v>
      </c>
      <c r="AJ573" s="132">
        <v>4.2338869174344802E-4</v>
      </c>
    </row>
    <row r="574" spans="1:36" x14ac:dyDescent="0.2">
      <c r="A574" s="6">
        <v>559</v>
      </c>
      <c r="B574" s="6">
        <v>7205</v>
      </c>
      <c r="C574" s="6" t="s">
        <v>1723</v>
      </c>
      <c r="D574" s="6" t="s">
        <v>1724</v>
      </c>
      <c r="E574" s="3" t="s">
        <v>1477</v>
      </c>
      <c r="F574" s="6" t="s">
        <v>1734</v>
      </c>
      <c r="G574" s="6" t="s">
        <v>1735</v>
      </c>
      <c r="H574" s="6" t="s">
        <v>76</v>
      </c>
      <c r="I574" s="6" t="s">
        <v>229</v>
      </c>
      <c r="J574" s="6" t="s">
        <v>53</v>
      </c>
      <c r="K574" s="6" t="s">
        <v>53</v>
      </c>
      <c r="L574" s="6" t="s">
        <v>805</v>
      </c>
      <c r="M574" s="6" t="s">
        <v>102</v>
      </c>
      <c r="N574" s="6" t="s">
        <v>636</v>
      </c>
      <c r="O574" s="6" t="s">
        <v>62</v>
      </c>
      <c r="P574" s="6" t="s">
        <v>1628</v>
      </c>
      <c r="Q574" s="6" t="s">
        <v>65</v>
      </c>
      <c r="R574" s="6" t="s">
        <v>57</v>
      </c>
      <c r="S574" s="6" t="s">
        <v>1219</v>
      </c>
      <c r="T574" s="131">
        <v>4.3460000000000001</v>
      </c>
      <c r="U574" s="6" t="s">
        <v>1736</v>
      </c>
      <c r="V574" s="134">
        <v>4.24E-2</v>
      </c>
      <c r="W574" s="132">
        <v>3.3500000000000002E-2</v>
      </c>
      <c r="X574" s="3" t="s">
        <v>620</v>
      </c>
      <c r="Y574" s="3" t="s">
        <v>62</v>
      </c>
      <c r="Z574" s="131">
        <v>917000</v>
      </c>
      <c r="AA574" s="129">
        <v>1</v>
      </c>
      <c r="AB574" s="157">
        <v>108.23</v>
      </c>
      <c r="AD574" s="131">
        <v>992.46900000000005</v>
      </c>
      <c r="AG574" s="6" t="s">
        <v>17</v>
      </c>
      <c r="AH574" s="132">
        <v>1.4220000000000001E-3</v>
      </c>
      <c r="AI574" s="132">
        <v>3.3376068813199401E-3</v>
      </c>
      <c r="AJ574" s="132">
        <v>5.1773053341036199E-4</v>
      </c>
    </row>
    <row r="575" spans="1:36" x14ac:dyDescent="0.2">
      <c r="A575" s="6">
        <v>559</v>
      </c>
      <c r="B575" s="6">
        <v>7205</v>
      </c>
      <c r="C575" s="6" t="s">
        <v>1737</v>
      </c>
      <c r="D575" s="6" t="s">
        <v>1738</v>
      </c>
      <c r="E575" s="3" t="s">
        <v>1477</v>
      </c>
      <c r="F575" s="6" t="s">
        <v>1739</v>
      </c>
      <c r="G575" s="6" t="s">
        <v>1740</v>
      </c>
      <c r="H575" s="6" t="s">
        <v>76</v>
      </c>
      <c r="I575" s="6" t="s">
        <v>229</v>
      </c>
      <c r="J575" s="6" t="s">
        <v>53</v>
      </c>
      <c r="K575" s="6" t="s">
        <v>53</v>
      </c>
      <c r="L575" s="6" t="s">
        <v>805</v>
      </c>
      <c r="M575" s="6" t="s">
        <v>311</v>
      </c>
      <c r="N575" s="6" t="s">
        <v>635</v>
      </c>
      <c r="O575" s="6" t="s">
        <v>62</v>
      </c>
      <c r="P575" s="6" t="s">
        <v>1521</v>
      </c>
      <c r="Q575" s="6" t="s">
        <v>70</v>
      </c>
      <c r="R575" s="6" t="s">
        <v>57</v>
      </c>
      <c r="S575" s="6" t="s">
        <v>1219</v>
      </c>
      <c r="T575" s="131">
        <v>0.499</v>
      </c>
      <c r="U575" s="6" t="s">
        <v>1499</v>
      </c>
      <c r="V575" s="134">
        <v>2.5000000000000001E-2</v>
      </c>
      <c r="W575" s="132">
        <v>3.3689999999999998E-2</v>
      </c>
      <c r="X575" s="3" t="s">
        <v>620</v>
      </c>
      <c r="Y575" s="3" t="s">
        <v>62</v>
      </c>
      <c r="Z575" s="131">
        <v>779487.19</v>
      </c>
      <c r="AA575" s="129">
        <v>1</v>
      </c>
      <c r="AB575" s="157">
        <v>117.96</v>
      </c>
      <c r="AD575" s="131">
        <v>919.48299999999995</v>
      </c>
      <c r="AG575" s="6" t="s">
        <v>17</v>
      </c>
      <c r="AH575" s="132">
        <v>2.5569999999999998E-3</v>
      </c>
      <c r="AI575" s="132">
        <v>3.09215983266895E-3</v>
      </c>
      <c r="AJ575" s="132">
        <v>4.7965671706808998E-4</v>
      </c>
    </row>
    <row r="576" spans="1:36" x14ac:dyDescent="0.2">
      <c r="A576" s="6">
        <v>559</v>
      </c>
      <c r="B576" s="6">
        <v>7205</v>
      </c>
      <c r="C576" s="6" t="s">
        <v>1741</v>
      </c>
      <c r="D576" s="6" t="s">
        <v>1742</v>
      </c>
      <c r="E576" s="3" t="s">
        <v>1477</v>
      </c>
      <c r="F576" s="6" t="s">
        <v>1743</v>
      </c>
      <c r="G576" s="6" t="s">
        <v>1744</v>
      </c>
      <c r="H576" s="6" t="s">
        <v>76</v>
      </c>
      <c r="I576" s="6" t="s">
        <v>228</v>
      </c>
      <c r="J576" s="6" t="s">
        <v>53</v>
      </c>
      <c r="K576" s="6" t="s">
        <v>53</v>
      </c>
      <c r="L576" s="6" t="s">
        <v>805</v>
      </c>
      <c r="M576" s="6" t="s">
        <v>311</v>
      </c>
      <c r="N576" s="6" t="s">
        <v>257</v>
      </c>
      <c r="O576" s="6" t="s">
        <v>62</v>
      </c>
      <c r="P576" s="6" t="s">
        <v>1533</v>
      </c>
      <c r="Q576" s="6" t="s">
        <v>65</v>
      </c>
      <c r="R576" s="6" t="s">
        <v>57</v>
      </c>
      <c r="S576" s="6" t="s">
        <v>1219</v>
      </c>
      <c r="T576" s="131">
        <v>0.29899999999999999</v>
      </c>
      <c r="U576" s="6" t="s">
        <v>1745</v>
      </c>
      <c r="V576" s="134">
        <v>0.03</v>
      </c>
      <c r="W576" s="132">
        <v>4.761E-2</v>
      </c>
      <c r="X576" s="3" t="s">
        <v>620</v>
      </c>
      <c r="Y576" s="3" t="s">
        <v>62</v>
      </c>
      <c r="Z576" s="131">
        <v>221758.23</v>
      </c>
      <c r="AA576" s="129">
        <v>1</v>
      </c>
      <c r="AB576" s="157">
        <v>100.1</v>
      </c>
      <c r="AD576" s="131">
        <v>221.98</v>
      </c>
      <c r="AG576" s="6" t="s">
        <v>17</v>
      </c>
      <c r="AH576" s="132">
        <v>2.5630000000000002E-3</v>
      </c>
      <c r="AI576" s="132">
        <v>7.4650378156031997E-4</v>
      </c>
      <c r="AJ576" s="132">
        <v>1.15797879966987E-4</v>
      </c>
    </row>
    <row r="577" spans="1:36" x14ac:dyDescent="0.2">
      <c r="A577" s="6">
        <v>559</v>
      </c>
      <c r="B577" s="6">
        <v>7205</v>
      </c>
      <c r="C577" s="6" t="s">
        <v>1741</v>
      </c>
      <c r="D577" s="6" t="s">
        <v>1742</v>
      </c>
      <c r="E577" s="3" t="s">
        <v>1477</v>
      </c>
      <c r="F577" s="6" t="s">
        <v>1746</v>
      </c>
      <c r="G577" s="6" t="s">
        <v>1747</v>
      </c>
      <c r="H577" s="6" t="s">
        <v>76</v>
      </c>
      <c r="I577" s="6" t="s">
        <v>228</v>
      </c>
      <c r="J577" s="6" t="s">
        <v>53</v>
      </c>
      <c r="K577" s="6" t="s">
        <v>53</v>
      </c>
      <c r="L577" s="6" t="s">
        <v>805</v>
      </c>
      <c r="M577" s="6" t="s">
        <v>102</v>
      </c>
      <c r="N577" s="6" t="s">
        <v>257</v>
      </c>
      <c r="O577" s="6" t="s">
        <v>62</v>
      </c>
      <c r="P577" s="6" t="s">
        <v>1533</v>
      </c>
      <c r="Q577" s="6" t="s">
        <v>65</v>
      </c>
      <c r="R577" s="6" t="s">
        <v>57</v>
      </c>
      <c r="S577" s="6" t="s">
        <v>1219</v>
      </c>
      <c r="T577" s="131">
        <v>3.2410000000000001</v>
      </c>
      <c r="U577" s="6" t="s">
        <v>1748</v>
      </c>
      <c r="V577" s="134">
        <v>5.4600000000000003E-2</v>
      </c>
      <c r="W577" s="132">
        <v>5.6050000000000003E-2</v>
      </c>
      <c r="X577" s="3" t="s">
        <v>620</v>
      </c>
      <c r="Y577" s="3" t="s">
        <v>62</v>
      </c>
      <c r="Z577" s="131">
        <v>363000</v>
      </c>
      <c r="AA577" s="129">
        <v>1</v>
      </c>
      <c r="AB577" s="157">
        <v>99.88</v>
      </c>
      <c r="AD577" s="131">
        <v>362.56400000000002</v>
      </c>
      <c r="AG577" s="6" t="s">
        <v>17</v>
      </c>
      <c r="AH577" s="132">
        <v>1.2099999999999999E-3</v>
      </c>
      <c r="AI577" s="132">
        <v>1.21927970992914E-3</v>
      </c>
      <c r="AJ577" s="132">
        <v>1.89135017107946E-4</v>
      </c>
    </row>
    <row r="578" spans="1:36" x14ac:dyDescent="0.2">
      <c r="A578" s="6">
        <v>559</v>
      </c>
      <c r="B578" s="6">
        <v>7205</v>
      </c>
      <c r="C578" s="6" t="s">
        <v>1749</v>
      </c>
      <c r="D578" s="6" t="s">
        <v>1750</v>
      </c>
      <c r="E578" s="3" t="s">
        <v>767</v>
      </c>
      <c r="F578" s="6" t="s">
        <v>1751</v>
      </c>
      <c r="G578" s="6" t="s">
        <v>1752</v>
      </c>
      <c r="H578" s="6" t="s">
        <v>76</v>
      </c>
      <c r="I578" s="6" t="s">
        <v>228</v>
      </c>
      <c r="J578" s="6" t="s">
        <v>53</v>
      </c>
      <c r="K578" s="6" t="s">
        <v>314</v>
      </c>
      <c r="L578" s="6" t="s">
        <v>805</v>
      </c>
      <c r="M578" s="6" t="s">
        <v>311</v>
      </c>
      <c r="N578" s="6" t="s">
        <v>636</v>
      </c>
      <c r="O578" s="6" t="s">
        <v>62</v>
      </c>
      <c r="P578" s="6" t="s">
        <v>1753</v>
      </c>
      <c r="Q578" s="6" t="s">
        <v>65</v>
      </c>
      <c r="R578" s="6" t="s">
        <v>57</v>
      </c>
      <c r="S578" s="6" t="s">
        <v>1219</v>
      </c>
      <c r="T578" s="131">
        <v>0.16400000000000001</v>
      </c>
      <c r="U578" s="6" t="s">
        <v>1270</v>
      </c>
      <c r="V578" s="134">
        <v>6.9500000000000006E-2</v>
      </c>
      <c r="W578" s="132">
        <v>1E-4</v>
      </c>
      <c r="X578" s="3" t="s">
        <v>620</v>
      </c>
      <c r="Y578" s="3" t="s">
        <v>55</v>
      </c>
      <c r="Z578" s="131">
        <v>1678242.75</v>
      </c>
      <c r="AA578" s="129">
        <v>1</v>
      </c>
      <c r="AB578" s="157">
        <v>85.66</v>
      </c>
      <c r="AD578" s="131">
        <v>1437.5830000000001</v>
      </c>
      <c r="AG578" s="6" t="s">
        <v>17</v>
      </c>
      <c r="AH578" s="132">
        <v>6.0629999999999998E-3</v>
      </c>
      <c r="AI578" s="132">
        <v>4.83449413621302E-3</v>
      </c>
      <c r="AJ578" s="132">
        <v>7.4992811224099999E-4</v>
      </c>
    </row>
    <row r="579" spans="1:36" x14ac:dyDescent="0.2">
      <c r="A579" s="6">
        <v>559</v>
      </c>
      <c r="B579" s="6">
        <v>7205</v>
      </c>
      <c r="C579" s="6" t="s">
        <v>1754</v>
      </c>
      <c r="D579" s="6" t="s">
        <v>1755</v>
      </c>
      <c r="E579" s="3" t="s">
        <v>78</v>
      </c>
      <c r="F579" s="6" t="s">
        <v>1756</v>
      </c>
      <c r="G579" s="6" t="s">
        <v>1757</v>
      </c>
      <c r="H579" s="6" t="s">
        <v>76</v>
      </c>
      <c r="I579" s="6" t="s">
        <v>228</v>
      </c>
      <c r="J579" s="6" t="s">
        <v>53</v>
      </c>
      <c r="K579" s="6" t="s">
        <v>314</v>
      </c>
      <c r="L579" s="6" t="s">
        <v>805</v>
      </c>
      <c r="M579" s="6" t="s">
        <v>311</v>
      </c>
      <c r="N579" s="6" t="s">
        <v>636</v>
      </c>
      <c r="O579" s="6" t="s">
        <v>62</v>
      </c>
      <c r="P579" s="6" t="s">
        <v>1628</v>
      </c>
      <c r="Q579" s="6" t="s">
        <v>65</v>
      </c>
      <c r="R579" s="6" t="s">
        <v>57</v>
      </c>
      <c r="S579" s="6" t="s">
        <v>1219</v>
      </c>
      <c r="T579" s="131">
        <v>1.4279999999999999</v>
      </c>
      <c r="U579" s="6" t="s">
        <v>1516</v>
      </c>
      <c r="V579" s="134">
        <v>6.8000000000000005E-2</v>
      </c>
      <c r="W579" s="132">
        <v>5.6610000000000001E-2</v>
      </c>
      <c r="X579" s="3" t="s">
        <v>620</v>
      </c>
      <c r="Y579" s="3" t="s">
        <v>62</v>
      </c>
      <c r="Z579" s="131">
        <v>912969.26</v>
      </c>
      <c r="AA579" s="129">
        <v>1</v>
      </c>
      <c r="AB579" s="157">
        <v>101.71</v>
      </c>
      <c r="AD579" s="131">
        <v>928.58100000000002</v>
      </c>
      <c r="AG579" s="6" t="s">
        <v>17</v>
      </c>
      <c r="AH579" s="132">
        <v>2.666E-3</v>
      </c>
      <c r="AI579" s="132">
        <v>3.12275561032217E-3</v>
      </c>
      <c r="AJ579" s="132">
        <v>4.8440274284277502E-4</v>
      </c>
    </row>
    <row r="580" spans="1:36" x14ac:dyDescent="0.2">
      <c r="A580" s="6">
        <v>559</v>
      </c>
      <c r="B580" s="6">
        <v>7205</v>
      </c>
      <c r="C580" s="6" t="s">
        <v>1758</v>
      </c>
      <c r="D580" s="6" t="s">
        <v>1759</v>
      </c>
      <c r="E580" s="3" t="s">
        <v>1477</v>
      </c>
      <c r="F580" s="6" t="s">
        <v>1760</v>
      </c>
      <c r="G580" s="6" t="s">
        <v>1761</v>
      </c>
      <c r="H580" s="6" t="s">
        <v>76</v>
      </c>
      <c r="I580" s="6" t="s">
        <v>228</v>
      </c>
      <c r="J580" s="6" t="s">
        <v>53</v>
      </c>
      <c r="K580" s="6" t="s">
        <v>53</v>
      </c>
      <c r="L580" s="6" t="s">
        <v>805</v>
      </c>
      <c r="M580" s="6" t="s">
        <v>311</v>
      </c>
      <c r="N580" s="6" t="s">
        <v>156</v>
      </c>
      <c r="O580" s="6" t="s">
        <v>62</v>
      </c>
      <c r="P580" s="6" t="s">
        <v>1527</v>
      </c>
      <c r="Q580" s="6" t="s">
        <v>70</v>
      </c>
      <c r="R580" s="6" t="s">
        <v>57</v>
      </c>
      <c r="S580" s="6" t="s">
        <v>1219</v>
      </c>
      <c r="T580" s="131">
        <v>1.202</v>
      </c>
      <c r="U580" s="6" t="s">
        <v>1280</v>
      </c>
      <c r="V580" s="134">
        <v>3.2899999999999999E-2</v>
      </c>
      <c r="W580" s="132">
        <v>4.9500000000000002E-2</v>
      </c>
      <c r="X580" s="3" t="s">
        <v>620</v>
      </c>
      <c r="Y580" s="3" t="s">
        <v>62</v>
      </c>
      <c r="Z580" s="131">
        <v>684000</v>
      </c>
      <c r="AA580" s="129">
        <v>1</v>
      </c>
      <c r="AB580" s="157">
        <v>98.94</v>
      </c>
      <c r="AD580" s="131">
        <v>676.75</v>
      </c>
      <c r="AG580" s="6" t="s">
        <v>17</v>
      </c>
      <c r="AH580" s="132">
        <v>9.5600000000000004E-4</v>
      </c>
      <c r="AI580" s="132">
        <v>2.2758634217332498E-3</v>
      </c>
      <c r="AJ580" s="132">
        <v>3.5303258448373802E-4</v>
      </c>
    </row>
    <row r="581" spans="1:36" x14ac:dyDescent="0.2">
      <c r="A581" s="6">
        <v>559</v>
      </c>
      <c r="B581" s="6">
        <v>7205</v>
      </c>
      <c r="C581" s="6" t="s">
        <v>1762</v>
      </c>
      <c r="D581" s="6" t="s">
        <v>1763</v>
      </c>
      <c r="E581" s="3" t="s">
        <v>1477</v>
      </c>
      <c r="F581" s="6" t="s">
        <v>1764</v>
      </c>
      <c r="G581" s="6" t="s">
        <v>1765</v>
      </c>
      <c r="H581" s="6" t="s">
        <v>76</v>
      </c>
      <c r="I581" s="6" t="s">
        <v>229</v>
      </c>
      <c r="J581" s="6" t="s">
        <v>53</v>
      </c>
      <c r="K581" s="6" t="s">
        <v>53</v>
      </c>
      <c r="L581" s="6" t="s">
        <v>805</v>
      </c>
      <c r="M581" s="6" t="s">
        <v>311</v>
      </c>
      <c r="N581" s="6" t="s">
        <v>631</v>
      </c>
      <c r="O581" s="6" t="s">
        <v>62</v>
      </c>
      <c r="P581" s="6" t="s">
        <v>298</v>
      </c>
      <c r="Q581" s="6" t="s">
        <v>298</v>
      </c>
      <c r="R581" s="6" t="s">
        <v>298</v>
      </c>
      <c r="S581" s="6" t="s">
        <v>1219</v>
      </c>
      <c r="T581" s="131">
        <v>2.44</v>
      </c>
      <c r="U581" s="6" t="s">
        <v>1544</v>
      </c>
      <c r="V581" s="134">
        <v>1.5800000000000002E-2</v>
      </c>
      <c r="W581" s="132">
        <v>3.6760000000000001E-2</v>
      </c>
      <c r="X581" s="3" t="s">
        <v>620</v>
      </c>
      <c r="Y581" s="3" t="s">
        <v>62</v>
      </c>
      <c r="Z581" s="131">
        <v>50039.17</v>
      </c>
      <c r="AA581" s="129">
        <v>1</v>
      </c>
      <c r="AB581" s="157">
        <v>109.71</v>
      </c>
      <c r="AD581" s="131">
        <v>54.898000000000003</v>
      </c>
      <c r="AG581" s="6" t="s">
        <v>17</v>
      </c>
      <c r="AH581" s="132">
        <v>1.6100000000000001E-4</v>
      </c>
      <c r="AI581" s="132">
        <v>1.8461819497828401E-4</v>
      </c>
      <c r="AJ581" s="132">
        <v>2.8638027173998599E-5</v>
      </c>
    </row>
    <row r="582" spans="1:36" x14ac:dyDescent="0.2">
      <c r="A582" s="6">
        <v>559</v>
      </c>
      <c r="B582" s="6">
        <v>7205</v>
      </c>
      <c r="C582" s="6" t="s">
        <v>1475</v>
      </c>
      <c r="D582" s="6" t="s">
        <v>1476</v>
      </c>
      <c r="E582" s="3" t="s">
        <v>1477</v>
      </c>
      <c r="F582" s="6" t="s">
        <v>1766</v>
      </c>
      <c r="G582" s="6" t="s">
        <v>1767</v>
      </c>
      <c r="H582" s="6" t="s">
        <v>76</v>
      </c>
      <c r="I582" s="6" t="s">
        <v>229</v>
      </c>
      <c r="J582" s="6" t="s">
        <v>53</v>
      </c>
      <c r="K582" s="6" t="s">
        <v>53</v>
      </c>
      <c r="L582" s="6" t="s">
        <v>805</v>
      </c>
      <c r="M582" s="6" t="s">
        <v>311</v>
      </c>
      <c r="N582" s="6" t="s">
        <v>256</v>
      </c>
      <c r="O582" s="6" t="s">
        <v>62</v>
      </c>
      <c r="P582" s="6" t="s">
        <v>1213</v>
      </c>
      <c r="Q582" s="6" t="s">
        <v>65</v>
      </c>
      <c r="R582" s="6" t="s">
        <v>57</v>
      </c>
      <c r="S582" s="6" t="s">
        <v>1219</v>
      </c>
      <c r="T582" s="131">
        <v>3.4950000000000001</v>
      </c>
      <c r="U582" s="6" t="s">
        <v>1768</v>
      </c>
      <c r="V582" s="134">
        <v>2E-3</v>
      </c>
      <c r="W582" s="132">
        <v>2.6020000000000001E-2</v>
      </c>
      <c r="X582" s="3" t="s">
        <v>620</v>
      </c>
      <c r="Y582" s="3" t="s">
        <v>62</v>
      </c>
      <c r="Z582" s="131">
        <v>4583066.13</v>
      </c>
      <c r="AA582" s="129">
        <v>1</v>
      </c>
      <c r="AB582" s="157">
        <v>105.05</v>
      </c>
      <c r="AD582" s="131">
        <v>4814.5110000000004</v>
      </c>
      <c r="AG582" s="6" t="s">
        <v>17</v>
      </c>
      <c r="AH582" s="132">
        <v>1.3450000000000001E-3</v>
      </c>
      <c r="AI582" s="132">
        <v>1.6190876816427301E-2</v>
      </c>
      <c r="AJ582" s="132">
        <v>2.5115334395629301E-3</v>
      </c>
    </row>
    <row r="583" spans="1:36" x14ac:dyDescent="0.2">
      <c r="A583" s="6">
        <v>559</v>
      </c>
      <c r="B583" s="6">
        <v>7205</v>
      </c>
      <c r="C583" s="6" t="s">
        <v>1475</v>
      </c>
      <c r="D583" s="6" t="s">
        <v>1476</v>
      </c>
      <c r="E583" s="3" t="s">
        <v>1477</v>
      </c>
      <c r="F583" s="6" t="s">
        <v>1769</v>
      </c>
      <c r="G583" s="6" t="s">
        <v>1770</v>
      </c>
      <c r="H583" s="6" t="s">
        <v>76</v>
      </c>
      <c r="I583" s="6" t="s">
        <v>229</v>
      </c>
      <c r="J583" s="6" t="s">
        <v>53</v>
      </c>
      <c r="K583" s="6" t="s">
        <v>53</v>
      </c>
      <c r="L583" s="6" t="s">
        <v>805</v>
      </c>
      <c r="M583" s="6" t="s">
        <v>311</v>
      </c>
      <c r="N583" s="6" t="s">
        <v>256</v>
      </c>
      <c r="O583" s="6" t="s">
        <v>62</v>
      </c>
      <c r="P583" s="6" t="s">
        <v>1213</v>
      </c>
      <c r="Q583" s="6" t="s">
        <v>65</v>
      </c>
      <c r="R583" s="6" t="s">
        <v>57</v>
      </c>
      <c r="S583" s="6" t="s">
        <v>1219</v>
      </c>
      <c r="T583" s="131">
        <v>4.8920000000000003</v>
      </c>
      <c r="U583" s="6" t="s">
        <v>1771</v>
      </c>
      <c r="V583" s="134">
        <v>2.47E-2</v>
      </c>
      <c r="W583" s="132">
        <v>2.63E-2</v>
      </c>
      <c r="X583" s="3" t="s">
        <v>620</v>
      </c>
      <c r="Y583" s="3" t="s">
        <v>62</v>
      </c>
      <c r="Z583" s="131">
        <v>1453549.37</v>
      </c>
      <c r="AA583" s="129">
        <v>1</v>
      </c>
      <c r="AB583" s="157">
        <v>103.16</v>
      </c>
      <c r="AD583" s="131">
        <v>1499.482</v>
      </c>
      <c r="AG583" s="6" t="s">
        <v>17</v>
      </c>
      <c r="AH583" s="132">
        <v>5.5900000000000004E-4</v>
      </c>
      <c r="AI583" s="132">
        <v>5.0426556083682699E-3</v>
      </c>
      <c r="AJ583" s="132">
        <v>7.8221817930000702E-4</v>
      </c>
    </row>
    <row r="584" spans="1:36" x14ac:dyDescent="0.2">
      <c r="A584" s="6">
        <v>559</v>
      </c>
      <c r="B584" s="6">
        <v>7205</v>
      </c>
      <c r="C584" s="6" t="s">
        <v>1475</v>
      </c>
      <c r="D584" s="6" t="s">
        <v>1476</v>
      </c>
      <c r="E584" s="3" t="s">
        <v>1477</v>
      </c>
      <c r="F584" s="6" t="s">
        <v>1772</v>
      </c>
      <c r="G584" s="6" t="s">
        <v>1773</v>
      </c>
      <c r="H584" s="6" t="s">
        <v>76</v>
      </c>
      <c r="I584" s="6" t="s">
        <v>229</v>
      </c>
      <c r="J584" s="6" t="s">
        <v>53</v>
      </c>
      <c r="K584" s="6" t="s">
        <v>53</v>
      </c>
      <c r="L584" s="6" t="s">
        <v>805</v>
      </c>
      <c r="M584" s="6" t="s">
        <v>1227</v>
      </c>
      <c r="N584" s="6" t="s">
        <v>256</v>
      </c>
      <c r="O584" s="6" t="s">
        <v>62</v>
      </c>
      <c r="P584" s="6" t="s">
        <v>1213</v>
      </c>
      <c r="Q584" s="6" t="s">
        <v>65</v>
      </c>
      <c r="R584" s="6" t="s">
        <v>57</v>
      </c>
      <c r="S584" s="6" t="s">
        <v>1219</v>
      </c>
      <c r="T584" s="131">
        <v>4.8159999999999998</v>
      </c>
      <c r="U584" s="6" t="s">
        <v>1771</v>
      </c>
      <c r="V584" s="134">
        <v>2.4E-2</v>
      </c>
      <c r="W584" s="132">
        <v>2.605E-2</v>
      </c>
      <c r="X584" s="3" t="s">
        <v>620</v>
      </c>
      <c r="Y584" s="3" t="s">
        <v>62</v>
      </c>
      <c r="Z584" s="131">
        <v>1700000</v>
      </c>
      <c r="AA584" s="129">
        <v>1</v>
      </c>
      <c r="AB584" s="157">
        <v>101.7</v>
      </c>
      <c r="AD584" s="131">
        <v>1728.9</v>
      </c>
      <c r="AG584" s="6" t="s">
        <v>17</v>
      </c>
      <c r="AH584" s="132">
        <v>7.7200000000000001E-4</v>
      </c>
      <c r="AI584" s="132">
        <v>5.8141745038853597E-3</v>
      </c>
      <c r="AJ584" s="132">
        <v>9.0189641089397597E-4</v>
      </c>
    </row>
    <row r="585" spans="1:36" x14ac:dyDescent="0.2">
      <c r="A585" s="6">
        <v>559</v>
      </c>
      <c r="B585" s="6">
        <v>7205</v>
      </c>
      <c r="C585" s="6" t="s">
        <v>1774</v>
      </c>
      <c r="D585" s="6" t="s">
        <v>1775</v>
      </c>
      <c r="E585" s="3" t="s">
        <v>1477</v>
      </c>
      <c r="F585" s="6" t="s">
        <v>1776</v>
      </c>
      <c r="G585" s="6" t="s">
        <v>1777</v>
      </c>
      <c r="H585" s="6" t="s">
        <v>76</v>
      </c>
      <c r="I585" s="6" t="s">
        <v>229</v>
      </c>
      <c r="J585" s="6" t="s">
        <v>53</v>
      </c>
      <c r="K585" s="6" t="s">
        <v>53</v>
      </c>
      <c r="L585" s="6" t="s">
        <v>805</v>
      </c>
      <c r="M585" s="6" t="s">
        <v>311</v>
      </c>
      <c r="N585" s="6" t="s">
        <v>692</v>
      </c>
      <c r="O585" s="6" t="s">
        <v>62</v>
      </c>
      <c r="P585" s="6" t="s">
        <v>1778</v>
      </c>
      <c r="Q585" s="6" t="s">
        <v>65</v>
      </c>
      <c r="R585" s="6" t="s">
        <v>57</v>
      </c>
      <c r="S585" s="6" t="s">
        <v>1219</v>
      </c>
      <c r="T585" s="131">
        <v>0.499</v>
      </c>
      <c r="U585" s="6" t="s">
        <v>1499</v>
      </c>
      <c r="V585" s="134">
        <v>4.9500000000000002E-2</v>
      </c>
      <c r="W585" s="132">
        <v>3.3270000000000001E-2</v>
      </c>
      <c r="X585" s="3" t="s">
        <v>620</v>
      </c>
      <c r="Y585" s="3" t="s">
        <v>55</v>
      </c>
      <c r="Z585" s="131">
        <v>915011.59</v>
      </c>
      <c r="AA585" s="129">
        <v>1</v>
      </c>
      <c r="AB585" s="157">
        <v>145.99</v>
      </c>
      <c r="AD585" s="131">
        <v>1335.825</v>
      </c>
      <c r="AG585" s="6" t="s">
        <v>17</v>
      </c>
      <c r="AH585" s="132">
        <v>4.9880000000000002E-3</v>
      </c>
      <c r="AI585" s="132">
        <v>4.4922911099584502E-3</v>
      </c>
      <c r="AJ585" s="132">
        <v>6.9684548099733601E-4</v>
      </c>
    </row>
    <row r="586" spans="1:36" x14ac:dyDescent="0.2">
      <c r="A586" s="6">
        <v>559</v>
      </c>
      <c r="B586" s="6">
        <v>7205</v>
      </c>
      <c r="C586" s="6" t="s">
        <v>1774</v>
      </c>
      <c r="D586" s="6" t="s">
        <v>1775</v>
      </c>
      <c r="E586" s="3" t="s">
        <v>1477</v>
      </c>
      <c r="F586" s="6" t="s">
        <v>1779</v>
      </c>
      <c r="G586" s="6" t="s">
        <v>1780</v>
      </c>
      <c r="H586" s="6" t="s">
        <v>76</v>
      </c>
      <c r="I586" s="6" t="s">
        <v>228</v>
      </c>
      <c r="J586" s="6" t="s">
        <v>53</v>
      </c>
      <c r="K586" s="6" t="s">
        <v>53</v>
      </c>
      <c r="L586" s="6" t="s">
        <v>805</v>
      </c>
      <c r="M586" s="6" t="s">
        <v>311</v>
      </c>
      <c r="N586" s="6" t="s">
        <v>692</v>
      </c>
      <c r="O586" s="6" t="s">
        <v>62</v>
      </c>
      <c r="P586" s="6" t="s">
        <v>1778</v>
      </c>
      <c r="Q586" s="6" t="s">
        <v>65</v>
      </c>
      <c r="R586" s="6" t="s">
        <v>57</v>
      </c>
      <c r="S586" s="6" t="s">
        <v>1219</v>
      </c>
      <c r="T586" s="131">
        <v>0.97599999999999998</v>
      </c>
      <c r="U586" s="6" t="s">
        <v>1559</v>
      </c>
      <c r="V586" s="134">
        <v>5.8000000000000003E-2</v>
      </c>
      <c r="W586" s="132">
        <v>5.9490000000000001E-2</v>
      </c>
      <c r="X586" s="3" t="s">
        <v>620</v>
      </c>
      <c r="Y586" s="3" t="s">
        <v>62</v>
      </c>
      <c r="Z586" s="131">
        <v>949103.29</v>
      </c>
      <c r="AA586" s="129">
        <v>1</v>
      </c>
      <c r="AB586" s="157">
        <v>99.25</v>
      </c>
      <c r="AD586" s="131">
        <v>941.98500000000001</v>
      </c>
      <c r="AG586" s="6" t="s">
        <v>17</v>
      </c>
      <c r="AH586" s="132">
        <v>1.6770000000000001E-3</v>
      </c>
      <c r="AI586" s="132">
        <v>3.1678322974982198E-3</v>
      </c>
      <c r="AJ586" s="132">
        <v>4.9139505144168202E-4</v>
      </c>
    </row>
    <row r="587" spans="1:36" x14ac:dyDescent="0.2">
      <c r="A587" s="6">
        <v>559</v>
      </c>
      <c r="B587" s="6">
        <v>7205</v>
      </c>
      <c r="C587" s="6" t="s">
        <v>1781</v>
      </c>
      <c r="D587" s="6" t="s">
        <v>1782</v>
      </c>
      <c r="E587" s="3" t="s">
        <v>1477</v>
      </c>
      <c r="F587" s="6" t="s">
        <v>2349</v>
      </c>
      <c r="G587" s="6" t="s">
        <v>2350</v>
      </c>
      <c r="H587" s="6" t="s">
        <v>76</v>
      </c>
      <c r="I587" s="6" t="s">
        <v>228</v>
      </c>
      <c r="J587" s="6" t="s">
        <v>53</v>
      </c>
      <c r="K587" s="6" t="s">
        <v>53</v>
      </c>
      <c r="L587" s="6" t="s">
        <v>805</v>
      </c>
      <c r="M587" s="6" t="s">
        <v>311</v>
      </c>
      <c r="N587" s="6" t="s">
        <v>267</v>
      </c>
      <c r="O587" s="6" t="s">
        <v>62</v>
      </c>
      <c r="P587" s="6" t="s">
        <v>1515</v>
      </c>
      <c r="Q587" s="6" t="s">
        <v>65</v>
      </c>
      <c r="R587" s="6" t="s">
        <v>57</v>
      </c>
      <c r="S587" s="6" t="s">
        <v>1219</v>
      </c>
      <c r="T587" s="131">
        <v>2.339</v>
      </c>
      <c r="U587" s="6" t="s">
        <v>2351</v>
      </c>
      <c r="V587" s="134">
        <v>6.7500000000000004E-2</v>
      </c>
      <c r="W587" s="132">
        <v>5.058E-2</v>
      </c>
      <c r="X587" s="3" t="s">
        <v>620</v>
      </c>
      <c r="Y587" s="3" t="s">
        <v>62</v>
      </c>
      <c r="Z587" s="131">
        <v>355833.69</v>
      </c>
      <c r="AA587" s="129">
        <v>1</v>
      </c>
      <c r="AB587" s="157">
        <v>106.95</v>
      </c>
      <c r="AD587" s="131">
        <v>380.56400000000002</v>
      </c>
      <c r="AG587" s="6" t="s">
        <v>17</v>
      </c>
      <c r="AH587" s="132">
        <v>3.3100000000000002E-4</v>
      </c>
      <c r="AI587" s="132">
        <v>1.27981159708424E-3</v>
      </c>
      <c r="AJ587" s="132">
        <v>1.9852474074512599E-4</v>
      </c>
    </row>
    <row r="588" spans="1:36" x14ac:dyDescent="0.2">
      <c r="A588" s="6">
        <v>559</v>
      </c>
      <c r="B588" s="6">
        <v>7205</v>
      </c>
      <c r="C588" s="6" t="s">
        <v>1781</v>
      </c>
      <c r="D588" s="6" t="s">
        <v>1782</v>
      </c>
      <c r="E588" s="3" t="s">
        <v>1477</v>
      </c>
      <c r="F588" s="6" t="s">
        <v>1783</v>
      </c>
      <c r="G588" s="6" t="s">
        <v>1784</v>
      </c>
      <c r="H588" s="6" t="s">
        <v>76</v>
      </c>
      <c r="I588" s="6" t="s">
        <v>228</v>
      </c>
      <c r="J588" s="6" t="s">
        <v>53</v>
      </c>
      <c r="K588" s="6" t="s">
        <v>53</v>
      </c>
      <c r="L588" s="6" t="s">
        <v>805</v>
      </c>
      <c r="M588" s="6" t="s">
        <v>311</v>
      </c>
      <c r="N588" s="6" t="s">
        <v>267</v>
      </c>
      <c r="O588" s="6" t="s">
        <v>62</v>
      </c>
      <c r="P588" s="6" t="s">
        <v>1515</v>
      </c>
      <c r="Q588" s="6" t="s">
        <v>65</v>
      </c>
      <c r="R588" s="6" t="s">
        <v>57</v>
      </c>
      <c r="S588" s="6" t="s">
        <v>1219</v>
      </c>
      <c r="T588" s="131">
        <v>3.3580000000000001</v>
      </c>
      <c r="U588" s="6" t="s">
        <v>1785</v>
      </c>
      <c r="V588" s="134">
        <v>6.5199999999999994E-2</v>
      </c>
      <c r="W588" s="132">
        <v>5.144E-2</v>
      </c>
      <c r="X588" s="3" t="s">
        <v>620</v>
      </c>
      <c r="Y588" s="3" t="s">
        <v>62</v>
      </c>
      <c r="Z588" s="131">
        <v>604344.02</v>
      </c>
      <c r="AA588" s="129">
        <v>1</v>
      </c>
      <c r="AB588" s="157">
        <v>105.89</v>
      </c>
      <c r="AD588" s="131">
        <v>639.94000000000005</v>
      </c>
      <c r="AG588" s="6" t="s">
        <v>17</v>
      </c>
      <c r="AH588" s="132">
        <v>7.5799999999999999E-4</v>
      </c>
      <c r="AI588" s="132">
        <v>2.15207481662747E-3</v>
      </c>
      <c r="AJ588" s="132">
        <v>3.3383046067753499E-4</v>
      </c>
    </row>
    <row r="589" spans="1:36" x14ac:dyDescent="0.2">
      <c r="A589" s="6">
        <v>559</v>
      </c>
      <c r="B589" s="6">
        <v>7205</v>
      </c>
      <c r="C589" s="6" t="s">
        <v>1781</v>
      </c>
      <c r="D589" s="6" t="s">
        <v>1782</v>
      </c>
      <c r="E589" s="3" t="s">
        <v>1477</v>
      </c>
      <c r="F589" s="6" t="s">
        <v>1786</v>
      </c>
      <c r="G589" s="6" t="s">
        <v>1787</v>
      </c>
      <c r="H589" s="6" t="s">
        <v>76</v>
      </c>
      <c r="I589" s="6" t="s">
        <v>228</v>
      </c>
      <c r="J589" s="6" t="s">
        <v>53</v>
      </c>
      <c r="K589" s="6" t="s">
        <v>53</v>
      </c>
      <c r="L589" s="6" t="s">
        <v>805</v>
      </c>
      <c r="M589" s="6" t="s">
        <v>102</v>
      </c>
      <c r="N589" s="6" t="s">
        <v>267</v>
      </c>
      <c r="O589" s="6" t="s">
        <v>62</v>
      </c>
      <c r="P589" s="6" t="s">
        <v>1515</v>
      </c>
      <c r="Q589" s="6" t="s">
        <v>65</v>
      </c>
      <c r="R589" s="6" t="s">
        <v>57</v>
      </c>
      <c r="S589" s="6" t="s">
        <v>1219</v>
      </c>
      <c r="T589" s="131">
        <v>5.4980000000000002</v>
      </c>
      <c r="U589" s="6" t="s">
        <v>1788</v>
      </c>
      <c r="V589" s="134">
        <v>5.6899999999999999E-2</v>
      </c>
      <c r="W589" s="132">
        <v>6.0490000000000002E-2</v>
      </c>
      <c r="X589" s="3" t="s">
        <v>620</v>
      </c>
      <c r="Y589" s="3" t="s">
        <v>62</v>
      </c>
      <c r="Z589" s="131">
        <v>727000</v>
      </c>
      <c r="AA589" s="129">
        <v>1</v>
      </c>
      <c r="AB589" s="157">
        <v>100.623</v>
      </c>
      <c r="AD589" s="131">
        <v>731.52599999999995</v>
      </c>
      <c r="AG589" s="6" t="s">
        <v>17</v>
      </c>
      <c r="AH589" s="132">
        <v>0</v>
      </c>
      <c r="AI589" s="132">
        <v>2.46007376442721E-3</v>
      </c>
      <c r="AJ589" s="132">
        <v>3.8160734549481598E-4</v>
      </c>
    </row>
    <row r="590" spans="1:36" x14ac:dyDescent="0.2">
      <c r="A590" s="6">
        <v>559</v>
      </c>
      <c r="B590" s="6">
        <v>7205</v>
      </c>
      <c r="C590" s="6" t="s">
        <v>1789</v>
      </c>
      <c r="D590" s="6" t="s">
        <v>1790</v>
      </c>
      <c r="E590" s="3" t="s">
        <v>1477</v>
      </c>
      <c r="F590" s="6" t="s">
        <v>1791</v>
      </c>
      <c r="G590" s="6" t="s">
        <v>1792</v>
      </c>
      <c r="H590" s="6" t="s">
        <v>76</v>
      </c>
      <c r="I590" s="6" t="s">
        <v>229</v>
      </c>
      <c r="J590" s="6" t="s">
        <v>53</v>
      </c>
      <c r="K590" s="6" t="s">
        <v>53</v>
      </c>
      <c r="L590" s="6" t="s">
        <v>805</v>
      </c>
      <c r="M590" s="6" t="s">
        <v>311</v>
      </c>
      <c r="N590" s="6" t="s">
        <v>635</v>
      </c>
      <c r="O590" s="6" t="s">
        <v>62</v>
      </c>
      <c r="P590" s="6" t="s">
        <v>1628</v>
      </c>
      <c r="Q590" s="6" t="s">
        <v>65</v>
      </c>
      <c r="R590" s="6" t="s">
        <v>57</v>
      </c>
      <c r="S590" s="6" t="s">
        <v>1219</v>
      </c>
      <c r="T590" s="131">
        <v>2.8719999999999999</v>
      </c>
      <c r="U590" s="6" t="s">
        <v>1649</v>
      </c>
      <c r="V590" s="134">
        <v>2.7E-2</v>
      </c>
      <c r="W590" s="132">
        <v>2.9139999999999999E-2</v>
      </c>
      <c r="X590" s="3" t="s">
        <v>620</v>
      </c>
      <c r="Y590" s="3" t="s">
        <v>62</v>
      </c>
      <c r="Z590" s="131">
        <v>888040.5</v>
      </c>
      <c r="AA590" s="129">
        <v>1</v>
      </c>
      <c r="AB590" s="157">
        <v>108.07</v>
      </c>
      <c r="AD590" s="131">
        <v>959.70500000000004</v>
      </c>
      <c r="AG590" s="6" t="s">
        <v>17</v>
      </c>
      <c r="AH590" s="132">
        <v>2.2550000000000001E-3</v>
      </c>
      <c r="AI590" s="132">
        <v>3.2274246537697198E-3</v>
      </c>
      <c r="AJ590" s="132">
        <v>5.0063903477965495E-4</v>
      </c>
    </row>
    <row r="591" spans="1:36" x14ac:dyDescent="0.2">
      <c r="A591" s="6">
        <v>559</v>
      </c>
      <c r="B591" s="6">
        <v>7205</v>
      </c>
      <c r="C591" s="6" t="s">
        <v>1793</v>
      </c>
      <c r="D591" s="6" t="s">
        <v>1794</v>
      </c>
      <c r="E591" s="3" t="s">
        <v>767</v>
      </c>
      <c r="F591" s="6" t="s">
        <v>1795</v>
      </c>
      <c r="G591" s="6" t="s">
        <v>1796</v>
      </c>
      <c r="H591" s="6" t="s">
        <v>76</v>
      </c>
      <c r="I591" s="6" t="s">
        <v>228</v>
      </c>
      <c r="J591" s="6" t="s">
        <v>53</v>
      </c>
      <c r="K591" s="6" t="s">
        <v>317</v>
      </c>
      <c r="L591" s="6" t="s">
        <v>805</v>
      </c>
      <c r="M591" s="6" t="s">
        <v>311</v>
      </c>
      <c r="N591" s="6" t="s">
        <v>636</v>
      </c>
      <c r="O591" s="6" t="s">
        <v>62</v>
      </c>
      <c r="P591" s="6" t="s">
        <v>1753</v>
      </c>
      <c r="Q591" s="6" t="s">
        <v>70</v>
      </c>
      <c r="R591" s="6" t="s">
        <v>57</v>
      </c>
      <c r="S591" s="6" t="s">
        <v>1219</v>
      </c>
      <c r="T591" s="131">
        <v>0.64100000000000001</v>
      </c>
      <c r="U591" s="6" t="s">
        <v>1797</v>
      </c>
      <c r="V591" s="134">
        <v>8.9499999999999996E-2</v>
      </c>
      <c r="W591" s="132">
        <v>0.21804000000000001</v>
      </c>
      <c r="X591" s="3" t="s">
        <v>620</v>
      </c>
      <c r="Y591" s="3" t="s">
        <v>62</v>
      </c>
      <c r="Z591" s="131">
        <v>470928.45</v>
      </c>
      <c r="AA591" s="129">
        <v>1</v>
      </c>
      <c r="AB591" s="157">
        <v>98.78</v>
      </c>
      <c r="AD591" s="131">
        <v>465.18299999999999</v>
      </c>
      <c r="AG591" s="6" t="s">
        <v>17</v>
      </c>
      <c r="AH591" s="132">
        <v>2.4130000000000002E-3</v>
      </c>
      <c r="AI591" s="132">
        <v>1.5643795782642701E-3</v>
      </c>
      <c r="AJ591" s="132">
        <v>2.42667007323142E-4</v>
      </c>
    </row>
    <row r="592" spans="1:36" x14ac:dyDescent="0.2">
      <c r="A592" s="6">
        <v>559</v>
      </c>
      <c r="B592" s="6">
        <v>7205</v>
      </c>
      <c r="C592" s="6" t="s">
        <v>1798</v>
      </c>
      <c r="D592" s="6" t="s">
        <v>1799</v>
      </c>
      <c r="E592" s="3" t="s">
        <v>1477</v>
      </c>
      <c r="F592" s="6" t="s">
        <v>1800</v>
      </c>
      <c r="G592" s="6" t="s">
        <v>1801</v>
      </c>
      <c r="H592" s="6" t="s">
        <v>76</v>
      </c>
      <c r="I592" s="6" t="s">
        <v>228</v>
      </c>
      <c r="J592" s="6" t="s">
        <v>53</v>
      </c>
      <c r="K592" s="6" t="s">
        <v>53</v>
      </c>
      <c r="L592" s="6" t="s">
        <v>805</v>
      </c>
      <c r="M592" s="6" t="s">
        <v>102</v>
      </c>
      <c r="N592" s="6" t="s">
        <v>140</v>
      </c>
      <c r="O592" s="6" t="s">
        <v>62</v>
      </c>
      <c r="P592" s="6" t="s">
        <v>298</v>
      </c>
      <c r="Q592" s="6" t="s">
        <v>298</v>
      </c>
      <c r="R592" s="6" t="s">
        <v>298</v>
      </c>
      <c r="S592" s="6" t="s">
        <v>1219</v>
      </c>
      <c r="T592" s="131">
        <v>3.2440000000000002</v>
      </c>
      <c r="U592" s="6" t="s">
        <v>1509</v>
      </c>
      <c r="V592" s="134">
        <v>7.1099999999999997E-2</v>
      </c>
      <c r="W592" s="132">
        <v>6.9029999999999994E-2</v>
      </c>
      <c r="X592" s="3" t="s">
        <v>620</v>
      </c>
      <c r="Y592" s="3" t="s">
        <v>62</v>
      </c>
      <c r="Z592" s="131">
        <v>164435</v>
      </c>
      <c r="AA592" s="129">
        <v>1</v>
      </c>
      <c r="AB592" s="157">
        <v>101.02</v>
      </c>
      <c r="AD592" s="131">
        <v>166.11199999999999</v>
      </c>
      <c r="AG592" s="6" t="s">
        <v>17</v>
      </c>
      <c r="AH592" s="132">
        <v>1.2650000000000001E-3</v>
      </c>
      <c r="AI592" s="132">
        <v>5.5862428894022903E-4</v>
      </c>
      <c r="AJ592" s="132">
        <v>8.6653959370622602E-5</v>
      </c>
    </row>
    <row r="593" spans="1:36" x14ac:dyDescent="0.2">
      <c r="A593" s="6">
        <v>559</v>
      </c>
      <c r="B593" s="6">
        <v>7205</v>
      </c>
      <c r="C593" s="6" t="s">
        <v>1802</v>
      </c>
      <c r="D593" s="6" t="s">
        <v>1803</v>
      </c>
      <c r="E593" s="3" t="s">
        <v>1477</v>
      </c>
      <c r="F593" s="6" t="s">
        <v>1804</v>
      </c>
      <c r="G593" s="6" t="s">
        <v>1805</v>
      </c>
      <c r="H593" s="6" t="s">
        <v>76</v>
      </c>
      <c r="I593" s="6" t="s">
        <v>228</v>
      </c>
      <c r="J593" s="6" t="s">
        <v>53</v>
      </c>
      <c r="K593" s="6" t="s">
        <v>53</v>
      </c>
      <c r="L593" s="6" t="s">
        <v>805</v>
      </c>
      <c r="M593" s="6" t="s">
        <v>311</v>
      </c>
      <c r="N593" s="6" t="s">
        <v>692</v>
      </c>
      <c r="O593" s="6" t="s">
        <v>62</v>
      </c>
      <c r="P593" s="6" t="s">
        <v>1493</v>
      </c>
      <c r="Q593" s="6" t="s">
        <v>65</v>
      </c>
      <c r="R593" s="6" t="s">
        <v>57</v>
      </c>
      <c r="S593" s="6" t="s">
        <v>1219</v>
      </c>
      <c r="T593" s="131">
        <v>0.76300000000000001</v>
      </c>
      <c r="U593" s="6" t="s">
        <v>1578</v>
      </c>
      <c r="V593" s="134">
        <v>3.5999999999999997E-2</v>
      </c>
      <c r="W593" s="132">
        <v>4.9209999999999997E-2</v>
      </c>
      <c r="X593" s="3" t="s">
        <v>620</v>
      </c>
      <c r="Y593" s="3" t="s">
        <v>62</v>
      </c>
      <c r="Z593" s="131">
        <v>504015.32</v>
      </c>
      <c r="AA593" s="129">
        <v>1</v>
      </c>
      <c r="AB593" s="157">
        <v>99.96</v>
      </c>
      <c r="AD593" s="131">
        <v>503.81400000000002</v>
      </c>
      <c r="AG593" s="6" t="s">
        <v>17</v>
      </c>
      <c r="AH593" s="132">
        <v>2.428E-3</v>
      </c>
      <c r="AI593" s="132">
        <v>1.6942916593801699E-3</v>
      </c>
      <c r="AJ593" s="132">
        <v>2.6281900647829302E-4</v>
      </c>
    </row>
    <row r="594" spans="1:36" x14ac:dyDescent="0.2">
      <c r="A594" s="6">
        <v>559</v>
      </c>
      <c r="B594" s="6">
        <v>7205</v>
      </c>
      <c r="C594" s="6" t="s">
        <v>1806</v>
      </c>
      <c r="D594" s="6" t="s">
        <v>1807</v>
      </c>
      <c r="E594" s="3" t="s">
        <v>1477</v>
      </c>
      <c r="F594" s="6" t="s">
        <v>1808</v>
      </c>
      <c r="G594" s="6" t="s">
        <v>1809</v>
      </c>
      <c r="H594" s="6" t="s">
        <v>76</v>
      </c>
      <c r="I594" s="6" t="s">
        <v>228</v>
      </c>
      <c r="J594" s="6" t="s">
        <v>53</v>
      </c>
      <c r="K594" s="6" t="s">
        <v>53</v>
      </c>
      <c r="L594" s="6" t="s">
        <v>805</v>
      </c>
      <c r="M594" s="6" t="s">
        <v>102</v>
      </c>
      <c r="N594" s="6" t="s">
        <v>140</v>
      </c>
      <c r="O594" s="6" t="s">
        <v>62</v>
      </c>
      <c r="P594" s="6" t="s">
        <v>298</v>
      </c>
      <c r="Q594" s="6" t="s">
        <v>298</v>
      </c>
      <c r="R594" s="6" t="s">
        <v>298</v>
      </c>
      <c r="S594" s="6" t="s">
        <v>1219</v>
      </c>
      <c r="T594" s="131">
        <v>1.117</v>
      </c>
      <c r="U594" s="6" t="s">
        <v>1810</v>
      </c>
      <c r="V594" s="134">
        <v>2.9000000000000001E-2</v>
      </c>
      <c r="W594" s="132">
        <v>6.7830000000000001E-2</v>
      </c>
      <c r="X594" s="3" t="s">
        <v>620</v>
      </c>
      <c r="Y594" s="3" t="s">
        <v>62</v>
      </c>
      <c r="Z594" s="131">
        <v>780000</v>
      </c>
      <c r="AA594" s="129">
        <v>1</v>
      </c>
      <c r="AB594" s="157">
        <v>95.8</v>
      </c>
      <c r="AC594" s="131">
        <v>275.08</v>
      </c>
      <c r="AD594" s="131">
        <v>1022.32</v>
      </c>
      <c r="AG594" s="6" t="s">
        <v>17</v>
      </c>
      <c r="AH594" s="132">
        <v>0</v>
      </c>
      <c r="AI594" s="132">
        <v>3.4379934517971399E-3</v>
      </c>
      <c r="AJ594" s="132">
        <v>5.3330252691603298E-4</v>
      </c>
    </row>
    <row r="595" spans="1:36" x14ac:dyDescent="0.2">
      <c r="A595" s="6">
        <v>559</v>
      </c>
      <c r="B595" s="6">
        <v>7205</v>
      </c>
      <c r="C595" s="6" t="s">
        <v>1806</v>
      </c>
      <c r="D595" s="6" t="s">
        <v>1807</v>
      </c>
      <c r="E595" s="3" t="s">
        <v>1477</v>
      </c>
      <c r="F595" s="6" t="s">
        <v>2352</v>
      </c>
      <c r="G595" s="6" t="s">
        <v>2353</v>
      </c>
      <c r="H595" s="6" t="s">
        <v>76</v>
      </c>
      <c r="I595" s="6" t="s">
        <v>229</v>
      </c>
      <c r="J595" s="6" t="s">
        <v>53</v>
      </c>
      <c r="K595" s="6" t="s">
        <v>53</v>
      </c>
      <c r="L595" s="6" t="s">
        <v>805</v>
      </c>
      <c r="M595" s="6" t="s">
        <v>311</v>
      </c>
      <c r="N595" s="6" t="s">
        <v>140</v>
      </c>
      <c r="O595" s="6" t="s">
        <v>62</v>
      </c>
      <c r="P595" s="6" t="s">
        <v>298</v>
      </c>
      <c r="Q595" s="6" t="s">
        <v>298</v>
      </c>
      <c r="R595" s="6" t="s">
        <v>298</v>
      </c>
      <c r="S595" s="6" t="s">
        <v>1219</v>
      </c>
      <c r="T595" s="131">
        <v>1.107</v>
      </c>
      <c r="U595" s="6" t="s">
        <v>1516</v>
      </c>
      <c r="V595" s="134">
        <v>3.5000000000000003E-2</v>
      </c>
      <c r="W595" s="132">
        <v>3.8109999999999998E-2</v>
      </c>
      <c r="X595" s="3" t="s">
        <v>620</v>
      </c>
      <c r="Y595" s="3" t="s">
        <v>62</v>
      </c>
      <c r="Z595" s="131">
        <v>172048</v>
      </c>
      <c r="AA595" s="129">
        <v>1</v>
      </c>
      <c r="AB595" s="157">
        <v>110.5</v>
      </c>
      <c r="AD595" s="131">
        <v>190.113</v>
      </c>
      <c r="AG595" s="6" t="s">
        <v>17</v>
      </c>
      <c r="AH595" s="132">
        <v>1.1329999999999999E-3</v>
      </c>
      <c r="AI595" s="132">
        <v>6.3933737638043595E-4</v>
      </c>
      <c r="AJ595" s="132">
        <v>9.9174196564372102E-5</v>
      </c>
    </row>
    <row r="596" spans="1:36" x14ac:dyDescent="0.2">
      <c r="A596" s="6">
        <v>559</v>
      </c>
      <c r="B596" s="6">
        <v>7205</v>
      </c>
      <c r="C596" s="6" t="s">
        <v>1811</v>
      </c>
      <c r="D596" s="6" t="s">
        <v>1812</v>
      </c>
      <c r="E596" s="3" t="s">
        <v>1477</v>
      </c>
      <c r="F596" s="6" t="s">
        <v>1813</v>
      </c>
      <c r="G596" s="6" t="s">
        <v>1814</v>
      </c>
      <c r="H596" s="6" t="s">
        <v>76</v>
      </c>
      <c r="I596" s="6" t="s">
        <v>229</v>
      </c>
      <c r="J596" s="6" t="s">
        <v>53</v>
      </c>
      <c r="K596" s="6" t="s">
        <v>53</v>
      </c>
      <c r="L596" s="6" t="s">
        <v>805</v>
      </c>
      <c r="M596" s="6" t="s">
        <v>311</v>
      </c>
      <c r="N596" s="6" t="s">
        <v>75</v>
      </c>
      <c r="O596" s="6" t="s">
        <v>62</v>
      </c>
      <c r="P596" s="6" t="s">
        <v>1577</v>
      </c>
      <c r="Q596" s="6" t="s">
        <v>65</v>
      </c>
      <c r="R596" s="6" t="s">
        <v>57</v>
      </c>
      <c r="S596" s="6" t="s">
        <v>1219</v>
      </c>
      <c r="T596" s="131">
        <v>1.0900000000000001</v>
      </c>
      <c r="U596" s="6" t="s">
        <v>1815</v>
      </c>
      <c r="V596" s="134">
        <v>1.0500000000000001E-2</v>
      </c>
      <c r="W596" s="132">
        <v>3.2000000000000001E-2</v>
      </c>
      <c r="X596" s="3" t="s">
        <v>620</v>
      </c>
      <c r="Y596" s="3" t="s">
        <v>62</v>
      </c>
      <c r="Z596" s="131">
        <v>891592.81</v>
      </c>
      <c r="AA596" s="129">
        <v>1</v>
      </c>
      <c r="AB596" s="157">
        <v>113.64</v>
      </c>
      <c r="AD596" s="131">
        <v>1013.206</v>
      </c>
      <c r="AG596" s="6" t="s">
        <v>17</v>
      </c>
      <c r="AH596" s="132">
        <v>2.1640000000000001E-3</v>
      </c>
      <c r="AI596" s="132">
        <v>3.4073439153293598E-3</v>
      </c>
      <c r="AJ596" s="132">
        <v>5.28548162058669E-4</v>
      </c>
    </row>
    <row r="597" spans="1:36" x14ac:dyDescent="0.2">
      <c r="A597" s="6">
        <v>559</v>
      </c>
      <c r="B597" s="6">
        <v>7205</v>
      </c>
      <c r="C597" s="6" t="s">
        <v>1811</v>
      </c>
      <c r="D597" s="6" t="s">
        <v>1812</v>
      </c>
      <c r="E597" s="3" t="s">
        <v>1477</v>
      </c>
      <c r="F597" s="6" t="s">
        <v>1816</v>
      </c>
      <c r="G597" s="6" t="s">
        <v>1817</v>
      </c>
      <c r="H597" s="6" t="s">
        <v>76</v>
      </c>
      <c r="I597" s="6" t="s">
        <v>228</v>
      </c>
      <c r="J597" s="6" t="s">
        <v>53</v>
      </c>
      <c r="K597" s="6" t="s">
        <v>53</v>
      </c>
      <c r="L597" s="6" t="s">
        <v>805</v>
      </c>
      <c r="M597" s="6" t="s">
        <v>311</v>
      </c>
      <c r="N597" s="6" t="s">
        <v>75</v>
      </c>
      <c r="O597" s="6" t="s">
        <v>62</v>
      </c>
      <c r="P597" s="6" t="s">
        <v>1577</v>
      </c>
      <c r="Q597" s="6" t="s">
        <v>65</v>
      </c>
      <c r="R597" s="6" t="s">
        <v>57</v>
      </c>
      <c r="S597" s="6" t="s">
        <v>1219</v>
      </c>
      <c r="T597" s="131">
        <v>1.7789999999999999</v>
      </c>
      <c r="U597" s="6" t="s">
        <v>1818</v>
      </c>
      <c r="V597" s="134">
        <v>2.18E-2</v>
      </c>
      <c r="W597" s="132">
        <v>4.8379999999999999E-2</v>
      </c>
      <c r="X597" s="3" t="s">
        <v>620</v>
      </c>
      <c r="Y597" s="3" t="s">
        <v>62</v>
      </c>
      <c r="Z597" s="131">
        <v>521185.73</v>
      </c>
      <c r="AA597" s="129">
        <v>1</v>
      </c>
      <c r="AB597" s="157">
        <v>95.82</v>
      </c>
      <c r="AD597" s="131">
        <v>499.4</v>
      </c>
      <c r="AG597" s="6" t="s">
        <v>17</v>
      </c>
      <c r="AH597" s="132">
        <v>1.8259999999999999E-3</v>
      </c>
      <c r="AI597" s="132">
        <v>1.6794491961472601E-3</v>
      </c>
      <c r="AJ597" s="132">
        <v>2.6051663933921999E-4</v>
      </c>
    </row>
    <row r="598" spans="1:36" x14ac:dyDescent="0.2">
      <c r="A598" s="6">
        <v>559</v>
      </c>
      <c r="B598" s="6">
        <v>7205</v>
      </c>
      <c r="C598" s="6" t="s">
        <v>1819</v>
      </c>
      <c r="D598" s="6" t="s">
        <v>1820</v>
      </c>
      <c r="E598" s="3" t="s">
        <v>1477</v>
      </c>
      <c r="F598" s="6" t="s">
        <v>1821</v>
      </c>
      <c r="G598" s="6" t="s">
        <v>1822</v>
      </c>
      <c r="H598" s="6" t="s">
        <v>76</v>
      </c>
      <c r="I598" s="6" t="s">
        <v>229</v>
      </c>
      <c r="J598" s="6" t="s">
        <v>53</v>
      </c>
      <c r="K598" s="6" t="s">
        <v>53</v>
      </c>
      <c r="L598" s="6" t="s">
        <v>805</v>
      </c>
      <c r="M598" s="6" t="s">
        <v>311</v>
      </c>
      <c r="N598" s="6" t="s">
        <v>256</v>
      </c>
      <c r="O598" s="6" t="s">
        <v>62</v>
      </c>
      <c r="P598" s="6" t="s">
        <v>1577</v>
      </c>
      <c r="Q598" s="6" t="s">
        <v>65</v>
      </c>
      <c r="R598" s="6" t="s">
        <v>57</v>
      </c>
      <c r="S598" s="6" t="s">
        <v>1219</v>
      </c>
      <c r="T598" s="131">
        <v>3.8740000000000001</v>
      </c>
      <c r="U598" s="6" t="s">
        <v>1823</v>
      </c>
      <c r="V598" s="134">
        <v>2.5899999999999999E-2</v>
      </c>
      <c r="W598" s="132">
        <v>2.7470000000000001E-2</v>
      </c>
      <c r="X598" s="3" t="s">
        <v>620</v>
      </c>
      <c r="Y598" s="3" t="s">
        <v>62</v>
      </c>
      <c r="Z598" s="131">
        <v>730000</v>
      </c>
      <c r="AA598" s="129">
        <v>1</v>
      </c>
      <c r="AB598" s="157">
        <v>105.24</v>
      </c>
      <c r="AD598" s="131">
        <v>768.25199999999995</v>
      </c>
      <c r="AG598" s="6" t="s">
        <v>17</v>
      </c>
      <c r="AH598" s="132">
        <v>1.0690000000000001E-3</v>
      </c>
      <c r="AI598" s="132">
        <v>2.58357984322918E-3</v>
      </c>
      <c r="AJ598" s="132">
        <v>4.00765643740019E-4</v>
      </c>
    </row>
    <row r="599" spans="1:36" x14ac:dyDescent="0.2">
      <c r="A599" s="6">
        <v>559</v>
      </c>
      <c r="B599" s="6">
        <v>7205</v>
      </c>
      <c r="C599" s="6" t="s">
        <v>1824</v>
      </c>
      <c r="D599" s="6" t="s">
        <v>1825</v>
      </c>
      <c r="E599" s="3" t="s">
        <v>1477</v>
      </c>
      <c r="F599" s="6" t="s">
        <v>1826</v>
      </c>
      <c r="G599" s="6" t="s">
        <v>1827</v>
      </c>
      <c r="H599" s="6" t="s">
        <v>76</v>
      </c>
      <c r="I599" s="6" t="s">
        <v>229</v>
      </c>
      <c r="J599" s="6" t="s">
        <v>53</v>
      </c>
      <c r="K599" s="6" t="s">
        <v>53</v>
      </c>
      <c r="L599" s="6" t="s">
        <v>805</v>
      </c>
      <c r="M599" s="6" t="s">
        <v>102</v>
      </c>
      <c r="N599" s="6" t="s">
        <v>635</v>
      </c>
      <c r="O599" s="6" t="s">
        <v>62</v>
      </c>
      <c r="P599" s="6" t="s">
        <v>298</v>
      </c>
      <c r="Q599" s="6" t="s">
        <v>298</v>
      </c>
      <c r="R599" s="6" t="s">
        <v>298</v>
      </c>
      <c r="S599" s="6" t="s">
        <v>1219</v>
      </c>
      <c r="T599" s="131">
        <v>5.0380000000000003</v>
      </c>
      <c r="U599" s="6" t="s">
        <v>1828</v>
      </c>
      <c r="V599" s="134">
        <v>4.99E-2</v>
      </c>
      <c r="W599" s="132">
        <v>4.861E-2</v>
      </c>
      <c r="X599" s="3" t="s">
        <v>620</v>
      </c>
      <c r="Y599" s="3" t="s">
        <v>62</v>
      </c>
      <c r="Z599" s="131">
        <v>702000</v>
      </c>
      <c r="AA599" s="129">
        <v>1</v>
      </c>
      <c r="AB599" s="157">
        <v>100.85</v>
      </c>
      <c r="AD599" s="131">
        <v>707.96699999999998</v>
      </c>
      <c r="AG599" s="6" t="s">
        <v>17</v>
      </c>
      <c r="AH599" s="132">
        <v>5.509E-3</v>
      </c>
      <c r="AI599" s="132">
        <v>2.38084543987056E-3</v>
      </c>
      <c r="AJ599" s="132">
        <v>3.6931742514395002E-4</v>
      </c>
    </row>
    <row r="600" spans="1:36" x14ac:dyDescent="0.2">
      <c r="A600" s="6">
        <v>559</v>
      </c>
      <c r="B600" s="6">
        <v>7205</v>
      </c>
      <c r="C600" s="6" t="s">
        <v>1829</v>
      </c>
      <c r="D600" s="6" t="s">
        <v>1830</v>
      </c>
      <c r="E600" s="3" t="s">
        <v>1477</v>
      </c>
      <c r="F600" s="6" t="s">
        <v>1831</v>
      </c>
      <c r="G600" s="6" t="s">
        <v>1832</v>
      </c>
      <c r="H600" s="6" t="s">
        <v>76</v>
      </c>
      <c r="I600" s="6" t="s">
        <v>228</v>
      </c>
      <c r="J600" s="6" t="s">
        <v>53</v>
      </c>
      <c r="K600" s="6" t="s">
        <v>53</v>
      </c>
      <c r="L600" s="6" t="s">
        <v>805</v>
      </c>
      <c r="M600" s="6" t="s">
        <v>311</v>
      </c>
      <c r="N600" s="6" t="s">
        <v>140</v>
      </c>
      <c r="O600" s="6" t="s">
        <v>62</v>
      </c>
      <c r="P600" s="6" t="s">
        <v>1515</v>
      </c>
      <c r="Q600" s="6" t="s">
        <v>65</v>
      </c>
      <c r="R600" s="6" t="s">
        <v>57</v>
      </c>
      <c r="S600" s="6" t="s">
        <v>1219</v>
      </c>
      <c r="T600" s="131">
        <v>1.4570000000000001</v>
      </c>
      <c r="U600" s="6" t="s">
        <v>1644</v>
      </c>
      <c r="V600" s="134">
        <v>3.95E-2</v>
      </c>
      <c r="W600" s="132">
        <v>5.5649999999999998E-2</v>
      </c>
      <c r="X600" s="3" t="s">
        <v>620</v>
      </c>
      <c r="Y600" s="3" t="s">
        <v>62</v>
      </c>
      <c r="Z600" s="131">
        <v>74200</v>
      </c>
      <c r="AA600" s="129">
        <v>1</v>
      </c>
      <c r="AB600" s="157">
        <v>97.85</v>
      </c>
      <c r="AD600" s="131">
        <v>72.605000000000004</v>
      </c>
      <c r="AG600" s="6" t="s">
        <v>17</v>
      </c>
      <c r="AH600" s="132">
        <v>1.26E-4</v>
      </c>
      <c r="AI600" s="132">
        <v>2.4416472647477899E-4</v>
      </c>
      <c r="AJ600" s="132">
        <v>3.7874902159774298E-5</v>
      </c>
    </row>
    <row r="601" spans="1:36" x14ac:dyDescent="0.2">
      <c r="A601" s="6">
        <v>559</v>
      </c>
      <c r="B601" s="6">
        <v>7205</v>
      </c>
      <c r="C601" s="6" t="s">
        <v>1833</v>
      </c>
      <c r="D601" s="6" t="s">
        <v>1834</v>
      </c>
      <c r="E601" s="3" t="s">
        <v>432</v>
      </c>
      <c r="F601" s="6" t="s">
        <v>1835</v>
      </c>
      <c r="G601" s="6" t="s">
        <v>1836</v>
      </c>
      <c r="H601" s="6" t="s">
        <v>76</v>
      </c>
      <c r="I601" s="6" t="s">
        <v>230</v>
      </c>
      <c r="J601" s="6" t="s">
        <v>53</v>
      </c>
      <c r="K601" s="6" t="s">
        <v>53</v>
      </c>
      <c r="L601" s="6" t="s">
        <v>805</v>
      </c>
      <c r="M601" s="6" t="s">
        <v>311</v>
      </c>
      <c r="N601" s="6" t="s">
        <v>267</v>
      </c>
      <c r="O601" s="6" t="s">
        <v>62</v>
      </c>
      <c r="P601" s="6" t="s">
        <v>1533</v>
      </c>
      <c r="Q601" s="6" t="s">
        <v>65</v>
      </c>
      <c r="R601" s="6" t="s">
        <v>57</v>
      </c>
      <c r="S601" s="6" t="s">
        <v>1219</v>
      </c>
      <c r="T601" s="131">
        <v>2.86</v>
      </c>
      <c r="U601" s="6" t="s">
        <v>1837</v>
      </c>
      <c r="V601" s="134">
        <v>3.7699999999999997E-2</v>
      </c>
      <c r="W601" s="132">
        <v>5.6959999999999997E-2</v>
      </c>
      <c r="X601" s="3" t="s">
        <v>620</v>
      </c>
      <c r="Y601" s="3" t="s">
        <v>62</v>
      </c>
      <c r="Z601" s="131">
        <v>674058.33</v>
      </c>
      <c r="AA601" s="129">
        <v>1</v>
      </c>
      <c r="AB601" s="157">
        <v>94.84</v>
      </c>
      <c r="AD601" s="131">
        <v>639.27700000000004</v>
      </c>
      <c r="AG601" s="6" t="s">
        <v>17</v>
      </c>
      <c r="AH601" s="132">
        <v>4.0419999999999996E-3</v>
      </c>
      <c r="AI601" s="132">
        <v>2.14984531793996E-3</v>
      </c>
      <c r="AJ601" s="132">
        <v>3.3348462020387599E-4</v>
      </c>
    </row>
    <row r="602" spans="1:36" x14ac:dyDescent="0.2">
      <c r="A602" s="6">
        <v>559</v>
      </c>
      <c r="B602" s="6">
        <v>7205</v>
      </c>
      <c r="C602" s="6" t="s">
        <v>1833</v>
      </c>
      <c r="D602" s="6" t="s">
        <v>1834</v>
      </c>
      <c r="E602" s="3" t="s">
        <v>432</v>
      </c>
      <c r="F602" s="6" t="s">
        <v>1838</v>
      </c>
      <c r="G602" s="6" t="s">
        <v>1839</v>
      </c>
      <c r="H602" s="6" t="s">
        <v>76</v>
      </c>
      <c r="I602" s="6" t="s">
        <v>230</v>
      </c>
      <c r="J602" s="6" t="s">
        <v>53</v>
      </c>
      <c r="K602" s="6" t="s">
        <v>53</v>
      </c>
      <c r="L602" s="6" t="s">
        <v>805</v>
      </c>
      <c r="M602" s="6" t="s">
        <v>311</v>
      </c>
      <c r="N602" s="6" t="s">
        <v>267</v>
      </c>
      <c r="O602" s="6" t="s">
        <v>62</v>
      </c>
      <c r="P602" s="6" t="s">
        <v>1533</v>
      </c>
      <c r="Q602" s="6" t="s">
        <v>65</v>
      </c>
      <c r="R602" s="6" t="s">
        <v>57</v>
      </c>
      <c r="S602" s="6" t="s">
        <v>1219</v>
      </c>
      <c r="T602" s="131">
        <v>0.27400000000000002</v>
      </c>
      <c r="U602" s="6" t="s">
        <v>1840</v>
      </c>
      <c r="V602" s="134">
        <v>3.49E-2</v>
      </c>
      <c r="W602" s="132">
        <v>2.896E-2</v>
      </c>
      <c r="X602" s="3" t="s">
        <v>620</v>
      </c>
      <c r="Y602" s="3" t="s">
        <v>62</v>
      </c>
      <c r="Z602" s="131">
        <v>522388.91</v>
      </c>
      <c r="AA602" s="129">
        <v>1</v>
      </c>
      <c r="AB602" s="157">
        <v>94.47</v>
      </c>
      <c r="AD602" s="131">
        <v>493.50099999999998</v>
      </c>
      <c r="AG602" s="6" t="s">
        <v>17</v>
      </c>
      <c r="AH602" s="132">
        <v>1.5560000000000001E-3</v>
      </c>
      <c r="AI602" s="132">
        <v>1.6596100341604899E-3</v>
      </c>
      <c r="AJ602" s="132">
        <v>2.5743918286125298E-4</v>
      </c>
    </row>
    <row r="603" spans="1:36" x14ac:dyDescent="0.2">
      <c r="A603" s="6">
        <v>559</v>
      </c>
      <c r="B603" s="6">
        <v>7205</v>
      </c>
      <c r="C603" s="6" t="s">
        <v>1841</v>
      </c>
      <c r="D603" s="6" t="s">
        <v>1842</v>
      </c>
      <c r="E603" s="3" t="s">
        <v>1477</v>
      </c>
      <c r="F603" s="6" t="s">
        <v>1843</v>
      </c>
      <c r="G603" s="6" t="s">
        <v>1844</v>
      </c>
      <c r="H603" s="6" t="s">
        <v>76</v>
      </c>
      <c r="I603" s="6" t="s">
        <v>229</v>
      </c>
      <c r="J603" s="6" t="s">
        <v>53</v>
      </c>
      <c r="K603" s="6" t="s">
        <v>53</v>
      </c>
      <c r="L603" s="6" t="s">
        <v>805</v>
      </c>
      <c r="M603" s="6" t="s">
        <v>311</v>
      </c>
      <c r="N603" s="6" t="s">
        <v>635</v>
      </c>
      <c r="O603" s="6" t="s">
        <v>62</v>
      </c>
      <c r="P603" s="6" t="s">
        <v>1533</v>
      </c>
      <c r="Q603" s="6" t="s">
        <v>65</v>
      </c>
      <c r="R603" s="6" t="s">
        <v>57</v>
      </c>
      <c r="S603" s="6" t="s">
        <v>1219</v>
      </c>
      <c r="T603" s="131">
        <v>1.7569999999999999</v>
      </c>
      <c r="U603" s="6" t="s">
        <v>1845</v>
      </c>
      <c r="V603" s="134">
        <v>1.5800000000000002E-2</v>
      </c>
      <c r="W603" s="132">
        <v>2.7789999999999999E-2</v>
      </c>
      <c r="X603" s="3" t="s">
        <v>620</v>
      </c>
      <c r="Y603" s="3" t="s">
        <v>62</v>
      </c>
      <c r="Z603" s="131">
        <v>281996.92</v>
      </c>
      <c r="AA603" s="129">
        <v>1</v>
      </c>
      <c r="AB603" s="157">
        <v>116.04</v>
      </c>
      <c r="AD603" s="131">
        <v>327.22899999999998</v>
      </c>
      <c r="AG603" s="6" t="s">
        <v>17</v>
      </c>
      <c r="AH603" s="132">
        <v>7.1599999999999995E-4</v>
      </c>
      <c r="AI603" s="132">
        <v>1.10044989447006E-3</v>
      </c>
      <c r="AJ603" s="132">
        <v>1.70702102169098E-4</v>
      </c>
    </row>
    <row r="604" spans="1:36" x14ac:dyDescent="0.2">
      <c r="A604" s="6">
        <v>559</v>
      </c>
      <c r="B604" s="6">
        <v>7205</v>
      </c>
      <c r="C604" s="6" t="s">
        <v>1841</v>
      </c>
      <c r="D604" s="6" t="s">
        <v>1842</v>
      </c>
      <c r="E604" s="3" t="s">
        <v>1477</v>
      </c>
      <c r="F604" s="6" t="s">
        <v>1846</v>
      </c>
      <c r="G604" s="6" t="s">
        <v>1847</v>
      </c>
      <c r="H604" s="6" t="s">
        <v>76</v>
      </c>
      <c r="I604" s="6" t="s">
        <v>228</v>
      </c>
      <c r="J604" s="6" t="s">
        <v>53</v>
      </c>
      <c r="K604" s="6" t="s">
        <v>53</v>
      </c>
      <c r="L604" s="6" t="s">
        <v>805</v>
      </c>
      <c r="M604" s="6" t="s">
        <v>311</v>
      </c>
      <c r="N604" s="6" t="s">
        <v>635</v>
      </c>
      <c r="O604" s="6" t="s">
        <v>62</v>
      </c>
      <c r="P604" s="6" t="s">
        <v>1577</v>
      </c>
      <c r="Q604" s="6" t="s">
        <v>65</v>
      </c>
      <c r="R604" s="6" t="s">
        <v>57</v>
      </c>
      <c r="S604" s="6" t="s">
        <v>1219</v>
      </c>
      <c r="T604" s="131">
        <v>1.121</v>
      </c>
      <c r="U604" s="6" t="s">
        <v>1848</v>
      </c>
      <c r="V604" s="134">
        <v>5.0500000000000003E-2</v>
      </c>
      <c r="W604" s="132">
        <v>4.7960000000000003E-2</v>
      </c>
      <c r="X604" s="3" t="s">
        <v>620</v>
      </c>
      <c r="Y604" s="3" t="s">
        <v>62</v>
      </c>
      <c r="Z604" s="131">
        <v>254485.67</v>
      </c>
      <c r="AA604" s="129">
        <v>1</v>
      </c>
      <c r="AB604" s="157">
        <v>102.04</v>
      </c>
      <c r="AD604" s="131">
        <v>259.67700000000002</v>
      </c>
      <c r="AG604" s="6" t="s">
        <v>17</v>
      </c>
      <c r="AH604" s="132">
        <v>1.3730000000000001E-3</v>
      </c>
      <c r="AI604" s="132">
        <v>8.7327689608316999E-4</v>
      </c>
      <c r="AJ604" s="132">
        <v>1.35462961727021E-4</v>
      </c>
    </row>
    <row r="605" spans="1:36" x14ac:dyDescent="0.2">
      <c r="A605" s="6">
        <v>559</v>
      </c>
      <c r="B605" s="6">
        <v>7205</v>
      </c>
      <c r="C605" s="6" t="s">
        <v>1849</v>
      </c>
      <c r="D605" s="6" t="s">
        <v>1850</v>
      </c>
      <c r="E605" s="3" t="s">
        <v>1477</v>
      </c>
      <c r="F605" s="6" t="s">
        <v>1851</v>
      </c>
      <c r="G605" s="6" t="s">
        <v>1852</v>
      </c>
      <c r="H605" s="6" t="s">
        <v>76</v>
      </c>
      <c r="I605" s="6" t="s">
        <v>607</v>
      </c>
      <c r="J605" s="6" t="s">
        <v>53</v>
      </c>
      <c r="K605" s="6" t="s">
        <v>53</v>
      </c>
      <c r="L605" s="6" t="s">
        <v>805</v>
      </c>
      <c r="M605" s="6" t="s">
        <v>311</v>
      </c>
      <c r="N605" s="6" t="s">
        <v>269</v>
      </c>
      <c r="O605" s="6" t="s">
        <v>62</v>
      </c>
      <c r="P605" s="6" t="s">
        <v>1577</v>
      </c>
      <c r="Q605" s="6" t="s">
        <v>65</v>
      </c>
      <c r="R605" s="6" t="s">
        <v>57</v>
      </c>
      <c r="S605" s="6" t="s">
        <v>1219</v>
      </c>
      <c r="T605" s="131">
        <v>2.6040000000000001</v>
      </c>
      <c r="U605" s="6" t="s">
        <v>1608</v>
      </c>
      <c r="V605" s="134">
        <v>2.8000000000000001E-2</v>
      </c>
      <c r="W605" s="132">
        <v>1E-4</v>
      </c>
      <c r="X605" s="3" t="s">
        <v>620</v>
      </c>
      <c r="Y605" s="3" t="s">
        <v>62</v>
      </c>
      <c r="Z605" s="131">
        <v>1295347</v>
      </c>
      <c r="AA605" s="129">
        <v>1</v>
      </c>
      <c r="AB605" s="157">
        <v>183.2</v>
      </c>
      <c r="AD605" s="131">
        <v>2373.076</v>
      </c>
      <c r="AG605" s="6" t="s">
        <v>17</v>
      </c>
      <c r="AH605" s="132">
        <v>8.6359999999999996E-3</v>
      </c>
      <c r="AI605" s="132">
        <v>7.9804941026008405E-3</v>
      </c>
      <c r="AJ605" s="132">
        <v>1.2379365262405501E-3</v>
      </c>
    </row>
    <row r="606" spans="1:36" x14ac:dyDescent="0.2">
      <c r="A606" s="6">
        <v>559</v>
      </c>
      <c r="B606" s="6">
        <v>7205</v>
      </c>
      <c r="C606" s="6" t="s">
        <v>1220</v>
      </c>
      <c r="D606" s="6" t="s">
        <v>1483</v>
      </c>
      <c r="E606" s="3" t="s">
        <v>1477</v>
      </c>
      <c r="F606" s="6" t="s">
        <v>1853</v>
      </c>
      <c r="G606" s="6" t="s">
        <v>1854</v>
      </c>
      <c r="H606" s="6" t="s">
        <v>76</v>
      </c>
      <c r="I606" s="6" t="s">
        <v>229</v>
      </c>
      <c r="J606" s="6" t="s">
        <v>53</v>
      </c>
      <c r="K606" s="6" t="s">
        <v>53</v>
      </c>
      <c r="L606" s="6" t="s">
        <v>805</v>
      </c>
      <c r="M606" s="6" t="s">
        <v>311</v>
      </c>
      <c r="N606" s="6" t="s">
        <v>256</v>
      </c>
      <c r="O606" s="6" t="s">
        <v>62</v>
      </c>
      <c r="P606" s="6" t="s">
        <v>1213</v>
      </c>
      <c r="Q606" s="6" t="s">
        <v>65</v>
      </c>
      <c r="R606" s="6" t="s">
        <v>57</v>
      </c>
      <c r="S606" s="6" t="s">
        <v>1219</v>
      </c>
      <c r="T606" s="131">
        <v>2.0920000000000001</v>
      </c>
      <c r="U606" s="6" t="s">
        <v>1299</v>
      </c>
      <c r="V606" s="134">
        <v>1.8599999999999998E-2</v>
      </c>
      <c r="W606" s="132">
        <v>2.5680000000000001E-2</v>
      </c>
      <c r="X606" s="3" t="s">
        <v>620</v>
      </c>
      <c r="Y606" s="3" t="s">
        <v>62</v>
      </c>
      <c r="Z606" s="131">
        <v>8137043.0999999996</v>
      </c>
      <c r="AA606" s="129">
        <v>1</v>
      </c>
      <c r="AB606" s="157">
        <v>104.2</v>
      </c>
      <c r="AD606" s="131">
        <v>8478.7990000000009</v>
      </c>
      <c r="AG606" s="6" t="s">
        <v>17</v>
      </c>
      <c r="AH606" s="132">
        <v>2.8319999999999999E-3</v>
      </c>
      <c r="AI606" s="132">
        <v>2.8513630890887699E-2</v>
      </c>
      <c r="AJ606" s="132">
        <v>4.4230425737758899E-3</v>
      </c>
    </row>
    <row r="607" spans="1:36" x14ac:dyDescent="0.2">
      <c r="A607" s="6">
        <v>559</v>
      </c>
      <c r="B607" s="6">
        <v>7205</v>
      </c>
      <c r="C607" s="6" t="s">
        <v>1220</v>
      </c>
      <c r="D607" s="6" t="s">
        <v>1483</v>
      </c>
      <c r="E607" s="3" t="s">
        <v>1477</v>
      </c>
      <c r="F607" s="6" t="s">
        <v>1855</v>
      </c>
      <c r="G607" s="6" t="s">
        <v>1856</v>
      </c>
      <c r="H607" s="6" t="s">
        <v>76</v>
      </c>
      <c r="I607" s="6" t="s">
        <v>229</v>
      </c>
      <c r="J607" s="6" t="s">
        <v>53</v>
      </c>
      <c r="K607" s="6" t="s">
        <v>53</v>
      </c>
      <c r="L607" s="6" t="s">
        <v>805</v>
      </c>
      <c r="M607" s="6" t="s">
        <v>311</v>
      </c>
      <c r="N607" s="6" t="s">
        <v>256</v>
      </c>
      <c r="O607" s="6" t="s">
        <v>62</v>
      </c>
      <c r="P607" s="6" t="s">
        <v>1213</v>
      </c>
      <c r="Q607" s="6" t="s">
        <v>65</v>
      </c>
      <c r="R607" s="6" t="s">
        <v>57</v>
      </c>
      <c r="S607" s="6" t="s">
        <v>1219</v>
      </c>
      <c r="T607" s="131">
        <v>0.995</v>
      </c>
      <c r="U607" s="6" t="s">
        <v>1595</v>
      </c>
      <c r="V607" s="134">
        <v>8.3000000000000001E-3</v>
      </c>
      <c r="W607" s="132">
        <v>2.4899999999999999E-2</v>
      </c>
      <c r="X607" s="3" t="s">
        <v>620</v>
      </c>
      <c r="Y607" s="3" t="s">
        <v>62</v>
      </c>
      <c r="Z607" s="131">
        <v>3811800.5</v>
      </c>
      <c r="AA607" s="129">
        <v>1</v>
      </c>
      <c r="AB607" s="157">
        <v>115.16</v>
      </c>
      <c r="AD607" s="131">
        <v>4389.6689999999999</v>
      </c>
      <c r="AG607" s="6" t="s">
        <v>17</v>
      </c>
      <c r="AH607" s="132">
        <v>2.506E-3</v>
      </c>
      <c r="AI607" s="132">
        <v>1.47621633584341E-2</v>
      </c>
      <c r="AJ607" s="132">
        <v>2.28991099959334E-3</v>
      </c>
    </row>
    <row r="608" spans="1:36" x14ac:dyDescent="0.2">
      <c r="A608" s="6">
        <v>559</v>
      </c>
      <c r="B608" s="6">
        <v>7205</v>
      </c>
      <c r="C608" s="6" t="s">
        <v>1220</v>
      </c>
      <c r="D608" s="6" t="s">
        <v>1483</v>
      </c>
      <c r="E608" s="3" t="s">
        <v>1477</v>
      </c>
      <c r="F608" s="6" t="s">
        <v>2354</v>
      </c>
      <c r="G608" s="6" t="s">
        <v>2355</v>
      </c>
      <c r="H608" s="6" t="s">
        <v>76</v>
      </c>
      <c r="I608" s="6" t="s">
        <v>229</v>
      </c>
      <c r="J608" s="6" t="s">
        <v>53</v>
      </c>
      <c r="K608" s="6" t="s">
        <v>53</v>
      </c>
      <c r="L608" s="6" t="s">
        <v>805</v>
      </c>
      <c r="M608" s="6" t="s">
        <v>311</v>
      </c>
      <c r="N608" s="6" t="s">
        <v>256</v>
      </c>
      <c r="O608" s="6" t="s">
        <v>62</v>
      </c>
      <c r="P608" s="6" t="s">
        <v>1213</v>
      </c>
      <c r="Q608" s="6" t="s">
        <v>65</v>
      </c>
      <c r="R608" s="6" t="s">
        <v>57</v>
      </c>
      <c r="S608" s="6" t="s">
        <v>1219</v>
      </c>
      <c r="T608" s="131">
        <v>2.3969999999999998</v>
      </c>
      <c r="U608" s="6" t="s">
        <v>2356</v>
      </c>
      <c r="V608" s="134">
        <v>1E-3</v>
      </c>
      <c r="W608" s="132">
        <v>2.4969999999999999E-2</v>
      </c>
      <c r="X608" s="3" t="s">
        <v>620</v>
      </c>
      <c r="Y608" s="3" t="s">
        <v>62</v>
      </c>
      <c r="Z608" s="131">
        <v>616172</v>
      </c>
      <c r="AA608" s="129">
        <v>1</v>
      </c>
      <c r="AB608" s="157">
        <v>107.95</v>
      </c>
      <c r="AD608" s="131">
        <v>665.15800000000002</v>
      </c>
      <c r="AG608" s="6" t="s">
        <v>17</v>
      </c>
      <c r="AH608" s="132">
        <v>1.9599999999999999E-4</v>
      </c>
      <c r="AI608" s="132">
        <v>2.2368805536667701E-3</v>
      </c>
      <c r="AJ608" s="132">
        <v>3.4698555084688803E-4</v>
      </c>
    </row>
    <row r="609" spans="1:36" x14ac:dyDescent="0.2">
      <c r="A609" s="6">
        <v>559</v>
      </c>
      <c r="B609" s="6">
        <v>7205</v>
      </c>
      <c r="C609" s="6" t="s">
        <v>1220</v>
      </c>
      <c r="D609" s="6" t="s">
        <v>1483</v>
      </c>
      <c r="E609" s="3" t="s">
        <v>1477</v>
      </c>
      <c r="F609" s="6" t="s">
        <v>1857</v>
      </c>
      <c r="G609" s="6" t="s">
        <v>1858</v>
      </c>
      <c r="H609" s="6" t="s">
        <v>76</v>
      </c>
      <c r="I609" s="6" t="s">
        <v>228</v>
      </c>
      <c r="J609" s="6" t="s">
        <v>53</v>
      </c>
      <c r="K609" s="6" t="s">
        <v>53</v>
      </c>
      <c r="L609" s="6" t="s">
        <v>805</v>
      </c>
      <c r="M609" s="6" t="s">
        <v>311</v>
      </c>
      <c r="N609" s="6" t="s">
        <v>256</v>
      </c>
      <c r="O609" s="6" t="s">
        <v>62</v>
      </c>
      <c r="P609" s="6" t="s">
        <v>1213</v>
      </c>
      <c r="Q609" s="6" t="s">
        <v>65</v>
      </c>
      <c r="R609" s="6" t="s">
        <v>57</v>
      </c>
      <c r="S609" s="6" t="s">
        <v>1219</v>
      </c>
      <c r="T609" s="131">
        <v>2.4529999999999998</v>
      </c>
      <c r="U609" s="6" t="s">
        <v>1859</v>
      </c>
      <c r="V609" s="134">
        <v>2.76E-2</v>
      </c>
      <c r="W609" s="132">
        <v>4.3869999999999999E-2</v>
      </c>
      <c r="X609" s="3" t="s">
        <v>620</v>
      </c>
      <c r="Y609" s="3" t="s">
        <v>62</v>
      </c>
      <c r="Z609" s="131">
        <v>2139000</v>
      </c>
      <c r="AA609" s="129">
        <v>1</v>
      </c>
      <c r="AB609" s="157">
        <v>96.65</v>
      </c>
      <c r="AD609" s="131">
        <v>2067.3440000000001</v>
      </c>
      <c r="AG609" s="6" t="s">
        <v>17</v>
      </c>
      <c r="AH609" s="132">
        <v>9.8499999999999998E-4</v>
      </c>
      <c r="AI609" s="132">
        <v>6.9523372482347802E-3</v>
      </c>
      <c r="AJ609" s="132">
        <v>1.07844854111573E-3</v>
      </c>
    </row>
    <row r="610" spans="1:36" x14ac:dyDescent="0.2">
      <c r="A610" s="6">
        <v>559</v>
      </c>
      <c r="B610" s="6">
        <v>7205</v>
      </c>
      <c r="C610" s="6" t="s">
        <v>1220</v>
      </c>
      <c r="D610" s="6" t="s">
        <v>1483</v>
      </c>
      <c r="E610" s="3" t="s">
        <v>1477</v>
      </c>
      <c r="F610" s="6" t="s">
        <v>1860</v>
      </c>
      <c r="G610" s="6" t="s">
        <v>1861</v>
      </c>
      <c r="H610" s="6" t="s">
        <v>76</v>
      </c>
      <c r="I610" s="6" t="s">
        <v>229</v>
      </c>
      <c r="J610" s="6" t="s">
        <v>53</v>
      </c>
      <c r="K610" s="6" t="s">
        <v>53</v>
      </c>
      <c r="L610" s="6" t="s">
        <v>805</v>
      </c>
      <c r="M610" s="6" t="s">
        <v>311</v>
      </c>
      <c r="N610" s="6" t="s">
        <v>256</v>
      </c>
      <c r="O610" s="6" t="s">
        <v>62</v>
      </c>
      <c r="P610" s="6" t="s">
        <v>1213</v>
      </c>
      <c r="Q610" s="6" t="s">
        <v>65</v>
      </c>
      <c r="R610" s="6" t="s">
        <v>57</v>
      </c>
      <c r="S610" s="6" t="s">
        <v>1219</v>
      </c>
      <c r="T610" s="131">
        <v>4.3879999999999999</v>
      </c>
      <c r="U610" s="6" t="s">
        <v>1862</v>
      </c>
      <c r="V610" s="134">
        <v>2.0199999999999999E-2</v>
      </c>
      <c r="W610" s="132">
        <v>2.6360000000000001E-2</v>
      </c>
      <c r="X610" s="3" t="s">
        <v>620</v>
      </c>
      <c r="Y610" s="3" t="s">
        <v>62</v>
      </c>
      <c r="Z610" s="131">
        <v>1355046</v>
      </c>
      <c r="AA610" s="129">
        <v>1</v>
      </c>
      <c r="AB610" s="157">
        <v>102.52</v>
      </c>
      <c r="AD610" s="131">
        <v>1389.193</v>
      </c>
      <c r="AG610" s="6" t="s">
        <v>17</v>
      </c>
      <c r="AH610" s="132">
        <v>3.8000000000000002E-4</v>
      </c>
      <c r="AI610" s="132">
        <v>4.6717632293322804E-3</v>
      </c>
      <c r="AJ610" s="132">
        <v>7.24685247452683E-4</v>
      </c>
    </row>
    <row r="611" spans="1:36" x14ac:dyDescent="0.2">
      <c r="A611" s="6">
        <v>559</v>
      </c>
      <c r="B611" s="6">
        <v>7205</v>
      </c>
      <c r="C611" s="6" t="s">
        <v>1220</v>
      </c>
      <c r="D611" s="6" t="s">
        <v>1483</v>
      </c>
      <c r="E611" s="3" t="s">
        <v>1477</v>
      </c>
      <c r="F611" s="6" t="s">
        <v>1863</v>
      </c>
      <c r="G611" s="6" t="s">
        <v>1864</v>
      </c>
      <c r="H611" s="6" t="s">
        <v>76</v>
      </c>
      <c r="I611" s="6" t="s">
        <v>229</v>
      </c>
      <c r="J611" s="6" t="s">
        <v>53</v>
      </c>
      <c r="K611" s="6" t="s">
        <v>53</v>
      </c>
      <c r="L611" s="6" t="s">
        <v>805</v>
      </c>
      <c r="M611" s="6" t="s">
        <v>311</v>
      </c>
      <c r="N611" s="6" t="s">
        <v>256</v>
      </c>
      <c r="O611" s="6" t="s">
        <v>62</v>
      </c>
      <c r="P611" s="6" t="s">
        <v>1213</v>
      </c>
      <c r="Q611" s="6" t="s">
        <v>65</v>
      </c>
      <c r="R611" s="6" t="s">
        <v>57</v>
      </c>
      <c r="S611" s="6" t="s">
        <v>1219</v>
      </c>
      <c r="T611" s="131">
        <v>4.3920000000000003</v>
      </c>
      <c r="U611" s="6" t="s">
        <v>1865</v>
      </c>
      <c r="V611" s="134">
        <v>1E-3</v>
      </c>
      <c r="W611" s="132">
        <v>2.581E-2</v>
      </c>
      <c r="X611" s="3" t="s">
        <v>620</v>
      </c>
      <c r="Y611" s="3" t="s">
        <v>62</v>
      </c>
      <c r="Z611" s="131">
        <v>2019000</v>
      </c>
      <c r="AA611" s="129">
        <v>1</v>
      </c>
      <c r="AB611" s="157">
        <v>102.6</v>
      </c>
      <c r="AD611" s="131">
        <v>2071.4940000000001</v>
      </c>
      <c r="AG611" s="6" t="s">
        <v>17</v>
      </c>
      <c r="AH611" s="132">
        <v>4.7100000000000001E-4</v>
      </c>
      <c r="AI611" s="132">
        <v>6.9662951007874903E-3</v>
      </c>
      <c r="AJ611" s="132">
        <v>1.08061368719325E-3</v>
      </c>
    </row>
    <row r="612" spans="1:36" x14ac:dyDescent="0.2">
      <c r="A612" s="6">
        <v>559</v>
      </c>
      <c r="B612" s="6">
        <v>7205</v>
      </c>
      <c r="C612" s="6" t="s">
        <v>2487</v>
      </c>
      <c r="D612" s="6" t="s">
        <v>2488</v>
      </c>
      <c r="E612" s="3" t="s">
        <v>1477</v>
      </c>
      <c r="F612" s="6" t="s">
        <v>2489</v>
      </c>
      <c r="G612" s="6" t="s">
        <v>2490</v>
      </c>
      <c r="H612" s="6" t="s">
        <v>76</v>
      </c>
      <c r="I612" s="6" t="s">
        <v>228</v>
      </c>
      <c r="J612" s="6" t="s">
        <v>53</v>
      </c>
      <c r="K612" s="6" t="s">
        <v>53</v>
      </c>
      <c r="L612" s="6" t="s">
        <v>805</v>
      </c>
      <c r="M612" s="6" t="s">
        <v>102</v>
      </c>
      <c r="N612" s="6" t="s">
        <v>692</v>
      </c>
      <c r="O612" s="6" t="s">
        <v>62</v>
      </c>
      <c r="P612" s="6" t="s">
        <v>1527</v>
      </c>
      <c r="Q612" s="6" t="s">
        <v>70</v>
      </c>
      <c r="R612" s="6" t="s">
        <v>57</v>
      </c>
      <c r="S612" s="6" t="s">
        <v>1219</v>
      </c>
      <c r="T612" s="131">
        <v>0.57299999999999995</v>
      </c>
      <c r="U612" s="6" t="s">
        <v>2491</v>
      </c>
      <c r="V612" s="134">
        <v>5.2999999999999999E-2</v>
      </c>
      <c r="W612" s="132">
        <v>6.5290000000000001E-2</v>
      </c>
      <c r="X612" s="3" t="s">
        <v>620</v>
      </c>
      <c r="Y612" s="3" t="s">
        <v>62</v>
      </c>
      <c r="Z612" s="131">
        <v>21.43</v>
      </c>
      <c r="AA612" s="129">
        <v>1</v>
      </c>
      <c r="AB612" s="157">
        <v>101.55</v>
      </c>
      <c r="AD612" s="131">
        <v>2.1999999999999999E-2</v>
      </c>
      <c r="AG612" s="6" t="s">
        <v>17</v>
      </c>
      <c r="AH612" s="132">
        <v>3.0000000000000001E-6</v>
      </c>
      <c r="AI612" s="132">
        <v>7.3184698300853906E-8</v>
      </c>
      <c r="AJ612" s="132">
        <v>1.13524313186318E-8</v>
      </c>
    </row>
    <row r="613" spans="1:36" x14ac:dyDescent="0.2">
      <c r="A613" s="6">
        <v>559</v>
      </c>
      <c r="B613" s="6">
        <v>7205</v>
      </c>
      <c r="C613" s="6" t="s">
        <v>1866</v>
      </c>
      <c r="D613" s="6" t="s">
        <v>1867</v>
      </c>
      <c r="E613" s="3" t="s">
        <v>1477</v>
      </c>
      <c r="F613" s="6" t="s">
        <v>1868</v>
      </c>
      <c r="G613" s="6" t="s">
        <v>1869</v>
      </c>
      <c r="H613" s="6" t="s">
        <v>76</v>
      </c>
      <c r="I613" s="6" t="s">
        <v>228</v>
      </c>
      <c r="J613" s="6" t="s">
        <v>53</v>
      </c>
      <c r="K613" s="6" t="s">
        <v>53</v>
      </c>
      <c r="L613" s="6" t="s">
        <v>805</v>
      </c>
      <c r="M613" s="6" t="s">
        <v>311</v>
      </c>
      <c r="N613" s="6" t="s">
        <v>140</v>
      </c>
      <c r="O613" s="6" t="s">
        <v>62</v>
      </c>
      <c r="P613" s="6" t="s">
        <v>298</v>
      </c>
      <c r="Q613" s="6" t="s">
        <v>298</v>
      </c>
      <c r="R613" s="6" t="s">
        <v>298</v>
      </c>
      <c r="S613" s="6" t="s">
        <v>1219</v>
      </c>
      <c r="T613" s="131">
        <v>3.8039999999999998</v>
      </c>
      <c r="U613" s="6" t="s">
        <v>1870</v>
      </c>
      <c r="V613" s="134">
        <v>6.7299999999999999E-2</v>
      </c>
      <c r="W613" s="132">
        <v>5.4149999999999997E-2</v>
      </c>
      <c r="X613" s="3" t="s">
        <v>620</v>
      </c>
      <c r="Y613" s="3" t="s">
        <v>62</v>
      </c>
      <c r="Z613" s="131">
        <v>720653.5</v>
      </c>
      <c r="AA613" s="129">
        <v>1</v>
      </c>
      <c r="AB613" s="157">
        <v>105.77</v>
      </c>
      <c r="AD613" s="131">
        <v>762.23500000000001</v>
      </c>
      <c r="AG613" s="6" t="s">
        <v>17</v>
      </c>
      <c r="AH613" s="132">
        <v>2.7750000000000001E-3</v>
      </c>
      <c r="AI613" s="132">
        <v>2.5633457725793701E-3</v>
      </c>
      <c r="AJ613" s="132">
        <v>3.97626928917365E-4</v>
      </c>
    </row>
    <row r="614" spans="1:36" x14ac:dyDescent="0.2">
      <c r="A614" s="6">
        <v>559</v>
      </c>
      <c r="B614" s="6">
        <v>7205</v>
      </c>
      <c r="C614" s="6" t="s">
        <v>2357</v>
      </c>
      <c r="D614" s="6" t="s">
        <v>2358</v>
      </c>
      <c r="E614" s="3" t="s">
        <v>1477</v>
      </c>
      <c r="F614" s="6" t="s">
        <v>2359</v>
      </c>
      <c r="G614" s="6" t="s">
        <v>2360</v>
      </c>
      <c r="H614" s="6" t="s">
        <v>76</v>
      </c>
      <c r="I614" s="6" t="s">
        <v>228</v>
      </c>
      <c r="J614" s="6" t="s">
        <v>53</v>
      </c>
      <c r="K614" s="6" t="s">
        <v>53</v>
      </c>
      <c r="L614" s="6" t="s">
        <v>805</v>
      </c>
      <c r="M614" s="6" t="s">
        <v>311</v>
      </c>
      <c r="N614" s="6" t="s">
        <v>140</v>
      </c>
      <c r="O614" s="6" t="s">
        <v>62</v>
      </c>
      <c r="P614" s="6" t="s">
        <v>298</v>
      </c>
      <c r="Q614" s="6" t="s">
        <v>298</v>
      </c>
      <c r="R614" s="6" t="s">
        <v>298</v>
      </c>
      <c r="S614" s="6" t="s">
        <v>1219</v>
      </c>
      <c r="T614" s="131">
        <v>1.1779999999999999</v>
      </c>
      <c r="U614" s="6" t="s">
        <v>1285</v>
      </c>
      <c r="V614" s="134">
        <v>8.5000000000000006E-2</v>
      </c>
      <c r="W614" s="132">
        <v>7.6810000000000003E-2</v>
      </c>
      <c r="X614" s="3" t="s">
        <v>620</v>
      </c>
      <c r="Y614" s="3" t="s">
        <v>62</v>
      </c>
      <c r="Z614" s="131">
        <v>83001.789999999994</v>
      </c>
      <c r="AA614" s="129">
        <v>1</v>
      </c>
      <c r="AB614" s="157">
        <v>103.26</v>
      </c>
      <c r="AD614" s="131">
        <v>85.707999999999998</v>
      </c>
      <c r="AG614" s="6" t="s">
        <v>17</v>
      </c>
      <c r="AH614" s="132">
        <v>1.523E-3</v>
      </c>
      <c r="AI614" s="132">
        <v>2.88229061164786E-4</v>
      </c>
      <c r="AJ614" s="132">
        <v>4.4710174351689299E-5</v>
      </c>
    </row>
    <row r="615" spans="1:36" x14ac:dyDescent="0.2">
      <c r="A615" s="6">
        <v>559</v>
      </c>
      <c r="B615" s="6">
        <v>7205</v>
      </c>
      <c r="C615" s="6" t="s">
        <v>1871</v>
      </c>
      <c r="D615" s="6" t="s">
        <v>1872</v>
      </c>
      <c r="E615" s="3" t="s">
        <v>1477</v>
      </c>
      <c r="F615" s="6" t="s">
        <v>1873</v>
      </c>
      <c r="G615" s="6" t="s">
        <v>1874</v>
      </c>
      <c r="H615" s="6" t="s">
        <v>76</v>
      </c>
      <c r="I615" s="6" t="s">
        <v>228</v>
      </c>
      <c r="J615" s="6" t="s">
        <v>53</v>
      </c>
      <c r="K615" s="6" t="s">
        <v>53</v>
      </c>
      <c r="L615" s="6" t="s">
        <v>805</v>
      </c>
      <c r="M615" s="6" t="s">
        <v>311</v>
      </c>
      <c r="N615" s="6" t="s">
        <v>692</v>
      </c>
      <c r="O615" s="6" t="s">
        <v>62</v>
      </c>
      <c r="P615" s="6" t="s">
        <v>298</v>
      </c>
      <c r="Q615" s="6" t="s">
        <v>298</v>
      </c>
      <c r="R615" s="6" t="s">
        <v>298</v>
      </c>
      <c r="S615" s="6" t="s">
        <v>1219</v>
      </c>
      <c r="T615" s="131">
        <v>0.499</v>
      </c>
      <c r="U615" s="6" t="s">
        <v>1499</v>
      </c>
      <c r="V615" s="134">
        <v>3.5000000000000003E-2</v>
      </c>
      <c r="W615" s="132">
        <v>5.0310000000000001E-2</v>
      </c>
      <c r="X615" s="3" t="s">
        <v>620</v>
      </c>
      <c r="Y615" s="3" t="s">
        <v>62</v>
      </c>
      <c r="Z615" s="131">
        <v>80826.5</v>
      </c>
      <c r="AA615" s="129">
        <v>1</v>
      </c>
      <c r="AB615" s="157">
        <v>99.29</v>
      </c>
      <c r="AD615" s="131">
        <v>80.253</v>
      </c>
      <c r="AG615" s="6" t="s">
        <v>17</v>
      </c>
      <c r="AH615" s="132">
        <v>2.0209999999999998E-3</v>
      </c>
      <c r="AI615" s="132">
        <v>2.69884207283225E-4</v>
      </c>
      <c r="AJ615" s="132">
        <v>4.18645153741168E-5</v>
      </c>
    </row>
    <row r="616" spans="1:36" x14ac:dyDescent="0.2">
      <c r="A616" s="6">
        <v>559</v>
      </c>
      <c r="B616" s="6">
        <v>7205</v>
      </c>
      <c r="C616" s="6" t="s">
        <v>1875</v>
      </c>
      <c r="D616" s="6" t="s">
        <v>1876</v>
      </c>
      <c r="E616" s="3" t="s">
        <v>1477</v>
      </c>
      <c r="F616" s="6" t="s">
        <v>1877</v>
      </c>
      <c r="G616" s="6" t="s">
        <v>1878</v>
      </c>
      <c r="H616" s="6" t="s">
        <v>76</v>
      </c>
      <c r="I616" s="6" t="s">
        <v>229</v>
      </c>
      <c r="J616" s="6" t="s">
        <v>53</v>
      </c>
      <c r="K616" s="6" t="s">
        <v>53</v>
      </c>
      <c r="L616" s="6" t="s">
        <v>805</v>
      </c>
      <c r="M616" s="6" t="s">
        <v>311</v>
      </c>
      <c r="N616" s="6" t="s">
        <v>635</v>
      </c>
      <c r="O616" s="6" t="s">
        <v>62</v>
      </c>
      <c r="P616" s="6" t="s">
        <v>298</v>
      </c>
      <c r="Q616" s="6" t="s">
        <v>298</v>
      </c>
      <c r="R616" s="6" t="s">
        <v>298</v>
      </c>
      <c r="S616" s="6" t="s">
        <v>1219</v>
      </c>
      <c r="T616" s="131">
        <v>2.2250000000000001</v>
      </c>
      <c r="U616" s="6" t="s">
        <v>1605</v>
      </c>
      <c r="V616" s="134">
        <v>6.0999999999999999E-2</v>
      </c>
      <c r="W616" s="132">
        <v>3.9820000000000001E-2</v>
      </c>
      <c r="X616" s="3" t="s">
        <v>620</v>
      </c>
      <c r="Y616" s="3" t="s">
        <v>62</v>
      </c>
      <c r="Z616" s="131">
        <v>671000</v>
      </c>
      <c r="AA616" s="129">
        <v>1</v>
      </c>
      <c r="AB616" s="157">
        <v>110.19</v>
      </c>
      <c r="AD616" s="131">
        <v>739.375</v>
      </c>
      <c r="AG616" s="6" t="s">
        <v>17</v>
      </c>
      <c r="AH616" s="132">
        <v>7.9129999999999999E-3</v>
      </c>
      <c r="AI616" s="132">
        <v>2.4864680967047201E-3</v>
      </c>
      <c r="AJ616" s="132">
        <v>3.8570164186193102E-4</v>
      </c>
    </row>
    <row r="617" spans="1:36" x14ac:dyDescent="0.2">
      <c r="A617" s="6">
        <v>559</v>
      </c>
      <c r="B617" s="6">
        <v>7205</v>
      </c>
      <c r="C617" s="6" t="s">
        <v>1875</v>
      </c>
      <c r="D617" s="6" t="s">
        <v>1876</v>
      </c>
      <c r="E617" s="3" t="s">
        <v>1477</v>
      </c>
      <c r="F617" s="6" t="s">
        <v>1879</v>
      </c>
      <c r="G617" s="6" t="s">
        <v>1880</v>
      </c>
      <c r="H617" s="6" t="s">
        <v>76</v>
      </c>
      <c r="I617" s="6" t="s">
        <v>229</v>
      </c>
      <c r="J617" s="6" t="s">
        <v>53</v>
      </c>
      <c r="K617" s="6" t="s">
        <v>53</v>
      </c>
      <c r="L617" s="6" t="s">
        <v>805</v>
      </c>
      <c r="M617" s="6" t="s">
        <v>311</v>
      </c>
      <c r="N617" s="6" t="s">
        <v>635</v>
      </c>
      <c r="O617" s="6" t="s">
        <v>62</v>
      </c>
      <c r="P617" s="6" t="s">
        <v>298</v>
      </c>
      <c r="Q617" s="6" t="s">
        <v>298</v>
      </c>
      <c r="R617" s="6" t="s">
        <v>298</v>
      </c>
      <c r="S617" s="6" t="s">
        <v>1219</v>
      </c>
      <c r="T617" s="131">
        <v>2.5059999999999998</v>
      </c>
      <c r="U617" s="6" t="s">
        <v>1544</v>
      </c>
      <c r="V617" s="134">
        <v>0.06</v>
      </c>
      <c r="W617" s="132">
        <v>3.2570000000000002E-2</v>
      </c>
      <c r="X617" s="3" t="s">
        <v>620</v>
      </c>
      <c r="Y617" s="3" t="s">
        <v>62</v>
      </c>
      <c r="Z617" s="131">
        <v>402840</v>
      </c>
      <c r="AA617" s="129">
        <v>1</v>
      </c>
      <c r="AB617" s="157">
        <v>113.39</v>
      </c>
      <c r="AD617" s="131">
        <v>456.78</v>
      </c>
      <c r="AG617" s="6" t="s">
        <v>17</v>
      </c>
      <c r="AH617" s="132">
        <v>5.8279999999999998E-3</v>
      </c>
      <c r="AI617" s="132">
        <v>1.5361213688454599E-3</v>
      </c>
      <c r="AJ617" s="132">
        <v>2.3828358580112199E-4</v>
      </c>
    </row>
    <row r="618" spans="1:36" x14ac:dyDescent="0.2">
      <c r="A618" s="6">
        <v>559</v>
      </c>
      <c r="B618" s="6">
        <v>7205</v>
      </c>
      <c r="C618" s="6" t="s">
        <v>1881</v>
      </c>
      <c r="D618" s="6" t="s">
        <v>1882</v>
      </c>
      <c r="E618" s="3" t="s">
        <v>1477</v>
      </c>
      <c r="F618" s="6" t="s">
        <v>1883</v>
      </c>
      <c r="G618" s="6" t="s">
        <v>1884</v>
      </c>
      <c r="H618" s="6" t="s">
        <v>76</v>
      </c>
      <c r="I618" s="6" t="s">
        <v>229</v>
      </c>
      <c r="J618" s="6" t="s">
        <v>53</v>
      </c>
      <c r="K618" s="6" t="s">
        <v>53</v>
      </c>
      <c r="L618" s="6" t="s">
        <v>805</v>
      </c>
      <c r="M618" s="6" t="s">
        <v>311</v>
      </c>
      <c r="N618" s="6" t="s">
        <v>635</v>
      </c>
      <c r="O618" s="6" t="s">
        <v>62</v>
      </c>
      <c r="P618" s="6" t="s">
        <v>1533</v>
      </c>
      <c r="Q618" s="6" t="s">
        <v>65</v>
      </c>
      <c r="R618" s="6" t="s">
        <v>57</v>
      </c>
      <c r="S618" s="6" t="s">
        <v>1219</v>
      </c>
      <c r="T618" s="131">
        <v>1.6419999999999999</v>
      </c>
      <c r="U618" s="6" t="s">
        <v>1285</v>
      </c>
      <c r="V618" s="134">
        <v>2.5999999999999999E-2</v>
      </c>
      <c r="W618" s="132">
        <v>2.768E-2</v>
      </c>
      <c r="X618" s="3" t="s">
        <v>620</v>
      </c>
      <c r="Y618" s="3" t="s">
        <v>62</v>
      </c>
      <c r="Z618" s="131">
        <v>544331.1</v>
      </c>
      <c r="AA618" s="129">
        <v>1</v>
      </c>
      <c r="AB618" s="157">
        <v>118.58</v>
      </c>
      <c r="AD618" s="131">
        <v>645.46799999999996</v>
      </c>
      <c r="AG618" s="6" t="s">
        <v>17</v>
      </c>
      <c r="AH618" s="132">
        <v>1.611E-3</v>
      </c>
      <c r="AI618" s="132">
        <v>2.1706648925348499E-3</v>
      </c>
      <c r="AJ618" s="132">
        <v>3.3671415856584302E-4</v>
      </c>
    </row>
    <row r="619" spans="1:36" x14ac:dyDescent="0.2">
      <c r="A619" s="6">
        <v>559</v>
      </c>
      <c r="B619" s="6">
        <v>7205</v>
      </c>
      <c r="C619" s="6" t="s">
        <v>1881</v>
      </c>
      <c r="D619" s="6" t="s">
        <v>1882</v>
      </c>
      <c r="E619" s="3" t="s">
        <v>1477</v>
      </c>
      <c r="F619" s="6" t="s">
        <v>1885</v>
      </c>
      <c r="G619" s="6" t="s">
        <v>1886</v>
      </c>
      <c r="H619" s="6" t="s">
        <v>76</v>
      </c>
      <c r="I619" s="6" t="s">
        <v>229</v>
      </c>
      <c r="J619" s="6" t="s">
        <v>53</v>
      </c>
      <c r="K619" s="6" t="s">
        <v>53</v>
      </c>
      <c r="L619" s="6" t="s">
        <v>805</v>
      </c>
      <c r="M619" s="6" t="s">
        <v>311</v>
      </c>
      <c r="N619" s="6" t="s">
        <v>635</v>
      </c>
      <c r="O619" s="6" t="s">
        <v>62</v>
      </c>
      <c r="P619" s="6" t="s">
        <v>1533</v>
      </c>
      <c r="Q619" s="6" t="s">
        <v>65</v>
      </c>
      <c r="R619" s="6" t="s">
        <v>57</v>
      </c>
      <c r="S619" s="6" t="s">
        <v>1219</v>
      </c>
      <c r="T619" s="131">
        <v>1.1559999999999999</v>
      </c>
      <c r="U619" s="6" t="s">
        <v>1578</v>
      </c>
      <c r="V619" s="134">
        <v>2.4E-2</v>
      </c>
      <c r="W619" s="132">
        <v>2.861E-2</v>
      </c>
      <c r="X619" s="3" t="s">
        <v>620</v>
      </c>
      <c r="Y619" s="3" t="s">
        <v>62</v>
      </c>
      <c r="Z619" s="131">
        <v>1233584.32</v>
      </c>
      <c r="AA619" s="129">
        <v>1</v>
      </c>
      <c r="AB619" s="157">
        <v>117.85</v>
      </c>
      <c r="AD619" s="131">
        <v>1453.779</v>
      </c>
      <c r="AG619" s="6" t="s">
        <v>17</v>
      </c>
      <c r="AH619" s="132">
        <v>2.2950000000000002E-3</v>
      </c>
      <c r="AI619" s="132">
        <v>4.8889614785683202E-3</v>
      </c>
      <c r="AJ619" s="132">
        <v>7.5837710195542096E-4</v>
      </c>
    </row>
    <row r="620" spans="1:36" x14ac:dyDescent="0.2">
      <c r="A620" s="6">
        <v>559</v>
      </c>
      <c r="B620" s="6">
        <v>7205</v>
      </c>
      <c r="C620" s="6" t="s">
        <v>1887</v>
      </c>
      <c r="D620" s="6" t="s">
        <v>1888</v>
      </c>
      <c r="E620" s="3" t="s">
        <v>1477</v>
      </c>
      <c r="F620" s="6" t="s">
        <v>1889</v>
      </c>
      <c r="G620" s="6" t="s">
        <v>1890</v>
      </c>
      <c r="H620" s="6" t="s">
        <v>76</v>
      </c>
      <c r="I620" s="6" t="s">
        <v>228</v>
      </c>
      <c r="J620" s="6" t="s">
        <v>53</v>
      </c>
      <c r="K620" s="6" t="s">
        <v>53</v>
      </c>
      <c r="L620" s="6" t="s">
        <v>805</v>
      </c>
      <c r="M620" s="6" t="s">
        <v>311</v>
      </c>
      <c r="N620" s="6" t="s">
        <v>269</v>
      </c>
      <c r="O620" s="6" t="s">
        <v>62</v>
      </c>
      <c r="P620" s="6" t="s">
        <v>1521</v>
      </c>
      <c r="Q620" s="6" t="s">
        <v>70</v>
      </c>
      <c r="R620" s="6" t="s">
        <v>57</v>
      </c>
      <c r="S620" s="6" t="s">
        <v>1219</v>
      </c>
      <c r="T620" s="131">
        <v>0.499</v>
      </c>
      <c r="U620" s="6" t="s">
        <v>1499</v>
      </c>
      <c r="V620" s="134">
        <v>2.63E-2</v>
      </c>
      <c r="W620" s="132">
        <v>4.7759999999999997E-2</v>
      </c>
      <c r="X620" s="3" t="s">
        <v>620</v>
      </c>
      <c r="Y620" s="3" t="s">
        <v>62</v>
      </c>
      <c r="Z620" s="131">
        <v>667119</v>
      </c>
      <c r="AA620" s="129">
        <v>1</v>
      </c>
      <c r="AB620" s="157">
        <v>100.27</v>
      </c>
      <c r="AD620" s="131">
        <v>668.92</v>
      </c>
      <c r="AG620" s="6" t="s">
        <v>17</v>
      </c>
      <c r="AH620" s="132">
        <v>1.3619999999999999E-3</v>
      </c>
      <c r="AI620" s="132">
        <v>2.2495337473629499E-3</v>
      </c>
      <c r="AJ620" s="132">
        <v>3.4894831786967098E-4</v>
      </c>
    </row>
    <row r="621" spans="1:36" x14ac:dyDescent="0.2">
      <c r="A621" s="6">
        <v>559</v>
      </c>
      <c r="B621" s="6">
        <v>7205</v>
      </c>
      <c r="C621" s="6" t="s">
        <v>1489</v>
      </c>
      <c r="D621" s="6" t="s">
        <v>1490</v>
      </c>
      <c r="E621" s="3" t="s">
        <v>1477</v>
      </c>
      <c r="F621" s="6" t="s">
        <v>1891</v>
      </c>
      <c r="G621" s="6" t="s">
        <v>1892</v>
      </c>
      <c r="H621" s="6" t="s">
        <v>76</v>
      </c>
      <c r="I621" s="6" t="s">
        <v>229</v>
      </c>
      <c r="J621" s="6" t="s">
        <v>53</v>
      </c>
      <c r="K621" s="6" t="s">
        <v>53</v>
      </c>
      <c r="L621" s="6" t="s">
        <v>805</v>
      </c>
      <c r="M621" s="6" t="s">
        <v>311</v>
      </c>
      <c r="N621" s="6" t="s">
        <v>635</v>
      </c>
      <c r="O621" s="6" t="s">
        <v>62</v>
      </c>
      <c r="P621" s="6" t="s">
        <v>1577</v>
      </c>
      <c r="Q621" s="6" t="s">
        <v>65</v>
      </c>
      <c r="R621" s="6" t="s">
        <v>57</v>
      </c>
      <c r="S621" s="6" t="s">
        <v>1219</v>
      </c>
      <c r="T621" s="131">
        <v>1.3939999999999999</v>
      </c>
      <c r="U621" s="6" t="s">
        <v>1285</v>
      </c>
      <c r="V621" s="134">
        <v>1.4E-2</v>
      </c>
      <c r="W621" s="132">
        <v>2.8840000000000001E-2</v>
      </c>
      <c r="X621" s="3" t="s">
        <v>620</v>
      </c>
      <c r="Y621" s="3" t="s">
        <v>62</v>
      </c>
      <c r="Z621" s="131">
        <v>2842854.45</v>
      </c>
      <c r="AA621" s="129">
        <v>1</v>
      </c>
      <c r="AB621" s="157">
        <v>115.68</v>
      </c>
      <c r="AD621" s="131">
        <v>3288.614</v>
      </c>
      <c r="AG621" s="6" t="s">
        <v>17</v>
      </c>
      <c r="AH621" s="132">
        <v>4.6979999999999999E-3</v>
      </c>
      <c r="AI621" s="132">
        <v>1.1059387953798299E-2</v>
      </c>
      <c r="AJ621" s="132">
        <v>1.71553542047101E-3</v>
      </c>
    </row>
    <row r="622" spans="1:36" x14ac:dyDescent="0.2">
      <c r="A622" s="6">
        <v>559</v>
      </c>
      <c r="B622" s="6">
        <v>7205</v>
      </c>
      <c r="C622" s="6" t="s">
        <v>1489</v>
      </c>
      <c r="D622" s="6" t="s">
        <v>1490</v>
      </c>
      <c r="E622" s="3" t="s">
        <v>1477</v>
      </c>
      <c r="F622" s="6" t="s">
        <v>1893</v>
      </c>
      <c r="G622" s="6" t="s">
        <v>1894</v>
      </c>
      <c r="H622" s="6" t="s">
        <v>76</v>
      </c>
      <c r="I622" s="6" t="s">
        <v>229</v>
      </c>
      <c r="J622" s="6" t="s">
        <v>53</v>
      </c>
      <c r="K622" s="6" t="s">
        <v>53</v>
      </c>
      <c r="L622" s="6" t="s">
        <v>805</v>
      </c>
      <c r="M622" s="6" t="s">
        <v>1227</v>
      </c>
      <c r="N622" s="6" t="s">
        <v>635</v>
      </c>
      <c r="O622" s="6" t="s">
        <v>62</v>
      </c>
      <c r="P622" s="6" t="s">
        <v>1577</v>
      </c>
      <c r="Q622" s="6" t="s">
        <v>65</v>
      </c>
      <c r="R622" s="6" t="s">
        <v>57</v>
      </c>
      <c r="S622" s="6" t="s">
        <v>1219</v>
      </c>
      <c r="T622" s="131">
        <v>5.0170000000000003</v>
      </c>
      <c r="U622" s="6" t="s">
        <v>1895</v>
      </c>
      <c r="V622" s="134">
        <v>3.1800000000000002E-2</v>
      </c>
      <c r="W622" s="132">
        <v>2.9229999999999999E-2</v>
      </c>
      <c r="X622" s="3" t="s">
        <v>620</v>
      </c>
      <c r="Y622" s="3" t="s">
        <v>62</v>
      </c>
      <c r="Z622" s="131">
        <v>889000</v>
      </c>
      <c r="AA622" s="129">
        <v>1</v>
      </c>
      <c r="AB622" s="157">
        <v>104.39</v>
      </c>
      <c r="AD622" s="131">
        <v>928.02700000000004</v>
      </c>
      <c r="AG622" s="6" t="s">
        <v>17</v>
      </c>
      <c r="AH622" s="132">
        <v>1.9449999999999999E-3</v>
      </c>
      <c r="AI622" s="132">
        <v>3.1208927663454599E-3</v>
      </c>
      <c r="AJ622" s="132">
        <v>4.8411377795265498E-4</v>
      </c>
    </row>
    <row r="623" spans="1:36" x14ac:dyDescent="0.2">
      <c r="A623" s="6">
        <v>559</v>
      </c>
      <c r="B623" s="6">
        <v>7205</v>
      </c>
      <c r="C623" s="6" t="s">
        <v>1896</v>
      </c>
      <c r="D623" s="6" t="s">
        <v>1897</v>
      </c>
      <c r="E623" s="3" t="s">
        <v>1477</v>
      </c>
      <c r="F623" s="6" t="s">
        <v>1898</v>
      </c>
      <c r="G623" s="6" t="s">
        <v>1899</v>
      </c>
      <c r="H623" s="6" t="s">
        <v>76</v>
      </c>
      <c r="I623" s="6" t="s">
        <v>229</v>
      </c>
      <c r="J623" s="6" t="s">
        <v>53</v>
      </c>
      <c r="K623" s="6" t="s">
        <v>53</v>
      </c>
      <c r="L623" s="6" t="s">
        <v>805</v>
      </c>
      <c r="M623" s="6" t="s">
        <v>311</v>
      </c>
      <c r="N623" s="6" t="s">
        <v>635</v>
      </c>
      <c r="O623" s="6" t="s">
        <v>62</v>
      </c>
      <c r="P623" s="6" t="s">
        <v>1515</v>
      </c>
      <c r="Q623" s="6" t="s">
        <v>65</v>
      </c>
      <c r="R623" s="6" t="s">
        <v>57</v>
      </c>
      <c r="S623" s="6" t="s">
        <v>1219</v>
      </c>
      <c r="T623" s="131">
        <v>0.499</v>
      </c>
      <c r="U623" s="6" t="s">
        <v>1499</v>
      </c>
      <c r="V623" s="134">
        <v>1E-3</v>
      </c>
      <c r="W623" s="132">
        <v>1E-4</v>
      </c>
      <c r="X623" s="3" t="s">
        <v>620</v>
      </c>
      <c r="Y623" s="3" t="s">
        <v>62</v>
      </c>
      <c r="Z623" s="131">
        <v>1816700</v>
      </c>
      <c r="AA623" s="129">
        <v>1</v>
      </c>
      <c r="AB623" s="157">
        <v>119.66</v>
      </c>
      <c r="AD623" s="131">
        <v>2173.8629999999998</v>
      </c>
      <c r="AG623" s="6" t="s">
        <v>17</v>
      </c>
      <c r="AH623" s="132">
        <v>3.156E-3</v>
      </c>
      <c r="AI623" s="132">
        <v>7.3105559076048999E-3</v>
      </c>
      <c r="AJ623" s="132">
        <v>1.1340155219459901E-3</v>
      </c>
    </row>
    <row r="624" spans="1:36" x14ac:dyDescent="0.2">
      <c r="A624" s="6">
        <v>559</v>
      </c>
      <c r="B624" s="6">
        <v>7205</v>
      </c>
      <c r="C624" s="6" t="s">
        <v>1896</v>
      </c>
      <c r="D624" s="6" t="s">
        <v>1897</v>
      </c>
      <c r="E624" s="3" t="s">
        <v>1477</v>
      </c>
      <c r="F624" s="6" t="s">
        <v>1900</v>
      </c>
      <c r="G624" s="6" t="s">
        <v>1901</v>
      </c>
      <c r="H624" s="6" t="s">
        <v>76</v>
      </c>
      <c r="I624" s="6" t="s">
        <v>229</v>
      </c>
      <c r="J624" s="6" t="s">
        <v>53</v>
      </c>
      <c r="K624" s="6" t="s">
        <v>53</v>
      </c>
      <c r="L624" s="6" t="s">
        <v>805</v>
      </c>
      <c r="M624" s="6" t="s">
        <v>311</v>
      </c>
      <c r="N624" s="6" t="s">
        <v>635</v>
      </c>
      <c r="O624" s="6" t="s">
        <v>62</v>
      </c>
      <c r="P624" s="6" t="s">
        <v>1515</v>
      </c>
      <c r="Q624" s="6" t="s">
        <v>65</v>
      </c>
      <c r="R624" s="6" t="s">
        <v>57</v>
      </c>
      <c r="S624" s="6" t="s">
        <v>1219</v>
      </c>
      <c r="T624" s="131">
        <v>1.7410000000000001</v>
      </c>
      <c r="U624" s="6" t="s">
        <v>1285</v>
      </c>
      <c r="V624" s="134">
        <v>3.0000000000000001E-3</v>
      </c>
      <c r="W624" s="132">
        <v>2.954E-2</v>
      </c>
      <c r="X624" s="3" t="s">
        <v>620</v>
      </c>
      <c r="Y624" s="3" t="s">
        <v>62</v>
      </c>
      <c r="Z624" s="131">
        <v>2207727</v>
      </c>
      <c r="AA624" s="129">
        <v>1</v>
      </c>
      <c r="AB624" s="157">
        <v>108.03</v>
      </c>
      <c r="AD624" s="131">
        <v>2385.0070000000001</v>
      </c>
      <c r="AG624" s="6" t="s">
        <v>17</v>
      </c>
      <c r="AH624" s="132">
        <v>4.3410000000000002E-3</v>
      </c>
      <c r="AI624" s="132">
        <v>8.0206198569870608E-3</v>
      </c>
      <c r="AJ624" s="132">
        <v>1.24416084472999E-3</v>
      </c>
    </row>
    <row r="625" spans="1:36" x14ac:dyDescent="0.2">
      <c r="A625" s="6">
        <v>559</v>
      </c>
      <c r="B625" s="6">
        <v>7205</v>
      </c>
      <c r="C625" s="6" t="s">
        <v>1896</v>
      </c>
      <c r="D625" s="6" t="s">
        <v>1897</v>
      </c>
      <c r="E625" s="3" t="s">
        <v>1477</v>
      </c>
      <c r="F625" s="6" t="s">
        <v>1902</v>
      </c>
      <c r="G625" s="6" t="s">
        <v>1903</v>
      </c>
      <c r="H625" s="6" t="s">
        <v>76</v>
      </c>
      <c r="I625" s="6" t="s">
        <v>229</v>
      </c>
      <c r="J625" s="6" t="s">
        <v>53</v>
      </c>
      <c r="K625" s="6" t="s">
        <v>53</v>
      </c>
      <c r="L625" s="6" t="s">
        <v>805</v>
      </c>
      <c r="M625" s="6" t="s">
        <v>311</v>
      </c>
      <c r="N625" s="6" t="s">
        <v>635</v>
      </c>
      <c r="O625" s="6" t="s">
        <v>62</v>
      </c>
      <c r="P625" s="6" t="s">
        <v>1515</v>
      </c>
      <c r="Q625" s="6" t="s">
        <v>65</v>
      </c>
      <c r="R625" s="6" t="s">
        <v>57</v>
      </c>
      <c r="S625" s="6" t="s">
        <v>1219</v>
      </c>
      <c r="T625" s="131">
        <v>1.244</v>
      </c>
      <c r="U625" s="6" t="s">
        <v>1578</v>
      </c>
      <c r="V625" s="134">
        <v>3.0000000000000001E-3</v>
      </c>
      <c r="W625" s="132">
        <v>2.963E-2</v>
      </c>
      <c r="X625" s="3" t="s">
        <v>620</v>
      </c>
      <c r="Y625" s="3" t="s">
        <v>62</v>
      </c>
      <c r="Z625" s="131">
        <v>697000</v>
      </c>
      <c r="AA625" s="129">
        <v>1</v>
      </c>
      <c r="AB625" s="157">
        <v>105.16</v>
      </c>
      <c r="AD625" s="131">
        <v>732.96500000000003</v>
      </c>
      <c r="AG625" s="6" t="s">
        <v>17</v>
      </c>
      <c r="AH625" s="132">
        <v>1.611E-3</v>
      </c>
      <c r="AI625" s="132">
        <v>2.4649127063885901E-3</v>
      </c>
      <c r="AJ625" s="132">
        <v>3.8235796355496899E-4</v>
      </c>
    </row>
    <row r="626" spans="1:36" x14ac:dyDescent="0.2">
      <c r="A626" s="6">
        <v>559</v>
      </c>
      <c r="B626" s="6">
        <v>7205</v>
      </c>
      <c r="C626" s="6" t="s">
        <v>1896</v>
      </c>
      <c r="D626" s="6" t="s">
        <v>1897</v>
      </c>
      <c r="E626" s="3" t="s">
        <v>1477</v>
      </c>
      <c r="F626" s="6" t="s">
        <v>1904</v>
      </c>
      <c r="G626" s="6" t="s">
        <v>1905</v>
      </c>
      <c r="H626" s="6" t="s">
        <v>76</v>
      </c>
      <c r="I626" s="6" t="s">
        <v>229</v>
      </c>
      <c r="J626" s="6" t="s">
        <v>53</v>
      </c>
      <c r="K626" s="6" t="s">
        <v>53</v>
      </c>
      <c r="L626" s="6" t="s">
        <v>805</v>
      </c>
      <c r="M626" s="6" t="s">
        <v>311</v>
      </c>
      <c r="N626" s="6" t="s">
        <v>635</v>
      </c>
      <c r="O626" s="6" t="s">
        <v>62</v>
      </c>
      <c r="P626" s="6" t="s">
        <v>1515</v>
      </c>
      <c r="Q626" s="6" t="s">
        <v>65</v>
      </c>
      <c r="R626" s="6" t="s">
        <v>57</v>
      </c>
      <c r="S626" s="6" t="s">
        <v>1219</v>
      </c>
      <c r="T626" s="131">
        <v>1.496</v>
      </c>
      <c r="U626" s="6" t="s">
        <v>1516</v>
      </c>
      <c r="V626" s="134">
        <v>3.0000000000000001E-3</v>
      </c>
      <c r="W626" s="132">
        <v>2.7779999999999999E-2</v>
      </c>
      <c r="X626" s="3" t="s">
        <v>620</v>
      </c>
      <c r="Y626" s="3" t="s">
        <v>62</v>
      </c>
      <c r="Z626" s="131">
        <v>428600</v>
      </c>
      <c r="AA626" s="129">
        <v>1</v>
      </c>
      <c r="AB626" s="157">
        <v>101.38</v>
      </c>
      <c r="AD626" s="131">
        <v>434.51499999999999</v>
      </c>
      <c r="AG626" s="6" t="s">
        <v>17</v>
      </c>
      <c r="AH626" s="132">
        <v>1.1839999999999999E-3</v>
      </c>
      <c r="AI626" s="132">
        <v>1.46124366592626E-3</v>
      </c>
      <c r="AJ626" s="132">
        <v>2.26668535122184E-4</v>
      </c>
    </row>
    <row r="627" spans="1:36" x14ac:dyDescent="0.2">
      <c r="A627" s="6">
        <v>559</v>
      </c>
      <c r="B627" s="6">
        <v>7205</v>
      </c>
      <c r="C627" s="6" t="s">
        <v>1906</v>
      </c>
      <c r="D627" s="6" t="s">
        <v>1907</v>
      </c>
      <c r="E627" s="3" t="s">
        <v>1477</v>
      </c>
      <c r="F627" s="6" t="s">
        <v>1908</v>
      </c>
      <c r="G627" s="6" t="s">
        <v>1909</v>
      </c>
      <c r="H627" s="6" t="s">
        <v>76</v>
      </c>
      <c r="I627" s="6" t="s">
        <v>229</v>
      </c>
      <c r="J627" s="6" t="s">
        <v>53</v>
      </c>
      <c r="K627" s="6" t="s">
        <v>53</v>
      </c>
      <c r="L627" s="6" t="s">
        <v>805</v>
      </c>
      <c r="M627" s="6" t="s">
        <v>1227</v>
      </c>
      <c r="N627" s="6" t="s">
        <v>261</v>
      </c>
      <c r="O627" s="6" t="s">
        <v>62</v>
      </c>
      <c r="P627" s="6" t="s">
        <v>298</v>
      </c>
      <c r="Q627" s="6" t="s">
        <v>298</v>
      </c>
      <c r="R627" s="6" t="s">
        <v>298</v>
      </c>
      <c r="S627" s="6" t="s">
        <v>1219</v>
      </c>
      <c r="T627" s="131">
        <v>3.9620000000000002</v>
      </c>
      <c r="U627" s="6" t="s">
        <v>1713</v>
      </c>
      <c r="V627" s="134">
        <v>4.0899999999999999E-2</v>
      </c>
      <c r="W627" s="132">
        <v>3.2349999999999997E-2</v>
      </c>
      <c r="X627" s="3" t="s">
        <v>620</v>
      </c>
      <c r="Y627" s="3" t="s">
        <v>62</v>
      </c>
      <c r="Z627" s="131">
        <v>709000</v>
      </c>
      <c r="AA627" s="129">
        <v>1</v>
      </c>
      <c r="AB627" s="157">
        <v>105.02</v>
      </c>
      <c r="AD627" s="131">
        <v>744.59199999999998</v>
      </c>
      <c r="AG627" s="6" t="s">
        <v>17</v>
      </c>
      <c r="AH627" s="132">
        <v>2.098E-3</v>
      </c>
      <c r="AI627" s="132">
        <v>2.5040121807866902E-3</v>
      </c>
      <c r="AJ627" s="132">
        <v>3.8842308519930902E-4</v>
      </c>
    </row>
    <row r="628" spans="1:36" x14ac:dyDescent="0.2">
      <c r="A628" s="6">
        <v>559</v>
      </c>
      <c r="B628" s="6">
        <v>7205</v>
      </c>
      <c r="C628" s="6" t="s">
        <v>1910</v>
      </c>
      <c r="D628" s="6" t="s">
        <v>1911</v>
      </c>
      <c r="E628" s="3" t="s">
        <v>1477</v>
      </c>
      <c r="F628" s="6" t="s">
        <v>1912</v>
      </c>
      <c r="G628" s="6" t="s">
        <v>1913</v>
      </c>
      <c r="H628" s="6" t="s">
        <v>76</v>
      </c>
      <c r="I628" s="6" t="s">
        <v>229</v>
      </c>
      <c r="J628" s="6" t="s">
        <v>53</v>
      </c>
      <c r="K628" s="6" t="s">
        <v>53</v>
      </c>
      <c r="L628" s="6" t="s">
        <v>805</v>
      </c>
      <c r="M628" s="6" t="s">
        <v>311</v>
      </c>
      <c r="N628" s="6" t="s">
        <v>256</v>
      </c>
      <c r="O628" s="6" t="s">
        <v>62</v>
      </c>
      <c r="P628" s="6" t="s">
        <v>1213</v>
      </c>
      <c r="Q628" s="6" t="s">
        <v>65</v>
      </c>
      <c r="R628" s="6" t="s">
        <v>57</v>
      </c>
      <c r="S628" s="6" t="s">
        <v>1219</v>
      </c>
      <c r="T628" s="131">
        <v>2.2040000000000002</v>
      </c>
      <c r="U628" s="6" t="s">
        <v>1914</v>
      </c>
      <c r="V628" s="134">
        <v>1.2200000000000001E-2</v>
      </c>
      <c r="W628" s="132">
        <v>2.5080000000000002E-2</v>
      </c>
      <c r="X628" s="3" t="s">
        <v>620</v>
      </c>
      <c r="Y628" s="3" t="s">
        <v>62</v>
      </c>
      <c r="Z628" s="131">
        <v>2094729</v>
      </c>
      <c r="AA628" s="129">
        <v>1</v>
      </c>
      <c r="AB628" s="157">
        <v>116.02</v>
      </c>
      <c r="AD628" s="131">
        <v>2430.3049999999998</v>
      </c>
      <c r="AG628" s="6" t="s">
        <v>17</v>
      </c>
      <c r="AH628" s="132">
        <v>6.9499999999999998E-4</v>
      </c>
      <c r="AI628" s="132">
        <v>8.1729509858488193E-3</v>
      </c>
      <c r="AJ628" s="132">
        <v>1.26779049297946E-3</v>
      </c>
    </row>
    <row r="629" spans="1:36" x14ac:dyDescent="0.2">
      <c r="A629" s="6">
        <v>559</v>
      </c>
      <c r="B629" s="6">
        <v>7205</v>
      </c>
      <c r="C629" s="6" t="s">
        <v>1910</v>
      </c>
      <c r="D629" s="6" t="s">
        <v>1911</v>
      </c>
      <c r="E629" s="3" t="s">
        <v>1477</v>
      </c>
      <c r="F629" s="6" t="s">
        <v>1915</v>
      </c>
      <c r="G629" s="6" t="s">
        <v>1916</v>
      </c>
      <c r="H629" s="6" t="s">
        <v>76</v>
      </c>
      <c r="I629" s="6" t="s">
        <v>229</v>
      </c>
      <c r="J629" s="6" t="s">
        <v>53</v>
      </c>
      <c r="K629" s="6" t="s">
        <v>53</v>
      </c>
      <c r="L629" s="6" t="s">
        <v>805</v>
      </c>
      <c r="M629" s="6" t="s">
        <v>311</v>
      </c>
      <c r="N629" s="6" t="s">
        <v>256</v>
      </c>
      <c r="O629" s="6" t="s">
        <v>62</v>
      </c>
      <c r="P629" s="6" t="s">
        <v>1213</v>
      </c>
      <c r="Q629" s="6" t="s">
        <v>65</v>
      </c>
      <c r="R629" s="6" t="s">
        <v>57</v>
      </c>
      <c r="S629" s="6" t="s">
        <v>1219</v>
      </c>
      <c r="T629" s="131">
        <v>3.3029999999999999</v>
      </c>
      <c r="U629" s="6" t="s">
        <v>1917</v>
      </c>
      <c r="V629" s="134">
        <v>1E-3</v>
      </c>
      <c r="W629" s="132">
        <v>2.5829999999999999E-2</v>
      </c>
      <c r="X629" s="3" t="s">
        <v>620</v>
      </c>
      <c r="Y629" s="3" t="s">
        <v>62</v>
      </c>
      <c r="Z629" s="131">
        <v>4376216</v>
      </c>
      <c r="AA629" s="129">
        <v>1</v>
      </c>
      <c r="AB629" s="157">
        <v>105.48</v>
      </c>
      <c r="AD629" s="131">
        <v>4616.0330000000004</v>
      </c>
      <c r="AG629" s="6" t="s">
        <v>17</v>
      </c>
      <c r="AH629" s="132">
        <v>1.2960000000000001E-3</v>
      </c>
      <c r="AI629" s="132">
        <v>1.5523407522693799E-2</v>
      </c>
      <c r="AJ629" s="132">
        <v>2.4079954119378701E-3</v>
      </c>
    </row>
    <row r="630" spans="1:36" x14ac:dyDescent="0.2">
      <c r="A630" s="6">
        <v>559</v>
      </c>
      <c r="B630" s="6">
        <v>7205</v>
      </c>
      <c r="C630" s="6" t="s">
        <v>1910</v>
      </c>
      <c r="D630" s="6" t="s">
        <v>1911</v>
      </c>
      <c r="E630" s="3" t="s">
        <v>1477</v>
      </c>
      <c r="F630" s="6" t="s">
        <v>1918</v>
      </c>
      <c r="G630" s="6" t="s">
        <v>1919</v>
      </c>
      <c r="H630" s="6" t="s">
        <v>76</v>
      </c>
      <c r="I630" s="6" t="s">
        <v>229</v>
      </c>
      <c r="J630" s="6" t="s">
        <v>53</v>
      </c>
      <c r="K630" s="6" t="s">
        <v>53</v>
      </c>
      <c r="L630" s="6" t="s">
        <v>805</v>
      </c>
      <c r="M630" s="6" t="s">
        <v>311</v>
      </c>
      <c r="N630" s="6" t="s">
        <v>256</v>
      </c>
      <c r="O630" s="6" t="s">
        <v>62</v>
      </c>
      <c r="P630" s="6" t="s">
        <v>1213</v>
      </c>
      <c r="Q630" s="6" t="s">
        <v>65</v>
      </c>
      <c r="R630" s="6" t="s">
        <v>57</v>
      </c>
      <c r="S630" s="6" t="s">
        <v>1219</v>
      </c>
      <c r="T630" s="131">
        <v>4.2160000000000002</v>
      </c>
      <c r="U630" s="6" t="s">
        <v>1920</v>
      </c>
      <c r="V630" s="134">
        <v>2.06E-2</v>
      </c>
      <c r="W630" s="132">
        <v>2.5899999999999999E-2</v>
      </c>
      <c r="X630" s="3" t="s">
        <v>620</v>
      </c>
      <c r="Y630" s="3" t="s">
        <v>62</v>
      </c>
      <c r="Z630" s="131">
        <v>1357595.38</v>
      </c>
      <c r="AA630" s="129">
        <v>1</v>
      </c>
      <c r="AB630" s="157">
        <v>103.97</v>
      </c>
      <c r="AD630" s="131">
        <v>1411.492</v>
      </c>
      <c r="AG630" s="6" t="s">
        <v>17</v>
      </c>
      <c r="AH630" s="132">
        <v>8.4800000000000001E-4</v>
      </c>
      <c r="AI630" s="132">
        <v>4.7467524517638901E-3</v>
      </c>
      <c r="AJ630" s="132">
        <v>7.3631759707025999E-4</v>
      </c>
    </row>
    <row r="631" spans="1:36" x14ac:dyDescent="0.2">
      <c r="A631" s="6">
        <v>559</v>
      </c>
      <c r="B631" s="6">
        <v>7205</v>
      </c>
      <c r="C631" s="6" t="s">
        <v>1910</v>
      </c>
      <c r="D631" s="6" t="s">
        <v>1911</v>
      </c>
      <c r="E631" s="3" t="s">
        <v>1477</v>
      </c>
      <c r="F631" s="6" t="s">
        <v>1921</v>
      </c>
      <c r="G631" s="6" t="s">
        <v>1922</v>
      </c>
      <c r="H631" s="6" t="s">
        <v>76</v>
      </c>
      <c r="I631" s="6" t="s">
        <v>229</v>
      </c>
      <c r="J631" s="6" t="s">
        <v>53</v>
      </c>
      <c r="K631" s="6" t="s">
        <v>53</v>
      </c>
      <c r="L631" s="6" t="s">
        <v>805</v>
      </c>
      <c r="M631" s="6" t="s">
        <v>311</v>
      </c>
      <c r="N631" s="6" t="s">
        <v>256</v>
      </c>
      <c r="O631" s="6" t="s">
        <v>62</v>
      </c>
      <c r="P631" s="6" t="s">
        <v>1213</v>
      </c>
      <c r="Q631" s="6" t="s">
        <v>65</v>
      </c>
      <c r="R631" s="6" t="s">
        <v>57</v>
      </c>
      <c r="S631" s="6" t="s">
        <v>1219</v>
      </c>
      <c r="T631" s="131">
        <v>4.1950000000000003</v>
      </c>
      <c r="U631" s="6" t="s">
        <v>1923</v>
      </c>
      <c r="V631" s="134">
        <v>1.9900000000000001E-2</v>
      </c>
      <c r="W631" s="132">
        <v>2.581E-2</v>
      </c>
      <c r="X631" s="3" t="s">
        <v>620</v>
      </c>
      <c r="Y631" s="3" t="s">
        <v>62</v>
      </c>
      <c r="Z631" s="131">
        <v>2331436</v>
      </c>
      <c r="AA631" s="129">
        <v>1</v>
      </c>
      <c r="AB631" s="157">
        <v>103.57</v>
      </c>
      <c r="AD631" s="131">
        <v>2414.6680000000001</v>
      </c>
      <c r="AG631" s="6" t="s">
        <v>17</v>
      </c>
      <c r="AH631" s="132">
        <v>9.59E-4</v>
      </c>
      <c r="AI631" s="132">
        <v>8.1203670905586906E-3</v>
      </c>
      <c r="AJ631" s="132">
        <v>1.2596336641121299E-3</v>
      </c>
    </row>
    <row r="632" spans="1:36" x14ac:dyDescent="0.2">
      <c r="A632" s="6">
        <v>559</v>
      </c>
      <c r="B632" s="6">
        <v>7205</v>
      </c>
      <c r="C632" s="6" t="s">
        <v>1910</v>
      </c>
      <c r="D632" s="6" t="s">
        <v>1911</v>
      </c>
      <c r="E632" s="3" t="s">
        <v>1477</v>
      </c>
      <c r="F632" s="6" t="s">
        <v>1924</v>
      </c>
      <c r="G632" s="6" t="s">
        <v>1925</v>
      </c>
      <c r="H632" s="6" t="s">
        <v>76</v>
      </c>
      <c r="I632" s="6" t="s">
        <v>229</v>
      </c>
      <c r="J632" s="6" t="s">
        <v>53</v>
      </c>
      <c r="K632" s="6" t="s">
        <v>53</v>
      </c>
      <c r="L632" s="6" t="s">
        <v>805</v>
      </c>
      <c r="M632" s="6" t="s">
        <v>311</v>
      </c>
      <c r="N632" s="6" t="s">
        <v>256</v>
      </c>
      <c r="O632" s="6" t="s">
        <v>62</v>
      </c>
      <c r="P632" s="6" t="s">
        <v>1926</v>
      </c>
      <c r="Q632" s="6" t="s">
        <v>70</v>
      </c>
      <c r="R632" s="6" t="s">
        <v>57</v>
      </c>
      <c r="S632" s="6" t="s">
        <v>1219</v>
      </c>
      <c r="T632" s="131">
        <v>1.42</v>
      </c>
      <c r="U632" s="6" t="s">
        <v>1927</v>
      </c>
      <c r="V632" s="134">
        <v>5.0000000000000001E-3</v>
      </c>
      <c r="W632" s="132">
        <v>2.6210000000000001E-2</v>
      </c>
      <c r="X632" s="3" t="s">
        <v>620</v>
      </c>
      <c r="Y632" s="3" t="s">
        <v>62</v>
      </c>
      <c r="Z632" s="131">
        <v>2914669</v>
      </c>
      <c r="AA632" s="129">
        <v>1</v>
      </c>
      <c r="AB632" s="157">
        <v>112.82</v>
      </c>
      <c r="AD632" s="131">
        <v>3288.33</v>
      </c>
      <c r="AG632" s="6" t="s">
        <v>17</v>
      </c>
      <c r="AH632" s="132">
        <v>3.8189999999999999E-3</v>
      </c>
      <c r="AI632" s="132">
        <v>1.1058431327345001E-2</v>
      </c>
      <c r="AJ632" s="132">
        <v>1.71538702830214E-3</v>
      </c>
    </row>
    <row r="633" spans="1:36" x14ac:dyDescent="0.2">
      <c r="A633" s="6">
        <v>559</v>
      </c>
      <c r="B633" s="6">
        <v>7205</v>
      </c>
      <c r="C633" s="6" t="s">
        <v>1910</v>
      </c>
      <c r="D633" s="6" t="s">
        <v>1911</v>
      </c>
      <c r="E633" s="3" t="s">
        <v>1477</v>
      </c>
      <c r="F633" s="6" t="s">
        <v>1928</v>
      </c>
      <c r="G633" s="6" t="s">
        <v>1929</v>
      </c>
      <c r="H633" s="6" t="s">
        <v>76</v>
      </c>
      <c r="I633" s="6" t="s">
        <v>229</v>
      </c>
      <c r="J633" s="6" t="s">
        <v>53</v>
      </c>
      <c r="K633" s="6" t="s">
        <v>53</v>
      </c>
      <c r="L633" s="6" t="s">
        <v>805</v>
      </c>
      <c r="M633" s="6" t="s">
        <v>311</v>
      </c>
      <c r="N633" s="6" t="s">
        <v>256</v>
      </c>
      <c r="O633" s="6" t="s">
        <v>62</v>
      </c>
      <c r="P633" s="6" t="s">
        <v>1213</v>
      </c>
      <c r="Q633" s="6" t="s">
        <v>65</v>
      </c>
      <c r="R633" s="6" t="s">
        <v>57</v>
      </c>
      <c r="S633" s="6" t="s">
        <v>1219</v>
      </c>
      <c r="T633" s="131">
        <v>4.9790000000000001</v>
      </c>
      <c r="U633" s="6" t="s">
        <v>1930</v>
      </c>
      <c r="V633" s="134">
        <v>2E-3</v>
      </c>
      <c r="W633" s="132">
        <v>2.6159999999999999E-2</v>
      </c>
      <c r="X633" s="3" t="s">
        <v>620</v>
      </c>
      <c r="Y633" s="3" t="s">
        <v>62</v>
      </c>
      <c r="Z633" s="131">
        <v>41652</v>
      </c>
      <c r="AA633" s="129">
        <v>1</v>
      </c>
      <c r="AB633" s="157">
        <v>104.05</v>
      </c>
      <c r="AC633" s="131">
        <v>9.8000000000000004E-2</v>
      </c>
      <c r="AD633" s="131">
        <v>43.436</v>
      </c>
      <c r="AG633" s="6" t="s">
        <v>17</v>
      </c>
      <c r="AH633" s="132">
        <v>1.2E-5</v>
      </c>
      <c r="AI633" s="132">
        <v>1.4607401676286499E-4</v>
      </c>
      <c r="AJ633" s="132">
        <v>2.2659043232234701E-5</v>
      </c>
    </row>
    <row r="634" spans="1:36" x14ac:dyDescent="0.2">
      <c r="A634" s="6">
        <v>559</v>
      </c>
      <c r="B634" s="6">
        <v>7205</v>
      </c>
      <c r="C634" s="6" t="s">
        <v>1910</v>
      </c>
      <c r="D634" s="6" t="s">
        <v>1911</v>
      </c>
      <c r="E634" s="3" t="s">
        <v>1477</v>
      </c>
      <c r="F634" s="6" t="s">
        <v>1931</v>
      </c>
      <c r="G634" s="6" t="s">
        <v>1932</v>
      </c>
      <c r="H634" s="6" t="s">
        <v>76</v>
      </c>
      <c r="I634" s="6" t="s">
        <v>229</v>
      </c>
      <c r="J634" s="6" t="s">
        <v>53</v>
      </c>
      <c r="K634" s="6" t="s">
        <v>53</v>
      </c>
      <c r="L634" s="6" t="s">
        <v>805</v>
      </c>
      <c r="M634" s="6" t="s">
        <v>311</v>
      </c>
      <c r="N634" s="6" t="s">
        <v>256</v>
      </c>
      <c r="O634" s="6" t="s">
        <v>62</v>
      </c>
      <c r="P634" s="6" t="s">
        <v>1213</v>
      </c>
      <c r="Q634" s="6" t="s">
        <v>65</v>
      </c>
      <c r="R634" s="6" t="s">
        <v>57</v>
      </c>
      <c r="S634" s="6" t="s">
        <v>1219</v>
      </c>
      <c r="T634" s="131">
        <v>3.2730000000000001</v>
      </c>
      <c r="U634" s="6" t="s">
        <v>1933</v>
      </c>
      <c r="V634" s="134">
        <v>1.6400000000000001E-2</v>
      </c>
      <c r="W634" s="132">
        <v>2.6179999999999998E-2</v>
      </c>
      <c r="X634" s="3" t="s">
        <v>620</v>
      </c>
      <c r="Y634" s="3" t="s">
        <v>62</v>
      </c>
      <c r="Z634" s="131">
        <v>962654.68</v>
      </c>
      <c r="AA634" s="129">
        <v>1</v>
      </c>
      <c r="AB634" s="157">
        <v>106.26</v>
      </c>
      <c r="AD634" s="131">
        <v>1022.917</v>
      </c>
      <c r="AG634" s="6" t="s">
        <v>17</v>
      </c>
      <c r="AH634" s="132">
        <v>1.023E-3</v>
      </c>
      <c r="AI634" s="132">
        <v>3.4400006618444902E-3</v>
      </c>
      <c r="AJ634" s="132">
        <v>5.3361388591229399E-4</v>
      </c>
    </row>
    <row r="635" spans="1:36" x14ac:dyDescent="0.2">
      <c r="A635" s="6">
        <v>559</v>
      </c>
      <c r="B635" s="6">
        <v>7205</v>
      </c>
      <c r="C635" s="6" t="s">
        <v>1910</v>
      </c>
      <c r="D635" s="6" t="s">
        <v>1911</v>
      </c>
      <c r="E635" s="3" t="s">
        <v>1477</v>
      </c>
      <c r="F635" s="6" t="s">
        <v>1934</v>
      </c>
      <c r="G635" s="6" t="s">
        <v>1935</v>
      </c>
      <c r="H635" s="6" t="s">
        <v>76</v>
      </c>
      <c r="I635" s="6" t="s">
        <v>229</v>
      </c>
      <c r="J635" s="6" t="s">
        <v>53</v>
      </c>
      <c r="K635" s="6" t="s">
        <v>53</v>
      </c>
      <c r="L635" s="6" t="s">
        <v>805</v>
      </c>
      <c r="M635" s="6" t="s">
        <v>311</v>
      </c>
      <c r="N635" s="6" t="s">
        <v>256</v>
      </c>
      <c r="O635" s="6" t="s">
        <v>62</v>
      </c>
      <c r="P635" s="6" t="s">
        <v>1213</v>
      </c>
      <c r="Q635" s="6" t="s">
        <v>65</v>
      </c>
      <c r="R635" s="6" t="s">
        <v>57</v>
      </c>
      <c r="S635" s="6" t="s">
        <v>1219</v>
      </c>
      <c r="T635" s="131">
        <v>0.97499999999999998</v>
      </c>
      <c r="U635" s="6" t="s">
        <v>1936</v>
      </c>
      <c r="V635" s="134">
        <v>3.8E-3</v>
      </c>
      <c r="W635" s="132">
        <v>2.5610000000000001E-2</v>
      </c>
      <c r="X635" s="3" t="s">
        <v>620</v>
      </c>
      <c r="Y635" s="3" t="s">
        <v>62</v>
      </c>
      <c r="Z635" s="131">
        <v>5803296</v>
      </c>
      <c r="AA635" s="129">
        <v>1</v>
      </c>
      <c r="AB635" s="157">
        <v>112.93</v>
      </c>
      <c r="AD635" s="131">
        <v>6553.6620000000003</v>
      </c>
      <c r="AG635" s="6" t="s">
        <v>17</v>
      </c>
      <c r="AH635" s="132">
        <v>1.934E-3</v>
      </c>
      <c r="AI635" s="132">
        <v>2.2039525427827899E-2</v>
      </c>
      <c r="AJ635" s="132">
        <v>3.41877748386832E-3</v>
      </c>
    </row>
    <row r="636" spans="1:36" x14ac:dyDescent="0.2">
      <c r="A636" s="6">
        <v>559</v>
      </c>
      <c r="B636" s="6">
        <v>7205</v>
      </c>
      <c r="C636" s="6" t="s">
        <v>1910</v>
      </c>
      <c r="D636" s="6" t="s">
        <v>1911</v>
      </c>
      <c r="E636" s="3" t="s">
        <v>1477</v>
      </c>
      <c r="F636" s="6" t="s">
        <v>1937</v>
      </c>
      <c r="G636" s="6" t="s">
        <v>1938</v>
      </c>
      <c r="H636" s="6" t="s">
        <v>76</v>
      </c>
      <c r="I636" s="6" t="s">
        <v>229</v>
      </c>
      <c r="J636" s="6" t="s">
        <v>53</v>
      </c>
      <c r="K636" s="6" t="s">
        <v>53</v>
      </c>
      <c r="L636" s="6" t="s">
        <v>805</v>
      </c>
      <c r="M636" s="6" t="s">
        <v>311</v>
      </c>
      <c r="N636" s="6" t="s">
        <v>256</v>
      </c>
      <c r="O636" s="6" t="s">
        <v>62</v>
      </c>
      <c r="P636" s="6" t="s">
        <v>1213</v>
      </c>
      <c r="Q636" s="6" t="s">
        <v>65</v>
      </c>
      <c r="R636" s="6" t="s">
        <v>57</v>
      </c>
      <c r="S636" s="6" t="s">
        <v>1219</v>
      </c>
      <c r="T636" s="131">
        <v>3.2029999999999998</v>
      </c>
      <c r="U636" s="6" t="s">
        <v>1939</v>
      </c>
      <c r="V636" s="134">
        <v>1E-3</v>
      </c>
      <c r="W636" s="132">
        <v>2.5860000000000001E-2</v>
      </c>
      <c r="X636" s="3" t="s">
        <v>620</v>
      </c>
      <c r="Y636" s="3" t="s">
        <v>62</v>
      </c>
      <c r="Z636" s="131">
        <v>3641875.38</v>
      </c>
      <c r="AA636" s="129">
        <v>1</v>
      </c>
      <c r="AB636" s="157">
        <v>104.36</v>
      </c>
      <c r="AD636" s="131">
        <v>3800.6610000000001</v>
      </c>
      <c r="AG636" s="6" t="s">
        <v>17</v>
      </c>
      <c r="AH636" s="132">
        <v>1.632E-3</v>
      </c>
      <c r="AI636" s="132">
        <v>1.2781368000626601E-2</v>
      </c>
      <c r="AJ636" s="132">
        <v>1.9826494575243599E-3</v>
      </c>
    </row>
    <row r="637" spans="1:36" x14ac:dyDescent="0.2">
      <c r="A637" s="6">
        <v>559</v>
      </c>
      <c r="B637" s="6">
        <v>7205</v>
      </c>
      <c r="C637" s="6" t="s">
        <v>2361</v>
      </c>
      <c r="D637" s="6" t="s">
        <v>2362</v>
      </c>
      <c r="E637" s="3" t="s">
        <v>1477</v>
      </c>
      <c r="F637" s="6" t="s">
        <v>2363</v>
      </c>
      <c r="G637" s="6" t="s">
        <v>2364</v>
      </c>
      <c r="H637" s="6" t="s">
        <v>76</v>
      </c>
      <c r="I637" s="6" t="s">
        <v>229</v>
      </c>
      <c r="J637" s="6" t="s">
        <v>53</v>
      </c>
      <c r="K637" s="6" t="s">
        <v>53</v>
      </c>
      <c r="L637" s="6" t="s">
        <v>805</v>
      </c>
      <c r="M637" s="6" t="s">
        <v>311</v>
      </c>
      <c r="N637" s="6" t="s">
        <v>257</v>
      </c>
      <c r="O637" s="6" t="s">
        <v>62</v>
      </c>
      <c r="P637" s="6" t="s">
        <v>1521</v>
      </c>
      <c r="Q637" s="6" t="s">
        <v>70</v>
      </c>
      <c r="R637" s="6" t="s">
        <v>57</v>
      </c>
      <c r="S637" s="6" t="s">
        <v>1219</v>
      </c>
      <c r="T637" s="131">
        <v>0.441</v>
      </c>
      <c r="U637" s="6" t="s">
        <v>2365</v>
      </c>
      <c r="V637" s="134">
        <v>3.95E-2</v>
      </c>
      <c r="W637" s="132">
        <v>2.1739999999999999E-2</v>
      </c>
      <c r="X637" s="3" t="s">
        <v>620</v>
      </c>
      <c r="Y637" s="3" t="s">
        <v>62</v>
      </c>
      <c r="Z637" s="131">
        <v>130306.18</v>
      </c>
      <c r="AA637" s="129">
        <v>1</v>
      </c>
      <c r="AB637" s="157">
        <v>125.2</v>
      </c>
      <c r="AD637" s="131">
        <v>163.143</v>
      </c>
      <c r="AG637" s="6" t="s">
        <v>17</v>
      </c>
      <c r="AH637" s="132">
        <v>1.5989999999999999E-3</v>
      </c>
      <c r="AI637" s="132">
        <v>5.4864007898506499E-4</v>
      </c>
      <c r="AJ637" s="132">
        <v>8.5105205868615401E-5</v>
      </c>
    </row>
    <row r="638" spans="1:36" x14ac:dyDescent="0.2">
      <c r="A638" s="6">
        <v>559</v>
      </c>
      <c r="B638" s="6">
        <v>7205</v>
      </c>
      <c r="C638" s="6" t="s">
        <v>1940</v>
      </c>
      <c r="D638" s="6" t="s">
        <v>1941</v>
      </c>
      <c r="E638" s="3" t="s">
        <v>1477</v>
      </c>
      <c r="F638" s="6" t="s">
        <v>1942</v>
      </c>
      <c r="G638" s="6" t="s">
        <v>1943</v>
      </c>
      <c r="H638" s="6" t="s">
        <v>76</v>
      </c>
      <c r="I638" s="6" t="s">
        <v>229</v>
      </c>
      <c r="J638" s="6" t="s">
        <v>53</v>
      </c>
      <c r="K638" s="6" t="s">
        <v>53</v>
      </c>
      <c r="L638" s="6" t="s">
        <v>805</v>
      </c>
      <c r="M638" s="6" t="s">
        <v>311</v>
      </c>
      <c r="N638" s="6" t="s">
        <v>633</v>
      </c>
      <c r="O638" s="6" t="s">
        <v>62</v>
      </c>
      <c r="P638" s="6" t="s">
        <v>1521</v>
      </c>
      <c r="Q638" s="6" t="s">
        <v>70</v>
      </c>
      <c r="R638" s="6" t="s">
        <v>57</v>
      </c>
      <c r="S638" s="6" t="s">
        <v>1219</v>
      </c>
      <c r="T638" s="131">
        <v>0.499</v>
      </c>
      <c r="U638" s="6" t="s">
        <v>1499</v>
      </c>
      <c r="V638" s="134">
        <v>1.8499999999999999E-2</v>
      </c>
      <c r="W638" s="132">
        <v>2.7910000000000001E-2</v>
      </c>
      <c r="X638" s="3" t="s">
        <v>620</v>
      </c>
      <c r="Y638" s="3" t="s">
        <v>62</v>
      </c>
      <c r="Z638" s="131">
        <v>782995.98</v>
      </c>
      <c r="AA638" s="129">
        <v>1</v>
      </c>
      <c r="AB638" s="157">
        <v>116.51</v>
      </c>
      <c r="AD638" s="131">
        <v>912.26900000000001</v>
      </c>
      <c r="AG638" s="6" t="s">
        <v>17</v>
      </c>
      <c r="AH638" s="132">
        <v>5.3080000000000002E-3</v>
      </c>
      <c r="AI638" s="132">
        <v>3.0678980447536599E-3</v>
      </c>
      <c r="AJ638" s="132">
        <v>4.7589322159198301E-4</v>
      </c>
    </row>
    <row r="639" spans="1:36" x14ac:dyDescent="0.2">
      <c r="A639" s="6">
        <v>559</v>
      </c>
      <c r="B639" s="6">
        <v>7205</v>
      </c>
      <c r="C639" s="6" t="s">
        <v>1940</v>
      </c>
      <c r="D639" s="6" t="s">
        <v>1941</v>
      </c>
      <c r="E639" s="3" t="s">
        <v>1477</v>
      </c>
      <c r="F639" s="6" t="s">
        <v>1944</v>
      </c>
      <c r="G639" s="6" t="s">
        <v>1945</v>
      </c>
      <c r="H639" s="6" t="s">
        <v>76</v>
      </c>
      <c r="I639" s="6" t="s">
        <v>229</v>
      </c>
      <c r="J639" s="6" t="s">
        <v>53</v>
      </c>
      <c r="K639" s="6" t="s">
        <v>53</v>
      </c>
      <c r="L639" s="6" t="s">
        <v>805</v>
      </c>
      <c r="M639" s="6" t="s">
        <v>311</v>
      </c>
      <c r="N639" s="6" t="s">
        <v>633</v>
      </c>
      <c r="O639" s="6" t="s">
        <v>62</v>
      </c>
      <c r="P639" s="6" t="s">
        <v>1521</v>
      </c>
      <c r="Q639" s="6" t="s">
        <v>70</v>
      </c>
      <c r="R639" s="6" t="s">
        <v>57</v>
      </c>
      <c r="S639" s="6" t="s">
        <v>1219</v>
      </c>
      <c r="T639" s="131">
        <v>0.17899999999999999</v>
      </c>
      <c r="U639" s="6" t="s">
        <v>1946</v>
      </c>
      <c r="V639" s="134">
        <v>0.01</v>
      </c>
      <c r="W639" s="132">
        <v>3.569E-2</v>
      </c>
      <c r="X639" s="3" t="s">
        <v>620</v>
      </c>
      <c r="Y639" s="3" t="s">
        <v>62</v>
      </c>
      <c r="Z639" s="131">
        <v>512180.47</v>
      </c>
      <c r="AA639" s="129">
        <v>1</v>
      </c>
      <c r="AB639" s="157">
        <v>115.84</v>
      </c>
      <c r="AD639" s="131">
        <v>593.30999999999995</v>
      </c>
      <c r="AG639" s="6" t="s">
        <v>17</v>
      </c>
      <c r="AH639" s="132">
        <v>3.0279999999999999E-3</v>
      </c>
      <c r="AI639" s="132">
        <v>1.9952611719959699E-3</v>
      </c>
      <c r="AJ639" s="132">
        <v>3.0950548330063699E-4</v>
      </c>
    </row>
    <row r="640" spans="1:36" x14ac:dyDescent="0.2">
      <c r="A640" s="6">
        <v>559</v>
      </c>
      <c r="B640" s="6">
        <v>7205</v>
      </c>
      <c r="C640" s="6" t="s">
        <v>1947</v>
      </c>
      <c r="D640" s="6" t="s">
        <v>1948</v>
      </c>
      <c r="E640" s="3" t="s">
        <v>1477</v>
      </c>
      <c r="F640" s="6" t="s">
        <v>1949</v>
      </c>
      <c r="G640" s="6" t="s">
        <v>1950</v>
      </c>
      <c r="H640" s="6" t="s">
        <v>76</v>
      </c>
      <c r="I640" s="6" t="s">
        <v>229</v>
      </c>
      <c r="J640" s="6" t="s">
        <v>53</v>
      </c>
      <c r="K640" s="6" t="s">
        <v>53</v>
      </c>
      <c r="L640" s="6" t="s">
        <v>805</v>
      </c>
      <c r="M640" s="6" t="s">
        <v>311</v>
      </c>
      <c r="N640" s="6" t="s">
        <v>635</v>
      </c>
      <c r="O640" s="6" t="s">
        <v>62</v>
      </c>
      <c r="P640" s="6" t="s">
        <v>1533</v>
      </c>
      <c r="Q640" s="6" t="s">
        <v>65</v>
      </c>
      <c r="R640" s="6" t="s">
        <v>57</v>
      </c>
      <c r="S640" s="6" t="s">
        <v>1219</v>
      </c>
      <c r="T640" s="131">
        <v>3.7440000000000002</v>
      </c>
      <c r="U640" s="6" t="s">
        <v>1549</v>
      </c>
      <c r="V640" s="134">
        <v>1.43E-2</v>
      </c>
      <c r="W640" s="132">
        <v>2.81E-2</v>
      </c>
      <c r="X640" s="3" t="s">
        <v>620</v>
      </c>
      <c r="Y640" s="3" t="s">
        <v>62</v>
      </c>
      <c r="Z640" s="131">
        <v>1077032.97</v>
      </c>
      <c r="AA640" s="129">
        <v>1</v>
      </c>
      <c r="AB640" s="157">
        <v>111.28</v>
      </c>
      <c r="AC640" s="131">
        <v>23.119</v>
      </c>
      <c r="AD640" s="131">
        <v>1221.6410000000001</v>
      </c>
      <c r="AG640" s="6" t="s">
        <v>17</v>
      </c>
      <c r="AH640" s="132">
        <v>5.5900000000000004E-4</v>
      </c>
      <c r="AI640" s="132">
        <v>4.1082973489733297E-3</v>
      </c>
      <c r="AJ640" s="132">
        <v>6.3728025903732799E-4</v>
      </c>
    </row>
    <row r="641" spans="1:36" x14ac:dyDescent="0.2">
      <c r="A641" s="6">
        <v>559</v>
      </c>
      <c r="B641" s="6">
        <v>7205</v>
      </c>
      <c r="C641" s="6" t="s">
        <v>1947</v>
      </c>
      <c r="D641" s="6" t="s">
        <v>1948</v>
      </c>
      <c r="E641" s="3" t="s">
        <v>1477</v>
      </c>
      <c r="F641" s="6" t="s">
        <v>1951</v>
      </c>
      <c r="G641" s="6" t="s">
        <v>1952</v>
      </c>
      <c r="H641" s="6" t="s">
        <v>76</v>
      </c>
      <c r="I641" s="6" t="s">
        <v>229</v>
      </c>
      <c r="J641" s="6" t="s">
        <v>53</v>
      </c>
      <c r="K641" s="6" t="s">
        <v>53</v>
      </c>
      <c r="L641" s="6" t="s">
        <v>805</v>
      </c>
      <c r="M641" s="6" t="s">
        <v>311</v>
      </c>
      <c r="N641" s="6" t="s">
        <v>635</v>
      </c>
      <c r="O641" s="6" t="s">
        <v>62</v>
      </c>
      <c r="P641" s="6" t="s">
        <v>1533</v>
      </c>
      <c r="Q641" s="6" t="s">
        <v>65</v>
      </c>
      <c r="R641" s="6" t="s">
        <v>57</v>
      </c>
      <c r="S641" s="6" t="s">
        <v>1219</v>
      </c>
      <c r="T641" s="131">
        <v>2.1999999999999999E-2</v>
      </c>
      <c r="U641" s="6" t="s">
        <v>1953</v>
      </c>
      <c r="V641" s="134">
        <v>1.7600000000000001E-2</v>
      </c>
      <c r="W641" s="132">
        <v>9.2439999999999994E-2</v>
      </c>
      <c r="X641" s="3" t="s">
        <v>620</v>
      </c>
      <c r="Y641" s="3" t="s">
        <v>62</v>
      </c>
      <c r="Z641" s="131">
        <v>2566472.15</v>
      </c>
      <c r="AA641" s="129">
        <v>1</v>
      </c>
      <c r="AB641" s="157">
        <v>119.74</v>
      </c>
      <c r="AD641" s="131">
        <v>3073.0940000000001</v>
      </c>
      <c r="AG641" s="6" t="s">
        <v>17</v>
      </c>
      <c r="AH641" s="132">
        <v>9.528E-3</v>
      </c>
      <c r="AI641" s="132">
        <v>1.03346077525083E-2</v>
      </c>
      <c r="AJ641" s="132">
        <v>1.60310730848475E-3</v>
      </c>
    </row>
    <row r="642" spans="1:36" x14ac:dyDescent="0.2">
      <c r="A642" s="6">
        <v>559</v>
      </c>
      <c r="B642" s="6">
        <v>7205</v>
      </c>
      <c r="C642" s="6" t="s">
        <v>1947</v>
      </c>
      <c r="D642" s="6" t="s">
        <v>1948</v>
      </c>
      <c r="E642" s="3" t="s">
        <v>1477</v>
      </c>
      <c r="F642" s="6" t="s">
        <v>1954</v>
      </c>
      <c r="G642" s="6" t="s">
        <v>1955</v>
      </c>
      <c r="H642" s="6" t="s">
        <v>76</v>
      </c>
      <c r="I642" s="6" t="s">
        <v>229</v>
      </c>
      <c r="J642" s="6" t="s">
        <v>53</v>
      </c>
      <c r="K642" s="6" t="s">
        <v>53</v>
      </c>
      <c r="L642" s="6" t="s">
        <v>805</v>
      </c>
      <c r="M642" s="6" t="s">
        <v>311</v>
      </c>
      <c r="N642" s="6" t="s">
        <v>635</v>
      </c>
      <c r="O642" s="6" t="s">
        <v>62</v>
      </c>
      <c r="P642" s="6" t="s">
        <v>1533</v>
      </c>
      <c r="Q642" s="6" t="s">
        <v>65</v>
      </c>
      <c r="R642" s="6" t="s">
        <v>57</v>
      </c>
      <c r="S642" s="6" t="s">
        <v>1219</v>
      </c>
      <c r="T642" s="131">
        <v>2.1999999999999999E-2</v>
      </c>
      <c r="U642" s="6" t="s">
        <v>1953</v>
      </c>
      <c r="V642" s="134">
        <v>2.3E-2</v>
      </c>
      <c r="W642" s="132">
        <v>4.793E-2</v>
      </c>
      <c r="X642" s="3" t="s">
        <v>620</v>
      </c>
      <c r="Y642" s="3" t="s">
        <v>62</v>
      </c>
      <c r="Z642" s="131">
        <v>362577.63</v>
      </c>
      <c r="AA642" s="129">
        <v>1</v>
      </c>
      <c r="AB642" s="157">
        <v>120.17</v>
      </c>
      <c r="AD642" s="131">
        <v>435.71</v>
      </c>
      <c r="AG642" s="6" t="s">
        <v>17</v>
      </c>
      <c r="AH642" s="132">
        <v>4.5600000000000003E-4</v>
      </c>
      <c r="AI642" s="132">
        <v>1.46526189297857E-3</v>
      </c>
      <c r="AJ642" s="132">
        <v>2.2729184365106E-4</v>
      </c>
    </row>
    <row r="643" spans="1:36" x14ac:dyDescent="0.2">
      <c r="A643" s="6">
        <v>559</v>
      </c>
      <c r="B643" s="6">
        <v>7205</v>
      </c>
      <c r="C643" s="6" t="s">
        <v>1947</v>
      </c>
      <c r="D643" s="6" t="s">
        <v>1948</v>
      </c>
      <c r="E643" s="3" t="s">
        <v>1477</v>
      </c>
      <c r="F643" s="6" t="s">
        <v>1956</v>
      </c>
      <c r="G643" s="6" t="s">
        <v>1957</v>
      </c>
      <c r="H643" s="6" t="s">
        <v>76</v>
      </c>
      <c r="I643" s="6" t="s">
        <v>229</v>
      </c>
      <c r="J643" s="6" t="s">
        <v>53</v>
      </c>
      <c r="K643" s="6" t="s">
        <v>53</v>
      </c>
      <c r="L643" s="6" t="s">
        <v>805</v>
      </c>
      <c r="M643" s="6" t="s">
        <v>311</v>
      </c>
      <c r="N643" s="6" t="s">
        <v>635</v>
      </c>
      <c r="O643" s="6" t="s">
        <v>62</v>
      </c>
      <c r="P643" s="6" t="s">
        <v>1533</v>
      </c>
      <c r="Q643" s="6" t="s">
        <v>65</v>
      </c>
      <c r="R643" s="6" t="s">
        <v>57</v>
      </c>
      <c r="S643" s="6" t="s">
        <v>1219</v>
      </c>
      <c r="T643" s="131">
        <v>0.80800000000000005</v>
      </c>
      <c r="U643" s="6" t="s">
        <v>1958</v>
      </c>
      <c r="V643" s="134">
        <v>2.1499999999999998E-2</v>
      </c>
      <c r="W643" s="132">
        <v>3.1850000000000003E-2</v>
      </c>
      <c r="X643" s="3" t="s">
        <v>620</v>
      </c>
      <c r="Y643" s="3" t="s">
        <v>62</v>
      </c>
      <c r="Z643" s="131">
        <v>1450546.73</v>
      </c>
      <c r="AA643" s="129">
        <v>1</v>
      </c>
      <c r="AB643" s="157">
        <v>118.67</v>
      </c>
      <c r="AD643" s="131">
        <v>1721.364</v>
      </c>
      <c r="AG643" s="6" t="s">
        <v>17</v>
      </c>
      <c r="AH643" s="132">
        <v>1.2459999999999999E-3</v>
      </c>
      <c r="AI643" s="132">
        <v>5.7888307848821003E-3</v>
      </c>
      <c r="AJ643" s="132">
        <v>8.9796508595825801E-4</v>
      </c>
    </row>
    <row r="644" spans="1:36" x14ac:dyDescent="0.2">
      <c r="A644" s="6">
        <v>559</v>
      </c>
      <c r="B644" s="6">
        <v>7205</v>
      </c>
      <c r="C644" s="6" t="s">
        <v>1947</v>
      </c>
      <c r="D644" s="6" t="s">
        <v>1948</v>
      </c>
      <c r="E644" s="3" t="s">
        <v>1477</v>
      </c>
      <c r="F644" s="6" t="s">
        <v>1959</v>
      </c>
      <c r="G644" s="6" t="s">
        <v>1960</v>
      </c>
      <c r="H644" s="6" t="s">
        <v>76</v>
      </c>
      <c r="I644" s="6" t="s">
        <v>229</v>
      </c>
      <c r="J644" s="6" t="s">
        <v>53</v>
      </c>
      <c r="K644" s="6" t="s">
        <v>53</v>
      </c>
      <c r="L644" s="6" t="s">
        <v>805</v>
      </c>
      <c r="M644" s="6" t="s">
        <v>311</v>
      </c>
      <c r="N644" s="6" t="s">
        <v>635</v>
      </c>
      <c r="O644" s="6" t="s">
        <v>62</v>
      </c>
      <c r="P644" s="6" t="s">
        <v>1533</v>
      </c>
      <c r="Q644" s="6" t="s">
        <v>65</v>
      </c>
      <c r="R644" s="6" t="s">
        <v>57</v>
      </c>
      <c r="S644" s="6" t="s">
        <v>1219</v>
      </c>
      <c r="T644" s="131">
        <v>1.6779999999999999</v>
      </c>
      <c r="U644" s="6" t="s">
        <v>1663</v>
      </c>
      <c r="V644" s="134">
        <v>2.35E-2</v>
      </c>
      <c r="W644" s="132">
        <v>2.7459999999999998E-2</v>
      </c>
      <c r="X644" s="3" t="s">
        <v>620</v>
      </c>
      <c r="Y644" s="3" t="s">
        <v>62</v>
      </c>
      <c r="Z644" s="131">
        <v>1882607.75</v>
      </c>
      <c r="AA644" s="129">
        <v>1</v>
      </c>
      <c r="AB644" s="157">
        <v>118.4</v>
      </c>
      <c r="AD644" s="131">
        <v>2229.0079999999998</v>
      </c>
      <c r="AG644" s="6" t="s">
        <v>17</v>
      </c>
      <c r="AH644" s="132">
        <v>2.0530000000000001E-3</v>
      </c>
      <c r="AI644" s="132">
        <v>7.4960026706845399E-3</v>
      </c>
      <c r="AJ644" s="132">
        <v>1.1627820768407E-3</v>
      </c>
    </row>
    <row r="645" spans="1:36" x14ac:dyDescent="0.2">
      <c r="A645" s="6">
        <v>559</v>
      </c>
      <c r="B645" s="6">
        <v>7205</v>
      </c>
      <c r="C645" s="6" t="s">
        <v>1961</v>
      </c>
      <c r="D645" s="6" t="s">
        <v>1962</v>
      </c>
      <c r="E645" s="3" t="s">
        <v>1477</v>
      </c>
      <c r="F645" s="6" t="s">
        <v>1963</v>
      </c>
      <c r="G645" s="6" t="s">
        <v>1964</v>
      </c>
      <c r="H645" s="6" t="s">
        <v>76</v>
      </c>
      <c r="I645" s="6" t="s">
        <v>229</v>
      </c>
      <c r="J645" s="6" t="s">
        <v>53</v>
      </c>
      <c r="K645" s="6" t="s">
        <v>53</v>
      </c>
      <c r="L645" s="6" t="s">
        <v>805</v>
      </c>
      <c r="M645" s="6" t="s">
        <v>311</v>
      </c>
      <c r="N645" s="6" t="s">
        <v>635</v>
      </c>
      <c r="O645" s="6" t="s">
        <v>62</v>
      </c>
      <c r="P645" s="6" t="s">
        <v>1965</v>
      </c>
      <c r="Q645" s="6" t="s">
        <v>70</v>
      </c>
      <c r="R645" s="6" t="s">
        <v>57</v>
      </c>
      <c r="S645" s="6" t="s">
        <v>1219</v>
      </c>
      <c r="T645" s="131">
        <v>2.2509999999999999</v>
      </c>
      <c r="U645" s="6" t="s">
        <v>1605</v>
      </c>
      <c r="V645" s="134">
        <v>2.75E-2</v>
      </c>
      <c r="W645" s="132">
        <v>2.869E-2</v>
      </c>
      <c r="X645" s="3" t="s">
        <v>620</v>
      </c>
      <c r="Y645" s="3" t="s">
        <v>62</v>
      </c>
      <c r="Z645" s="131">
        <v>2458519.7799999998</v>
      </c>
      <c r="AA645" s="129">
        <v>1</v>
      </c>
      <c r="AB645" s="157">
        <v>116.1</v>
      </c>
      <c r="AD645" s="131">
        <v>2854.3409999999999</v>
      </c>
      <c r="AG645" s="6" t="s">
        <v>17</v>
      </c>
      <c r="AH645" s="132">
        <v>4.3940000000000003E-3</v>
      </c>
      <c r="AI645" s="132">
        <v>9.5989585104655096E-3</v>
      </c>
      <c r="AJ645" s="132">
        <v>1.48899318779025E-3</v>
      </c>
    </row>
    <row r="646" spans="1:36" x14ac:dyDescent="0.2">
      <c r="A646" s="6">
        <v>559</v>
      </c>
      <c r="B646" s="6">
        <v>7205</v>
      </c>
      <c r="C646" s="6" t="s">
        <v>1961</v>
      </c>
      <c r="D646" s="6" t="s">
        <v>1962</v>
      </c>
      <c r="E646" s="3" t="s">
        <v>1477</v>
      </c>
      <c r="F646" s="6" t="s">
        <v>2366</v>
      </c>
      <c r="G646" s="6" t="s">
        <v>2367</v>
      </c>
      <c r="H646" s="6" t="s">
        <v>76</v>
      </c>
      <c r="I646" s="6" t="s">
        <v>229</v>
      </c>
      <c r="J646" s="6" t="s">
        <v>53</v>
      </c>
      <c r="K646" s="6" t="s">
        <v>53</v>
      </c>
      <c r="L646" s="6" t="s">
        <v>805</v>
      </c>
      <c r="M646" s="6" t="s">
        <v>311</v>
      </c>
      <c r="N646" s="6" t="s">
        <v>635</v>
      </c>
      <c r="O646" s="6" t="s">
        <v>62</v>
      </c>
      <c r="P646" s="6" t="s">
        <v>1965</v>
      </c>
      <c r="Q646" s="6" t="s">
        <v>70</v>
      </c>
      <c r="R646" s="6" t="s">
        <v>57</v>
      </c>
      <c r="S646" s="6" t="s">
        <v>1219</v>
      </c>
      <c r="T646" s="131">
        <v>3.7210000000000001</v>
      </c>
      <c r="U646" s="6" t="s">
        <v>1649</v>
      </c>
      <c r="V646" s="134">
        <v>8.5000000000000006E-3</v>
      </c>
      <c r="W646" s="132">
        <v>2.8299999999999999E-2</v>
      </c>
      <c r="X646" s="3" t="s">
        <v>620</v>
      </c>
      <c r="Y646" s="3" t="s">
        <v>62</v>
      </c>
      <c r="Z646" s="131">
        <v>2367602.9500000002</v>
      </c>
      <c r="AA646" s="129">
        <v>1</v>
      </c>
      <c r="AB646" s="157">
        <v>107.79</v>
      </c>
      <c r="AD646" s="131">
        <v>2552.0390000000002</v>
      </c>
      <c r="AG646" s="6" t="s">
        <v>17</v>
      </c>
      <c r="AH646" s="132">
        <v>3.7859999999999999E-3</v>
      </c>
      <c r="AI646" s="132">
        <v>8.5823363784520192E-3</v>
      </c>
      <c r="AJ646" s="132">
        <v>1.3312944720937001E-3</v>
      </c>
    </row>
    <row r="647" spans="1:36" x14ac:dyDescent="0.2">
      <c r="A647" s="6">
        <v>559</v>
      </c>
      <c r="B647" s="6">
        <v>7205</v>
      </c>
      <c r="C647" s="6" t="s">
        <v>1961</v>
      </c>
      <c r="D647" s="6" t="s">
        <v>1962</v>
      </c>
      <c r="E647" s="3" t="s">
        <v>1477</v>
      </c>
      <c r="F647" s="6" t="s">
        <v>2368</v>
      </c>
      <c r="G647" s="6" t="s">
        <v>2369</v>
      </c>
      <c r="H647" s="6" t="s">
        <v>76</v>
      </c>
      <c r="I647" s="6" t="s">
        <v>229</v>
      </c>
      <c r="J647" s="6" t="s">
        <v>53</v>
      </c>
      <c r="K647" s="6" t="s">
        <v>53</v>
      </c>
      <c r="L647" s="6" t="s">
        <v>805</v>
      </c>
      <c r="M647" s="6" t="s">
        <v>311</v>
      </c>
      <c r="N647" s="6" t="s">
        <v>635</v>
      </c>
      <c r="O647" s="6" t="s">
        <v>62</v>
      </c>
      <c r="P647" s="6" t="s">
        <v>1965</v>
      </c>
      <c r="Q647" s="6" t="s">
        <v>70</v>
      </c>
      <c r="R647" s="6" t="s">
        <v>57</v>
      </c>
      <c r="S647" s="6" t="s">
        <v>1219</v>
      </c>
      <c r="T647" s="131">
        <v>5.391</v>
      </c>
      <c r="U647" s="6" t="s">
        <v>2006</v>
      </c>
      <c r="V647" s="134">
        <v>3.1800000000000002E-2</v>
      </c>
      <c r="W647" s="132">
        <v>3.0280000000000001E-2</v>
      </c>
      <c r="X647" s="3" t="s">
        <v>620</v>
      </c>
      <c r="Y647" s="3" t="s">
        <v>62</v>
      </c>
      <c r="Z647" s="131">
        <v>0.1</v>
      </c>
      <c r="AA647" s="129">
        <v>1</v>
      </c>
      <c r="AB647" s="157">
        <v>110.5</v>
      </c>
      <c r="AD647" s="131">
        <v>0</v>
      </c>
      <c r="AG647" s="6" t="s">
        <v>17</v>
      </c>
      <c r="AH647" s="132">
        <v>0</v>
      </c>
      <c r="AI647" s="132">
        <v>3.7160407350299701E-10</v>
      </c>
      <c r="AJ647" s="132">
        <v>5.7643330096468495E-11</v>
      </c>
    </row>
    <row r="648" spans="1:36" x14ac:dyDescent="0.2">
      <c r="A648" s="6">
        <v>559</v>
      </c>
      <c r="B648" s="6">
        <v>7205</v>
      </c>
      <c r="C648" s="6" t="s">
        <v>1966</v>
      </c>
      <c r="D648" s="6" t="s">
        <v>1967</v>
      </c>
      <c r="E648" s="3" t="s">
        <v>1477</v>
      </c>
      <c r="F648" s="6" t="s">
        <v>1968</v>
      </c>
      <c r="G648" s="6" t="s">
        <v>1969</v>
      </c>
      <c r="H648" s="6" t="s">
        <v>76</v>
      </c>
      <c r="I648" s="6" t="s">
        <v>228</v>
      </c>
      <c r="J648" s="6" t="s">
        <v>53</v>
      </c>
      <c r="K648" s="6" t="s">
        <v>53</v>
      </c>
      <c r="L648" s="6" t="s">
        <v>805</v>
      </c>
      <c r="M648" s="6" t="s">
        <v>311</v>
      </c>
      <c r="N648" s="6" t="s">
        <v>633</v>
      </c>
      <c r="O648" s="6" t="s">
        <v>62</v>
      </c>
      <c r="P648" s="6" t="s">
        <v>1604</v>
      </c>
      <c r="Q648" s="6" t="s">
        <v>70</v>
      </c>
      <c r="R648" s="6" t="s">
        <v>57</v>
      </c>
      <c r="S648" s="6" t="s">
        <v>1219</v>
      </c>
      <c r="T648" s="131">
        <v>0.73099999999999998</v>
      </c>
      <c r="U648" s="6" t="s">
        <v>1578</v>
      </c>
      <c r="V648" s="134">
        <v>0.114</v>
      </c>
      <c r="W648" s="132">
        <v>5.91E-2</v>
      </c>
      <c r="X648" s="3" t="s">
        <v>620</v>
      </c>
      <c r="Y648" s="3" t="s">
        <v>62</v>
      </c>
      <c r="Z648" s="131">
        <v>756272</v>
      </c>
      <c r="AA648" s="129">
        <v>1</v>
      </c>
      <c r="AB648" s="157">
        <v>102.52</v>
      </c>
      <c r="AD648" s="131">
        <v>775.33</v>
      </c>
      <c r="AG648" s="6" t="s">
        <v>17</v>
      </c>
      <c r="AH648" s="132">
        <v>3.1289999999999998E-3</v>
      </c>
      <c r="AI648" s="132">
        <v>2.6073828644736698E-3</v>
      </c>
      <c r="AJ648" s="132">
        <v>4.0445797519902298E-4</v>
      </c>
    </row>
    <row r="649" spans="1:36" x14ac:dyDescent="0.2">
      <c r="A649" s="6">
        <v>559</v>
      </c>
      <c r="B649" s="6">
        <v>7205</v>
      </c>
      <c r="C649" s="6" t="s">
        <v>1970</v>
      </c>
      <c r="D649" s="6" t="s">
        <v>1971</v>
      </c>
      <c r="E649" s="3" t="s">
        <v>1477</v>
      </c>
      <c r="F649" s="6" t="s">
        <v>1972</v>
      </c>
      <c r="G649" s="6" t="s">
        <v>1973</v>
      </c>
      <c r="H649" s="6" t="s">
        <v>76</v>
      </c>
      <c r="I649" s="6" t="s">
        <v>229</v>
      </c>
      <c r="J649" s="6" t="s">
        <v>53</v>
      </c>
      <c r="K649" s="6" t="s">
        <v>53</v>
      </c>
      <c r="L649" s="6" t="s">
        <v>805</v>
      </c>
      <c r="M649" s="6" t="s">
        <v>311</v>
      </c>
      <c r="N649" s="6" t="s">
        <v>258</v>
      </c>
      <c r="O649" s="6" t="s">
        <v>62</v>
      </c>
      <c r="P649" s="6" t="s">
        <v>1213</v>
      </c>
      <c r="Q649" s="6" t="s">
        <v>65</v>
      </c>
      <c r="R649" s="6" t="s">
        <v>57</v>
      </c>
      <c r="S649" s="6" t="s">
        <v>1219</v>
      </c>
      <c r="T649" s="131">
        <v>1.4810000000000001</v>
      </c>
      <c r="U649" s="6" t="s">
        <v>1605</v>
      </c>
      <c r="V649" s="134">
        <v>1E-3</v>
      </c>
      <c r="W649" s="132">
        <v>2.6009999999999998E-2</v>
      </c>
      <c r="X649" s="3" t="s">
        <v>620</v>
      </c>
      <c r="Y649" s="3" t="s">
        <v>62</v>
      </c>
      <c r="Z649" s="131">
        <v>6011595.5999999996</v>
      </c>
      <c r="AA649" s="129">
        <v>1</v>
      </c>
      <c r="AB649" s="157">
        <v>111.15</v>
      </c>
      <c r="AD649" s="131">
        <v>6681.8890000000001</v>
      </c>
      <c r="AG649" s="6" t="s">
        <v>17</v>
      </c>
      <c r="AH649" s="132">
        <v>9.3589999999999993E-3</v>
      </c>
      <c r="AI649" s="132">
        <v>2.2470741979962999E-2</v>
      </c>
      <c r="AJ649" s="132">
        <v>3.4856679186890801E-3</v>
      </c>
    </row>
    <row r="650" spans="1:36" x14ac:dyDescent="0.2">
      <c r="A650" s="6">
        <v>559</v>
      </c>
      <c r="B650" s="6">
        <v>7205</v>
      </c>
      <c r="C650" s="6" t="s">
        <v>1970</v>
      </c>
      <c r="D650" s="6" t="s">
        <v>1971</v>
      </c>
      <c r="E650" s="3" t="s">
        <v>1477</v>
      </c>
      <c r="F650" s="6" t="s">
        <v>1974</v>
      </c>
      <c r="G650" s="6" t="s">
        <v>1975</v>
      </c>
      <c r="H650" s="6" t="s">
        <v>76</v>
      </c>
      <c r="I650" s="6" t="s">
        <v>229</v>
      </c>
      <c r="J650" s="6" t="s">
        <v>53</v>
      </c>
      <c r="K650" s="6" t="s">
        <v>53</v>
      </c>
      <c r="L650" s="6" t="s">
        <v>805</v>
      </c>
      <c r="M650" s="6" t="s">
        <v>311</v>
      </c>
      <c r="N650" s="6" t="s">
        <v>258</v>
      </c>
      <c r="O650" s="6" t="s">
        <v>62</v>
      </c>
      <c r="P650" s="6" t="s">
        <v>1213</v>
      </c>
      <c r="Q650" s="6" t="s">
        <v>65</v>
      </c>
      <c r="R650" s="6" t="s">
        <v>57</v>
      </c>
      <c r="S650" s="6" t="s">
        <v>1219</v>
      </c>
      <c r="T650" s="131">
        <v>11.726000000000001</v>
      </c>
      <c r="U650" s="6" t="s">
        <v>1976</v>
      </c>
      <c r="V650" s="134">
        <v>2.07E-2</v>
      </c>
      <c r="W650" s="132">
        <v>2.776E-2</v>
      </c>
      <c r="X650" s="3" t="s">
        <v>620</v>
      </c>
      <c r="Y650" s="3" t="s">
        <v>62</v>
      </c>
      <c r="Z650" s="131">
        <v>6207307.1299999999</v>
      </c>
      <c r="AA650" s="129">
        <v>1</v>
      </c>
      <c r="AB650" s="157">
        <v>106.32</v>
      </c>
      <c r="AD650" s="131">
        <v>6599.6090000000004</v>
      </c>
      <c r="AG650" s="6" t="s">
        <v>17</v>
      </c>
      <c r="AH650" s="132">
        <v>1.1349999999999999E-3</v>
      </c>
      <c r="AI650" s="132">
        <v>2.2194041319997301E-2</v>
      </c>
      <c r="AJ650" s="132">
        <v>3.44274603322654E-3</v>
      </c>
    </row>
    <row r="651" spans="1:36" x14ac:dyDescent="0.2">
      <c r="A651" s="6">
        <v>559</v>
      </c>
      <c r="B651" s="6">
        <v>7205</v>
      </c>
      <c r="C651" s="6" t="s">
        <v>1977</v>
      </c>
      <c r="D651" s="6" t="s">
        <v>1978</v>
      </c>
      <c r="E651" s="3" t="s">
        <v>1477</v>
      </c>
      <c r="F651" s="6" t="s">
        <v>1979</v>
      </c>
      <c r="G651" s="6" t="s">
        <v>1980</v>
      </c>
      <c r="H651" s="6" t="s">
        <v>76</v>
      </c>
      <c r="I651" s="6" t="s">
        <v>229</v>
      </c>
      <c r="J651" s="6" t="s">
        <v>53</v>
      </c>
      <c r="K651" s="6" t="s">
        <v>53</v>
      </c>
      <c r="L651" s="6" t="s">
        <v>805</v>
      </c>
      <c r="M651" s="6" t="s">
        <v>311</v>
      </c>
      <c r="N651" s="6" t="s">
        <v>256</v>
      </c>
      <c r="O651" s="6" t="s">
        <v>62</v>
      </c>
      <c r="P651" s="6" t="s">
        <v>1213</v>
      </c>
      <c r="Q651" s="6" t="s">
        <v>65</v>
      </c>
      <c r="R651" s="6" t="s">
        <v>57</v>
      </c>
      <c r="S651" s="6" t="s">
        <v>1219</v>
      </c>
      <c r="T651" s="131">
        <v>2.5089999999999999</v>
      </c>
      <c r="U651" s="6" t="s">
        <v>1981</v>
      </c>
      <c r="V651" s="134">
        <v>1.4999999999999999E-2</v>
      </c>
      <c r="W651" s="132">
        <v>2.5399999999999999E-2</v>
      </c>
      <c r="X651" s="3" t="s">
        <v>620</v>
      </c>
      <c r="Y651" s="3" t="s">
        <v>62</v>
      </c>
      <c r="Z651" s="131">
        <v>300442.90000000002</v>
      </c>
      <c r="AA651" s="129">
        <v>1</v>
      </c>
      <c r="AB651" s="157">
        <v>114.77</v>
      </c>
      <c r="AD651" s="131">
        <v>344.81799999999998</v>
      </c>
      <c r="AG651" s="6" t="s">
        <v>17</v>
      </c>
      <c r="AH651" s="132">
        <v>1.291E-3</v>
      </c>
      <c r="AI651" s="132">
        <v>1.1596008232278099E-3</v>
      </c>
      <c r="AJ651" s="132">
        <v>1.7987761114496501E-4</v>
      </c>
    </row>
    <row r="652" spans="1:36" x14ac:dyDescent="0.2">
      <c r="A652" s="6">
        <v>559</v>
      </c>
      <c r="B652" s="6">
        <v>7205</v>
      </c>
      <c r="C652" s="6" t="s">
        <v>1982</v>
      </c>
      <c r="D652" s="6" t="s">
        <v>1983</v>
      </c>
      <c r="E652" s="3" t="s">
        <v>1477</v>
      </c>
      <c r="F652" s="6" t="s">
        <v>1984</v>
      </c>
      <c r="G652" s="6" t="s">
        <v>1985</v>
      </c>
      <c r="H652" s="6" t="s">
        <v>76</v>
      </c>
      <c r="I652" s="6" t="s">
        <v>229</v>
      </c>
      <c r="J652" s="6" t="s">
        <v>53</v>
      </c>
      <c r="K652" s="6" t="s">
        <v>53</v>
      </c>
      <c r="L652" s="6" t="s">
        <v>805</v>
      </c>
      <c r="M652" s="6" t="s">
        <v>311</v>
      </c>
      <c r="N652" s="6" t="s">
        <v>156</v>
      </c>
      <c r="O652" s="6" t="s">
        <v>62</v>
      </c>
      <c r="P652" s="6" t="s">
        <v>298</v>
      </c>
      <c r="Q652" s="6" t="s">
        <v>298</v>
      </c>
      <c r="R652" s="6" t="s">
        <v>298</v>
      </c>
      <c r="S652" s="6" t="s">
        <v>1219</v>
      </c>
      <c r="T652" s="131">
        <v>0.72399999999999998</v>
      </c>
      <c r="U652" s="6" t="s">
        <v>1718</v>
      </c>
      <c r="V652" s="134">
        <v>1.6400000000000001E-2</v>
      </c>
      <c r="W652" s="132">
        <v>2.809E-2</v>
      </c>
      <c r="X652" s="3" t="s">
        <v>620</v>
      </c>
      <c r="Y652" s="3" t="s">
        <v>62</v>
      </c>
      <c r="Z652" s="131">
        <v>1192219.19</v>
      </c>
      <c r="AA652" s="129">
        <v>1</v>
      </c>
      <c r="AB652" s="157">
        <v>116.68</v>
      </c>
      <c r="AD652" s="131">
        <v>1391.0809999999999</v>
      </c>
      <c r="AG652" s="6" t="s">
        <v>17</v>
      </c>
      <c r="AH652" s="132">
        <v>5.0140000000000002E-3</v>
      </c>
      <c r="AI652" s="132">
        <v>4.67811309109067E-3</v>
      </c>
      <c r="AJ652" s="132">
        <v>7.2567023982360898E-4</v>
      </c>
    </row>
    <row r="653" spans="1:36" x14ac:dyDescent="0.2">
      <c r="A653" s="6">
        <v>559</v>
      </c>
      <c r="B653" s="6">
        <v>7205</v>
      </c>
      <c r="C653" s="6" t="s">
        <v>1986</v>
      </c>
      <c r="D653" s="6" t="s">
        <v>1987</v>
      </c>
      <c r="E653" s="3" t="s">
        <v>1477</v>
      </c>
      <c r="F653" s="6" t="s">
        <v>1988</v>
      </c>
      <c r="G653" s="6" t="s">
        <v>1989</v>
      </c>
      <c r="H653" s="6" t="s">
        <v>76</v>
      </c>
      <c r="I653" s="6" t="s">
        <v>228</v>
      </c>
      <c r="J653" s="6" t="s">
        <v>53</v>
      </c>
      <c r="K653" s="6" t="s">
        <v>53</v>
      </c>
      <c r="L653" s="6" t="s">
        <v>805</v>
      </c>
      <c r="M653" s="6" t="s">
        <v>311</v>
      </c>
      <c r="N653" s="6" t="s">
        <v>633</v>
      </c>
      <c r="O653" s="6" t="s">
        <v>62</v>
      </c>
      <c r="P653" s="6" t="s">
        <v>1628</v>
      </c>
      <c r="Q653" s="6" t="s">
        <v>65</v>
      </c>
      <c r="R653" s="6" t="s">
        <v>57</v>
      </c>
      <c r="S653" s="6" t="s">
        <v>1219</v>
      </c>
      <c r="T653" s="131">
        <v>6.29</v>
      </c>
      <c r="U653" s="6" t="s">
        <v>1797</v>
      </c>
      <c r="V653" s="134">
        <v>1.55E-2</v>
      </c>
      <c r="W653" s="132">
        <v>5.4399999999999997E-2</v>
      </c>
      <c r="X653" s="3" t="s">
        <v>620</v>
      </c>
      <c r="Y653" s="3" t="s">
        <v>62</v>
      </c>
      <c r="Z653" s="131">
        <v>70000</v>
      </c>
      <c r="AA653" s="129">
        <v>1</v>
      </c>
      <c r="AB653" s="157">
        <v>98.94</v>
      </c>
      <c r="AD653" s="131">
        <v>69.257999999999996</v>
      </c>
      <c r="AG653" s="6" t="s">
        <v>17</v>
      </c>
      <c r="AH653" s="132">
        <v>2.1640000000000001E-3</v>
      </c>
      <c r="AI653" s="132">
        <v>2.32909999300186E-4</v>
      </c>
      <c r="AJ653" s="132">
        <v>3.61290656635404E-5</v>
      </c>
    </row>
    <row r="654" spans="1:36" x14ac:dyDescent="0.2">
      <c r="A654" s="6">
        <v>559</v>
      </c>
      <c r="B654" s="6">
        <v>7205</v>
      </c>
      <c r="C654" s="6" t="s">
        <v>1990</v>
      </c>
      <c r="D654" s="6" t="s">
        <v>1991</v>
      </c>
      <c r="E654" s="3" t="s">
        <v>432</v>
      </c>
      <c r="F654" s="6" t="s">
        <v>1992</v>
      </c>
      <c r="G654" s="6" t="s">
        <v>1993</v>
      </c>
      <c r="H654" s="6" t="s">
        <v>76</v>
      </c>
      <c r="I654" s="6" t="s">
        <v>228</v>
      </c>
      <c r="J654" s="6" t="s">
        <v>53</v>
      </c>
      <c r="K654" s="6" t="s">
        <v>53</v>
      </c>
      <c r="L654" s="6" t="s">
        <v>805</v>
      </c>
      <c r="M654" s="6" t="s">
        <v>102</v>
      </c>
      <c r="N654" s="6" t="s">
        <v>267</v>
      </c>
      <c r="O654" s="6" t="s">
        <v>62</v>
      </c>
      <c r="P654" s="6" t="s">
        <v>1994</v>
      </c>
      <c r="Q654" s="6" t="s">
        <v>65</v>
      </c>
      <c r="R654" s="6" t="s">
        <v>57</v>
      </c>
      <c r="S654" s="6" t="s">
        <v>1219</v>
      </c>
      <c r="T654" s="131">
        <v>3.9449999999999998</v>
      </c>
      <c r="U654" s="6" t="s">
        <v>1713</v>
      </c>
      <c r="V654" s="134">
        <v>0.06</v>
      </c>
      <c r="W654" s="132">
        <v>6.25E-2</v>
      </c>
      <c r="X654" s="3" t="s">
        <v>620</v>
      </c>
      <c r="Y654" s="3" t="s">
        <v>62</v>
      </c>
      <c r="Z654" s="131">
        <v>937000</v>
      </c>
      <c r="AA654" s="129">
        <v>1</v>
      </c>
      <c r="AB654" s="157">
        <v>100.526</v>
      </c>
      <c r="AD654" s="131">
        <v>941.92899999999997</v>
      </c>
      <c r="AG654" s="6" t="s">
        <v>17</v>
      </c>
      <c r="AH654" s="132">
        <v>0</v>
      </c>
      <c r="AI654" s="132">
        <v>3.1676437438483201E-3</v>
      </c>
      <c r="AJ654" s="132">
        <v>4.9136580294561495E-4</v>
      </c>
    </row>
    <row r="655" spans="1:36" x14ac:dyDescent="0.2">
      <c r="A655" s="6">
        <v>559</v>
      </c>
      <c r="B655" s="6">
        <v>7205</v>
      </c>
      <c r="C655" s="6" t="s">
        <v>1990</v>
      </c>
      <c r="D655" s="6" t="s">
        <v>1991</v>
      </c>
      <c r="E655" s="3" t="s">
        <v>432</v>
      </c>
      <c r="F655" s="6" t="s">
        <v>1995</v>
      </c>
      <c r="G655" s="6" t="s">
        <v>1996</v>
      </c>
      <c r="H655" s="6" t="s">
        <v>76</v>
      </c>
      <c r="I655" s="6" t="s">
        <v>228</v>
      </c>
      <c r="J655" s="6" t="s">
        <v>53</v>
      </c>
      <c r="K655" s="6" t="s">
        <v>53</v>
      </c>
      <c r="L655" s="6" t="s">
        <v>805</v>
      </c>
      <c r="M655" s="6" t="s">
        <v>1227</v>
      </c>
      <c r="N655" s="6" t="s">
        <v>267</v>
      </c>
      <c r="O655" s="6" t="s">
        <v>62</v>
      </c>
      <c r="P655" s="6" t="s">
        <v>1515</v>
      </c>
      <c r="Q655" s="6" t="s">
        <v>65</v>
      </c>
      <c r="R655" s="6" t="s">
        <v>57</v>
      </c>
      <c r="S655" s="6" t="s">
        <v>1219</v>
      </c>
      <c r="T655" s="131">
        <v>3.129</v>
      </c>
      <c r="U655" s="6" t="s">
        <v>1997</v>
      </c>
      <c r="V655" s="134">
        <v>6.7000000000000004E-2</v>
      </c>
      <c r="W655" s="132">
        <v>5.1139999999999998E-2</v>
      </c>
      <c r="X655" s="3" t="s">
        <v>620</v>
      </c>
      <c r="Y655" s="3" t="s">
        <v>62</v>
      </c>
      <c r="Z655" s="131">
        <v>925000</v>
      </c>
      <c r="AA655" s="129">
        <v>1</v>
      </c>
      <c r="AB655" s="157">
        <v>106.88</v>
      </c>
      <c r="AD655" s="131">
        <v>988.64</v>
      </c>
      <c r="AG655" s="6" t="s">
        <v>17</v>
      </c>
      <c r="AH655" s="132">
        <v>1.016E-3</v>
      </c>
      <c r="AI655" s="132">
        <v>3.3247298753665399E-3</v>
      </c>
      <c r="AJ655" s="132">
        <v>5.1573304856626797E-4</v>
      </c>
    </row>
    <row r="656" spans="1:36" x14ac:dyDescent="0.2">
      <c r="A656" s="6">
        <v>559</v>
      </c>
      <c r="B656" s="6">
        <v>7205</v>
      </c>
      <c r="C656" s="6" t="s">
        <v>1998</v>
      </c>
      <c r="D656" s="6" t="s">
        <v>1999</v>
      </c>
      <c r="E656" s="3" t="s">
        <v>1477</v>
      </c>
      <c r="F656" s="6" t="s">
        <v>2000</v>
      </c>
      <c r="G656" s="6" t="s">
        <v>2001</v>
      </c>
      <c r="H656" s="6" t="s">
        <v>76</v>
      </c>
      <c r="I656" s="6" t="s">
        <v>607</v>
      </c>
      <c r="J656" s="6" t="s">
        <v>53</v>
      </c>
      <c r="K656" s="6" t="s">
        <v>53</v>
      </c>
      <c r="L656" s="6" t="s">
        <v>805</v>
      </c>
      <c r="M656" s="6" t="s">
        <v>311</v>
      </c>
      <c r="N656" s="6" t="s">
        <v>631</v>
      </c>
      <c r="O656" s="6" t="s">
        <v>62</v>
      </c>
      <c r="P656" s="6" t="s">
        <v>1604</v>
      </c>
      <c r="Q656" s="6" t="s">
        <v>70</v>
      </c>
      <c r="R656" s="6" t="s">
        <v>57</v>
      </c>
      <c r="S656" s="6" t="s">
        <v>1219</v>
      </c>
      <c r="T656" s="131">
        <v>3.26</v>
      </c>
      <c r="U656" s="6" t="s">
        <v>1509</v>
      </c>
      <c r="V656" s="134">
        <v>0.05</v>
      </c>
      <c r="W656" s="132">
        <v>3.0509999999999999E-2</v>
      </c>
      <c r="X656" s="3" t="s">
        <v>620</v>
      </c>
      <c r="Y656" s="3" t="s">
        <v>62</v>
      </c>
      <c r="Z656" s="131">
        <v>1710000</v>
      </c>
      <c r="AA656" s="129">
        <v>1</v>
      </c>
      <c r="AB656" s="157">
        <v>106.5</v>
      </c>
      <c r="AD656" s="131">
        <v>1821.15</v>
      </c>
      <c r="AG656" s="6" t="s">
        <v>17</v>
      </c>
      <c r="AH656" s="132">
        <v>3.4199999999999999E-3</v>
      </c>
      <c r="AI656" s="132">
        <v>6.1244050539364997E-3</v>
      </c>
      <c r="AJ656" s="132">
        <v>9.5001946249034905E-4</v>
      </c>
    </row>
    <row r="657" spans="1:36" x14ac:dyDescent="0.2">
      <c r="A657" s="6">
        <v>559</v>
      </c>
      <c r="B657" s="6">
        <v>7205</v>
      </c>
      <c r="C657" s="6" t="s">
        <v>2002</v>
      </c>
      <c r="D657" s="6" t="s">
        <v>2003</v>
      </c>
      <c r="E657" s="3" t="s">
        <v>1477</v>
      </c>
      <c r="F657" s="6" t="s">
        <v>2004</v>
      </c>
      <c r="G657" s="6" t="s">
        <v>2005</v>
      </c>
      <c r="H657" s="6" t="s">
        <v>76</v>
      </c>
      <c r="I657" s="6" t="s">
        <v>229</v>
      </c>
      <c r="J657" s="6" t="s">
        <v>53</v>
      </c>
      <c r="K657" s="6" t="s">
        <v>53</v>
      </c>
      <c r="L657" s="6" t="s">
        <v>805</v>
      </c>
      <c r="M657" s="6" t="s">
        <v>311</v>
      </c>
      <c r="N657" s="6" t="s">
        <v>635</v>
      </c>
      <c r="O657" s="6" t="s">
        <v>62</v>
      </c>
      <c r="P657" s="6" t="s">
        <v>1213</v>
      </c>
      <c r="Q657" s="6" t="s">
        <v>65</v>
      </c>
      <c r="R657" s="6" t="s">
        <v>57</v>
      </c>
      <c r="S657" s="6" t="s">
        <v>1219</v>
      </c>
      <c r="T657" s="131">
        <v>4.3220000000000001</v>
      </c>
      <c r="U657" s="6" t="s">
        <v>2006</v>
      </c>
      <c r="V657" s="134">
        <v>1.6500000000000001E-2</v>
      </c>
      <c r="W657" s="132">
        <v>2.512E-2</v>
      </c>
      <c r="X657" s="3" t="s">
        <v>620</v>
      </c>
      <c r="Y657" s="3" t="s">
        <v>62</v>
      </c>
      <c r="Z657" s="131">
        <v>3885973</v>
      </c>
      <c r="AA657" s="129">
        <v>1</v>
      </c>
      <c r="AB657" s="157">
        <v>113.88</v>
      </c>
      <c r="AD657" s="131">
        <v>4425.3459999999995</v>
      </c>
      <c r="AG657" s="6" t="s">
        <v>17</v>
      </c>
      <c r="AH657" s="132">
        <v>1.8370000000000001E-3</v>
      </c>
      <c r="AI657" s="132">
        <v>1.4882141355043E-2</v>
      </c>
      <c r="AJ657" s="132">
        <v>2.3085220207203299E-3</v>
      </c>
    </row>
    <row r="658" spans="1:36" x14ac:dyDescent="0.2">
      <c r="A658" s="6">
        <v>559</v>
      </c>
      <c r="B658" s="6">
        <v>7205</v>
      </c>
      <c r="C658" s="6" t="s">
        <v>2002</v>
      </c>
      <c r="D658" s="6" t="s">
        <v>2003</v>
      </c>
      <c r="E658" s="3" t="s">
        <v>1477</v>
      </c>
      <c r="F658" s="6" t="s">
        <v>2007</v>
      </c>
      <c r="G658" s="6" t="s">
        <v>2008</v>
      </c>
      <c r="H658" s="6" t="s">
        <v>76</v>
      </c>
      <c r="I658" s="6" t="s">
        <v>229</v>
      </c>
      <c r="J658" s="6" t="s">
        <v>53</v>
      </c>
      <c r="K658" s="6" t="s">
        <v>53</v>
      </c>
      <c r="L658" s="6" t="s">
        <v>805</v>
      </c>
      <c r="M658" s="6" t="s">
        <v>311</v>
      </c>
      <c r="N658" s="6" t="s">
        <v>635</v>
      </c>
      <c r="O658" s="6" t="s">
        <v>62</v>
      </c>
      <c r="P658" s="6" t="s">
        <v>1213</v>
      </c>
      <c r="Q658" s="6" t="s">
        <v>65</v>
      </c>
      <c r="R658" s="6" t="s">
        <v>57</v>
      </c>
      <c r="S658" s="6" t="s">
        <v>1219</v>
      </c>
      <c r="T658" s="131">
        <v>12.792</v>
      </c>
      <c r="U658" s="6" t="s">
        <v>2009</v>
      </c>
      <c r="V658" s="134">
        <v>9.5999999999999992E-3</v>
      </c>
      <c r="W658" s="132">
        <v>2.7550000000000002E-2</v>
      </c>
      <c r="X658" s="3" t="s">
        <v>620</v>
      </c>
      <c r="Y658" s="3" t="s">
        <v>62</v>
      </c>
      <c r="Z658" s="131">
        <v>2872244.94</v>
      </c>
      <c r="AA658" s="129">
        <v>1</v>
      </c>
      <c r="AB658" s="157">
        <v>92.47</v>
      </c>
      <c r="AD658" s="131">
        <v>2655.9650000000001</v>
      </c>
      <c r="AG658" s="6" t="s">
        <v>17</v>
      </c>
      <c r="AH658" s="132">
        <v>2.6310000000000001E-3</v>
      </c>
      <c r="AI658" s="132">
        <v>8.9318314429072607E-3</v>
      </c>
      <c r="AJ658" s="132">
        <v>1.38550824638731E-3</v>
      </c>
    </row>
    <row r="659" spans="1:36" x14ac:dyDescent="0.2">
      <c r="A659" s="6">
        <v>559</v>
      </c>
      <c r="B659" s="6">
        <v>7205</v>
      </c>
      <c r="C659" s="6" t="s">
        <v>2010</v>
      </c>
      <c r="D659" s="6" t="s">
        <v>2011</v>
      </c>
      <c r="E659" s="3" t="s">
        <v>1477</v>
      </c>
      <c r="F659" s="6" t="s">
        <v>2012</v>
      </c>
      <c r="G659" s="6" t="s">
        <v>2013</v>
      </c>
      <c r="H659" s="6" t="s">
        <v>76</v>
      </c>
      <c r="I659" s="6" t="s">
        <v>229</v>
      </c>
      <c r="J659" s="6" t="s">
        <v>53</v>
      </c>
      <c r="K659" s="6" t="s">
        <v>53</v>
      </c>
      <c r="L659" s="6" t="s">
        <v>805</v>
      </c>
      <c r="M659" s="6" t="s">
        <v>311</v>
      </c>
      <c r="N659" s="6" t="s">
        <v>258</v>
      </c>
      <c r="O659" s="6" t="s">
        <v>62</v>
      </c>
      <c r="P659" s="6" t="s">
        <v>1339</v>
      </c>
      <c r="Q659" s="6" t="s">
        <v>65</v>
      </c>
      <c r="R659" s="6" t="s">
        <v>57</v>
      </c>
      <c r="S659" s="6" t="s">
        <v>1219</v>
      </c>
      <c r="T659" s="131">
        <v>5.0430000000000001</v>
      </c>
      <c r="U659" s="6" t="s">
        <v>1788</v>
      </c>
      <c r="V659" s="134">
        <v>2.6499999999999999E-2</v>
      </c>
      <c r="W659" s="132">
        <v>2.5250000000000002E-2</v>
      </c>
      <c r="X659" s="3" t="s">
        <v>620</v>
      </c>
      <c r="Y659" s="3" t="s">
        <v>62</v>
      </c>
      <c r="Z659" s="131">
        <v>1223469.1100000001</v>
      </c>
      <c r="AA659" s="129">
        <v>1</v>
      </c>
      <c r="AB659" s="157">
        <v>118.55</v>
      </c>
      <c r="AD659" s="131">
        <v>1450.423</v>
      </c>
      <c r="AG659" s="6" t="s">
        <v>17</v>
      </c>
      <c r="AH659" s="132">
        <v>8.61E-4</v>
      </c>
      <c r="AI659" s="132">
        <v>4.8776738241957298E-3</v>
      </c>
      <c r="AJ659" s="132">
        <v>7.5662615778282201E-4</v>
      </c>
    </row>
    <row r="660" spans="1:36" x14ac:dyDescent="0.2">
      <c r="A660" s="6">
        <v>559</v>
      </c>
      <c r="B660" s="6">
        <v>7205</v>
      </c>
      <c r="C660" s="6" t="s">
        <v>2014</v>
      </c>
      <c r="D660" s="6" t="s">
        <v>2015</v>
      </c>
      <c r="E660" s="3" t="s">
        <v>1477</v>
      </c>
      <c r="F660" s="6" t="s">
        <v>2370</v>
      </c>
      <c r="G660" s="6" t="s">
        <v>2371</v>
      </c>
      <c r="H660" s="6" t="s">
        <v>76</v>
      </c>
      <c r="I660" s="6" t="s">
        <v>228</v>
      </c>
      <c r="J660" s="6" t="s">
        <v>53</v>
      </c>
      <c r="K660" s="6" t="s">
        <v>53</v>
      </c>
      <c r="L660" s="6" t="s">
        <v>805</v>
      </c>
      <c r="M660" s="6" t="s">
        <v>311</v>
      </c>
      <c r="N660" s="6" t="s">
        <v>140</v>
      </c>
      <c r="O660" s="6" t="s">
        <v>62</v>
      </c>
      <c r="P660" s="6" t="s">
        <v>298</v>
      </c>
      <c r="Q660" s="6" t="s">
        <v>298</v>
      </c>
      <c r="R660" s="6" t="s">
        <v>298</v>
      </c>
      <c r="S660" s="6" t="s">
        <v>1219</v>
      </c>
      <c r="T660" s="131">
        <v>1.8109999999999999</v>
      </c>
      <c r="U660" s="6" t="s">
        <v>2372</v>
      </c>
      <c r="V660" s="134">
        <v>4.4999999999999998E-2</v>
      </c>
      <c r="W660" s="132">
        <v>6.4119999999999996E-2</v>
      </c>
      <c r="X660" s="3" t="s">
        <v>620</v>
      </c>
      <c r="Y660" s="3" t="s">
        <v>62</v>
      </c>
      <c r="Z660" s="131">
        <v>381571.78</v>
      </c>
      <c r="AA660" s="129">
        <v>1</v>
      </c>
      <c r="AB660" s="157">
        <v>97.21</v>
      </c>
      <c r="AD660" s="131">
        <v>370.92599999999999</v>
      </c>
      <c r="AG660" s="6" t="s">
        <v>17</v>
      </c>
      <c r="AH660" s="132">
        <v>2.7260000000000001E-3</v>
      </c>
      <c r="AI660" s="132">
        <v>1.2473989644043199E-3</v>
      </c>
      <c r="AJ660" s="132">
        <v>1.93496883899394E-4</v>
      </c>
    </row>
    <row r="661" spans="1:36" x14ac:dyDescent="0.2">
      <c r="A661" s="6">
        <v>559</v>
      </c>
      <c r="B661" s="6">
        <v>7205</v>
      </c>
      <c r="C661" s="6" t="s">
        <v>2014</v>
      </c>
      <c r="D661" s="6" t="s">
        <v>2015</v>
      </c>
      <c r="E661" s="3" t="s">
        <v>1477</v>
      </c>
      <c r="F661" s="6" t="s">
        <v>2016</v>
      </c>
      <c r="G661" s="6" t="s">
        <v>2017</v>
      </c>
      <c r="H661" s="6" t="s">
        <v>76</v>
      </c>
      <c r="I661" s="6" t="s">
        <v>228</v>
      </c>
      <c r="J661" s="6" t="s">
        <v>53</v>
      </c>
      <c r="K661" s="6" t="s">
        <v>53</v>
      </c>
      <c r="L661" s="6" t="s">
        <v>805</v>
      </c>
      <c r="M661" s="6" t="s">
        <v>311</v>
      </c>
      <c r="N661" s="6" t="s">
        <v>140</v>
      </c>
      <c r="O661" s="6" t="s">
        <v>62</v>
      </c>
      <c r="P661" s="6" t="s">
        <v>298</v>
      </c>
      <c r="Q661" s="6" t="s">
        <v>298</v>
      </c>
      <c r="R661" s="6" t="s">
        <v>298</v>
      </c>
      <c r="S661" s="6" t="s">
        <v>1219</v>
      </c>
      <c r="T661" s="131">
        <v>2.7589999999999999</v>
      </c>
      <c r="U661" s="6" t="s">
        <v>1549</v>
      </c>
      <c r="V661" s="134">
        <v>6.5000000000000002E-2</v>
      </c>
      <c r="W661" s="132">
        <v>6.5180000000000002E-2</v>
      </c>
      <c r="X661" s="3" t="s">
        <v>620</v>
      </c>
      <c r="Y661" s="3" t="s">
        <v>62</v>
      </c>
      <c r="Z661" s="131">
        <v>450000</v>
      </c>
      <c r="AA661" s="129">
        <v>1</v>
      </c>
      <c r="AB661" s="157">
        <v>100.24</v>
      </c>
      <c r="AD661" s="131">
        <v>451.08</v>
      </c>
      <c r="AG661" s="6" t="s">
        <v>17</v>
      </c>
      <c r="AH661" s="132">
        <v>2.4320000000000001E-3</v>
      </c>
      <c r="AI661" s="132">
        <v>1.51695172376228E-3</v>
      </c>
      <c r="AJ661" s="132">
        <v>2.3530998497660601E-4</v>
      </c>
    </row>
    <row r="662" spans="1:36" x14ac:dyDescent="0.2">
      <c r="A662" s="6">
        <v>559</v>
      </c>
      <c r="B662" s="6">
        <v>7205</v>
      </c>
      <c r="C662" s="6" t="s">
        <v>2014</v>
      </c>
      <c r="D662" s="6" t="s">
        <v>2015</v>
      </c>
      <c r="E662" s="3" t="s">
        <v>1477</v>
      </c>
      <c r="F662" s="6" t="s">
        <v>2018</v>
      </c>
      <c r="G662" s="6" t="s">
        <v>2019</v>
      </c>
      <c r="H662" s="6" t="s">
        <v>76</v>
      </c>
      <c r="I662" s="6" t="s">
        <v>228</v>
      </c>
      <c r="J662" s="6" t="s">
        <v>53</v>
      </c>
      <c r="K662" s="6" t="s">
        <v>53</v>
      </c>
      <c r="L662" s="6" t="s">
        <v>805</v>
      </c>
      <c r="M662" s="6" t="s">
        <v>1227</v>
      </c>
      <c r="N662" s="6" t="s">
        <v>140</v>
      </c>
      <c r="O662" s="6" t="s">
        <v>62</v>
      </c>
      <c r="P662" s="6" t="s">
        <v>298</v>
      </c>
      <c r="Q662" s="6" t="s">
        <v>298</v>
      </c>
      <c r="R662" s="6" t="s">
        <v>298</v>
      </c>
      <c r="S662" s="6" t="s">
        <v>1219</v>
      </c>
      <c r="T662" s="131">
        <v>3.5529999999999999</v>
      </c>
      <c r="U662" s="6" t="s">
        <v>1564</v>
      </c>
      <c r="V662" s="134">
        <v>6.5000000000000002E-2</v>
      </c>
      <c r="W662" s="132">
        <v>6.8769999999999998E-2</v>
      </c>
      <c r="X662" s="3" t="s">
        <v>620</v>
      </c>
      <c r="Y662" s="3" t="s">
        <v>62</v>
      </c>
      <c r="Z662" s="131">
        <v>653000</v>
      </c>
      <c r="AA662" s="129">
        <v>1</v>
      </c>
      <c r="AB662" s="157">
        <v>101.5</v>
      </c>
      <c r="AD662" s="131">
        <v>662.79499999999996</v>
      </c>
      <c r="AG662" s="6" t="s">
        <v>17</v>
      </c>
      <c r="AH662" s="132">
        <v>3.2650000000000001E-3</v>
      </c>
      <c r="AI662" s="132">
        <v>2.2289350397956499E-3</v>
      </c>
      <c r="AJ662" s="132">
        <v>3.4575304046415202E-4</v>
      </c>
    </row>
    <row r="663" spans="1:36" x14ac:dyDescent="0.2">
      <c r="A663" s="6">
        <v>559</v>
      </c>
      <c r="B663" s="6">
        <v>7205</v>
      </c>
      <c r="C663" s="6" t="s">
        <v>2020</v>
      </c>
      <c r="D663" s="6" t="s">
        <v>2021</v>
      </c>
      <c r="E663" s="3" t="s">
        <v>1477</v>
      </c>
      <c r="F663" s="6" t="s">
        <v>2022</v>
      </c>
      <c r="G663" s="6" t="s">
        <v>2023</v>
      </c>
      <c r="H663" s="6" t="s">
        <v>76</v>
      </c>
      <c r="I663" s="6" t="s">
        <v>228</v>
      </c>
      <c r="J663" s="6" t="s">
        <v>53</v>
      </c>
      <c r="K663" s="6" t="s">
        <v>317</v>
      </c>
      <c r="L663" s="6" t="s">
        <v>805</v>
      </c>
      <c r="M663" s="6" t="s">
        <v>311</v>
      </c>
      <c r="N663" s="6" t="s">
        <v>636</v>
      </c>
      <c r="O663" s="6" t="s">
        <v>62</v>
      </c>
      <c r="P663" s="6" t="s">
        <v>2024</v>
      </c>
      <c r="Q663" s="6" t="s">
        <v>70</v>
      </c>
      <c r="R663" s="6" t="s">
        <v>57</v>
      </c>
      <c r="S663" s="6" t="s">
        <v>1219</v>
      </c>
      <c r="T663" s="131">
        <v>1.421</v>
      </c>
      <c r="U663" s="6" t="s">
        <v>1516</v>
      </c>
      <c r="V663" s="134">
        <v>2.75E-2</v>
      </c>
      <c r="W663" s="132">
        <v>5.0349999999999999E-2</v>
      </c>
      <c r="X663" s="3" t="s">
        <v>620</v>
      </c>
      <c r="Y663" s="3" t="s">
        <v>62</v>
      </c>
      <c r="Z663" s="131">
        <v>189386.88</v>
      </c>
      <c r="AA663" s="129">
        <v>1</v>
      </c>
      <c r="AB663" s="157">
        <v>96.95</v>
      </c>
      <c r="AD663" s="131">
        <v>183.61099999999999</v>
      </c>
      <c r="AG663" s="6" t="s">
        <v>17</v>
      </c>
      <c r="AH663" s="132">
        <v>2.5539999999999998E-3</v>
      </c>
      <c r="AI663" s="132">
        <v>6.17470040956602E-4</v>
      </c>
      <c r="AJ663" s="132">
        <v>9.5782129243140006E-5</v>
      </c>
    </row>
    <row r="664" spans="1:36" x14ac:dyDescent="0.2">
      <c r="A664" s="6">
        <v>559</v>
      </c>
      <c r="B664" s="6">
        <v>7205</v>
      </c>
      <c r="C664" s="6" t="s">
        <v>2025</v>
      </c>
      <c r="D664" s="6" t="s">
        <v>2026</v>
      </c>
      <c r="E664" s="3" t="s">
        <v>1477</v>
      </c>
      <c r="F664" s="6" t="s">
        <v>2027</v>
      </c>
      <c r="G664" s="6" t="s">
        <v>2028</v>
      </c>
      <c r="H664" s="6" t="s">
        <v>76</v>
      </c>
      <c r="I664" s="6" t="s">
        <v>229</v>
      </c>
      <c r="J664" s="6" t="s">
        <v>53</v>
      </c>
      <c r="K664" s="6" t="s">
        <v>53</v>
      </c>
      <c r="L664" s="6" t="s">
        <v>805</v>
      </c>
      <c r="M664" s="6" t="s">
        <v>102</v>
      </c>
      <c r="N664" s="6" t="s">
        <v>631</v>
      </c>
      <c r="O664" s="6" t="s">
        <v>62</v>
      </c>
      <c r="P664" s="6" t="s">
        <v>298</v>
      </c>
      <c r="Q664" s="6" t="s">
        <v>298</v>
      </c>
      <c r="R664" s="6" t="s">
        <v>298</v>
      </c>
      <c r="S664" s="6" t="s">
        <v>1219</v>
      </c>
      <c r="T664" s="131">
        <v>3.996</v>
      </c>
      <c r="U664" s="6" t="s">
        <v>1713</v>
      </c>
      <c r="V664" s="134">
        <v>4.9000000000000002E-2</v>
      </c>
      <c r="W664" s="132">
        <v>4.4699999999999997E-2</v>
      </c>
      <c r="X664" s="3" t="s">
        <v>620</v>
      </c>
      <c r="Y664" s="3" t="s">
        <v>62</v>
      </c>
      <c r="Z664" s="131">
        <v>2297691.17</v>
      </c>
      <c r="AA664" s="129">
        <v>1</v>
      </c>
      <c r="AB664" s="157">
        <v>103.5</v>
      </c>
      <c r="AD664" s="131">
        <v>2378.11</v>
      </c>
      <c r="AG664" s="6" t="s">
        <v>17</v>
      </c>
      <c r="AH664" s="132">
        <v>5.045E-3</v>
      </c>
      <c r="AI664" s="132">
        <v>7.9974253155538702E-3</v>
      </c>
      <c r="AJ664" s="132">
        <v>1.24056290083324E-3</v>
      </c>
    </row>
    <row r="665" spans="1:36" x14ac:dyDescent="0.2">
      <c r="A665" s="6">
        <v>559</v>
      </c>
      <c r="B665" s="6">
        <v>7205</v>
      </c>
      <c r="C665" s="6" t="s">
        <v>2029</v>
      </c>
      <c r="D665" s="6" t="s">
        <v>2030</v>
      </c>
      <c r="E665" s="3" t="s">
        <v>78</v>
      </c>
      <c r="F665" s="6" t="s">
        <v>2031</v>
      </c>
      <c r="G665" s="6" t="s">
        <v>2032</v>
      </c>
      <c r="H665" s="6" t="s">
        <v>76</v>
      </c>
      <c r="I665" s="6" t="s">
        <v>230</v>
      </c>
      <c r="J665" s="6" t="s">
        <v>53</v>
      </c>
      <c r="K665" s="6" t="s">
        <v>314</v>
      </c>
      <c r="L665" s="6" t="s">
        <v>805</v>
      </c>
      <c r="M665" s="6" t="s">
        <v>311</v>
      </c>
      <c r="N665" s="6" t="s">
        <v>633</v>
      </c>
      <c r="O665" s="6" t="s">
        <v>62</v>
      </c>
      <c r="P665" s="6" t="s">
        <v>1521</v>
      </c>
      <c r="Q665" s="6" t="s">
        <v>70</v>
      </c>
      <c r="R665" s="6" t="s">
        <v>57</v>
      </c>
      <c r="S665" s="6" t="s">
        <v>1219</v>
      </c>
      <c r="T665" s="131">
        <v>1.1160000000000001</v>
      </c>
      <c r="U665" s="6" t="s">
        <v>2033</v>
      </c>
      <c r="V665" s="134">
        <v>7.9135999999999998E-2</v>
      </c>
      <c r="W665" s="132">
        <v>5.5309999999999998E-2</v>
      </c>
      <c r="X665" s="3" t="s">
        <v>620</v>
      </c>
      <c r="Y665" s="3" t="s">
        <v>62</v>
      </c>
      <c r="Z665" s="131">
        <v>710600</v>
      </c>
      <c r="AA665" s="129">
        <v>1</v>
      </c>
      <c r="AB665" s="157">
        <v>95.62</v>
      </c>
      <c r="AD665" s="131">
        <v>679.476</v>
      </c>
      <c r="AG665" s="6" t="s">
        <v>17</v>
      </c>
      <c r="AH665" s="132">
        <v>1.688E-3</v>
      </c>
      <c r="AI665" s="132">
        <v>2.2850311800758499E-3</v>
      </c>
      <c r="AJ665" s="132">
        <v>3.5445468977824101E-4</v>
      </c>
    </row>
    <row r="666" spans="1:36" x14ac:dyDescent="0.2">
      <c r="A666" s="6">
        <v>559</v>
      </c>
      <c r="B666" s="6">
        <v>7205</v>
      </c>
      <c r="C666" s="6" t="s">
        <v>2034</v>
      </c>
      <c r="D666" s="6" t="s">
        <v>2035</v>
      </c>
      <c r="E666" s="3" t="s">
        <v>1477</v>
      </c>
      <c r="F666" s="6" t="s">
        <v>2036</v>
      </c>
      <c r="G666" s="6" t="s">
        <v>2037</v>
      </c>
      <c r="H666" s="6" t="s">
        <v>76</v>
      </c>
      <c r="I666" s="6" t="s">
        <v>229</v>
      </c>
      <c r="J666" s="6" t="s">
        <v>53</v>
      </c>
      <c r="K666" s="6" t="s">
        <v>53</v>
      </c>
      <c r="L666" s="6" t="s">
        <v>805</v>
      </c>
      <c r="M666" s="6" t="s">
        <v>311</v>
      </c>
      <c r="N666" s="6" t="s">
        <v>635</v>
      </c>
      <c r="O666" s="6" t="s">
        <v>62</v>
      </c>
      <c r="P666" s="6" t="s">
        <v>1965</v>
      </c>
      <c r="Q666" s="6" t="s">
        <v>70</v>
      </c>
      <c r="R666" s="6" t="s">
        <v>57</v>
      </c>
      <c r="S666" s="6" t="s">
        <v>1219</v>
      </c>
      <c r="T666" s="131">
        <v>2.21</v>
      </c>
      <c r="U666" s="6" t="s">
        <v>2038</v>
      </c>
      <c r="V666" s="134">
        <v>1.9599999999999999E-2</v>
      </c>
      <c r="W666" s="132">
        <v>2.9499999999999998E-2</v>
      </c>
      <c r="X666" s="3" t="s">
        <v>620</v>
      </c>
      <c r="Y666" s="3" t="s">
        <v>62</v>
      </c>
      <c r="Z666" s="131">
        <v>1721921.3</v>
      </c>
      <c r="AA666" s="129">
        <v>1</v>
      </c>
      <c r="AB666" s="157">
        <v>115.75</v>
      </c>
      <c r="AD666" s="131">
        <v>1993.124</v>
      </c>
      <c r="AG666" s="6" t="s">
        <v>17</v>
      </c>
      <c r="AH666" s="132">
        <v>1.5039999999999999E-3</v>
      </c>
      <c r="AI666" s="132">
        <v>6.7027417375683197E-3</v>
      </c>
      <c r="AJ666" s="132">
        <v>1.0397312141598801E-3</v>
      </c>
    </row>
    <row r="667" spans="1:36" x14ac:dyDescent="0.2">
      <c r="A667" s="6">
        <v>559</v>
      </c>
      <c r="B667" s="6">
        <v>7205</v>
      </c>
      <c r="C667" s="6" t="s">
        <v>2034</v>
      </c>
      <c r="D667" s="6" t="s">
        <v>2035</v>
      </c>
      <c r="E667" s="3" t="s">
        <v>1477</v>
      </c>
      <c r="F667" s="6" t="s">
        <v>2039</v>
      </c>
      <c r="G667" s="6" t="s">
        <v>2040</v>
      </c>
      <c r="H667" s="6" t="s">
        <v>76</v>
      </c>
      <c r="I667" s="6" t="s">
        <v>229</v>
      </c>
      <c r="J667" s="6" t="s">
        <v>53</v>
      </c>
      <c r="K667" s="6" t="s">
        <v>53</v>
      </c>
      <c r="L667" s="6" t="s">
        <v>805</v>
      </c>
      <c r="M667" s="6" t="s">
        <v>311</v>
      </c>
      <c r="N667" s="6" t="s">
        <v>635</v>
      </c>
      <c r="O667" s="6" t="s">
        <v>62</v>
      </c>
      <c r="P667" s="6" t="s">
        <v>1965</v>
      </c>
      <c r="Q667" s="6" t="s">
        <v>70</v>
      </c>
      <c r="R667" s="6" t="s">
        <v>57</v>
      </c>
      <c r="S667" s="6" t="s">
        <v>1219</v>
      </c>
      <c r="T667" s="131">
        <v>5.9009999999999998</v>
      </c>
      <c r="U667" s="6" t="s">
        <v>2041</v>
      </c>
      <c r="V667" s="134">
        <v>1.5800000000000002E-2</v>
      </c>
      <c r="W667" s="132">
        <v>3.0099999999999998E-2</v>
      </c>
      <c r="X667" s="3" t="s">
        <v>620</v>
      </c>
      <c r="Y667" s="3" t="s">
        <v>62</v>
      </c>
      <c r="Z667" s="131">
        <v>935431.75</v>
      </c>
      <c r="AA667" s="129">
        <v>1</v>
      </c>
      <c r="AB667" s="157">
        <v>108.34</v>
      </c>
      <c r="AD667" s="131">
        <v>1013.447</v>
      </c>
      <c r="AG667" s="6" t="s">
        <v>17</v>
      </c>
      <c r="AH667" s="132">
        <v>8.4800000000000001E-4</v>
      </c>
      <c r="AI667" s="132">
        <v>3.4081533351368902E-3</v>
      </c>
      <c r="AJ667" s="132">
        <v>5.2867371949056696E-4</v>
      </c>
    </row>
    <row r="668" spans="1:36" x14ac:dyDescent="0.2">
      <c r="A668" s="6">
        <v>559</v>
      </c>
      <c r="B668" s="6">
        <v>7205</v>
      </c>
      <c r="C668" s="6" t="s">
        <v>2034</v>
      </c>
      <c r="D668" s="6" t="s">
        <v>2035</v>
      </c>
      <c r="E668" s="3" t="s">
        <v>1477</v>
      </c>
      <c r="F668" s="6" t="s">
        <v>2042</v>
      </c>
      <c r="G668" s="6" t="s">
        <v>2043</v>
      </c>
      <c r="H668" s="6" t="s">
        <v>76</v>
      </c>
      <c r="I668" s="6" t="s">
        <v>229</v>
      </c>
      <c r="J668" s="6" t="s">
        <v>53</v>
      </c>
      <c r="K668" s="6" t="s">
        <v>53</v>
      </c>
      <c r="L668" s="6" t="s">
        <v>805</v>
      </c>
      <c r="M668" s="6" t="s">
        <v>1227</v>
      </c>
      <c r="N668" s="6" t="s">
        <v>635</v>
      </c>
      <c r="O668" s="6" t="s">
        <v>62</v>
      </c>
      <c r="P668" s="6" t="s">
        <v>1533</v>
      </c>
      <c r="Q668" s="6" t="s">
        <v>65</v>
      </c>
      <c r="R668" s="6" t="s">
        <v>57</v>
      </c>
      <c r="S668" s="6" t="s">
        <v>1219</v>
      </c>
      <c r="T668" s="131">
        <v>7.1980000000000004</v>
      </c>
      <c r="U668" s="6" t="s">
        <v>2044</v>
      </c>
      <c r="V668" s="134">
        <v>0.03</v>
      </c>
      <c r="W668" s="132">
        <v>3.1690000000000003E-2</v>
      </c>
      <c r="X668" s="3" t="s">
        <v>620</v>
      </c>
      <c r="Y668" s="3" t="s">
        <v>62</v>
      </c>
      <c r="Z668" s="131">
        <v>546176</v>
      </c>
      <c r="AA668" s="129">
        <v>1</v>
      </c>
      <c r="AB668" s="157">
        <v>104.37</v>
      </c>
      <c r="AD668" s="131">
        <v>570.04399999999998</v>
      </c>
      <c r="AG668" s="6" t="s">
        <v>17</v>
      </c>
      <c r="AH668" s="132">
        <v>1.237E-3</v>
      </c>
      <c r="AI668" s="132">
        <v>1.9170192945286799E-3</v>
      </c>
      <c r="AJ668" s="132">
        <v>2.9736858090422598E-4</v>
      </c>
    </row>
    <row r="669" spans="1:36" x14ac:dyDescent="0.2">
      <c r="A669" s="6">
        <v>559</v>
      </c>
      <c r="B669" s="6">
        <v>7205</v>
      </c>
      <c r="C669" s="6" t="s">
        <v>2045</v>
      </c>
      <c r="D669" s="6" t="s">
        <v>2046</v>
      </c>
      <c r="E669" s="3" t="s">
        <v>1477</v>
      </c>
      <c r="F669" s="6" t="s">
        <v>2047</v>
      </c>
      <c r="G669" s="6" t="s">
        <v>2048</v>
      </c>
      <c r="H669" s="6" t="s">
        <v>76</v>
      </c>
      <c r="I669" s="6" t="s">
        <v>228</v>
      </c>
      <c r="J669" s="6" t="s">
        <v>53</v>
      </c>
      <c r="K669" s="6" t="s">
        <v>53</v>
      </c>
      <c r="L669" s="6" t="s">
        <v>805</v>
      </c>
      <c r="M669" s="6" t="s">
        <v>311</v>
      </c>
      <c r="N669" s="6" t="s">
        <v>260</v>
      </c>
      <c r="O669" s="6" t="s">
        <v>62</v>
      </c>
      <c r="P669" s="6" t="s">
        <v>1493</v>
      </c>
      <c r="Q669" s="6" t="s">
        <v>65</v>
      </c>
      <c r="R669" s="6" t="s">
        <v>57</v>
      </c>
      <c r="S669" s="6" t="s">
        <v>1219</v>
      </c>
      <c r="T669" s="131">
        <v>1.0999999999999999E-2</v>
      </c>
      <c r="U669" s="6" t="s">
        <v>2049</v>
      </c>
      <c r="V669" s="134">
        <v>4.1399999999999999E-2</v>
      </c>
      <c r="W669" s="132">
        <v>0.11332</v>
      </c>
      <c r="X669" s="3" t="s">
        <v>620</v>
      </c>
      <c r="Y669" s="3" t="s">
        <v>62</v>
      </c>
      <c r="Z669" s="131">
        <v>233049</v>
      </c>
      <c r="AA669" s="129">
        <v>1</v>
      </c>
      <c r="AB669" s="157">
        <v>101.95</v>
      </c>
      <c r="AD669" s="131">
        <v>237.59299999999999</v>
      </c>
      <c r="AG669" s="6" t="s">
        <v>17</v>
      </c>
      <c r="AH669" s="132">
        <v>2.0699999999999998E-3</v>
      </c>
      <c r="AI669" s="132">
        <v>7.9901082263758398E-4</v>
      </c>
      <c r="AJ669" s="132">
        <v>1.2394278718685201E-4</v>
      </c>
    </row>
    <row r="670" spans="1:36" x14ac:dyDescent="0.2">
      <c r="A670" s="6">
        <v>559</v>
      </c>
      <c r="B670" s="6">
        <v>7205</v>
      </c>
      <c r="C670" s="6" t="s">
        <v>2050</v>
      </c>
      <c r="D670" s="6" t="s">
        <v>2051</v>
      </c>
      <c r="E670" s="3" t="s">
        <v>767</v>
      </c>
      <c r="F670" s="6" t="s">
        <v>2052</v>
      </c>
      <c r="G670" s="6" t="s">
        <v>2053</v>
      </c>
      <c r="H670" s="6" t="s">
        <v>76</v>
      </c>
      <c r="I670" s="6" t="s">
        <v>228</v>
      </c>
      <c r="J670" s="6" t="s">
        <v>53</v>
      </c>
      <c r="K670" s="6" t="s">
        <v>53</v>
      </c>
      <c r="L670" s="6" t="s">
        <v>805</v>
      </c>
      <c r="M670" s="6" t="s">
        <v>1227</v>
      </c>
      <c r="N670" s="6" t="s">
        <v>636</v>
      </c>
      <c r="O670" s="6" t="s">
        <v>62</v>
      </c>
      <c r="P670" s="6" t="s">
        <v>1493</v>
      </c>
      <c r="Q670" s="6" t="s">
        <v>65</v>
      </c>
      <c r="R670" s="6" t="s">
        <v>57</v>
      </c>
      <c r="S670" s="6" t="s">
        <v>1219</v>
      </c>
      <c r="T670" s="131">
        <v>2.948</v>
      </c>
      <c r="U670" s="6" t="s">
        <v>2054</v>
      </c>
      <c r="V670" s="134">
        <v>6.3899999999999998E-2</v>
      </c>
      <c r="W670" s="132">
        <v>5.4820000000000001E-2</v>
      </c>
      <c r="X670" s="3" t="s">
        <v>620</v>
      </c>
      <c r="Y670" s="3" t="s">
        <v>62</v>
      </c>
      <c r="Z670" s="131">
        <v>688000</v>
      </c>
      <c r="AA670" s="129">
        <v>1</v>
      </c>
      <c r="AB670" s="157">
        <v>104.47</v>
      </c>
      <c r="AD670" s="131">
        <v>718.75400000000002</v>
      </c>
      <c r="AG670" s="6" t="s">
        <v>17</v>
      </c>
      <c r="AH670" s="132">
        <v>1.67E-3</v>
      </c>
      <c r="AI670" s="132">
        <v>2.4171200507234702E-3</v>
      </c>
      <c r="AJ670" s="132">
        <v>3.7494435314773799E-4</v>
      </c>
    </row>
    <row r="671" spans="1:36" x14ac:dyDescent="0.2">
      <c r="A671" s="6">
        <v>559</v>
      </c>
      <c r="B671" s="6">
        <v>7205</v>
      </c>
      <c r="C671" s="6" t="s">
        <v>2050</v>
      </c>
      <c r="D671" s="6" t="s">
        <v>2051</v>
      </c>
      <c r="E671" s="3" t="s">
        <v>767</v>
      </c>
      <c r="F671" s="6" t="s">
        <v>2055</v>
      </c>
      <c r="G671" s="6" t="s">
        <v>2056</v>
      </c>
      <c r="H671" s="6" t="s">
        <v>76</v>
      </c>
      <c r="I671" s="6" t="s">
        <v>228</v>
      </c>
      <c r="J671" s="6" t="s">
        <v>53</v>
      </c>
      <c r="K671" s="6" t="s">
        <v>314</v>
      </c>
      <c r="L671" s="6" t="s">
        <v>805</v>
      </c>
      <c r="M671" s="6" t="s">
        <v>102</v>
      </c>
      <c r="N671" s="6" t="s">
        <v>636</v>
      </c>
      <c r="O671" s="6" t="s">
        <v>62</v>
      </c>
      <c r="P671" s="6" t="s">
        <v>1493</v>
      </c>
      <c r="Q671" s="6" t="s">
        <v>65</v>
      </c>
      <c r="R671" s="6" t="s">
        <v>57</v>
      </c>
      <c r="S671" s="6" t="s">
        <v>1219</v>
      </c>
      <c r="T671" s="131">
        <v>2.097</v>
      </c>
      <c r="U671" s="6" t="s">
        <v>1280</v>
      </c>
      <c r="V671" s="134">
        <v>6.4399999999999999E-2</v>
      </c>
      <c r="W671" s="132">
        <v>5.6160000000000002E-2</v>
      </c>
      <c r="X671" s="3" t="s">
        <v>620</v>
      </c>
      <c r="Y671" s="3" t="s">
        <v>62</v>
      </c>
      <c r="Z671" s="131">
        <v>520375.64</v>
      </c>
      <c r="AA671" s="129">
        <v>1</v>
      </c>
      <c r="AB671" s="157">
        <v>103.5</v>
      </c>
      <c r="AD671" s="131">
        <v>538.58900000000006</v>
      </c>
      <c r="AG671" s="6" t="s">
        <v>17</v>
      </c>
      <c r="AH671" s="132">
        <v>1.168E-3</v>
      </c>
      <c r="AI671" s="132">
        <v>1.8112378944875999E-3</v>
      </c>
      <c r="AJ671" s="132">
        <v>2.8095973989461401E-4</v>
      </c>
    </row>
    <row r="672" spans="1:36" x14ac:dyDescent="0.2">
      <c r="A672" s="6">
        <v>559</v>
      </c>
      <c r="B672" s="6">
        <v>7205</v>
      </c>
      <c r="C672" s="6" t="s">
        <v>2057</v>
      </c>
      <c r="D672" s="6" t="s">
        <v>2058</v>
      </c>
      <c r="E672" s="3" t="s">
        <v>1477</v>
      </c>
      <c r="F672" s="6" t="s">
        <v>2059</v>
      </c>
      <c r="G672" s="6" t="s">
        <v>2060</v>
      </c>
      <c r="H672" s="6" t="s">
        <v>76</v>
      </c>
      <c r="I672" s="6" t="s">
        <v>229</v>
      </c>
      <c r="J672" s="6" t="s">
        <v>53</v>
      </c>
      <c r="K672" s="6" t="s">
        <v>53</v>
      </c>
      <c r="L672" s="6" t="s">
        <v>805</v>
      </c>
      <c r="M672" s="6" t="s">
        <v>311</v>
      </c>
      <c r="N672" s="6" t="s">
        <v>635</v>
      </c>
      <c r="O672" s="6" t="s">
        <v>62</v>
      </c>
      <c r="P672" s="6" t="s">
        <v>1339</v>
      </c>
      <c r="Q672" s="6" t="s">
        <v>65</v>
      </c>
      <c r="R672" s="6" t="s">
        <v>57</v>
      </c>
      <c r="S672" s="6" t="s">
        <v>1219</v>
      </c>
      <c r="T672" s="131">
        <v>2.6779999999999999</v>
      </c>
      <c r="U672" s="6" t="s">
        <v>2061</v>
      </c>
      <c r="V672" s="134">
        <v>1.34E-2</v>
      </c>
      <c r="W672" s="132">
        <v>2.8029999999999999E-2</v>
      </c>
      <c r="X672" s="3" t="s">
        <v>620</v>
      </c>
      <c r="Y672" s="3" t="s">
        <v>62</v>
      </c>
      <c r="Z672" s="131">
        <v>1514730.57</v>
      </c>
      <c r="AA672" s="129">
        <v>1</v>
      </c>
      <c r="AB672" s="157">
        <v>114.07</v>
      </c>
      <c r="AC672" s="131">
        <v>192.82900000000001</v>
      </c>
      <c r="AD672" s="131">
        <v>1920.683</v>
      </c>
      <c r="AG672" s="6" t="s">
        <v>17</v>
      </c>
      <c r="AH672" s="132">
        <v>6.8599999999999998E-4</v>
      </c>
      <c r="AI672" s="132">
        <v>6.4591265696286202E-3</v>
      </c>
      <c r="AJ672" s="132">
        <v>1.00194155967714E-3</v>
      </c>
    </row>
    <row r="673" spans="1:36" x14ac:dyDescent="0.2">
      <c r="A673" s="6">
        <v>559</v>
      </c>
      <c r="B673" s="6">
        <v>7205</v>
      </c>
      <c r="C673" s="6" t="s">
        <v>2057</v>
      </c>
      <c r="D673" s="6" t="s">
        <v>2058</v>
      </c>
      <c r="E673" s="3" t="s">
        <v>1477</v>
      </c>
      <c r="F673" s="6" t="s">
        <v>2062</v>
      </c>
      <c r="G673" s="6" t="s">
        <v>2063</v>
      </c>
      <c r="H673" s="6" t="s">
        <v>76</v>
      </c>
      <c r="I673" s="6" t="s">
        <v>229</v>
      </c>
      <c r="J673" s="6" t="s">
        <v>53</v>
      </c>
      <c r="K673" s="6" t="s">
        <v>53</v>
      </c>
      <c r="L673" s="6" t="s">
        <v>805</v>
      </c>
      <c r="M673" s="6" t="s">
        <v>311</v>
      </c>
      <c r="N673" s="6" t="s">
        <v>635</v>
      </c>
      <c r="O673" s="6" t="s">
        <v>62</v>
      </c>
      <c r="P673" s="6" t="s">
        <v>2024</v>
      </c>
      <c r="Q673" s="6" t="s">
        <v>70</v>
      </c>
      <c r="R673" s="6" t="s">
        <v>57</v>
      </c>
      <c r="S673" s="6" t="s">
        <v>1219</v>
      </c>
      <c r="T673" s="131">
        <v>1.9570000000000001</v>
      </c>
      <c r="U673" s="6" t="s">
        <v>1544</v>
      </c>
      <c r="V673" s="134">
        <v>1.77E-2</v>
      </c>
      <c r="W673" s="132">
        <v>2.8219999999999999E-2</v>
      </c>
      <c r="X673" s="3" t="s">
        <v>620</v>
      </c>
      <c r="Y673" s="3" t="s">
        <v>62</v>
      </c>
      <c r="Z673" s="131">
        <v>3259826.12</v>
      </c>
      <c r="AA673" s="129">
        <v>1</v>
      </c>
      <c r="AB673" s="157">
        <v>114.73</v>
      </c>
      <c r="AD673" s="131">
        <v>3739.9989999999998</v>
      </c>
      <c r="AG673" s="6" t="s">
        <v>17</v>
      </c>
      <c r="AH673" s="132">
        <v>1.34E-3</v>
      </c>
      <c r="AI673" s="132">
        <v>1.2577363622381999E-2</v>
      </c>
      <c r="AJ673" s="132">
        <v>1.9510042400609801E-3</v>
      </c>
    </row>
    <row r="674" spans="1:36" x14ac:dyDescent="0.2">
      <c r="A674" s="6">
        <v>559</v>
      </c>
      <c r="B674" s="6">
        <v>7205</v>
      </c>
      <c r="C674" s="6" t="s">
        <v>2064</v>
      </c>
      <c r="D674" s="6" t="s">
        <v>2065</v>
      </c>
      <c r="E674" s="3" t="s">
        <v>1477</v>
      </c>
      <c r="F674" s="6" t="s">
        <v>2066</v>
      </c>
      <c r="G674" s="6" t="s">
        <v>2067</v>
      </c>
      <c r="H674" s="6" t="s">
        <v>76</v>
      </c>
      <c r="I674" s="6" t="s">
        <v>228</v>
      </c>
      <c r="J674" s="6" t="s">
        <v>53</v>
      </c>
      <c r="K674" s="6" t="s">
        <v>53</v>
      </c>
      <c r="L674" s="6" t="s">
        <v>805</v>
      </c>
      <c r="M674" s="6" t="s">
        <v>311</v>
      </c>
      <c r="N674" s="6" t="s">
        <v>635</v>
      </c>
      <c r="O674" s="6" t="s">
        <v>62</v>
      </c>
      <c r="P674" s="6" t="s">
        <v>1213</v>
      </c>
      <c r="Q674" s="6" t="s">
        <v>65</v>
      </c>
      <c r="R674" s="6" t="s">
        <v>57</v>
      </c>
      <c r="S674" s="6" t="s">
        <v>1219</v>
      </c>
      <c r="T674" s="131">
        <v>1.4550000000000001</v>
      </c>
      <c r="U674" s="6" t="s">
        <v>1733</v>
      </c>
      <c r="V674" s="134">
        <v>1.44E-2</v>
      </c>
      <c r="W674" s="132">
        <v>4.3180000000000003E-2</v>
      </c>
      <c r="X674" s="3" t="s">
        <v>620</v>
      </c>
      <c r="Y674" s="3" t="s">
        <v>62</v>
      </c>
      <c r="Z674" s="131">
        <v>2041266.39</v>
      </c>
      <c r="AA674" s="129">
        <v>1</v>
      </c>
      <c r="AB674" s="157">
        <v>96.34</v>
      </c>
      <c r="AD674" s="131">
        <v>1966.556</v>
      </c>
      <c r="AG674" s="6" t="s">
        <v>17</v>
      </c>
      <c r="AH674" s="132">
        <v>6.8040000000000002E-3</v>
      </c>
      <c r="AI674" s="132">
        <v>6.6133957944139801E-3</v>
      </c>
      <c r="AJ674" s="132">
        <v>1.0258718459202399E-3</v>
      </c>
    </row>
    <row r="675" spans="1:36" x14ac:dyDescent="0.2">
      <c r="A675" s="6">
        <v>559</v>
      </c>
      <c r="B675" s="6">
        <v>7205</v>
      </c>
      <c r="C675" s="6" t="s">
        <v>2068</v>
      </c>
      <c r="D675" s="6" t="s">
        <v>2069</v>
      </c>
      <c r="E675" s="3" t="s">
        <v>1477</v>
      </c>
      <c r="F675" s="6" t="s">
        <v>2070</v>
      </c>
      <c r="G675" s="6" t="s">
        <v>2071</v>
      </c>
      <c r="H675" s="6" t="s">
        <v>76</v>
      </c>
      <c r="I675" s="6" t="s">
        <v>228</v>
      </c>
      <c r="J675" s="6" t="s">
        <v>53</v>
      </c>
      <c r="K675" s="6" t="s">
        <v>53</v>
      </c>
      <c r="L675" s="6" t="s">
        <v>805</v>
      </c>
      <c r="M675" s="6" t="s">
        <v>311</v>
      </c>
      <c r="N675" s="6" t="s">
        <v>140</v>
      </c>
      <c r="O675" s="6" t="s">
        <v>62</v>
      </c>
      <c r="P675" s="6" t="s">
        <v>1604</v>
      </c>
      <c r="Q675" s="6" t="s">
        <v>70</v>
      </c>
      <c r="R675" s="6" t="s">
        <v>57</v>
      </c>
      <c r="S675" s="6" t="s">
        <v>1219</v>
      </c>
      <c r="T675" s="131">
        <v>1.5840000000000001</v>
      </c>
      <c r="U675" s="6" t="s">
        <v>1605</v>
      </c>
      <c r="V675" s="134">
        <v>7.3999999999999996E-2</v>
      </c>
      <c r="W675" s="132">
        <v>5.2659999999999998E-2</v>
      </c>
      <c r="X675" s="3" t="s">
        <v>620</v>
      </c>
      <c r="Y675" s="3" t="s">
        <v>62</v>
      </c>
      <c r="Z675" s="131">
        <v>94600</v>
      </c>
      <c r="AA675" s="129">
        <v>1</v>
      </c>
      <c r="AB675" s="157">
        <v>103.44</v>
      </c>
      <c r="AD675" s="131">
        <v>97.853999999999999</v>
      </c>
      <c r="AG675" s="6" t="s">
        <v>17</v>
      </c>
      <c r="AH675" s="132">
        <v>9.0300000000000005E-4</v>
      </c>
      <c r="AI675" s="132">
        <v>3.2907723252072299E-4</v>
      </c>
      <c r="AJ675" s="132">
        <v>5.1046554367955199E-5</v>
      </c>
    </row>
    <row r="676" spans="1:36" x14ac:dyDescent="0.2">
      <c r="A676" s="6">
        <v>559</v>
      </c>
      <c r="B676" s="6">
        <v>7205</v>
      </c>
      <c r="C676" s="6" t="s">
        <v>2072</v>
      </c>
      <c r="D676" s="6" t="s">
        <v>2073</v>
      </c>
      <c r="E676" s="3" t="s">
        <v>1477</v>
      </c>
      <c r="F676" s="6" t="s">
        <v>2074</v>
      </c>
      <c r="G676" s="6" t="s">
        <v>2075</v>
      </c>
      <c r="H676" s="6" t="s">
        <v>76</v>
      </c>
      <c r="I676" s="6" t="s">
        <v>228</v>
      </c>
      <c r="J676" s="6" t="s">
        <v>53</v>
      </c>
      <c r="K676" s="6" t="s">
        <v>53</v>
      </c>
      <c r="L676" s="6" t="s">
        <v>805</v>
      </c>
      <c r="M676" s="6" t="s">
        <v>102</v>
      </c>
      <c r="N676" s="6" t="s">
        <v>256</v>
      </c>
      <c r="O676" s="6" t="s">
        <v>62</v>
      </c>
      <c r="P676" s="6" t="s">
        <v>1213</v>
      </c>
      <c r="Q676" s="6" t="s">
        <v>65</v>
      </c>
      <c r="R676" s="6" t="s">
        <v>57</v>
      </c>
      <c r="S676" s="6" t="s">
        <v>1219</v>
      </c>
      <c r="T676" s="131">
        <v>4.7919999999999998</v>
      </c>
      <c r="U676" s="6" t="s">
        <v>2076</v>
      </c>
      <c r="V676" s="134">
        <v>4.8800000000000003E-2</v>
      </c>
      <c r="W676" s="132">
        <v>4.4699999999999997E-2</v>
      </c>
      <c r="X676" s="3" t="s">
        <v>620</v>
      </c>
      <c r="Y676" s="3" t="s">
        <v>62</v>
      </c>
      <c r="Z676" s="131">
        <v>2917000</v>
      </c>
      <c r="AA676" s="129">
        <v>1</v>
      </c>
      <c r="AB676" s="157">
        <v>102.07</v>
      </c>
      <c r="AD676" s="131">
        <v>2977.3820000000001</v>
      </c>
      <c r="AG676" s="6" t="s">
        <v>17</v>
      </c>
      <c r="AH676" s="132">
        <v>1.851E-3</v>
      </c>
      <c r="AI676" s="132">
        <v>1.00127352254669E-2</v>
      </c>
      <c r="AJ676" s="132">
        <v>1.5531783500900499E-3</v>
      </c>
    </row>
    <row r="677" spans="1:36" x14ac:dyDescent="0.2">
      <c r="A677" s="6">
        <v>559</v>
      </c>
      <c r="B677" s="6">
        <v>7205</v>
      </c>
      <c r="C677" s="6" t="s">
        <v>2072</v>
      </c>
      <c r="D677" s="6" t="s">
        <v>2073</v>
      </c>
      <c r="E677" s="3" t="s">
        <v>1477</v>
      </c>
      <c r="F677" s="6" t="s">
        <v>2077</v>
      </c>
      <c r="G677" s="6" t="s">
        <v>2078</v>
      </c>
      <c r="H677" s="6" t="s">
        <v>76</v>
      </c>
      <c r="I677" s="6" t="s">
        <v>229</v>
      </c>
      <c r="J677" s="6" t="s">
        <v>53</v>
      </c>
      <c r="K677" s="6" t="s">
        <v>53</v>
      </c>
      <c r="L677" s="6" t="s">
        <v>805</v>
      </c>
      <c r="M677" s="6" t="s">
        <v>311</v>
      </c>
      <c r="N677" s="6" t="s">
        <v>256</v>
      </c>
      <c r="O677" s="6" t="s">
        <v>62</v>
      </c>
      <c r="P677" s="6" t="s">
        <v>1213</v>
      </c>
      <c r="Q677" s="6" t="s">
        <v>65</v>
      </c>
      <c r="R677" s="6" t="s">
        <v>57</v>
      </c>
      <c r="S677" s="6" t="s">
        <v>1219</v>
      </c>
      <c r="T677" s="131">
        <v>3.335</v>
      </c>
      <c r="U677" s="6" t="s">
        <v>2079</v>
      </c>
      <c r="V677" s="134">
        <v>1E-3</v>
      </c>
      <c r="W677" s="132">
        <v>2.5729999999999999E-2</v>
      </c>
      <c r="X677" s="3" t="s">
        <v>620</v>
      </c>
      <c r="Y677" s="3" t="s">
        <v>62</v>
      </c>
      <c r="Z677" s="131">
        <v>2798689.44</v>
      </c>
      <c r="AA677" s="129">
        <v>1</v>
      </c>
      <c r="AB677" s="157">
        <v>105.19</v>
      </c>
      <c r="AD677" s="131">
        <v>2943.9409999999998</v>
      </c>
      <c r="AG677" s="6" t="s">
        <v>17</v>
      </c>
      <c r="AH677" s="132">
        <v>2.8440000000000002E-3</v>
      </c>
      <c r="AI677" s="132">
        <v>9.9002771452092603E-3</v>
      </c>
      <c r="AJ677" s="132">
        <v>1.5357338205368601E-3</v>
      </c>
    </row>
    <row r="678" spans="1:36" x14ac:dyDescent="0.2">
      <c r="A678" s="6">
        <v>559</v>
      </c>
      <c r="B678" s="6">
        <v>7205</v>
      </c>
      <c r="C678" s="6" t="s">
        <v>2072</v>
      </c>
      <c r="D678" s="6" t="s">
        <v>2073</v>
      </c>
      <c r="E678" s="3" t="s">
        <v>1477</v>
      </c>
      <c r="F678" s="6" t="s">
        <v>2080</v>
      </c>
      <c r="G678" s="6" t="s">
        <v>2081</v>
      </c>
      <c r="H678" s="6" t="s">
        <v>76</v>
      </c>
      <c r="I678" s="6" t="s">
        <v>229</v>
      </c>
      <c r="J678" s="6" t="s">
        <v>53</v>
      </c>
      <c r="K678" s="6" t="s">
        <v>53</v>
      </c>
      <c r="L678" s="6" t="s">
        <v>805</v>
      </c>
      <c r="M678" s="6" t="s">
        <v>311</v>
      </c>
      <c r="N678" s="6" t="s">
        <v>256</v>
      </c>
      <c r="O678" s="6" t="s">
        <v>62</v>
      </c>
      <c r="P678" s="6" t="s">
        <v>1213</v>
      </c>
      <c r="Q678" s="6" t="s">
        <v>65</v>
      </c>
      <c r="R678" s="6" t="s">
        <v>57</v>
      </c>
      <c r="S678" s="6" t="s">
        <v>1219</v>
      </c>
      <c r="T678" s="131">
        <v>3.7149999999999999</v>
      </c>
      <c r="U678" s="6" t="s">
        <v>2082</v>
      </c>
      <c r="V678" s="134">
        <v>1.3899999999999999E-2</v>
      </c>
      <c r="W678" s="132">
        <v>2.511E-2</v>
      </c>
      <c r="X678" s="3" t="s">
        <v>620</v>
      </c>
      <c r="Y678" s="3" t="s">
        <v>62</v>
      </c>
      <c r="Z678" s="131">
        <v>3010307.33</v>
      </c>
      <c r="AA678" s="129">
        <v>1</v>
      </c>
      <c r="AB678" s="157">
        <v>105.13</v>
      </c>
      <c r="AD678" s="131">
        <v>3164.7359999999999</v>
      </c>
      <c r="AG678" s="6" t="s">
        <v>17</v>
      </c>
      <c r="AH678" s="132">
        <v>1.8810000000000001E-3</v>
      </c>
      <c r="AI678" s="132">
        <v>1.0642794794989601E-2</v>
      </c>
      <c r="AJ678" s="132">
        <v>1.6509133706027899E-3</v>
      </c>
    </row>
    <row r="679" spans="1:36" x14ac:dyDescent="0.2">
      <c r="A679" s="6">
        <v>559</v>
      </c>
      <c r="B679" s="6">
        <v>7205</v>
      </c>
      <c r="C679" s="6" t="s">
        <v>2072</v>
      </c>
      <c r="D679" s="6" t="s">
        <v>2073</v>
      </c>
      <c r="E679" s="3" t="s">
        <v>1477</v>
      </c>
      <c r="F679" s="6" t="s">
        <v>2083</v>
      </c>
      <c r="G679" s="6" t="s">
        <v>2084</v>
      </c>
      <c r="H679" s="6" t="s">
        <v>76</v>
      </c>
      <c r="I679" s="6" t="s">
        <v>229</v>
      </c>
      <c r="J679" s="6" t="s">
        <v>53</v>
      </c>
      <c r="K679" s="6" t="s">
        <v>53</v>
      </c>
      <c r="L679" s="6" t="s">
        <v>805</v>
      </c>
      <c r="M679" s="6" t="s">
        <v>311</v>
      </c>
      <c r="N679" s="6" t="s">
        <v>256</v>
      </c>
      <c r="O679" s="6" t="s">
        <v>62</v>
      </c>
      <c r="P679" s="6" t="s">
        <v>1213</v>
      </c>
      <c r="Q679" s="6" t="s">
        <v>65</v>
      </c>
      <c r="R679" s="6" t="s">
        <v>57</v>
      </c>
      <c r="S679" s="6" t="s">
        <v>1219</v>
      </c>
      <c r="T679" s="131">
        <v>1.806</v>
      </c>
      <c r="U679" s="6" t="s">
        <v>2085</v>
      </c>
      <c r="V679" s="134">
        <v>6.0000000000000001E-3</v>
      </c>
      <c r="W679" s="132">
        <v>2.4760000000000001E-2</v>
      </c>
      <c r="X679" s="3" t="s">
        <v>620</v>
      </c>
      <c r="Y679" s="3" t="s">
        <v>62</v>
      </c>
      <c r="Z679" s="131">
        <v>3272694.2</v>
      </c>
      <c r="AA679" s="129">
        <v>1</v>
      </c>
      <c r="AB679" s="157">
        <v>114.32</v>
      </c>
      <c r="AD679" s="131">
        <v>3741.3440000000001</v>
      </c>
      <c r="AG679" s="6" t="s">
        <v>17</v>
      </c>
      <c r="AH679" s="132">
        <v>4.9049999999999996E-3</v>
      </c>
      <c r="AI679" s="132">
        <v>1.2581888455058299E-2</v>
      </c>
      <c r="AJ679" s="132">
        <v>1.9517061333990499E-3</v>
      </c>
    </row>
    <row r="680" spans="1:36" x14ac:dyDescent="0.2">
      <c r="A680" s="6">
        <v>559</v>
      </c>
      <c r="B680" s="6">
        <v>7205</v>
      </c>
      <c r="C680" s="6" t="s">
        <v>2072</v>
      </c>
      <c r="D680" s="6" t="s">
        <v>2073</v>
      </c>
      <c r="E680" s="3" t="s">
        <v>1477</v>
      </c>
      <c r="F680" s="6" t="s">
        <v>2086</v>
      </c>
      <c r="G680" s="6" t="s">
        <v>2087</v>
      </c>
      <c r="H680" s="6" t="s">
        <v>76</v>
      </c>
      <c r="I680" s="6" t="s">
        <v>229</v>
      </c>
      <c r="J680" s="6" t="s">
        <v>53</v>
      </c>
      <c r="K680" s="6" t="s">
        <v>53</v>
      </c>
      <c r="L680" s="6" t="s">
        <v>805</v>
      </c>
      <c r="M680" s="6" t="s">
        <v>311</v>
      </c>
      <c r="N680" s="6" t="s">
        <v>256</v>
      </c>
      <c r="O680" s="6" t="s">
        <v>62</v>
      </c>
      <c r="P680" s="6" t="s">
        <v>1213</v>
      </c>
      <c r="Q680" s="6" t="s">
        <v>65</v>
      </c>
      <c r="R680" s="6" t="s">
        <v>57</v>
      </c>
      <c r="S680" s="6" t="s">
        <v>1219</v>
      </c>
      <c r="T680" s="131">
        <v>2.8039999999999998</v>
      </c>
      <c r="U680" s="6" t="s">
        <v>2088</v>
      </c>
      <c r="V680" s="134">
        <v>1.7500000000000002E-2</v>
      </c>
      <c r="W680" s="132">
        <v>2.4469999999999999E-2</v>
      </c>
      <c r="X680" s="3" t="s">
        <v>620</v>
      </c>
      <c r="Y680" s="3" t="s">
        <v>62</v>
      </c>
      <c r="Z680" s="131">
        <v>7626605.46</v>
      </c>
      <c r="AA680" s="129">
        <v>1</v>
      </c>
      <c r="AB680" s="157">
        <v>115.29</v>
      </c>
      <c r="AD680" s="131">
        <v>8792.7129999999997</v>
      </c>
      <c r="AG680" s="6" t="s">
        <v>17</v>
      </c>
      <c r="AH680" s="132">
        <v>3.421E-3</v>
      </c>
      <c r="AI680" s="132">
        <v>2.9569304339627501E-2</v>
      </c>
      <c r="AJ680" s="132">
        <v>4.5867989408849702E-3</v>
      </c>
    </row>
    <row r="681" spans="1:36" x14ac:dyDescent="0.2">
      <c r="A681" s="6">
        <v>559</v>
      </c>
      <c r="B681" s="6">
        <v>7205</v>
      </c>
      <c r="C681" s="6" t="s">
        <v>2089</v>
      </c>
      <c r="D681" s="6" t="s">
        <v>2090</v>
      </c>
      <c r="E681" s="3" t="s">
        <v>1477</v>
      </c>
      <c r="F681" s="6" t="s">
        <v>2091</v>
      </c>
      <c r="G681" s="6" t="s">
        <v>2092</v>
      </c>
      <c r="H681" s="6" t="s">
        <v>76</v>
      </c>
      <c r="I681" s="6" t="s">
        <v>228</v>
      </c>
      <c r="J681" s="6" t="s">
        <v>53</v>
      </c>
      <c r="K681" s="6" t="s">
        <v>53</v>
      </c>
      <c r="L681" s="6" t="s">
        <v>805</v>
      </c>
      <c r="M681" s="6" t="s">
        <v>311</v>
      </c>
      <c r="N681" s="6" t="s">
        <v>252</v>
      </c>
      <c r="O681" s="6" t="s">
        <v>62</v>
      </c>
      <c r="P681" s="6" t="s">
        <v>1577</v>
      </c>
      <c r="Q681" s="6" t="s">
        <v>65</v>
      </c>
      <c r="R681" s="6" t="s">
        <v>57</v>
      </c>
      <c r="S681" s="6" t="s">
        <v>1219</v>
      </c>
      <c r="T681" s="131">
        <v>0.90200000000000002</v>
      </c>
      <c r="U681" s="6" t="s">
        <v>2093</v>
      </c>
      <c r="V681" s="134">
        <v>2.29E-2</v>
      </c>
      <c r="W681" s="132">
        <v>4.7030000000000002E-2</v>
      </c>
      <c r="X681" s="3" t="s">
        <v>620</v>
      </c>
      <c r="Y681" s="3" t="s">
        <v>62</v>
      </c>
      <c r="Z681" s="131">
        <v>1680475.12</v>
      </c>
      <c r="AA681" s="129">
        <v>1</v>
      </c>
      <c r="AB681" s="157">
        <v>98.11</v>
      </c>
      <c r="AD681" s="131">
        <v>1648.7139999999999</v>
      </c>
      <c r="AG681" s="6" t="s">
        <v>17</v>
      </c>
      <c r="AH681" s="132">
        <v>5.0730000000000003E-3</v>
      </c>
      <c r="AI681" s="132">
        <v>5.5445148466262703E-3</v>
      </c>
      <c r="AJ681" s="132">
        <v>8.6006672778378597E-4</v>
      </c>
    </row>
    <row r="682" spans="1:36" x14ac:dyDescent="0.2">
      <c r="A682" s="6">
        <v>559</v>
      </c>
      <c r="B682" s="6">
        <v>7205</v>
      </c>
      <c r="C682" s="6" t="s">
        <v>2094</v>
      </c>
      <c r="D682" s="6" t="s">
        <v>2095</v>
      </c>
      <c r="E682" s="3" t="s">
        <v>1477</v>
      </c>
      <c r="F682" s="6" t="s">
        <v>2373</v>
      </c>
      <c r="G682" s="6" t="s">
        <v>2374</v>
      </c>
      <c r="H682" s="6" t="s">
        <v>76</v>
      </c>
      <c r="I682" s="6" t="s">
        <v>228</v>
      </c>
      <c r="J682" s="6" t="s">
        <v>53</v>
      </c>
      <c r="K682" s="6" t="s">
        <v>53</v>
      </c>
      <c r="L682" s="6" t="s">
        <v>805</v>
      </c>
      <c r="M682" s="6" t="s">
        <v>311</v>
      </c>
      <c r="N682" s="6" t="s">
        <v>156</v>
      </c>
      <c r="O682" s="6" t="s">
        <v>62</v>
      </c>
      <c r="P682" s="6" t="s">
        <v>298</v>
      </c>
      <c r="Q682" s="6" t="s">
        <v>298</v>
      </c>
      <c r="R682" s="6" t="s">
        <v>298</v>
      </c>
      <c r="S682" s="6" t="s">
        <v>1219</v>
      </c>
      <c r="T682" s="131">
        <v>1.827</v>
      </c>
      <c r="U682" s="6" t="s">
        <v>2375</v>
      </c>
      <c r="V682" s="134">
        <v>7.4999999999999997E-2</v>
      </c>
      <c r="W682" s="132">
        <v>5.4579999999999997E-2</v>
      </c>
      <c r="X682" s="3" t="s">
        <v>620</v>
      </c>
      <c r="Y682" s="3" t="s">
        <v>62</v>
      </c>
      <c r="Z682" s="131">
        <v>262479.73</v>
      </c>
      <c r="AA682" s="129">
        <v>1</v>
      </c>
      <c r="AB682" s="157">
        <v>122.27</v>
      </c>
      <c r="AD682" s="131">
        <v>320.93400000000003</v>
      </c>
      <c r="AG682" s="6" t="s">
        <v>17</v>
      </c>
      <c r="AH682" s="132">
        <v>2.4099999999999998E-3</v>
      </c>
      <c r="AI682" s="132">
        <v>1.0792793578564301E-3</v>
      </c>
      <c r="AJ682" s="132">
        <v>1.6741812247846901E-4</v>
      </c>
    </row>
    <row r="683" spans="1:36" x14ac:dyDescent="0.2">
      <c r="A683" s="6">
        <v>559</v>
      </c>
      <c r="B683" s="6">
        <v>7205</v>
      </c>
      <c r="C683" s="6" t="s">
        <v>2094</v>
      </c>
      <c r="D683" s="6" t="s">
        <v>2095</v>
      </c>
      <c r="E683" s="3" t="s">
        <v>1477</v>
      </c>
      <c r="F683" s="6" t="s">
        <v>2096</v>
      </c>
      <c r="G683" s="6" t="s">
        <v>2097</v>
      </c>
      <c r="H683" s="6" t="s">
        <v>76</v>
      </c>
      <c r="I683" s="6" t="s">
        <v>228</v>
      </c>
      <c r="J683" s="6" t="s">
        <v>53</v>
      </c>
      <c r="K683" s="6" t="s">
        <v>53</v>
      </c>
      <c r="L683" s="6" t="s">
        <v>805</v>
      </c>
      <c r="M683" s="6" t="s">
        <v>311</v>
      </c>
      <c r="N683" s="6" t="s">
        <v>156</v>
      </c>
      <c r="O683" s="6" t="s">
        <v>62</v>
      </c>
      <c r="P683" s="6" t="s">
        <v>298</v>
      </c>
      <c r="Q683" s="6" t="s">
        <v>298</v>
      </c>
      <c r="R683" s="6" t="s">
        <v>298</v>
      </c>
      <c r="S683" s="6" t="s">
        <v>1219</v>
      </c>
      <c r="T683" s="131">
        <v>2.0819999999999999</v>
      </c>
      <c r="U683" s="6" t="s">
        <v>1634</v>
      </c>
      <c r="V683" s="134">
        <v>0.10539999999999999</v>
      </c>
      <c r="W683" s="132">
        <v>4.4450000000000003E-2</v>
      </c>
      <c r="X683" s="3" t="s">
        <v>620</v>
      </c>
      <c r="Y683" s="3" t="s">
        <v>62</v>
      </c>
      <c r="Z683" s="131">
        <v>209957</v>
      </c>
      <c r="AA683" s="129">
        <v>1</v>
      </c>
      <c r="AB683" s="157">
        <v>138.33000000000001</v>
      </c>
      <c r="AD683" s="131">
        <v>290.43400000000003</v>
      </c>
      <c r="AG683" s="6" t="s">
        <v>17</v>
      </c>
      <c r="AH683" s="132">
        <v>1.016E-3</v>
      </c>
      <c r="AI683" s="132">
        <v>9.7670840188023998E-4</v>
      </c>
      <c r="AJ683" s="132">
        <v>1.51507286469837E-4</v>
      </c>
    </row>
    <row r="684" spans="1:36" x14ac:dyDescent="0.2">
      <c r="A684" s="6">
        <v>559</v>
      </c>
      <c r="B684" s="6">
        <v>7205</v>
      </c>
      <c r="C684" s="6" t="s">
        <v>2376</v>
      </c>
      <c r="D684" s="6" t="s">
        <v>2377</v>
      </c>
      <c r="E684" s="3" t="s">
        <v>767</v>
      </c>
      <c r="F684" s="6" t="s">
        <v>2378</v>
      </c>
      <c r="G684" s="6" t="s">
        <v>2379</v>
      </c>
      <c r="H684" s="6" t="s">
        <v>76</v>
      </c>
      <c r="I684" s="6" t="s">
        <v>229</v>
      </c>
      <c r="J684" s="6" t="s">
        <v>53</v>
      </c>
      <c r="K684" s="6" t="s">
        <v>53</v>
      </c>
      <c r="L684" s="6" t="s">
        <v>805</v>
      </c>
      <c r="M684" s="6" t="s">
        <v>311</v>
      </c>
      <c r="N684" s="6" t="s">
        <v>140</v>
      </c>
      <c r="O684" s="6" t="s">
        <v>62</v>
      </c>
      <c r="P684" s="6" t="s">
        <v>298</v>
      </c>
      <c r="Q684" s="6" t="s">
        <v>298</v>
      </c>
      <c r="R684" s="6" t="s">
        <v>298</v>
      </c>
      <c r="S684" s="6" t="s">
        <v>1219</v>
      </c>
      <c r="T684" s="131">
        <v>3.1139999999999999</v>
      </c>
      <c r="U684" s="6" t="s">
        <v>2380</v>
      </c>
      <c r="V684" s="134">
        <v>0.06</v>
      </c>
      <c r="W684" s="132">
        <v>1E-4</v>
      </c>
      <c r="X684" s="3" t="s">
        <v>620</v>
      </c>
      <c r="Y684" s="3" t="s">
        <v>55</v>
      </c>
      <c r="Z684" s="131">
        <v>1831442.1</v>
      </c>
      <c r="AA684" s="129">
        <v>1</v>
      </c>
      <c r="AB684" s="157">
        <v>9.77</v>
      </c>
      <c r="AD684" s="131">
        <v>178.93199999999999</v>
      </c>
      <c r="AG684" s="6" t="s">
        <v>17</v>
      </c>
      <c r="AH684" s="132">
        <v>1.5553000000000001E-2</v>
      </c>
      <c r="AI684" s="132">
        <v>6.0173593105497796E-4</v>
      </c>
      <c r="AJ684" s="132">
        <v>9.3341449617957801E-5</v>
      </c>
    </row>
    <row r="685" spans="1:36" x14ac:dyDescent="0.2">
      <c r="A685" s="6">
        <v>559</v>
      </c>
      <c r="B685" s="6">
        <v>7205</v>
      </c>
      <c r="C685" s="6" t="s">
        <v>2376</v>
      </c>
      <c r="D685" s="6" t="s">
        <v>2377</v>
      </c>
      <c r="E685" s="3" t="s">
        <v>767</v>
      </c>
      <c r="F685" s="6" t="s">
        <v>2381</v>
      </c>
      <c r="G685" s="6" t="s">
        <v>2382</v>
      </c>
      <c r="H685" s="6" t="s">
        <v>76</v>
      </c>
      <c r="I685" s="6" t="s">
        <v>229</v>
      </c>
      <c r="J685" s="6" t="s">
        <v>53</v>
      </c>
      <c r="K685" s="6" t="s">
        <v>53</v>
      </c>
      <c r="L685" s="6" t="s">
        <v>805</v>
      </c>
      <c r="M685" s="6" t="s">
        <v>311</v>
      </c>
      <c r="N685" s="6" t="s">
        <v>140</v>
      </c>
      <c r="O685" s="6" t="s">
        <v>62</v>
      </c>
      <c r="P685" s="6" t="s">
        <v>298</v>
      </c>
      <c r="Q685" s="6" t="s">
        <v>298</v>
      </c>
      <c r="R685" s="6" t="s">
        <v>298</v>
      </c>
      <c r="S685" s="6" t="s">
        <v>1219</v>
      </c>
      <c r="T685" s="131">
        <v>2.9289999999999998</v>
      </c>
      <c r="U685" s="6" t="s">
        <v>2380</v>
      </c>
      <c r="V685" s="134">
        <v>6.9000000000000006E-2</v>
      </c>
      <c r="W685" s="132">
        <v>1E-4</v>
      </c>
      <c r="X685" s="3" t="s">
        <v>620</v>
      </c>
      <c r="Y685" s="3" t="s">
        <v>55</v>
      </c>
      <c r="Z685" s="131">
        <v>2116380</v>
      </c>
      <c r="AA685" s="129">
        <v>1</v>
      </c>
      <c r="AB685" s="157">
        <v>10.5</v>
      </c>
      <c r="AD685" s="131">
        <v>222.22</v>
      </c>
      <c r="AG685" s="6" t="s">
        <v>17</v>
      </c>
      <c r="AH685" s="132">
        <v>1.2251E-2</v>
      </c>
      <c r="AI685" s="132">
        <v>7.4731058871881095E-4</v>
      </c>
      <c r="AJ685" s="132">
        <v>1.1592303212402E-4</v>
      </c>
    </row>
    <row r="686" spans="1:36" x14ac:dyDescent="0.2">
      <c r="A686" s="6">
        <v>559</v>
      </c>
      <c r="B686" s="6">
        <v>7205</v>
      </c>
      <c r="C686" s="6" t="s">
        <v>2098</v>
      </c>
      <c r="D686" s="6" t="s">
        <v>2099</v>
      </c>
      <c r="E686" s="3" t="s">
        <v>1477</v>
      </c>
      <c r="F686" s="6" t="s">
        <v>2100</v>
      </c>
      <c r="G686" s="6" t="s">
        <v>2101</v>
      </c>
      <c r="H686" s="6" t="s">
        <v>76</v>
      </c>
      <c r="I686" s="6" t="s">
        <v>228</v>
      </c>
      <c r="J686" s="6" t="s">
        <v>53</v>
      </c>
      <c r="K686" s="6" t="s">
        <v>53</v>
      </c>
      <c r="L686" s="6" t="s">
        <v>805</v>
      </c>
      <c r="M686" s="6" t="s">
        <v>311</v>
      </c>
      <c r="N686" s="6" t="s">
        <v>269</v>
      </c>
      <c r="O686" s="6" t="s">
        <v>62</v>
      </c>
      <c r="P686" s="6" t="s">
        <v>1533</v>
      </c>
      <c r="Q686" s="6" t="s">
        <v>65</v>
      </c>
      <c r="R686" s="6" t="s">
        <v>57</v>
      </c>
      <c r="S686" s="6" t="s">
        <v>1219</v>
      </c>
      <c r="T686" s="131">
        <v>7.9000000000000001E-2</v>
      </c>
      <c r="U686" s="6" t="s">
        <v>2102</v>
      </c>
      <c r="V686" s="134">
        <v>3.61E-2</v>
      </c>
      <c r="W686" s="132">
        <v>5.4059999999999997E-2</v>
      </c>
      <c r="X686" s="3" t="s">
        <v>620</v>
      </c>
      <c r="Y686" s="3" t="s">
        <v>62</v>
      </c>
      <c r="Z686" s="131">
        <v>648988</v>
      </c>
      <c r="AA686" s="129">
        <v>1</v>
      </c>
      <c r="AB686" s="157">
        <v>101.38</v>
      </c>
      <c r="AD686" s="131">
        <v>657.94399999999996</v>
      </c>
      <c r="AG686" s="6" t="s">
        <v>17</v>
      </c>
      <c r="AH686" s="132">
        <v>8.4599999999999996E-4</v>
      </c>
      <c r="AI686" s="132">
        <v>2.21262156850711E-3</v>
      </c>
      <c r="AJ686" s="132">
        <v>3.43222490135035E-4</v>
      </c>
    </row>
    <row r="687" spans="1:36" x14ac:dyDescent="0.2">
      <c r="A687" s="6">
        <v>559</v>
      </c>
      <c r="B687" s="6">
        <v>7205</v>
      </c>
      <c r="C687" s="6" t="s">
        <v>2103</v>
      </c>
      <c r="D687" s="6" t="s">
        <v>2104</v>
      </c>
      <c r="E687" s="3" t="s">
        <v>1477</v>
      </c>
      <c r="F687" s="6" t="s">
        <v>2105</v>
      </c>
      <c r="G687" s="6" t="s">
        <v>2106</v>
      </c>
      <c r="H687" s="6" t="s">
        <v>76</v>
      </c>
      <c r="I687" s="6" t="s">
        <v>228</v>
      </c>
      <c r="J687" s="6" t="s">
        <v>53</v>
      </c>
      <c r="K687" s="6" t="s">
        <v>317</v>
      </c>
      <c r="L687" s="6" t="s">
        <v>805</v>
      </c>
      <c r="M687" s="6" t="s">
        <v>311</v>
      </c>
      <c r="N687" s="6" t="s">
        <v>254</v>
      </c>
      <c r="O687" s="6" t="s">
        <v>62</v>
      </c>
      <c r="P687" s="6" t="s">
        <v>298</v>
      </c>
      <c r="Q687" s="6" t="s">
        <v>298</v>
      </c>
      <c r="R687" s="6" t="s">
        <v>298</v>
      </c>
      <c r="S687" s="6" t="s">
        <v>1219</v>
      </c>
      <c r="T687" s="131">
        <v>0.499</v>
      </c>
      <c r="U687" s="6" t="s">
        <v>1499</v>
      </c>
      <c r="V687" s="134">
        <v>1.9900000000000001E-2</v>
      </c>
      <c r="W687" s="132">
        <v>5.1869999999999999E-2</v>
      </c>
      <c r="X687" s="3" t="s">
        <v>620</v>
      </c>
      <c r="Y687" s="3" t="s">
        <v>62</v>
      </c>
      <c r="Z687" s="131">
        <v>288929</v>
      </c>
      <c r="AA687" s="129">
        <v>1</v>
      </c>
      <c r="AB687" s="157">
        <v>98.48</v>
      </c>
      <c r="AD687" s="131">
        <v>284.53699999999998</v>
      </c>
      <c r="AG687" s="6" t="s">
        <v>17</v>
      </c>
      <c r="AH687" s="132">
        <v>1.926E-3</v>
      </c>
      <c r="AI687" s="132">
        <v>9.5687974673465696E-4</v>
      </c>
      <c r="AJ687" s="132">
        <v>1.4843145981607801E-4</v>
      </c>
    </row>
    <row r="688" spans="1:36" x14ac:dyDescent="0.2">
      <c r="A688" s="6">
        <v>559</v>
      </c>
      <c r="B688" s="6">
        <v>7205</v>
      </c>
      <c r="C688" s="6" t="s">
        <v>2107</v>
      </c>
      <c r="D688" s="6" t="s">
        <v>2108</v>
      </c>
      <c r="E688" s="3" t="s">
        <v>1477</v>
      </c>
      <c r="F688" s="6" t="s">
        <v>2109</v>
      </c>
      <c r="G688" s="6" t="s">
        <v>2110</v>
      </c>
      <c r="H688" s="6" t="s">
        <v>76</v>
      </c>
      <c r="I688" s="6" t="s">
        <v>607</v>
      </c>
      <c r="J688" s="6" t="s">
        <v>53</v>
      </c>
      <c r="K688" s="6" t="s">
        <v>53</v>
      </c>
      <c r="L688" s="6" t="s">
        <v>805</v>
      </c>
      <c r="M688" s="6" t="s">
        <v>311</v>
      </c>
      <c r="N688" s="6" t="s">
        <v>631</v>
      </c>
      <c r="O688" s="6" t="s">
        <v>62</v>
      </c>
      <c r="P688" s="6" t="s">
        <v>298</v>
      </c>
      <c r="Q688" s="6" t="s">
        <v>298</v>
      </c>
      <c r="R688" s="6" t="s">
        <v>298</v>
      </c>
      <c r="S688" s="6" t="s">
        <v>1219</v>
      </c>
      <c r="T688" s="131">
        <v>0.98699999999999999</v>
      </c>
      <c r="U688" s="6" t="s">
        <v>1595</v>
      </c>
      <c r="V688" s="134">
        <v>0.03</v>
      </c>
      <c r="W688" s="132">
        <v>5.7160000000000002E-2</v>
      </c>
      <c r="X688" s="3" t="s">
        <v>620</v>
      </c>
      <c r="Y688" s="3" t="s">
        <v>62</v>
      </c>
      <c r="Z688" s="131">
        <v>71498</v>
      </c>
      <c r="AA688" s="129">
        <v>1</v>
      </c>
      <c r="AB688" s="157">
        <v>97.5</v>
      </c>
      <c r="AD688" s="131">
        <v>69.710999999999999</v>
      </c>
      <c r="AG688" s="6" t="s">
        <v>17</v>
      </c>
      <c r="AH688" s="132">
        <v>2.5089999999999999E-3</v>
      </c>
      <c r="AI688" s="132">
        <v>2.3443189453515299E-4</v>
      </c>
      <c r="AJ688" s="132">
        <v>3.6365142487387999E-5</v>
      </c>
    </row>
    <row r="689" spans="1:36" x14ac:dyDescent="0.2">
      <c r="A689" s="6">
        <v>559</v>
      </c>
      <c r="B689" s="6">
        <v>7205</v>
      </c>
      <c r="C689" s="6" t="s">
        <v>2107</v>
      </c>
      <c r="D689" s="6" t="s">
        <v>2108</v>
      </c>
      <c r="E689" s="3" t="s">
        <v>1477</v>
      </c>
      <c r="F689" s="6" t="s">
        <v>2383</v>
      </c>
      <c r="G689" s="6" t="s">
        <v>2384</v>
      </c>
      <c r="H689" s="6" t="s">
        <v>76</v>
      </c>
      <c r="I689" s="6" t="s">
        <v>229</v>
      </c>
      <c r="J689" s="6" t="s">
        <v>53</v>
      </c>
      <c r="K689" s="6" t="s">
        <v>53</v>
      </c>
      <c r="L689" s="6" t="s">
        <v>805</v>
      </c>
      <c r="M689" s="6" t="s">
        <v>311</v>
      </c>
      <c r="N689" s="6" t="s">
        <v>631</v>
      </c>
      <c r="O689" s="6" t="s">
        <v>62</v>
      </c>
      <c r="P689" s="6" t="s">
        <v>298</v>
      </c>
      <c r="Q689" s="6" t="s">
        <v>298</v>
      </c>
      <c r="R689" s="6" t="s">
        <v>298</v>
      </c>
      <c r="S689" s="6" t="s">
        <v>1219</v>
      </c>
      <c r="T689" s="131">
        <v>2.06</v>
      </c>
      <c r="U689" s="6" t="s">
        <v>1544</v>
      </c>
      <c r="V689" s="134">
        <v>0.04</v>
      </c>
      <c r="W689" s="132">
        <v>3.6859999999999997E-2</v>
      </c>
      <c r="X689" s="3" t="s">
        <v>620</v>
      </c>
      <c r="Y689" s="3" t="s">
        <v>62</v>
      </c>
      <c r="Z689" s="131">
        <v>489300</v>
      </c>
      <c r="AA689" s="129">
        <v>1</v>
      </c>
      <c r="AB689" s="157">
        <v>114.78</v>
      </c>
      <c r="AD689" s="131">
        <v>561.61900000000003</v>
      </c>
      <c r="AG689" s="6" t="s">
        <v>17</v>
      </c>
      <c r="AH689" s="132">
        <v>7.535E-3</v>
      </c>
      <c r="AI689" s="132">
        <v>1.8886854046950799E-3</v>
      </c>
      <c r="AJ689" s="132">
        <v>2.92973419814631E-4</v>
      </c>
    </row>
    <row r="690" spans="1:36" x14ac:dyDescent="0.2">
      <c r="A690" s="6">
        <v>559</v>
      </c>
      <c r="B690" s="6">
        <v>7205</v>
      </c>
      <c r="C690" s="6" t="s">
        <v>2111</v>
      </c>
      <c r="D690" s="6" t="s">
        <v>2112</v>
      </c>
      <c r="E690" s="3" t="s">
        <v>1477</v>
      </c>
      <c r="F690" s="6" t="s">
        <v>2113</v>
      </c>
      <c r="G690" s="6" t="s">
        <v>2114</v>
      </c>
      <c r="H690" s="6" t="s">
        <v>76</v>
      </c>
      <c r="I690" s="6" t="s">
        <v>228</v>
      </c>
      <c r="J690" s="6" t="s">
        <v>53</v>
      </c>
      <c r="K690" s="6" t="s">
        <v>53</v>
      </c>
      <c r="L690" s="6" t="s">
        <v>805</v>
      </c>
      <c r="M690" s="6" t="s">
        <v>1227</v>
      </c>
      <c r="N690" s="6" t="s">
        <v>140</v>
      </c>
      <c r="O690" s="6" t="s">
        <v>62</v>
      </c>
      <c r="P690" s="6" t="s">
        <v>1527</v>
      </c>
      <c r="Q690" s="6" t="s">
        <v>70</v>
      </c>
      <c r="R690" s="6" t="s">
        <v>57</v>
      </c>
      <c r="S690" s="6" t="s">
        <v>1219</v>
      </c>
      <c r="T690" s="131">
        <v>4.7699999999999996</v>
      </c>
      <c r="U690" s="6" t="s">
        <v>2006</v>
      </c>
      <c r="V690" s="134">
        <v>5.8799999999999998E-2</v>
      </c>
      <c r="W690" s="132">
        <v>5.3900000000000003E-2</v>
      </c>
      <c r="X690" s="3" t="s">
        <v>620</v>
      </c>
      <c r="Y690" s="3" t="s">
        <v>62</v>
      </c>
      <c r="Z690" s="131">
        <v>455752</v>
      </c>
      <c r="AA690" s="129">
        <v>1</v>
      </c>
      <c r="AB690" s="157">
        <v>102.87</v>
      </c>
      <c r="AD690" s="131">
        <v>468.83199999999999</v>
      </c>
      <c r="AG690" s="6" t="s">
        <v>17</v>
      </c>
      <c r="AH690" s="132">
        <v>1.519E-3</v>
      </c>
      <c r="AI690" s="132">
        <v>1.57665078378944E-3</v>
      </c>
      <c r="AJ690" s="132">
        <v>2.4457052023165501E-4</v>
      </c>
    </row>
    <row r="691" spans="1:36" x14ac:dyDescent="0.2">
      <c r="A691" s="6">
        <v>559</v>
      </c>
      <c r="B691" s="6">
        <v>7205</v>
      </c>
      <c r="C691" s="6" t="s">
        <v>2115</v>
      </c>
      <c r="D691" s="6" t="s">
        <v>2116</v>
      </c>
      <c r="E691" s="3" t="s">
        <v>1477</v>
      </c>
      <c r="F691" s="6" t="s">
        <v>2117</v>
      </c>
      <c r="G691" s="6" t="s">
        <v>2118</v>
      </c>
      <c r="H691" s="6" t="s">
        <v>76</v>
      </c>
      <c r="I691" s="6" t="s">
        <v>228</v>
      </c>
      <c r="J691" s="6" t="s">
        <v>53</v>
      </c>
      <c r="K691" s="6" t="s">
        <v>53</v>
      </c>
      <c r="L691" s="6" t="s">
        <v>805</v>
      </c>
      <c r="M691" s="6" t="s">
        <v>311</v>
      </c>
      <c r="N691" s="6" t="s">
        <v>636</v>
      </c>
      <c r="O691" s="6" t="s">
        <v>62</v>
      </c>
      <c r="P691" s="6" t="s">
        <v>1527</v>
      </c>
      <c r="Q691" s="6" t="s">
        <v>70</v>
      </c>
      <c r="R691" s="6" t="s">
        <v>57</v>
      </c>
      <c r="S691" s="6" t="s">
        <v>1219</v>
      </c>
      <c r="T691" s="131">
        <v>0.121</v>
      </c>
      <c r="U691" s="6" t="s">
        <v>2119</v>
      </c>
      <c r="V691" s="134">
        <v>3.5000000000000003E-2</v>
      </c>
      <c r="W691" s="132">
        <v>2.7310000000000001E-2</v>
      </c>
      <c r="X691" s="3" t="s">
        <v>620</v>
      </c>
      <c r="Y691" s="3" t="s">
        <v>62</v>
      </c>
      <c r="Z691" s="131">
        <v>36549</v>
      </c>
      <c r="AA691" s="129">
        <v>1</v>
      </c>
      <c r="AB691" s="157">
        <v>101.42</v>
      </c>
      <c r="AD691" s="131">
        <v>37.067999999999998</v>
      </c>
      <c r="AG691" s="6" t="s">
        <v>17</v>
      </c>
      <c r="AH691" s="132">
        <v>7.6300000000000001E-4</v>
      </c>
      <c r="AI691" s="132">
        <v>1.24657178605176E-4</v>
      </c>
      <c r="AJ691" s="132">
        <v>1.93368571756915E-5</v>
      </c>
    </row>
    <row r="692" spans="1:36" x14ac:dyDescent="0.2">
      <c r="A692" s="6">
        <v>559</v>
      </c>
      <c r="B692" s="6">
        <v>7205</v>
      </c>
      <c r="C692" s="6" t="s">
        <v>2115</v>
      </c>
      <c r="D692" s="6" t="s">
        <v>2116</v>
      </c>
      <c r="E692" s="3" t="s">
        <v>1477</v>
      </c>
      <c r="F692" s="6" t="s">
        <v>2120</v>
      </c>
      <c r="G692" s="6" t="s">
        <v>2121</v>
      </c>
      <c r="H692" s="6" t="s">
        <v>76</v>
      </c>
      <c r="I692" s="6" t="s">
        <v>228</v>
      </c>
      <c r="J692" s="6" t="s">
        <v>53</v>
      </c>
      <c r="K692" s="6" t="s">
        <v>53</v>
      </c>
      <c r="L692" s="6" t="s">
        <v>805</v>
      </c>
      <c r="M692" s="6" t="s">
        <v>311</v>
      </c>
      <c r="N692" s="6" t="s">
        <v>636</v>
      </c>
      <c r="O692" s="6" t="s">
        <v>62</v>
      </c>
      <c r="P692" s="6" t="s">
        <v>1527</v>
      </c>
      <c r="Q692" s="6" t="s">
        <v>70</v>
      </c>
      <c r="R692" s="6" t="s">
        <v>57</v>
      </c>
      <c r="S692" s="6" t="s">
        <v>1219</v>
      </c>
      <c r="T692" s="131">
        <v>1.014</v>
      </c>
      <c r="U692" s="6" t="s">
        <v>1578</v>
      </c>
      <c r="V692" s="134">
        <v>4.99E-2</v>
      </c>
      <c r="W692" s="132">
        <v>4.6120000000000001E-2</v>
      </c>
      <c r="X692" s="3" t="s">
        <v>620</v>
      </c>
      <c r="Y692" s="3" t="s">
        <v>62</v>
      </c>
      <c r="Z692" s="131">
        <v>927607.11</v>
      </c>
      <c r="AA692" s="129">
        <v>1</v>
      </c>
      <c r="AB692" s="157">
        <v>101.69</v>
      </c>
      <c r="AD692" s="131">
        <v>943.28399999999999</v>
      </c>
      <c r="AG692" s="6" t="s">
        <v>17</v>
      </c>
      <c r="AH692" s="132">
        <v>3.748E-3</v>
      </c>
      <c r="AI692" s="132">
        <v>3.1721995864248099E-3</v>
      </c>
      <c r="AJ692" s="132">
        <v>4.9207250654826696E-4</v>
      </c>
    </row>
    <row r="693" spans="1:36" x14ac:dyDescent="0.2">
      <c r="A693" s="6">
        <v>559</v>
      </c>
      <c r="B693" s="6">
        <v>7205</v>
      </c>
      <c r="C693" s="6" t="s">
        <v>2122</v>
      </c>
      <c r="D693" s="6" t="s">
        <v>2123</v>
      </c>
      <c r="E693" s="3" t="s">
        <v>1477</v>
      </c>
      <c r="F693" s="6" t="s">
        <v>2124</v>
      </c>
      <c r="G693" s="6" t="s">
        <v>2125</v>
      </c>
      <c r="H693" s="6" t="s">
        <v>76</v>
      </c>
      <c r="I693" s="6" t="s">
        <v>228</v>
      </c>
      <c r="J693" s="6" t="s">
        <v>53</v>
      </c>
      <c r="K693" s="6" t="s">
        <v>53</v>
      </c>
      <c r="L693" s="6" t="s">
        <v>805</v>
      </c>
      <c r="M693" s="6" t="s">
        <v>311</v>
      </c>
      <c r="N693" s="6" t="s">
        <v>259</v>
      </c>
      <c r="O693" s="6" t="s">
        <v>62</v>
      </c>
      <c r="P693" s="6" t="s">
        <v>1527</v>
      </c>
      <c r="Q693" s="6" t="s">
        <v>70</v>
      </c>
      <c r="R693" s="6" t="s">
        <v>57</v>
      </c>
      <c r="S693" s="6" t="s">
        <v>1219</v>
      </c>
      <c r="T693" s="131">
        <v>0.98399999999999999</v>
      </c>
      <c r="U693" s="6" t="s">
        <v>1516</v>
      </c>
      <c r="V693" s="134">
        <v>3.2500000000000001E-2</v>
      </c>
      <c r="W693" s="132">
        <v>4.8820000000000002E-2</v>
      </c>
      <c r="X693" s="3" t="s">
        <v>620</v>
      </c>
      <c r="Y693" s="3" t="s">
        <v>62</v>
      </c>
      <c r="Z693" s="131">
        <v>314460.67</v>
      </c>
      <c r="AA693" s="129">
        <v>1</v>
      </c>
      <c r="AB693" s="157">
        <v>98.5</v>
      </c>
      <c r="AD693" s="131">
        <v>309.74400000000003</v>
      </c>
      <c r="AG693" s="6" t="s">
        <v>17</v>
      </c>
      <c r="AH693" s="132">
        <v>1.9840000000000001E-3</v>
      </c>
      <c r="AI693" s="132">
        <v>1.04164744741678E-3</v>
      </c>
      <c r="AJ693" s="132">
        <v>1.6158064977483399E-4</v>
      </c>
    </row>
    <row r="694" spans="1:36" x14ac:dyDescent="0.2">
      <c r="A694" s="6">
        <v>559</v>
      </c>
      <c r="B694" s="6">
        <v>7205</v>
      </c>
      <c r="C694" s="6" t="s">
        <v>2126</v>
      </c>
      <c r="D694" s="6" t="s">
        <v>2127</v>
      </c>
      <c r="E694" s="3" t="s">
        <v>1477</v>
      </c>
      <c r="F694" s="6" t="s">
        <v>2128</v>
      </c>
      <c r="G694" s="6" t="s">
        <v>2129</v>
      </c>
      <c r="H694" s="6" t="s">
        <v>76</v>
      </c>
      <c r="I694" s="6" t="s">
        <v>229</v>
      </c>
      <c r="J694" s="6" t="s">
        <v>53</v>
      </c>
      <c r="K694" s="6" t="s">
        <v>53</v>
      </c>
      <c r="L694" s="6" t="s">
        <v>805</v>
      </c>
      <c r="M694" s="6" t="s">
        <v>311</v>
      </c>
      <c r="N694" s="6" t="s">
        <v>140</v>
      </c>
      <c r="O694" s="6" t="s">
        <v>62</v>
      </c>
      <c r="P694" s="6" t="s">
        <v>298</v>
      </c>
      <c r="Q694" s="6" t="s">
        <v>298</v>
      </c>
      <c r="R694" s="6" t="s">
        <v>298</v>
      </c>
      <c r="S694" s="6" t="s">
        <v>1219</v>
      </c>
      <c r="T694" s="131">
        <v>0.93500000000000005</v>
      </c>
      <c r="U694" s="6" t="s">
        <v>1629</v>
      </c>
      <c r="V694" s="134">
        <v>2.8500000000000001E-2</v>
      </c>
      <c r="W694" s="132">
        <v>1E-4</v>
      </c>
      <c r="X694" s="3" t="s">
        <v>620</v>
      </c>
      <c r="Y694" s="3" t="s">
        <v>62</v>
      </c>
      <c r="Z694" s="131">
        <v>1903802.99</v>
      </c>
      <c r="AA694" s="129">
        <v>1</v>
      </c>
      <c r="AB694" s="157">
        <v>122.1</v>
      </c>
      <c r="AD694" s="131">
        <v>2324.5430000000001</v>
      </c>
      <c r="AG694" s="6" t="s">
        <v>17</v>
      </c>
      <c r="AH694" s="132">
        <v>1.5443E-2</v>
      </c>
      <c r="AI694" s="132">
        <v>7.8172833968169902E-3</v>
      </c>
      <c r="AJ694" s="132">
        <v>1.2126192349092501E-3</v>
      </c>
    </row>
    <row r="695" spans="1:36" x14ac:dyDescent="0.2">
      <c r="A695" s="6">
        <v>559</v>
      </c>
      <c r="B695" s="6">
        <v>7205</v>
      </c>
      <c r="C695" s="6" t="s">
        <v>2126</v>
      </c>
      <c r="D695" s="6" t="s">
        <v>2127</v>
      </c>
      <c r="E695" s="3" t="s">
        <v>1477</v>
      </c>
      <c r="F695" s="6" t="s">
        <v>2385</v>
      </c>
      <c r="G695" s="6" t="s">
        <v>2386</v>
      </c>
      <c r="H695" s="6" t="s">
        <v>76</v>
      </c>
      <c r="I695" s="6" t="s">
        <v>229</v>
      </c>
      <c r="J695" s="6" t="s">
        <v>53</v>
      </c>
      <c r="K695" s="6" t="s">
        <v>53</v>
      </c>
      <c r="L695" s="6" t="s">
        <v>805</v>
      </c>
      <c r="M695" s="6" t="s">
        <v>311</v>
      </c>
      <c r="N695" s="6" t="s">
        <v>140</v>
      </c>
      <c r="O695" s="6" t="s">
        <v>62</v>
      </c>
      <c r="P695" s="6" t="s">
        <v>298</v>
      </c>
      <c r="Q695" s="6" t="s">
        <v>298</v>
      </c>
      <c r="R695" s="6" t="s">
        <v>298</v>
      </c>
      <c r="S695" s="6" t="s">
        <v>1219</v>
      </c>
      <c r="T695" s="131">
        <v>2.7589999999999999</v>
      </c>
      <c r="U695" s="6" t="s">
        <v>2144</v>
      </c>
      <c r="V695" s="134">
        <v>3.7900000000000003E-2</v>
      </c>
      <c r="W695" s="132">
        <v>2.7040000000000002E-2</v>
      </c>
      <c r="X695" s="3" t="s">
        <v>620</v>
      </c>
      <c r="Y695" s="3" t="s">
        <v>62</v>
      </c>
      <c r="Z695" s="131">
        <v>704180.29</v>
      </c>
      <c r="AA695" s="129">
        <v>1</v>
      </c>
      <c r="AB695" s="157">
        <v>114.2</v>
      </c>
      <c r="AD695" s="131">
        <v>804.17399999999998</v>
      </c>
      <c r="AG695" s="6" t="s">
        <v>17</v>
      </c>
      <c r="AH695" s="132">
        <v>5.96E-3</v>
      </c>
      <c r="AI695" s="132">
        <v>2.70438274902483E-3</v>
      </c>
      <c r="AJ695" s="132">
        <v>4.1950462501583901E-4</v>
      </c>
    </row>
    <row r="696" spans="1:36" x14ac:dyDescent="0.2">
      <c r="A696" s="6">
        <v>559</v>
      </c>
      <c r="B696" s="6">
        <v>7205</v>
      </c>
      <c r="C696" s="6" t="s">
        <v>2130</v>
      </c>
      <c r="D696" s="6" t="s">
        <v>2131</v>
      </c>
      <c r="E696" s="3" t="s">
        <v>1477</v>
      </c>
      <c r="F696" s="6" t="s">
        <v>2132</v>
      </c>
      <c r="G696" s="6" t="s">
        <v>2133</v>
      </c>
      <c r="H696" s="6" t="s">
        <v>76</v>
      </c>
      <c r="I696" s="6" t="s">
        <v>228</v>
      </c>
      <c r="J696" s="6" t="s">
        <v>53</v>
      </c>
      <c r="K696" s="6" t="s">
        <v>53</v>
      </c>
      <c r="L696" s="6" t="s">
        <v>805</v>
      </c>
      <c r="M696" s="6" t="s">
        <v>311</v>
      </c>
      <c r="N696" s="6" t="s">
        <v>140</v>
      </c>
      <c r="O696" s="6" t="s">
        <v>62</v>
      </c>
      <c r="P696" s="6" t="s">
        <v>1515</v>
      </c>
      <c r="Q696" s="6" t="s">
        <v>65</v>
      </c>
      <c r="R696" s="6" t="s">
        <v>57</v>
      </c>
      <c r="S696" s="6" t="s">
        <v>1219</v>
      </c>
      <c r="T696" s="131">
        <v>0.499</v>
      </c>
      <c r="U696" s="6" t="s">
        <v>1499</v>
      </c>
      <c r="V696" s="134">
        <v>4.9500000000000002E-2</v>
      </c>
      <c r="W696" s="132">
        <v>6.0859999999999997E-2</v>
      </c>
      <c r="X696" s="3" t="s">
        <v>620</v>
      </c>
      <c r="Y696" s="3" t="s">
        <v>62</v>
      </c>
      <c r="Z696" s="131">
        <v>139700</v>
      </c>
      <c r="AA696" s="129">
        <v>1</v>
      </c>
      <c r="AB696" s="157">
        <v>99.5</v>
      </c>
      <c r="AD696" s="131">
        <v>139.001</v>
      </c>
      <c r="AG696" s="6" t="s">
        <v>17</v>
      </c>
      <c r="AH696" s="132">
        <v>6.3499999999999997E-3</v>
      </c>
      <c r="AI696" s="132">
        <v>4.67452702470831E-4</v>
      </c>
      <c r="AJ696" s="132">
        <v>7.2511396818138106E-5</v>
      </c>
    </row>
    <row r="697" spans="1:36" x14ac:dyDescent="0.2">
      <c r="A697" s="6">
        <v>559</v>
      </c>
      <c r="B697" s="6">
        <v>7205</v>
      </c>
      <c r="C697" s="6" t="s">
        <v>2134</v>
      </c>
      <c r="D697" s="6" t="s">
        <v>2135</v>
      </c>
      <c r="E697" s="3" t="s">
        <v>1477</v>
      </c>
      <c r="F697" s="6" t="s">
        <v>2136</v>
      </c>
      <c r="G697" s="6" t="s">
        <v>2137</v>
      </c>
      <c r="H697" s="6" t="s">
        <v>76</v>
      </c>
      <c r="I697" s="6" t="s">
        <v>228</v>
      </c>
      <c r="J697" s="6" t="s">
        <v>53</v>
      </c>
      <c r="K697" s="6" t="s">
        <v>53</v>
      </c>
      <c r="L697" s="6" t="s">
        <v>805</v>
      </c>
      <c r="M697" s="6" t="s">
        <v>102</v>
      </c>
      <c r="N697" s="6" t="s">
        <v>692</v>
      </c>
      <c r="O697" s="6" t="s">
        <v>62</v>
      </c>
      <c r="P697" s="6" t="s">
        <v>1493</v>
      </c>
      <c r="Q697" s="6" t="s">
        <v>65</v>
      </c>
      <c r="R697" s="6" t="s">
        <v>57</v>
      </c>
      <c r="S697" s="6" t="s">
        <v>1219</v>
      </c>
      <c r="T697" s="131">
        <v>4.9429999999999996</v>
      </c>
      <c r="U697" s="6" t="s">
        <v>1522</v>
      </c>
      <c r="V697" s="134">
        <v>5.8799999999999998E-2</v>
      </c>
      <c r="W697" s="132">
        <v>5.5820000000000002E-2</v>
      </c>
      <c r="X697" s="3" t="s">
        <v>620</v>
      </c>
      <c r="Y697" s="3" t="s">
        <v>62</v>
      </c>
      <c r="Z697" s="131">
        <v>812000</v>
      </c>
      <c r="AA697" s="129">
        <v>1</v>
      </c>
      <c r="AB697" s="157">
        <v>103.90900000000001</v>
      </c>
      <c r="AD697" s="131">
        <v>843.74199999999996</v>
      </c>
      <c r="AG697" s="6" t="s">
        <v>17</v>
      </c>
      <c r="AH697" s="132">
        <v>0</v>
      </c>
      <c r="AI697" s="132">
        <v>2.8374462071489599E-3</v>
      </c>
      <c r="AJ697" s="132">
        <v>4.4014546667325703E-4</v>
      </c>
    </row>
    <row r="698" spans="1:36" x14ac:dyDescent="0.2">
      <c r="A698" s="6">
        <v>559</v>
      </c>
      <c r="B698" s="6">
        <v>7205</v>
      </c>
      <c r="C698" s="6" t="s">
        <v>2387</v>
      </c>
      <c r="D698" s="6" t="s">
        <v>2388</v>
      </c>
      <c r="E698" s="3" t="s">
        <v>767</v>
      </c>
      <c r="F698" s="6" t="s">
        <v>2389</v>
      </c>
      <c r="G698" s="6" t="s">
        <v>2390</v>
      </c>
      <c r="H698" s="6" t="s">
        <v>76</v>
      </c>
      <c r="I698" s="6" t="s">
        <v>229</v>
      </c>
      <c r="J698" s="6" t="s">
        <v>53</v>
      </c>
      <c r="K698" s="6" t="s">
        <v>53</v>
      </c>
      <c r="L698" s="6" t="s">
        <v>805</v>
      </c>
      <c r="M698" s="6" t="s">
        <v>311</v>
      </c>
      <c r="N698" s="6" t="s">
        <v>692</v>
      </c>
      <c r="O698" s="6" t="s">
        <v>62</v>
      </c>
      <c r="P698" s="6" t="s">
        <v>298</v>
      </c>
      <c r="Q698" s="6" t="s">
        <v>298</v>
      </c>
      <c r="R698" s="6" t="s">
        <v>298</v>
      </c>
      <c r="S698" s="6" t="s">
        <v>1219</v>
      </c>
      <c r="T698" s="131">
        <v>1.4990000000000001</v>
      </c>
      <c r="U698" s="6" t="s">
        <v>1516</v>
      </c>
      <c r="V698" s="134">
        <v>6.8000000000000005E-2</v>
      </c>
      <c r="W698" s="132">
        <v>1E-4</v>
      </c>
      <c r="X698" s="3" t="s">
        <v>620</v>
      </c>
      <c r="Y698" s="3" t="s">
        <v>55</v>
      </c>
      <c r="Z698" s="131">
        <v>1027297.76</v>
      </c>
      <c r="AA698" s="129">
        <v>1</v>
      </c>
      <c r="AB698" s="157">
        <v>25.91</v>
      </c>
      <c r="AD698" s="131">
        <v>266.173</v>
      </c>
      <c r="AG698" s="6" t="s">
        <v>17</v>
      </c>
      <c r="AH698" s="132">
        <v>2.2620000000000001E-3</v>
      </c>
      <c r="AI698" s="132">
        <v>8.9512140428240998E-4</v>
      </c>
      <c r="AJ698" s="132">
        <v>1.3885148808264901E-4</v>
      </c>
    </row>
    <row r="699" spans="1:36" x14ac:dyDescent="0.2">
      <c r="A699" s="6">
        <v>559</v>
      </c>
      <c r="B699" s="6">
        <v>7205</v>
      </c>
      <c r="C699" s="6" t="s">
        <v>2138</v>
      </c>
      <c r="D699" s="6" t="s">
        <v>2139</v>
      </c>
      <c r="E699" s="3" t="s">
        <v>1477</v>
      </c>
      <c r="F699" s="6" t="s">
        <v>2140</v>
      </c>
      <c r="G699" s="6" t="s">
        <v>2141</v>
      </c>
      <c r="H699" s="6" t="s">
        <v>76</v>
      </c>
      <c r="I699" s="6" t="s">
        <v>228</v>
      </c>
      <c r="J699" s="6" t="s">
        <v>53</v>
      </c>
      <c r="K699" s="6" t="s">
        <v>53</v>
      </c>
      <c r="L699" s="6" t="s">
        <v>805</v>
      </c>
      <c r="M699" s="6" t="s">
        <v>311</v>
      </c>
      <c r="N699" s="6" t="s">
        <v>75</v>
      </c>
      <c r="O699" s="6" t="s">
        <v>62</v>
      </c>
      <c r="P699" s="6" t="s">
        <v>1577</v>
      </c>
      <c r="Q699" s="6" t="s">
        <v>65</v>
      </c>
      <c r="R699" s="6" t="s">
        <v>57</v>
      </c>
      <c r="S699" s="6" t="s">
        <v>1219</v>
      </c>
      <c r="T699" s="131">
        <v>0.65700000000000003</v>
      </c>
      <c r="U699" s="6" t="s">
        <v>1621</v>
      </c>
      <c r="V699" s="134">
        <v>2.75E-2</v>
      </c>
      <c r="W699" s="132">
        <v>5.0619999999999998E-2</v>
      </c>
      <c r="X699" s="3" t="s">
        <v>620</v>
      </c>
      <c r="Y699" s="3" t="s">
        <v>62</v>
      </c>
      <c r="Z699" s="131">
        <v>530036.64</v>
      </c>
      <c r="AA699" s="129">
        <v>1</v>
      </c>
      <c r="AB699" s="157">
        <v>99.46</v>
      </c>
      <c r="AD699" s="131">
        <v>527.17399999999998</v>
      </c>
      <c r="AG699" s="6" t="s">
        <v>17</v>
      </c>
      <c r="AH699" s="132">
        <v>3.9090000000000001E-3</v>
      </c>
      <c r="AI699" s="132">
        <v>1.7728522185283301E-3</v>
      </c>
      <c r="AJ699" s="132">
        <v>2.75005342868129E-4</v>
      </c>
    </row>
    <row r="700" spans="1:36" x14ac:dyDescent="0.2">
      <c r="A700" s="6">
        <v>559</v>
      </c>
      <c r="B700" s="6">
        <v>7205</v>
      </c>
      <c r="C700" s="6" t="s">
        <v>2138</v>
      </c>
      <c r="D700" s="6" t="s">
        <v>2139</v>
      </c>
      <c r="E700" s="3" t="s">
        <v>1477</v>
      </c>
      <c r="F700" s="6" t="s">
        <v>2142</v>
      </c>
      <c r="G700" s="6" t="s">
        <v>2143</v>
      </c>
      <c r="H700" s="6" t="s">
        <v>76</v>
      </c>
      <c r="I700" s="6" t="s">
        <v>228</v>
      </c>
      <c r="J700" s="6" t="s">
        <v>53</v>
      </c>
      <c r="K700" s="6" t="s">
        <v>53</v>
      </c>
      <c r="L700" s="6" t="s">
        <v>805</v>
      </c>
      <c r="M700" s="6" t="s">
        <v>311</v>
      </c>
      <c r="N700" s="6" t="s">
        <v>75</v>
      </c>
      <c r="O700" s="6" t="s">
        <v>62</v>
      </c>
      <c r="P700" s="6" t="s">
        <v>1577</v>
      </c>
      <c r="Q700" s="6" t="s">
        <v>65</v>
      </c>
      <c r="R700" s="6" t="s">
        <v>57</v>
      </c>
      <c r="S700" s="6" t="s">
        <v>1219</v>
      </c>
      <c r="T700" s="131">
        <v>1.694</v>
      </c>
      <c r="U700" s="6" t="s">
        <v>2144</v>
      </c>
      <c r="V700" s="134">
        <v>2.1499999999999998E-2</v>
      </c>
      <c r="W700" s="132">
        <v>4.9500000000000002E-2</v>
      </c>
      <c r="X700" s="3" t="s">
        <v>620</v>
      </c>
      <c r="Y700" s="3" t="s">
        <v>62</v>
      </c>
      <c r="Z700" s="131">
        <v>916992.52</v>
      </c>
      <c r="AA700" s="129">
        <v>1</v>
      </c>
      <c r="AB700" s="157">
        <v>95.52</v>
      </c>
      <c r="AC700" s="131">
        <v>75.682000000000002</v>
      </c>
      <c r="AD700" s="131">
        <v>951.59400000000005</v>
      </c>
      <c r="AG700" s="6" t="s">
        <v>17</v>
      </c>
      <c r="AH700" s="132">
        <v>1.2999999999999999E-3</v>
      </c>
      <c r="AI700" s="132">
        <v>3.2001455745550599E-3</v>
      </c>
      <c r="AJ700" s="132">
        <v>4.9640749621476397E-4</v>
      </c>
    </row>
    <row r="701" spans="1:36" x14ac:dyDescent="0.2">
      <c r="A701" s="6">
        <v>559</v>
      </c>
      <c r="B701" s="6">
        <v>7205</v>
      </c>
      <c r="C701" s="6" t="s">
        <v>2145</v>
      </c>
      <c r="D701" s="6" t="s">
        <v>2146</v>
      </c>
      <c r="E701" s="3" t="s">
        <v>1477</v>
      </c>
      <c r="F701" s="6" t="s">
        <v>2147</v>
      </c>
      <c r="G701" s="6" t="s">
        <v>2148</v>
      </c>
      <c r="H701" s="6" t="s">
        <v>76</v>
      </c>
      <c r="I701" s="6" t="s">
        <v>229</v>
      </c>
      <c r="J701" s="6" t="s">
        <v>53</v>
      </c>
      <c r="K701" s="6" t="s">
        <v>53</v>
      </c>
      <c r="L701" s="6" t="s">
        <v>805</v>
      </c>
      <c r="M701" s="6" t="s">
        <v>311</v>
      </c>
      <c r="N701" s="6" t="s">
        <v>635</v>
      </c>
      <c r="O701" s="6" t="s">
        <v>62</v>
      </c>
      <c r="P701" s="6" t="s">
        <v>1533</v>
      </c>
      <c r="Q701" s="6" t="s">
        <v>65</v>
      </c>
      <c r="R701" s="6" t="s">
        <v>57</v>
      </c>
      <c r="S701" s="6" t="s">
        <v>1219</v>
      </c>
      <c r="T701" s="131">
        <v>0.91700000000000004</v>
      </c>
      <c r="U701" s="6" t="s">
        <v>2149</v>
      </c>
      <c r="V701" s="134">
        <v>1.6E-2</v>
      </c>
      <c r="W701" s="132">
        <v>2.7320000000000001E-2</v>
      </c>
      <c r="X701" s="3" t="s">
        <v>620</v>
      </c>
      <c r="Y701" s="3" t="s">
        <v>62</v>
      </c>
      <c r="Z701" s="131">
        <v>1145918.54</v>
      </c>
      <c r="AA701" s="129">
        <v>1</v>
      </c>
      <c r="AB701" s="157">
        <v>117.65</v>
      </c>
      <c r="AD701" s="131">
        <v>1348.173</v>
      </c>
      <c r="AG701" s="6" t="s">
        <v>17</v>
      </c>
      <c r="AH701" s="132">
        <v>4.0400000000000002E-3</v>
      </c>
      <c r="AI701" s="132">
        <v>4.5338157366679897E-3</v>
      </c>
      <c r="AJ701" s="132">
        <v>7.0328679296140402E-4</v>
      </c>
    </row>
    <row r="702" spans="1:36" x14ac:dyDescent="0.2">
      <c r="A702" s="6">
        <v>559</v>
      </c>
      <c r="B702" s="6">
        <v>7205</v>
      </c>
      <c r="C702" s="6" t="s">
        <v>2145</v>
      </c>
      <c r="D702" s="6" t="s">
        <v>2146</v>
      </c>
      <c r="E702" s="3" t="s">
        <v>1477</v>
      </c>
      <c r="F702" s="6" t="s">
        <v>2150</v>
      </c>
      <c r="G702" s="6" t="s">
        <v>2151</v>
      </c>
      <c r="H702" s="6" t="s">
        <v>76</v>
      </c>
      <c r="I702" s="6" t="s">
        <v>229</v>
      </c>
      <c r="J702" s="6" t="s">
        <v>53</v>
      </c>
      <c r="K702" s="6" t="s">
        <v>53</v>
      </c>
      <c r="L702" s="6" t="s">
        <v>805</v>
      </c>
      <c r="M702" s="6" t="s">
        <v>311</v>
      </c>
      <c r="N702" s="6" t="s">
        <v>635</v>
      </c>
      <c r="O702" s="6" t="s">
        <v>62</v>
      </c>
      <c r="P702" s="6" t="s">
        <v>1533</v>
      </c>
      <c r="Q702" s="6" t="s">
        <v>65</v>
      </c>
      <c r="R702" s="6" t="s">
        <v>57</v>
      </c>
      <c r="S702" s="6" t="s">
        <v>1219</v>
      </c>
      <c r="T702" s="131">
        <v>2.0529999999999999</v>
      </c>
      <c r="U702" s="6" t="s">
        <v>1311</v>
      </c>
      <c r="V702" s="134">
        <v>1.4200000000000001E-2</v>
      </c>
      <c r="W702" s="132">
        <v>2.8410000000000001E-2</v>
      </c>
      <c r="X702" s="3" t="s">
        <v>620</v>
      </c>
      <c r="Y702" s="3" t="s">
        <v>62</v>
      </c>
      <c r="Z702" s="131">
        <v>1580851.74</v>
      </c>
      <c r="AA702" s="129">
        <v>1</v>
      </c>
      <c r="AB702" s="157">
        <v>114.01</v>
      </c>
      <c r="AD702" s="131">
        <v>1802.329</v>
      </c>
      <c r="AG702" s="6" t="s">
        <v>17</v>
      </c>
      <c r="AH702" s="132">
        <v>1.557E-3</v>
      </c>
      <c r="AI702" s="132">
        <v>6.0611115271428199E-3</v>
      </c>
      <c r="AJ702" s="132">
        <v>9.4020135252307995E-4</v>
      </c>
    </row>
    <row r="703" spans="1:36" x14ac:dyDescent="0.2">
      <c r="A703" s="6">
        <v>559</v>
      </c>
      <c r="B703" s="6">
        <v>7205</v>
      </c>
      <c r="C703" s="6" t="s">
        <v>2152</v>
      </c>
      <c r="D703" s="6" t="s">
        <v>2153</v>
      </c>
      <c r="E703" s="3" t="s">
        <v>1477</v>
      </c>
      <c r="F703" s="6" t="s">
        <v>2154</v>
      </c>
      <c r="G703" s="6" t="s">
        <v>2155</v>
      </c>
      <c r="H703" s="6" t="s">
        <v>76</v>
      </c>
      <c r="I703" s="6" t="s">
        <v>228</v>
      </c>
      <c r="J703" s="6" t="s">
        <v>53</v>
      </c>
      <c r="K703" s="6" t="s">
        <v>53</v>
      </c>
      <c r="L703" s="6" t="s">
        <v>805</v>
      </c>
      <c r="M703" s="6" t="s">
        <v>311</v>
      </c>
      <c r="N703" s="6" t="s">
        <v>140</v>
      </c>
      <c r="O703" s="6" t="s">
        <v>62</v>
      </c>
      <c r="P703" s="6" t="s">
        <v>1604</v>
      </c>
      <c r="Q703" s="6" t="s">
        <v>70</v>
      </c>
      <c r="R703" s="6" t="s">
        <v>57</v>
      </c>
      <c r="S703" s="6" t="s">
        <v>1219</v>
      </c>
      <c r="T703" s="131">
        <v>3.3000000000000002E-2</v>
      </c>
      <c r="U703" s="6" t="s">
        <v>2156</v>
      </c>
      <c r="V703" s="134">
        <v>4.3499999999999997E-2</v>
      </c>
      <c r="W703" s="132">
        <v>9.1929999999999998E-2</v>
      </c>
      <c r="X703" s="3" t="s">
        <v>620</v>
      </c>
      <c r="Y703" s="3" t="s">
        <v>62</v>
      </c>
      <c r="Z703" s="131">
        <v>142090.07999999999</v>
      </c>
      <c r="AA703" s="129">
        <v>1</v>
      </c>
      <c r="AB703" s="157">
        <v>101.88</v>
      </c>
      <c r="AD703" s="131">
        <v>144.761</v>
      </c>
      <c r="AG703" s="6" t="s">
        <v>17</v>
      </c>
      <c r="AH703" s="132">
        <v>5.9199999999999999E-3</v>
      </c>
      <c r="AI703" s="132">
        <v>4.8682276995452698E-4</v>
      </c>
      <c r="AJ703" s="132">
        <v>7.5516087222708006E-5</v>
      </c>
    </row>
    <row r="704" spans="1:36" x14ac:dyDescent="0.2">
      <c r="A704" s="6">
        <v>559</v>
      </c>
      <c r="B704" s="6">
        <v>7205</v>
      </c>
      <c r="C704" s="6" t="s">
        <v>2157</v>
      </c>
      <c r="D704" s="6" t="s">
        <v>2158</v>
      </c>
      <c r="E704" s="3" t="s">
        <v>1477</v>
      </c>
      <c r="F704" s="6" t="s">
        <v>2159</v>
      </c>
      <c r="G704" s="6" t="s">
        <v>2160</v>
      </c>
      <c r="H704" s="6" t="s">
        <v>76</v>
      </c>
      <c r="I704" s="6" t="s">
        <v>229</v>
      </c>
      <c r="J704" s="6" t="s">
        <v>53</v>
      </c>
      <c r="K704" s="6" t="s">
        <v>53</v>
      </c>
      <c r="L704" s="6" t="s">
        <v>805</v>
      </c>
      <c r="M704" s="6" t="s">
        <v>311</v>
      </c>
      <c r="N704" s="6" t="s">
        <v>635</v>
      </c>
      <c r="O704" s="6" t="s">
        <v>62</v>
      </c>
      <c r="P704" s="6" t="s">
        <v>1533</v>
      </c>
      <c r="Q704" s="6" t="s">
        <v>65</v>
      </c>
      <c r="R704" s="6" t="s">
        <v>57</v>
      </c>
      <c r="S704" s="6" t="s">
        <v>1219</v>
      </c>
      <c r="T704" s="131">
        <v>3.0139999999999998</v>
      </c>
      <c r="U704" s="6" t="s">
        <v>2161</v>
      </c>
      <c r="V704" s="134">
        <v>3.5000000000000003E-2</v>
      </c>
      <c r="W704" s="132">
        <v>2.8129999999999999E-2</v>
      </c>
      <c r="X704" s="3" t="s">
        <v>620</v>
      </c>
      <c r="Y704" s="3" t="s">
        <v>62</v>
      </c>
      <c r="Z704" s="131">
        <v>2538976.75</v>
      </c>
      <c r="AA704" s="129">
        <v>1</v>
      </c>
      <c r="AB704" s="157">
        <v>122.62</v>
      </c>
      <c r="AD704" s="131">
        <v>3113.2930000000001</v>
      </c>
      <c r="AG704" s="6" t="s">
        <v>17</v>
      </c>
      <c r="AH704" s="132">
        <v>3.1749999999999999E-3</v>
      </c>
      <c r="AI704" s="132">
        <v>1.04697960985467E-2</v>
      </c>
      <c r="AJ704" s="132">
        <v>1.6240777633627799E-3</v>
      </c>
    </row>
    <row r="705" spans="1:36" x14ac:dyDescent="0.2">
      <c r="A705" s="6">
        <v>559</v>
      </c>
      <c r="B705" s="6">
        <v>7205</v>
      </c>
      <c r="C705" s="6" t="s">
        <v>2157</v>
      </c>
      <c r="D705" s="6" t="s">
        <v>2158</v>
      </c>
      <c r="E705" s="3" t="s">
        <v>1477</v>
      </c>
      <c r="F705" s="6" t="s">
        <v>2162</v>
      </c>
      <c r="G705" s="6" t="s">
        <v>2163</v>
      </c>
      <c r="H705" s="6" t="s">
        <v>76</v>
      </c>
      <c r="I705" s="6" t="s">
        <v>229</v>
      </c>
      <c r="J705" s="6" t="s">
        <v>53</v>
      </c>
      <c r="K705" s="6" t="s">
        <v>53</v>
      </c>
      <c r="L705" s="6" t="s">
        <v>805</v>
      </c>
      <c r="M705" s="6" t="s">
        <v>311</v>
      </c>
      <c r="N705" s="6" t="s">
        <v>635</v>
      </c>
      <c r="O705" s="6" t="s">
        <v>62</v>
      </c>
      <c r="P705" s="6" t="s">
        <v>1533</v>
      </c>
      <c r="Q705" s="6" t="s">
        <v>65</v>
      </c>
      <c r="R705" s="6" t="s">
        <v>57</v>
      </c>
      <c r="S705" s="6" t="s">
        <v>1219</v>
      </c>
      <c r="T705" s="131">
        <v>1.6539999999999999</v>
      </c>
      <c r="U705" s="6" t="s">
        <v>2164</v>
      </c>
      <c r="V705" s="134">
        <v>0.04</v>
      </c>
      <c r="W705" s="132">
        <v>2.929E-2</v>
      </c>
      <c r="X705" s="3" t="s">
        <v>620</v>
      </c>
      <c r="Y705" s="3" t="s">
        <v>62</v>
      </c>
      <c r="Z705" s="131">
        <v>1498150.57</v>
      </c>
      <c r="AA705" s="129">
        <v>1</v>
      </c>
      <c r="AB705" s="157">
        <v>121.17</v>
      </c>
      <c r="AD705" s="131">
        <v>1815.309</v>
      </c>
      <c r="AG705" s="6" t="s">
        <v>17</v>
      </c>
      <c r="AH705" s="132">
        <v>1.779E-3</v>
      </c>
      <c r="AI705" s="132">
        <v>6.1047623170808899E-3</v>
      </c>
      <c r="AJ705" s="132">
        <v>9.4697247553487203E-4</v>
      </c>
    </row>
    <row r="706" spans="1:36" x14ac:dyDescent="0.2">
      <c r="A706" s="6">
        <v>559</v>
      </c>
      <c r="B706" s="6">
        <v>7205</v>
      </c>
      <c r="C706" s="6" t="s">
        <v>2165</v>
      </c>
      <c r="D706" s="6" t="s">
        <v>2166</v>
      </c>
      <c r="E706" s="3" t="s">
        <v>1477</v>
      </c>
      <c r="F706" s="6" t="s">
        <v>2167</v>
      </c>
      <c r="G706" s="6" t="s">
        <v>2168</v>
      </c>
      <c r="H706" s="6" t="s">
        <v>76</v>
      </c>
      <c r="I706" s="6" t="s">
        <v>228</v>
      </c>
      <c r="J706" s="6" t="s">
        <v>53</v>
      </c>
      <c r="K706" s="6" t="s">
        <v>53</v>
      </c>
      <c r="L706" s="6" t="s">
        <v>805</v>
      </c>
      <c r="M706" s="6" t="s">
        <v>102</v>
      </c>
      <c r="N706" s="6" t="s">
        <v>635</v>
      </c>
      <c r="O706" s="6" t="s">
        <v>62</v>
      </c>
      <c r="P706" s="6" t="s">
        <v>298</v>
      </c>
      <c r="Q706" s="6" t="s">
        <v>298</v>
      </c>
      <c r="R706" s="6" t="s">
        <v>298</v>
      </c>
      <c r="S706" s="6" t="s">
        <v>1219</v>
      </c>
      <c r="T706" s="131">
        <v>3.1549999999999998</v>
      </c>
      <c r="U706" s="6" t="s">
        <v>1713</v>
      </c>
      <c r="V706" s="134">
        <v>6.3500000000000001E-2</v>
      </c>
      <c r="W706" s="132">
        <v>6.0040000000000003E-2</v>
      </c>
      <c r="X706" s="3" t="s">
        <v>620</v>
      </c>
      <c r="Y706" s="3" t="s">
        <v>62</v>
      </c>
      <c r="Z706" s="131">
        <v>728000</v>
      </c>
      <c r="AA706" s="129">
        <v>1</v>
      </c>
      <c r="AB706" s="157">
        <v>101.72</v>
      </c>
      <c r="AD706" s="131">
        <v>740.52200000000005</v>
      </c>
      <c r="AG706" s="6" t="s">
        <v>17</v>
      </c>
      <c r="AH706" s="132">
        <v>3.7299999999999998E-3</v>
      </c>
      <c r="AI706" s="132">
        <v>2.49032437173717E-3</v>
      </c>
      <c r="AJ706" s="132">
        <v>3.86299828347194E-4</v>
      </c>
    </row>
    <row r="707" spans="1:36" x14ac:dyDescent="0.2">
      <c r="A707" s="6">
        <v>559</v>
      </c>
      <c r="B707" s="6">
        <v>7205</v>
      </c>
      <c r="C707" s="6" t="s">
        <v>2169</v>
      </c>
      <c r="D707" s="6" t="s">
        <v>2170</v>
      </c>
      <c r="E707" s="3" t="s">
        <v>1477</v>
      </c>
      <c r="F707" s="6" t="s">
        <v>2171</v>
      </c>
      <c r="G707" s="6" t="s">
        <v>2172</v>
      </c>
      <c r="H707" s="6" t="s">
        <v>76</v>
      </c>
      <c r="I707" s="6" t="s">
        <v>229</v>
      </c>
      <c r="J707" s="6" t="s">
        <v>53</v>
      </c>
      <c r="K707" s="6" t="s">
        <v>53</v>
      </c>
      <c r="L707" s="6" t="s">
        <v>805</v>
      </c>
      <c r="M707" s="6" t="s">
        <v>311</v>
      </c>
      <c r="N707" s="6" t="s">
        <v>258</v>
      </c>
      <c r="O707" s="6" t="s">
        <v>62</v>
      </c>
      <c r="P707" s="6" t="s">
        <v>1213</v>
      </c>
      <c r="Q707" s="6" t="s">
        <v>65</v>
      </c>
      <c r="R707" s="6" t="s">
        <v>57</v>
      </c>
      <c r="S707" s="6" t="s">
        <v>1219</v>
      </c>
      <c r="T707" s="131">
        <v>3.4020000000000001</v>
      </c>
      <c r="U707" s="6" t="s">
        <v>2173</v>
      </c>
      <c r="V707" s="134">
        <v>7.0000000000000001E-3</v>
      </c>
      <c r="W707" s="132">
        <v>2.5940000000000001E-2</v>
      </c>
      <c r="X707" s="3" t="s">
        <v>620</v>
      </c>
      <c r="Y707" s="3" t="s">
        <v>62</v>
      </c>
      <c r="Z707" s="131">
        <v>1142206.54</v>
      </c>
      <c r="AA707" s="129">
        <v>1</v>
      </c>
      <c r="AB707" s="157">
        <v>108.28</v>
      </c>
      <c r="AD707" s="131">
        <v>1236.7809999999999</v>
      </c>
      <c r="AG707" s="6" t="s">
        <v>17</v>
      </c>
      <c r="AH707" s="132">
        <v>1.9036999999999998E-2</v>
      </c>
      <c r="AI707" s="132">
        <v>4.15921219346564E-3</v>
      </c>
      <c r="AJ707" s="132">
        <v>6.4517818426783997E-4</v>
      </c>
    </row>
    <row r="708" spans="1:36" x14ac:dyDescent="0.2">
      <c r="A708" s="6">
        <v>559</v>
      </c>
      <c r="B708" s="6">
        <v>7205</v>
      </c>
      <c r="C708" s="6" t="s">
        <v>2391</v>
      </c>
      <c r="D708" s="6" t="s">
        <v>2392</v>
      </c>
      <c r="E708" s="3" t="s">
        <v>1477</v>
      </c>
      <c r="F708" s="6" t="s">
        <v>2393</v>
      </c>
      <c r="G708" s="6" t="s">
        <v>2394</v>
      </c>
      <c r="H708" s="6" t="s">
        <v>76</v>
      </c>
      <c r="I708" s="6" t="s">
        <v>230</v>
      </c>
      <c r="J708" s="6" t="s">
        <v>53</v>
      </c>
      <c r="K708" s="6" t="s">
        <v>53</v>
      </c>
      <c r="L708" s="6" t="s">
        <v>805</v>
      </c>
      <c r="M708" s="6" t="s">
        <v>311</v>
      </c>
      <c r="N708" s="6" t="s">
        <v>267</v>
      </c>
      <c r="O708" s="6" t="s">
        <v>62</v>
      </c>
      <c r="P708" s="6" t="s">
        <v>298</v>
      </c>
      <c r="Q708" s="6" t="s">
        <v>298</v>
      </c>
      <c r="R708" s="6" t="s">
        <v>298</v>
      </c>
      <c r="S708" s="6" t="s">
        <v>1219</v>
      </c>
      <c r="T708" s="131">
        <v>2.3260000000000001</v>
      </c>
      <c r="U708" s="6" t="s">
        <v>2395</v>
      </c>
      <c r="V708" s="134">
        <v>5.7000000000000002E-2</v>
      </c>
      <c r="W708" s="132">
        <v>6.6570000000000004E-2</v>
      </c>
      <c r="X708" s="3" t="s">
        <v>620</v>
      </c>
      <c r="Y708" s="3" t="s">
        <v>62</v>
      </c>
      <c r="Z708" s="131">
        <v>89624.52</v>
      </c>
      <c r="AA708" s="129">
        <v>1</v>
      </c>
      <c r="AB708" s="157">
        <v>102.58</v>
      </c>
      <c r="AD708" s="131">
        <v>91.936999999999998</v>
      </c>
      <c r="AG708" s="6" t="s">
        <v>17</v>
      </c>
      <c r="AH708" s="132">
        <v>2.8899999999999998E-4</v>
      </c>
      <c r="AI708" s="132">
        <v>3.09177389186143E-4</v>
      </c>
      <c r="AJ708" s="132">
        <v>4.7959684981971602E-5</v>
      </c>
    </row>
    <row r="709" spans="1:36" x14ac:dyDescent="0.2">
      <c r="A709" s="6">
        <v>559</v>
      </c>
      <c r="B709" s="6">
        <v>7205</v>
      </c>
      <c r="C709" s="6" t="s">
        <v>2174</v>
      </c>
      <c r="D709" s="6" t="s">
        <v>2175</v>
      </c>
      <c r="E709" s="3" t="s">
        <v>1477</v>
      </c>
      <c r="F709" s="6" t="s">
        <v>2176</v>
      </c>
      <c r="G709" s="6" t="s">
        <v>2177</v>
      </c>
      <c r="H709" s="6" t="s">
        <v>76</v>
      </c>
      <c r="I709" s="6" t="s">
        <v>228</v>
      </c>
      <c r="J709" s="6" t="s">
        <v>53</v>
      </c>
      <c r="K709" s="6" t="s">
        <v>53</v>
      </c>
      <c r="L709" s="6" t="s">
        <v>805</v>
      </c>
      <c r="M709" s="6" t="s">
        <v>311</v>
      </c>
      <c r="N709" s="6" t="s">
        <v>261</v>
      </c>
      <c r="O709" s="6" t="s">
        <v>62</v>
      </c>
      <c r="P709" s="6" t="s">
        <v>1339</v>
      </c>
      <c r="Q709" s="6" t="s">
        <v>65</v>
      </c>
      <c r="R709" s="6" t="s">
        <v>57</v>
      </c>
      <c r="S709" s="6" t="s">
        <v>1219</v>
      </c>
      <c r="T709" s="131">
        <v>1.468</v>
      </c>
      <c r="U709" s="6" t="s">
        <v>1644</v>
      </c>
      <c r="V709" s="134">
        <v>2.6100000000000002E-2</v>
      </c>
      <c r="W709" s="132">
        <v>4.471E-2</v>
      </c>
      <c r="X709" s="3" t="s">
        <v>620</v>
      </c>
      <c r="Y709" s="3" t="s">
        <v>62</v>
      </c>
      <c r="Z709" s="131">
        <v>2136619.89</v>
      </c>
      <c r="AA709" s="129">
        <v>1</v>
      </c>
      <c r="AB709" s="157">
        <v>97.43</v>
      </c>
      <c r="AD709" s="131">
        <v>2081.7089999999998</v>
      </c>
      <c r="AG709" s="6" t="s">
        <v>17</v>
      </c>
      <c r="AH709" s="132">
        <v>8.8570000000000003E-3</v>
      </c>
      <c r="AI709" s="132">
        <v>7.0006466482079796E-3</v>
      </c>
      <c r="AJ709" s="132">
        <v>1.08594230904773E-3</v>
      </c>
    </row>
    <row r="710" spans="1:36" x14ac:dyDescent="0.2">
      <c r="A710" s="6">
        <v>559</v>
      </c>
      <c r="B710" s="6">
        <v>7205</v>
      </c>
      <c r="C710" s="6" t="s">
        <v>2174</v>
      </c>
      <c r="D710" s="6" t="s">
        <v>2175</v>
      </c>
      <c r="E710" s="3" t="s">
        <v>1477</v>
      </c>
      <c r="F710" s="6" t="s">
        <v>2178</v>
      </c>
      <c r="G710" s="6" t="s">
        <v>2179</v>
      </c>
      <c r="H710" s="6" t="s">
        <v>76</v>
      </c>
      <c r="I710" s="6" t="s">
        <v>228</v>
      </c>
      <c r="J710" s="6" t="s">
        <v>53</v>
      </c>
      <c r="K710" s="6" t="s">
        <v>53</v>
      </c>
      <c r="L710" s="6" t="s">
        <v>805</v>
      </c>
      <c r="M710" s="6" t="s">
        <v>311</v>
      </c>
      <c r="N710" s="6" t="s">
        <v>261</v>
      </c>
      <c r="O710" s="6" t="s">
        <v>62</v>
      </c>
      <c r="P710" s="6" t="s">
        <v>1339</v>
      </c>
      <c r="Q710" s="6" t="s">
        <v>65</v>
      </c>
      <c r="R710" s="6" t="s">
        <v>57</v>
      </c>
      <c r="S710" s="6" t="s">
        <v>1219</v>
      </c>
      <c r="T710" s="131">
        <v>6.056</v>
      </c>
      <c r="U710" s="6" t="s">
        <v>2180</v>
      </c>
      <c r="V710" s="134">
        <v>1.9E-2</v>
      </c>
      <c r="W710" s="132">
        <v>4.6149999999999997E-2</v>
      </c>
      <c r="X710" s="3" t="s">
        <v>620</v>
      </c>
      <c r="Y710" s="3" t="s">
        <v>62</v>
      </c>
      <c r="Z710" s="131">
        <v>691578.95</v>
      </c>
      <c r="AA710" s="129">
        <v>1</v>
      </c>
      <c r="AB710" s="157">
        <v>85</v>
      </c>
      <c r="AD710" s="131">
        <v>587.84199999999998</v>
      </c>
      <c r="AG710" s="6" t="s">
        <v>17</v>
      </c>
      <c r="AH710" s="132">
        <v>4.6500000000000003E-4</v>
      </c>
      <c r="AI710" s="132">
        <v>1.9768734997609701E-3</v>
      </c>
      <c r="AJ710" s="132">
        <v>3.0665318232783902E-4</v>
      </c>
    </row>
    <row r="711" spans="1:36" x14ac:dyDescent="0.2">
      <c r="A711" s="6">
        <v>559</v>
      </c>
      <c r="B711" s="6">
        <v>7205</v>
      </c>
      <c r="C711" s="6" t="s">
        <v>2181</v>
      </c>
      <c r="D711" s="6" t="s">
        <v>2182</v>
      </c>
      <c r="E711" s="3" t="s">
        <v>1477</v>
      </c>
      <c r="F711" s="6" t="s">
        <v>2183</v>
      </c>
      <c r="G711" s="6" t="s">
        <v>2184</v>
      </c>
      <c r="H711" s="6" t="s">
        <v>76</v>
      </c>
      <c r="I711" s="6" t="s">
        <v>228</v>
      </c>
      <c r="J711" s="6" t="s">
        <v>53</v>
      </c>
      <c r="K711" s="6" t="s">
        <v>53</v>
      </c>
      <c r="L711" s="6" t="s">
        <v>805</v>
      </c>
      <c r="M711" s="6" t="s">
        <v>311</v>
      </c>
      <c r="N711" s="6" t="s">
        <v>258</v>
      </c>
      <c r="O711" s="6" t="s">
        <v>62</v>
      </c>
      <c r="P711" s="6" t="s">
        <v>1533</v>
      </c>
      <c r="Q711" s="6" t="s">
        <v>65</v>
      </c>
      <c r="R711" s="6" t="s">
        <v>57</v>
      </c>
      <c r="S711" s="6" t="s">
        <v>1219</v>
      </c>
      <c r="T711" s="131">
        <v>0.58899999999999997</v>
      </c>
      <c r="U711" s="6" t="s">
        <v>2185</v>
      </c>
      <c r="V711" s="134">
        <v>2.7E-2</v>
      </c>
      <c r="W711" s="132">
        <v>4.5679999999999998E-2</v>
      </c>
      <c r="X711" s="3" t="s">
        <v>620</v>
      </c>
      <c r="Y711" s="3" t="s">
        <v>62</v>
      </c>
      <c r="Z711" s="131">
        <v>723700.1</v>
      </c>
      <c r="AA711" s="129">
        <v>1</v>
      </c>
      <c r="AB711" s="157">
        <v>99.04</v>
      </c>
      <c r="AD711" s="131">
        <v>716.75300000000004</v>
      </c>
      <c r="AG711" s="6" t="s">
        <v>17</v>
      </c>
      <c r="AH711" s="132">
        <v>1.1573999999999999E-2</v>
      </c>
      <c r="AI711" s="132">
        <v>2.4103907517198501E-3</v>
      </c>
      <c r="AJ711" s="132">
        <v>3.73900502362876E-4</v>
      </c>
    </row>
    <row r="712" spans="1:36" x14ac:dyDescent="0.2">
      <c r="A712" s="6">
        <v>559</v>
      </c>
      <c r="B712" s="6">
        <v>7205</v>
      </c>
      <c r="C712" s="6" t="s">
        <v>2181</v>
      </c>
      <c r="D712" s="6" t="s">
        <v>2182</v>
      </c>
      <c r="E712" s="3" t="s">
        <v>1477</v>
      </c>
      <c r="F712" s="6" t="s">
        <v>2186</v>
      </c>
      <c r="G712" s="6" t="s">
        <v>2187</v>
      </c>
      <c r="H712" s="6" t="s">
        <v>76</v>
      </c>
      <c r="I712" s="6" t="s">
        <v>229</v>
      </c>
      <c r="J712" s="6" t="s">
        <v>53</v>
      </c>
      <c r="K712" s="6" t="s">
        <v>53</v>
      </c>
      <c r="L712" s="6" t="s">
        <v>805</v>
      </c>
      <c r="M712" s="6" t="s">
        <v>311</v>
      </c>
      <c r="N712" s="6" t="s">
        <v>258</v>
      </c>
      <c r="O712" s="6" t="s">
        <v>62</v>
      </c>
      <c r="P712" s="6" t="s">
        <v>1533</v>
      </c>
      <c r="Q712" s="6" t="s">
        <v>65</v>
      </c>
      <c r="R712" s="6" t="s">
        <v>57</v>
      </c>
      <c r="S712" s="6" t="s">
        <v>1219</v>
      </c>
      <c r="T712" s="131">
        <v>0.59099999999999997</v>
      </c>
      <c r="U712" s="6" t="s">
        <v>2185</v>
      </c>
      <c r="V712" s="134">
        <v>1.7999999999999999E-2</v>
      </c>
      <c r="W712" s="132">
        <v>2.9579999999999999E-2</v>
      </c>
      <c r="X712" s="3" t="s">
        <v>620</v>
      </c>
      <c r="Y712" s="3" t="s">
        <v>62</v>
      </c>
      <c r="Z712" s="131">
        <v>342337.85</v>
      </c>
      <c r="AA712" s="129">
        <v>1</v>
      </c>
      <c r="AB712" s="157">
        <v>116.91</v>
      </c>
      <c r="AD712" s="131">
        <v>400.22699999999998</v>
      </c>
      <c r="AG712" s="6" t="s">
        <v>17</v>
      </c>
      <c r="AH712" s="132">
        <v>1.054E-3</v>
      </c>
      <c r="AI712" s="132">
        <v>1.3459371092874701E-3</v>
      </c>
      <c r="AJ712" s="132">
        <v>2.0878214909858401E-4</v>
      </c>
    </row>
    <row r="713" spans="1:36" x14ac:dyDescent="0.2">
      <c r="A713" s="6">
        <v>559</v>
      </c>
      <c r="B713" s="6">
        <v>7205</v>
      </c>
      <c r="C713" s="6" t="s">
        <v>2188</v>
      </c>
      <c r="D713" s="6" t="s">
        <v>2189</v>
      </c>
      <c r="E713" s="3" t="s">
        <v>767</v>
      </c>
      <c r="F713" s="6" t="s">
        <v>2190</v>
      </c>
      <c r="G713" s="6" t="s">
        <v>2191</v>
      </c>
      <c r="H713" s="6" t="s">
        <v>76</v>
      </c>
      <c r="I713" s="6" t="s">
        <v>230</v>
      </c>
      <c r="J713" s="6" t="s">
        <v>53</v>
      </c>
      <c r="K713" s="6" t="s">
        <v>315</v>
      </c>
      <c r="L713" s="6" t="s">
        <v>805</v>
      </c>
      <c r="M713" s="6" t="s">
        <v>311</v>
      </c>
      <c r="N713" s="6" t="s">
        <v>636</v>
      </c>
      <c r="O713" s="6" t="s">
        <v>62</v>
      </c>
      <c r="P713" s="6" t="s">
        <v>1965</v>
      </c>
      <c r="Q713" s="6" t="s">
        <v>70</v>
      </c>
      <c r="R713" s="6" t="s">
        <v>57</v>
      </c>
      <c r="S713" s="6" t="s">
        <v>1219</v>
      </c>
      <c r="T713" s="131">
        <v>2.456</v>
      </c>
      <c r="U713" s="6" t="s">
        <v>2192</v>
      </c>
      <c r="V713" s="134">
        <v>4.2999999999999997E-2</v>
      </c>
      <c r="W713" s="132">
        <v>7.0510000000000003E-2</v>
      </c>
      <c r="X713" s="3" t="s">
        <v>620</v>
      </c>
      <c r="Y713" s="3" t="s">
        <v>62</v>
      </c>
      <c r="Z713" s="131">
        <v>723803.27</v>
      </c>
      <c r="AA713" s="129">
        <v>1</v>
      </c>
      <c r="AB713" s="157">
        <v>91.8</v>
      </c>
      <c r="AD713" s="131">
        <v>664.45100000000002</v>
      </c>
      <c r="AG713" s="6" t="s">
        <v>17</v>
      </c>
      <c r="AH713" s="132">
        <v>6.7599999999999995E-4</v>
      </c>
      <c r="AI713" s="132">
        <v>2.2345054079271798E-3</v>
      </c>
      <c r="AJ713" s="132">
        <v>3.4661711756087999E-4</v>
      </c>
    </row>
    <row r="714" spans="1:36" x14ac:dyDescent="0.2">
      <c r="A714" s="6">
        <v>559</v>
      </c>
      <c r="B714" s="6">
        <v>7205</v>
      </c>
      <c r="C714" s="6" t="s">
        <v>2193</v>
      </c>
      <c r="D714" s="6" t="s">
        <v>2194</v>
      </c>
      <c r="E714" s="3" t="s">
        <v>1477</v>
      </c>
      <c r="F714" s="6" t="s">
        <v>2195</v>
      </c>
      <c r="G714" s="6" t="s">
        <v>2196</v>
      </c>
      <c r="H714" s="6" t="s">
        <v>76</v>
      </c>
      <c r="I714" s="6" t="s">
        <v>228</v>
      </c>
      <c r="J714" s="6" t="s">
        <v>53</v>
      </c>
      <c r="K714" s="6" t="s">
        <v>53</v>
      </c>
      <c r="L714" s="6" t="s">
        <v>805</v>
      </c>
      <c r="M714" s="6" t="s">
        <v>311</v>
      </c>
      <c r="N714" s="6" t="s">
        <v>263</v>
      </c>
      <c r="O714" s="6" t="s">
        <v>62</v>
      </c>
      <c r="P714" s="6" t="s">
        <v>1493</v>
      </c>
      <c r="Q714" s="6" t="s">
        <v>65</v>
      </c>
      <c r="R714" s="6" t="s">
        <v>57</v>
      </c>
      <c r="S714" s="6" t="s">
        <v>1219</v>
      </c>
      <c r="T714" s="131">
        <v>0.255</v>
      </c>
      <c r="U714" s="6" t="s">
        <v>2197</v>
      </c>
      <c r="V714" s="134">
        <v>3.3500000000000002E-2</v>
      </c>
      <c r="W714" s="132">
        <v>5.5300000000000002E-2</v>
      </c>
      <c r="X714" s="3" t="s">
        <v>620</v>
      </c>
      <c r="Y714" s="3" t="s">
        <v>62</v>
      </c>
      <c r="Z714" s="131">
        <v>302165</v>
      </c>
      <c r="AA714" s="129">
        <v>1</v>
      </c>
      <c r="AB714" s="157">
        <v>100.29</v>
      </c>
      <c r="AD714" s="131">
        <v>303.041</v>
      </c>
      <c r="AG714" s="6" t="s">
        <v>17</v>
      </c>
      <c r="AH714" s="132">
        <v>4.3969999999999999E-3</v>
      </c>
      <c r="AI714" s="132">
        <v>1.0191074527615899E-3</v>
      </c>
      <c r="AJ714" s="132">
        <v>1.5808423936137001E-4</v>
      </c>
    </row>
    <row r="715" spans="1:36" x14ac:dyDescent="0.2">
      <c r="A715" s="6">
        <v>559</v>
      </c>
      <c r="B715" s="6">
        <v>7205</v>
      </c>
      <c r="C715" s="6" t="s">
        <v>2492</v>
      </c>
      <c r="D715" s="6" t="s">
        <v>2493</v>
      </c>
      <c r="E715" s="3" t="s">
        <v>1477</v>
      </c>
      <c r="F715" s="6" t="s">
        <v>2494</v>
      </c>
      <c r="G715" s="6" t="s">
        <v>2495</v>
      </c>
      <c r="H715" s="6" t="s">
        <v>78</v>
      </c>
      <c r="I715" s="6" t="s">
        <v>229</v>
      </c>
      <c r="J715" s="6" t="s">
        <v>53</v>
      </c>
      <c r="K715" s="6" t="s">
        <v>53</v>
      </c>
      <c r="L715" s="6" t="s">
        <v>805</v>
      </c>
      <c r="M715" s="6" t="s">
        <v>311</v>
      </c>
      <c r="N715" s="6" t="s">
        <v>692</v>
      </c>
      <c r="O715" s="6" t="s">
        <v>62</v>
      </c>
      <c r="P715" s="6" t="s">
        <v>298</v>
      </c>
      <c r="Q715" s="6" t="s">
        <v>298</v>
      </c>
      <c r="R715" s="6" t="s">
        <v>298</v>
      </c>
      <c r="S715" s="6" t="s">
        <v>1219</v>
      </c>
      <c r="T715" s="131">
        <v>0.99</v>
      </c>
      <c r="U715" s="6" t="s">
        <v>2496</v>
      </c>
      <c r="V715" s="134">
        <v>5.0999999999999997E-2</v>
      </c>
      <c r="W715" s="132">
        <v>0.26619999999999999</v>
      </c>
      <c r="X715" s="3" t="s">
        <v>620</v>
      </c>
      <c r="Y715" s="3" t="s">
        <v>62</v>
      </c>
      <c r="Z715" s="131">
        <v>75.17</v>
      </c>
      <c r="AA715" s="129">
        <v>1</v>
      </c>
      <c r="AB715" s="157">
        <v>0.01</v>
      </c>
      <c r="AD715" s="131">
        <v>0</v>
      </c>
      <c r="AG715" s="6" t="s">
        <v>17</v>
      </c>
      <c r="AH715" s="132">
        <v>1.9999999999999999E-6</v>
      </c>
      <c r="AI715" s="132">
        <v>2.5279165796579397E-11</v>
      </c>
      <c r="AJ715" s="132">
        <v>3.9213114238475399E-12</v>
      </c>
    </row>
    <row r="716" spans="1:36" x14ac:dyDescent="0.2">
      <c r="A716" s="6">
        <v>559</v>
      </c>
      <c r="B716" s="6">
        <v>7205</v>
      </c>
      <c r="C716" s="6" t="s">
        <v>2198</v>
      </c>
      <c r="D716" s="6" t="s">
        <v>2199</v>
      </c>
      <c r="E716" s="3" t="s">
        <v>1477</v>
      </c>
      <c r="F716" s="6" t="s">
        <v>2200</v>
      </c>
      <c r="G716" s="6" t="s">
        <v>2201</v>
      </c>
      <c r="H716" s="6" t="s">
        <v>76</v>
      </c>
      <c r="I716" s="6" t="s">
        <v>230</v>
      </c>
      <c r="J716" s="6" t="s">
        <v>53</v>
      </c>
      <c r="K716" s="6" t="s">
        <v>53</v>
      </c>
      <c r="L716" s="6" t="s">
        <v>805</v>
      </c>
      <c r="M716" s="6" t="s">
        <v>311</v>
      </c>
      <c r="N716" s="6" t="s">
        <v>267</v>
      </c>
      <c r="O716" s="6" t="s">
        <v>62</v>
      </c>
      <c r="P716" s="6" t="s">
        <v>1965</v>
      </c>
      <c r="Q716" s="6" t="s">
        <v>70</v>
      </c>
      <c r="R716" s="6" t="s">
        <v>57</v>
      </c>
      <c r="S716" s="6" t="s">
        <v>1219</v>
      </c>
      <c r="T716" s="131">
        <v>2.2320000000000002</v>
      </c>
      <c r="U716" s="6" t="s">
        <v>2202</v>
      </c>
      <c r="V716" s="134">
        <v>5.4800000000000001E-2</v>
      </c>
      <c r="W716" s="132">
        <v>5.919E-2</v>
      </c>
      <c r="X716" s="3" t="s">
        <v>620</v>
      </c>
      <c r="Y716" s="3" t="s">
        <v>62</v>
      </c>
      <c r="Z716" s="131">
        <v>1403208.12</v>
      </c>
      <c r="AA716" s="129">
        <v>1</v>
      </c>
      <c r="AB716" s="157">
        <v>95.79</v>
      </c>
      <c r="AD716" s="131">
        <v>1344.133</v>
      </c>
      <c r="AG716" s="6" t="s">
        <v>17</v>
      </c>
      <c r="AH716" s="132">
        <v>5.2249999999999996E-3</v>
      </c>
      <c r="AI716" s="132">
        <v>4.5202291378989802E-3</v>
      </c>
      <c r="AJ716" s="132">
        <v>7.0117923587692998E-4</v>
      </c>
    </row>
    <row r="717" spans="1:36" x14ac:dyDescent="0.2">
      <c r="A717" s="6">
        <v>559</v>
      </c>
      <c r="B717" s="6">
        <v>7205</v>
      </c>
      <c r="C717" s="6" t="s">
        <v>2203</v>
      </c>
      <c r="D717" s="6" t="s">
        <v>2204</v>
      </c>
      <c r="E717" s="3" t="s">
        <v>1477</v>
      </c>
      <c r="F717" s="6" t="s">
        <v>2205</v>
      </c>
      <c r="G717" s="6" t="s">
        <v>2206</v>
      </c>
      <c r="H717" s="6" t="s">
        <v>76</v>
      </c>
      <c r="I717" s="6" t="s">
        <v>230</v>
      </c>
      <c r="J717" s="6" t="s">
        <v>53</v>
      </c>
      <c r="K717" s="6" t="s">
        <v>53</v>
      </c>
      <c r="L717" s="6" t="s">
        <v>805</v>
      </c>
      <c r="M717" s="6" t="s">
        <v>311</v>
      </c>
      <c r="N717" s="6" t="s">
        <v>267</v>
      </c>
      <c r="O717" s="6" t="s">
        <v>62</v>
      </c>
      <c r="P717" s="6" t="s">
        <v>1521</v>
      </c>
      <c r="Q717" s="6" t="s">
        <v>70</v>
      </c>
      <c r="R717" s="6" t="s">
        <v>57</v>
      </c>
      <c r="S717" s="6" t="s">
        <v>1219</v>
      </c>
      <c r="T717" s="131">
        <v>2.4249999999999998</v>
      </c>
      <c r="U717" s="6" t="s">
        <v>2202</v>
      </c>
      <c r="V717" s="134">
        <v>4.6899999999999997E-2</v>
      </c>
      <c r="W717" s="132">
        <v>6.2420000000000003E-2</v>
      </c>
      <c r="X717" s="3" t="s">
        <v>620</v>
      </c>
      <c r="Y717" s="3" t="s">
        <v>62</v>
      </c>
      <c r="Z717" s="131">
        <v>2369921.85</v>
      </c>
      <c r="AA717" s="129">
        <v>1</v>
      </c>
      <c r="AB717" s="157">
        <v>94.12</v>
      </c>
      <c r="AD717" s="131">
        <v>2230.5700000000002</v>
      </c>
      <c r="AG717" s="6" t="s">
        <v>17</v>
      </c>
      <c r="AH717" s="132">
        <v>1.7539999999999999E-3</v>
      </c>
      <c r="AI717" s="132">
        <v>7.5012584948338998E-3</v>
      </c>
      <c r="AJ717" s="132">
        <v>1.1635973617850101E-3</v>
      </c>
    </row>
    <row r="718" spans="1:36" x14ac:dyDescent="0.2">
      <c r="A718" s="6">
        <v>559</v>
      </c>
      <c r="B718" s="6">
        <v>7205</v>
      </c>
      <c r="C718" s="6" t="s">
        <v>2207</v>
      </c>
      <c r="D718" s="6" t="s">
        <v>2208</v>
      </c>
      <c r="E718" s="3" t="s">
        <v>1477</v>
      </c>
      <c r="F718" s="6" t="s">
        <v>2209</v>
      </c>
      <c r="G718" s="6" t="s">
        <v>2210</v>
      </c>
      <c r="H718" s="6" t="s">
        <v>76</v>
      </c>
      <c r="I718" s="6" t="s">
        <v>228</v>
      </c>
      <c r="J718" s="6" t="s">
        <v>53</v>
      </c>
      <c r="K718" s="6" t="s">
        <v>53</v>
      </c>
      <c r="L718" s="6" t="s">
        <v>805</v>
      </c>
      <c r="M718" s="6" t="s">
        <v>311</v>
      </c>
      <c r="N718" s="6" t="s">
        <v>638</v>
      </c>
      <c r="O718" s="6" t="s">
        <v>62</v>
      </c>
      <c r="P718" s="6" t="s">
        <v>1213</v>
      </c>
      <c r="Q718" s="6" t="s">
        <v>65</v>
      </c>
      <c r="R718" s="6" t="s">
        <v>57</v>
      </c>
      <c r="S718" s="6" t="s">
        <v>1219</v>
      </c>
      <c r="T718" s="131">
        <v>0.41599999999999998</v>
      </c>
      <c r="U718" s="6" t="s">
        <v>1685</v>
      </c>
      <c r="V718" s="134">
        <v>5.45E-2</v>
      </c>
      <c r="W718" s="132">
        <v>4.4229999999999998E-2</v>
      </c>
      <c r="X718" s="3" t="s">
        <v>620</v>
      </c>
      <c r="Y718" s="3" t="s">
        <v>62</v>
      </c>
      <c r="Z718" s="131">
        <v>355541.36</v>
      </c>
      <c r="AA718" s="129">
        <v>1</v>
      </c>
      <c r="AB718" s="157">
        <v>100.89</v>
      </c>
      <c r="AD718" s="131">
        <v>358.70600000000002</v>
      </c>
      <c r="AG718" s="6" t="s">
        <v>17</v>
      </c>
      <c r="AH718" s="132">
        <v>2.3019999999999998E-3</v>
      </c>
      <c r="AI718" s="132">
        <v>1.2063030875303299E-3</v>
      </c>
      <c r="AJ718" s="132">
        <v>1.8712207973236599E-4</v>
      </c>
    </row>
    <row r="719" spans="1:36" x14ac:dyDescent="0.2">
      <c r="A719" s="6">
        <v>559</v>
      </c>
      <c r="B719" s="6">
        <v>7205</v>
      </c>
      <c r="C719" s="6" t="s">
        <v>2211</v>
      </c>
      <c r="D719" s="6" t="s">
        <v>2212</v>
      </c>
      <c r="E719" s="3" t="s">
        <v>430</v>
      </c>
      <c r="F719" s="6" t="s">
        <v>2213</v>
      </c>
      <c r="G719" s="6" t="s">
        <v>2214</v>
      </c>
      <c r="H719" s="6" t="s">
        <v>76</v>
      </c>
      <c r="I719" s="6" t="s">
        <v>230</v>
      </c>
      <c r="J719" s="6" t="s">
        <v>61</v>
      </c>
      <c r="K719" s="6" t="s">
        <v>315</v>
      </c>
      <c r="L719" s="6" t="s">
        <v>805</v>
      </c>
      <c r="M719" s="6" t="s">
        <v>102</v>
      </c>
      <c r="N719" s="6" t="s">
        <v>2215</v>
      </c>
      <c r="O719" s="6" t="s">
        <v>62</v>
      </c>
      <c r="P719" s="6" t="s">
        <v>2216</v>
      </c>
      <c r="Q719" s="6" t="s">
        <v>84</v>
      </c>
      <c r="R719" s="6" t="s">
        <v>57</v>
      </c>
      <c r="S719" s="6" t="s">
        <v>1217</v>
      </c>
      <c r="T719" s="131">
        <v>2.9129999999999998</v>
      </c>
      <c r="U719" s="6" t="s">
        <v>2217</v>
      </c>
      <c r="V719" s="134">
        <v>8.1250000000000003E-2</v>
      </c>
      <c r="W719" s="132">
        <v>7.3950000000000002E-2</v>
      </c>
      <c r="X719" s="3" t="s">
        <v>620</v>
      </c>
      <c r="Y719" s="3" t="s">
        <v>62</v>
      </c>
      <c r="Z719" s="131">
        <v>375000</v>
      </c>
      <c r="AA719" s="129">
        <v>3.3719999999999999</v>
      </c>
      <c r="AB719" s="157">
        <v>103.986</v>
      </c>
      <c r="AD719" s="131">
        <v>1314.8989999999999</v>
      </c>
      <c r="AG719" s="6" t="s">
        <v>17</v>
      </c>
      <c r="AH719" s="132">
        <v>5.0000000000000001E-4</v>
      </c>
      <c r="AI719" s="132">
        <v>4.4219179136069497E-3</v>
      </c>
      <c r="AJ719" s="132">
        <v>6.8592917066469304E-4</v>
      </c>
    </row>
    <row r="720" spans="1:36" x14ac:dyDescent="0.2">
      <c r="A720" s="6">
        <v>559</v>
      </c>
      <c r="B720" s="6">
        <v>7205</v>
      </c>
      <c r="C720" s="6" t="s">
        <v>2218</v>
      </c>
      <c r="D720" s="6" t="s">
        <v>2219</v>
      </c>
      <c r="E720" s="3" t="s">
        <v>430</v>
      </c>
      <c r="F720" s="6" t="s">
        <v>2220</v>
      </c>
      <c r="G720" s="6" t="s">
        <v>2221</v>
      </c>
      <c r="H720" s="6" t="s">
        <v>76</v>
      </c>
      <c r="I720" s="6" t="s">
        <v>230</v>
      </c>
      <c r="J720" s="6" t="s">
        <v>61</v>
      </c>
      <c r="K720" s="6" t="s">
        <v>314</v>
      </c>
      <c r="L720" s="6" t="s">
        <v>805</v>
      </c>
      <c r="M720" s="6" t="s">
        <v>102</v>
      </c>
      <c r="N720" s="6" t="s">
        <v>2222</v>
      </c>
      <c r="O720" s="6" t="s">
        <v>62</v>
      </c>
      <c r="P720" s="6" t="s">
        <v>2223</v>
      </c>
      <c r="Q720" s="6" t="s">
        <v>96</v>
      </c>
      <c r="R720" s="6" t="s">
        <v>57</v>
      </c>
      <c r="S720" s="6" t="s">
        <v>1217</v>
      </c>
      <c r="T720" s="131">
        <v>2.6230000000000002</v>
      </c>
      <c r="U720" s="6" t="s">
        <v>2224</v>
      </c>
      <c r="V720" s="134">
        <v>7.9500000000000001E-2</v>
      </c>
      <c r="W720" s="132">
        <v>5.6099999999999997E-2</v>
      </c>
      <c r="X720" s="3" t="s">
        <v>620</v>
      </c>
      <c r="Y720" s="3" t="s">
        <v>62</v>
      </c>
      <c r="Z720" s="131">
        <v>185000</v>
      </c>
      <c r="AA720" s="129">
        <v>3.3719999999999999</v>
      </c>
      <c r="AB720" s="157">
        <v>106.99299999999999</v>
      </c>
      <c r="AD720" s="131">
        <v>667.44600000000003</v>
      </c>
      <c r="AG720" s="6" t="s">
        <v>17</v>
      </c>
      <c r="AH720" s="132">
        <v>2.8499999999999999E-4</v>
      </c>
      <c r="AI720" s="132">
        <v>2.2445771558219402E-3</v>
      </c>
      <c r="AJ720" s="132">
        <v>3.4817944997309898E-4</v>
      </c>
    </row>
    <row r="721" spans="1:36" x14ac:dyDescent="0.2">
      <c r="A721" s="6">
        <v>559</v>
      </c>
      <c r="B721" s="6">
        <v>7205</v>
      </c>
      <c r="C721" s="6" t="s">
        <v>2218</v>
      </c>
      <c r="D721" s="6" t="s">
        <v>2219</v>
      </c>
      <c r="E721" s="3" t="s">
        <v>430</v>
      </c>
      <c r="F721" s="6" t="s">
        <v>2225</v>
      </c>
      <c r="G721" s="6" t="s">
        <v>2226</v>
      </c>
      <c r="H721" s="6" t="s">
        <v>76</v>
      </c>
      <c r="I721" s="6" t="s">
        <v>230</v>
      </c>
      <c r="J721" s="6" t="s">
        <v>61</v>
      </c>
      <c r="K721" s="6" t="s">
        <v>314</v>
      </c>
      <c r="L721" s="6" t="s">
        <v>805</v>
      </c>
      <c r="M721" s="6" t="s">
        <v>102</v>
      </c>
      <c r="N721" s="6" t="s">
        <v>2222</v>
      </c>
      <c r="O721" s="6" t="s">
        <v>62</v>
      </c>
      <c r="P721" s="6" t="s">
        <v>2223</v>
      </c>
      <c r="Q721" s="6" t="s">
        <v>96</v>
      </c>
      <c r="R721" s="6" t="s">
        <v>57</v>
      </c>
      <c r="S721" s="6" t="s">
        <v>1217</v>
      </c>
      <c r="T721" s="131">
        <v>4.649</v>
      </c>
      <c r="U721" s="6" t="s">
        <v>2227</v>
      </c>
      <c r="V721" s="134">
        <v>6.6500000000000004E-2</v>
      </c>
      <c r="W721" s="132">
        <v>6.1460000000000001E-2</v>
      </c>
      <c r="X721" s="3" t="s">
        <v>620</v>
      </c>
      <c r="Y721" s="3" t="s">
        <v>62</v>
      </c>
      <c r="Z721" s="131">
        <v>73000</v>
      </c>
      <c r="AA721" s="129">
        <v>3.3719999999999999</v>
      </c>
      <c r="AB721" s="157">
        <v>112.43300000000001</v>
      </c>
      <c r="AD721" s="131">
        <v>276.76100000000002</v>
      </c>
      <c r="AG721" s="6" t="s">
        <v>17</v>
      </c>
      <c r="AH721" s="132">
        <v>9.7E-5</v>
      </c>
      <c r="AI721" s="132">
        <v>9.3072715127898295E-4</v>
      </c>
      <c r="AJ721" s="132">
        <v>1.44374661733861E-4</v>
      </c>
    </row>
    <row r="722" spans="1:36" x14ac:dyDescent="0.2">
      <c r="A722" s="6">
        <v>559</v>
      </c>
      <c r="B722" s="6">
        <v>7205</v>
      </c>
      <c r="C722" s="6" t="s">
        <v>2228</v>
      </c>
      <c r="D722" s="6" t="s">
        <v>2229</v>
      </c>
      <c r="E722" s="3" t="s">
        <v>430</v>
      </c>
      <c r="F722" s="6" t="s">
        <v>2230</v>
      </c>
      <c r="G722" s="6" t="s">
        <v>2231</v>
      </c>
      <c r="H722" s="6" t="s">
        <v>76</v>
      </c>
      <c r="I722" s="6" t="s">
        <v>230</v>
      </c>
      <c r="J722" s="6" t="s">
        <v>61</v>
      </c>
      <c r="K722" s="6" t="s">
        <v>313</v>
      </c>
      <c r="L722" s="6" t="s">
        <v>805</v>
      </c>
      <c r="M722" s="6" t="s">
        <v>476</v>
      </c>
      <c r="N722" s="6" t="s">
        <v>865</v>
      </c>
      <c r="O722" s="6" t="s">
        <v>62</v>
      </c>
      <c r="P722" s="6" t="s">
        <v>1778</v>
      </c>
      <c r="Q722" s="6" t="s">
        <v>96</v>
      </c>
      <c r="R722" s="6" t="s">
        <v>57</v>
      </c>
      <c r="S722" s="6" t="s">
        <v>1217</v>
      </c>
      <c r="T722" s="131">
        <v>5.7140000000000004</v>
      </c>
      <c r="U722" s="6" t="s">
        <v>2232</v>
      </c>
      <c r="V722" s="134">
        <v>7.3779999999999998E-2</v>
      </c>
      <c r="W722" s="132">
        <v>5.4050000000000001E-2</v>
      </c>
      <c r="X722" s="3" t="s">
        <v>620</v>
      </c>
      <c r="Y722" s="3" t="s">
        <v>62</v>
      </c>
      <c r="Z722" s="131">
        <v>230000</v>
      </c>
      <c r="AA722" s="129">
        <v>3.3719999999999999</v>
      </c>
      <c r="AB722" s="157">
        <v>111.904</v>
      </c>
      <c r="AD722" s="131">
        <v>867.88099999999997</v>
      </c>
      <c r="AG722" s="6" t="s">
        <v>17</v>
      </c>
      <c r="AH722" s="132">
        <v>3.8299999999999999E-4</v>
      </c>
      <c r="AI722" s="132">
        <v>2.9186243993511501E-3</v>
      </c>
      <c r="AJ722" s="132">
        <v>4.5273785105062498E-4</v>
      </c>
    </row>
    <row r="723" spans="1:36" x14ac:dyDescent="0.2">
      <c r="A723" s="6">
        <v>559</v>
      </c>
      <c r="B723" s="6">
        <v>7205</v>
      </c>
      <c r="C723" s="6" t="s">
        <v>2233</v>
      </c>
      <c r="D723" s="6" t="s">
        <v>2234</v>
      </c>
      <c r="E723" s="3" t="s">
        <v>430</v>
      </c>
      <c r="F723" s="6" t="s">
        <v>2235</v>
      </c>
      <c r="G723" s="6" t="s">
        <v>2236</v>
      </c>
      <c r="H723" s="6" t="s">
        <v>76</v>
      </c>
      <c r="I723" s="6" t="s">
        <v>230</v>
      </c>
      <c r="J723" s="6" t="s">
        <v>61</v>
      </c>
      <c r="K723" s="6" t="s">
        <v>314</v>
      </c>
      <c r="L723" s="6" t="s">
        <v>805</v>
      </c>
      <c r="M723" s="6" t="s">
        <v>102</v>
      </c>
      <c r="N723" s="6" t="s">
        <v>903</v>
      </c>
      <c r="O723" s="6" t="s">
        <v>62</v>
      </c>
      <c r="P723" s="6" t="s">
        <v>1577</v>
      </c>
      <c r="Q723" s="6" t="s">
        <v>96</v>
      </c>
      <c r="R723" s="6" t="s">
        <v>57</v>
      </c>
      <c r="S723" s="6" t="s">
        <v>1217</v>
      </c>
      <c r="T723" s="131">
        <v>2.641</v>
      </c>
      <c r="U723" s="6" t="s">
        <v>2237</v>
      </c>
      <c r="V723" s="134">
        <v>4.5999999999999999E-2</v>
      </c>
      <c r="W723" s="132">
        <v>3.9879999999999999E-2</v>
      </c>
      <c r="X723" s="3" t="s">
        <v>620</v>
      </c>
      <c r="Y723" s="3" t="s">
        <v>62</v>
      </c>
      <c r="Z723" s="131">
        <v>70000</v>
      </c>
      <c r="AA723" s="129">
        <v>3.3719999999999999</v>
      </c>
      <c r="AB723" s="157">
        <v>102.379</v>
      </c>
      <c r="AD723" s="131">
        <v>241.655</v>
      </c>
      <c r="AG723" s="6" t="s">
        <v>17</v>
      </c>
      <c r="AH723" s="132">
        <v>4.6999999999999997E-5</v>
      </c>
      <c r="AI723" s="132">
        <v>8.1266907627246601E-4</v>
      </c>
      <c r="AJ723" s="132">
        <v>1.2606145939460001E-4</v>
      </c>
    </row>
    <row r="724" spans="1:36" x14ac:dyDescent="0.2">
      <c r="A724" s="6">
        <v>559</v>
      </c>
      <c r="B724" s="6">
        <v>7205</v>
      </c>
      <c r="C724" s="6" t="s">
        <v>2238</v>
      </c>
      <c r="D724" s="6" t="s">
        <v>2239</v>
      </c>
      <c r="E724" s="3" t="s">
        <v>430</v>
      </c>
      <c r="F724" s="6" t="s">
        <v>2240</v>
      </c>
      <c r="G724" s="6" t="s">
        <v>2241</v>
      </c>
      <c r="H724" s="6" t="s">
        <v>76</v>
      </c>
      <c r="I724" s="6" t="s">
        <v>230</v>
      </c>
      <c r="J724" s="6" t="s">
        <v>61</v>
      </c>
      <c r="K724" s="6" t="s">
        <v>314</v>
      </c>
      <c r="L724" s="6" t="s">
        <v>805</v>
      </c>
      <c r="M724" s="6" t="s">
        <v>102</v>
      </c>
      <c r="N724" s="6" t="s">
        <v>882</v>
      </c>
      <c r="O724" s="6" t="s">
        <v>62</v>
      </c>
      <c r="P724" s="6" t="s">
        <v>1521</v>
      </c>
      <c r="Q724" s="6" t="s">
        <v>84</v>
      </c>
      <c r="R724" s="6" t="s">
        <v>57</v>
      </c>
      <c r="S724" s="6" t="s">
        <v>1217</v>
      </c>
      <c r="T724" s="131">
        <v>2.2320000000000002</v>
      </c>
      <c r="U724" s="6" t="s">
        <v>2242</v>
      </c>
      <c r="V724" s="134">
        <v>4.5499999999999999E-2</v>
      </c>
      <c r="W724" s="132">
        <v>4.027E-2</v>
      </c>
      <c r="X724" s="3" t="s">
        <v>620</v>
      </c>
      <c r="Y724" s="3" t="s">
        <v>62</v>
      </c>
      <c r="Z724" s="131">
        <v>297000</v>
      </c>
      <c r="AA724" s="129">
        <v>3.3719999999999999</v>
      </c>
      <c r="AB724" s="157">
        <v>101.29600000000001</v>
      </c>
      <c r="AD724" s="131">
        <v>1014.463</v>
      </c>
      <c r="AG724" s="6" t="s">
        <v>17</v>
      </c>
      <c r="AH724" s="132">
        <v>1.4899999999999999E-4</v>
      </c>
      <c r="AI724" s="132">
        <v>3.4115716712040099E-3</v>
      </c>
      <c r="AJ724" s="132">
        <v>5.2920397275835304E-4</v>
      </c>
    </row>
    <row r="725" spans="1:36" x14ac:dyDescent="0.2">
      <c r="A725" s="6">
        <v>559</v>
      </c>
      <c r="B725" s="6">
        <v>7205</v>
      </c>
      <c r="C725" s="6" t="s">
        <v>2243</v>
      </c>
      <c r="D725" s="6" t="s">
        <v>2244</v>
      </c>
      <c r="E725" s="3" t="s">
        <v>430</v>
      </c>
      <c r="F725" s="6" t="s">
        <v>2245</v>
      </c>
      <c r="G725" s="6" t="s">
        <v>2246</v>
      </c>
      <c r="H725" s="6" t="s">
        <v>76</v>
      </c>
      <c r="I725" s="6" t="s">
        <v>230</v>
      </c>
      <c r="J725" s="6" t="s">
        <v>61</v>
      </c>
      <c r="K725" s="6" t="s">
        <v>314</v>
      </c>
      <c r="L725" s="6" t="s">
        <v>805</v>
      </c>
      <c r="M725" s="6" t="s">
        <v>102</v>
      </c>
      <c r="N725" s="6" t="s">
        <v>1141</v>
      </c>
      <c r="O725" s="6" t="s">
        <v>62</v>
      </c>
      <c r="P725" s="6" t="s">
        <v>2223</v>
      </c>
      <c r="Q725" s="6" t="s">
        <v>96</v>
      </c>
      <c r="R725" s="6" t="s">
        <v>57</v>
      </c>
      <c r="S725" s="6" t="s">
        <v>1217</v>
      </c>
      <c r="T725" s="131">
        <v>3.2919999999999998</v>
      </c>
      <c r="U725" s="6" t="s">
        <v>2038</v>
      </c>
      <c r="V725" s="134">
        <v>6.9000000000000006E-2</v>
      </c>
      <c r="W725" s="132">
        <v>5.6759999999999998E-2</v>
      </c>
      <c r="X725" s="3" t="s">
        <v>620</v>
      </c>
      <c r="Y725" s="3" t="s">
        <v>62</v>
      </c>
      <c r="Z725" s="131">
        <v>285000</v>
      </c>
      <c r="AA725" s="129">
        <v>3.3719999999999999</v>
      </c>
      <c r="AB725" s="157">
        <v>105.711</v>
      </c>
      <c r="AD725" s="131">
        <v>1015.908</v>
      </c>
      <c r="AG725" s="6" t="s">
        <v>17</v>
      </c>
      <c r="AH725" s="132">
        <v>2.8600000000000001E-4</v>
      </c>
      <c r="AI725" s="132">
        <v>3.41643010253424E-3</v>
      </c>
      <c r="AJ725" s="132">
        <v>5.2995761401497304E-4</v>
      </c>
    </row>
    <row r="726" spans="1:36" x14ac:dyDescent="0.2">
      <c r="A726" s="6">
        <v>559</v>
      </c>
      <c r="B726" s="6">
        <v>7205</v>
      </c>
      <c r="C726" s="6" t="s">
        <v>2247</v>
      </c>
      <c r="D726" s="6" t="s">
        <v>2248</v>
      </c>
      <c r="E726" s="3" t="s">
        <v>430</v>
      </c>
      <c r="F726" s="6" t="s">
        <v>2249</v>
      </c>
      <c r="G726" s="6" t="s">
        <v>2250</v>
      </c>
      <c r="H726" s="6" t="s">
        <v>76</v>
      </c>
      <c r="I726" s="6" t="s">
        <v>230</v>
      </c>
      <c r="J726" s="6" t="s">
        <v>61</v>
      </c>
      <c r="K726" s="6" t="s">
        <v>314</v>
      </c>
      <c r="L726" s="6" t="s">
        <v>805</v>
      </c>
      <c r="M726" s="6" t="s">
        <v>102</v>
      </c>
      <c r="N726" s="6" t="s">
        <v>2251</v>
      </c>
      <c r="O726" s="6" t="s">
        <v>62</v>
      </c>
      <c r="P726" s="6" t="s">
        <v>2223</v>
      </c>
      <c r="Q726" s="6" t="s">
        <v>96</v>
      </c>
      <c r="R726" s="6" t="s">
        <v>57</v>
      </c>
      <c r="S726" s="6" t="s">
        <v>1217</v>
      </c>
      <c r="T726" s="131">
        <v>6.7709999999999999</v>
      </c>
      <c r="U726" s="6" t="s">
        <v>2252</v>
      </c>
      <c r="V726" s="134">
        <v>5.8749999999999997E-2</v>
      </c>
      <c r="W726" s="132">
        <v>5.4800000000000001E-2</v>
      </c>
      <c r="X726" s="3" t="s">
        <v>620</v>
      </c>
      <c r="Y726" s="3" t="s">
        <v>62</v>
      </c>
      <c r="Z726" s="131">
        <v>290000</v>
      </c>
      <c r="AA726" s="129">
        <v>3.3719999999999999</v>
      </c>
      <c r="AB726" s="157">
        <v>104.32899999999999</v>
      </c>
      <c r="AD726" s="131">
        <v>1020.208</v>
      </c>
      <c r="AG726" s="6" t="s">
        <v>17</v>
      </c>
      <c r="AH726" s="132">
        <v>5.8E-4</v>
      </c>
      <c r="AI726" s="132">
        <v>3.4308912035105701E-3</v>
      </c>
      <c r="AJ726" s="132">
        <v>5.3220082413180201E-4</v>
      </c>
    </row>
    <row r="727" spans="1:36" x14ac:dyDescent="0.2">
      <c r="A727" s="6">
        <v>559</v>
      </c>
      <c r="B727" s="6">
        <v>7205</v>
      </c>
      <c r="C727" s="6" t="s">
        <v>2396</v>
      </c>
      <c r="D727" s="6" t="s">
        <v>2397</v>
      </c>
      <c r="E727" s="3" t="s">
        <v>430</v>
      </c>
      <c r="F727" s="6" t="s">
        <v>2398</v>
      </c>
      <c r="G727" s="6" t="s">
        <v>2399</v>
      </c>
      <c r="H727" s="6" t="s">
        <v>76</v>
      </c>
      <c r="I727" s="6" t="s">
        <v>230</v>
      </c>
      <c r="J727" s="6" t="s">
        <v>61</v>
      </c>
      <c r="K727" s="6" t="s">
        <v>196</v>
      </c>
      <c r="L727" s="6" t="s">
        <v>805</v>
      </c>
      <c r="M727" s="6" t="s">
        <v>476</v>
      </c>
      <c r="N727" s="6" t="s">
        <v>915</v>
      </c>
      <c r="O727" s="6" t="s">
        <v>62</v>
      </c>
      <c r="P727" s="6" t="s">
        <v>2400</v>
      </c>
      <c r="Q727" s="6" t="s">
        <v>84</v>
      </c>
      <c r="R727" s="6" t="s">
        <v>57</v>
      </c>
      <c r="S727" s="6" t="s">
        <v>1215</v>
      </c>
      <c r="T727" s="131">
        <v>2.097</v>
      </c>
      <c r="U727" s="6" t="s">
        <v>2401</v>
      </c>
      <c r="V727" s="134">
        <v>2.6249999999999999E-2</v>
      </c>
      <c r="W727" s="132">
        <v>7.1129999999999999E-2</v>
      </c>
      <c r="X727" s="3" t="s">
        <v>620</v>
      </c>
      <c r="Y727" s="3" t="s">
        <v>62</v>
      </c>
      <c r="Z727" s="131">
        <v>240000</v>
      </c>
      <c r="AA727" s="129">
        <v>3.9552</v>
      </c>
      <c r="AB727" s="157">
        <v>93.527000000000001</v>
      </c>
      <c r="AD727" s="131">
        <v>887.80200000000002</v>
      </c>
      <c r="AG727" s="6" t="s">
        <v>17</v>
      </c>
      <c r="AH727" s="132">
        <v>1.003E-3</v>
      </c>
      <c r="AI727" s="132">
        <v>2.98561755898468E-3</v>
      </c>
      <c r="AJ727" s="132">
        <v>4.63129849121469E-4</v>
      </c>
    </row>
    <row r="728" spans="1:36" x14ac:dyDescent="0.2">
      <c r="A728" s="6">
        <v>559</v>
      </c>
      <c r="B728" s="6">
        <v>7205</v>
      </c>
      <c r="C728" s="6" t="s">
        <v>2402</v>
      </c>
      <c r="D728" s="6" t="s">
        <v>2403</v>
      </c>
      <c r="E728" s="3" t="s">
        <v>430</v>
      </c>
      <c r="F728" s="6" t="s">
        <v>2404</v>
      </c>
      <c r="G728" s="6" t="s">
        <v>2405</v>
      </c>
      <c r="H728" s="6" t="s">
        <v>76</v>
      </c>
      <c r="I728" s="6" t="s">
        <v>230</v>
      </c>
      <c r="J728" s="6" t="s">
        <v>61</v>
      </c>
      <c r="K728" s="6" t="s">
        <v>314</v>
      </c>
      <c r="L728" s="6" t="s">
        <v>805</v>
      </c>
      <c r="M728" s="6" t="s">
        <v>102</v>
      </c>
      <c r="N728" s="6" t="s">
        <v>202</v>
      </c>
      <c r="O728" s="6" t="s">
        <v>62</v>
      </c>
      <c r="P728" s="6" t="s">
        <v>1778</v>
      </c>
      <c r="Q728" s="6" t="s">
        <v>96</v>
      </c>
      <c r="R728" s="6" t="s">
        <v>57</v>
      </c>
      <c r="S728" s="6" t="s">
        <v>1217</v>
      </c>
      <c r="T728" s="131">
        <v>5.21</v>
      </c>
      <c r="U728" s="6" t="s">
        <v>2406</v>
      </c>
      <c r="V728" s="134">
        <v>2.4500000000000001E-2</v>
      </c>
      <c r="W728" s="132">
        <v>4.6370000000000001E-2</v>
      </c>
      <c r="X728" s="3" t="s">
        <v>620</v>
      </c>
      <c r="Y728" s="3" t="s">
        <v>62</v>
      </c>
      <c r="Z728" s="131">
        <v>79000</v>
      </c>
      <c r="AA728" s="129">
        <v>3.3719999999999999</v>
      </c>
      <c r="AB728" s="157">
        <v>90.284000000000006</v>
      </c>
      <c r="AD728" s="131">
        <v>240.505</v>
      </c>
      <c r="AG728" s="6" t="s">
        <v>17</v>
      </c>
      <c r="AH728" s="132">
        <v>2.9E-5</v>
      </c>
      <c r="AI728" s="132">
        <v>8.0880066473168499E-4</v>
      </c>
      <c r="AJ728" s="132">
        <v>1.25461390290695E-4</v>
      </c>
    </row>
    <row r="729" spans="1:36" x14ac:dyDescent="0.2">
      <c r="A729" s="6">
        <v>559</v>
      </c>
      <c r="B729" s="6">
        <v>7205</v>
      </c>
      <c r="C729" s="6" t="s">
        <v>1220</v>
      </c>
      <c r="D729" s="6" t="s">
        <v>1483</v>
      </c>
      <c r="E729" s="3" t="s">
        <v>1477</v>
      </c>
      <c r="F729" s="6" t="s">
        <v>2407</v>
      </c>
      <c r="G729" s="6" t="s">
        <v>2408</v>
      </c>
      <c r="H729" s="6" t="s">
        <v>76</v>
      </c>
      <c r="I729" s="6" t="s">
        <v>230</v>
      </c>
      <c r="J729" s="6" t="s">
        <v>61</v>
      </c>
      <c r="K729" s="6" t="s">
        <v>53</v>
      </c>
      <c r="L729" s="6" t="s">
        <v>805</v>
      </c>
      <c r="M729" s="6" t="s">
        <v>102</v>
      </c>
      <c r="N729" s="6" t="s">
        <v>195</v>
      </c>
      <c r="O729" s="6" t="s">
        <v>62</v>
      </c>
      <c r="P729" s="6" t="s">
        <v>1515</v>
      </c>
      <c r="Q729" s="6" t="s">
        <v>96</v>
      </c>
      <c r="R729" s="6" t="s">
        <v>57</v>
      </c>
      <c r="S729" s="6" t="s">
        <v>1217</v>
      </c>
      <c r="T729" s="131">
        <v>1.8759999999999999</v>
      </c>
      <c r="U729" s="6" t="s">
        <v>2409</v>
      </c>
      <c r="V729" s="134">
        <v>5.1249999999999997E-2</v>
      </c>
      <c r="W729" s="132">
        <v>4.6589999999999999E-2</v>
      </c>
      <c r="X729" s="3" t="s">
        <v>620</v>
      </c>
      <c r="Y729" s="3" t="s">
        <v>62</v>
      </c>
      <c r="Z729" s="131">
        <v>505000</v>
      </c>
      <c r="AA729" s="129">
        <v>3.3719999999999999</v>
      </c>
      <c r="AB729" s="157">
        <v>102.059</v>
      </c>
      <c r="AD729" s="131">
        <v>1737.9269999999999</v>
      </c>
      <c r="AG729" s="6" t="s">
        <v>17</v>
      </c>
      <c r="AH729" s="132">
        <v>1.01E-3</v>
      </c>
      <c r="AI729" s="132">
        <v>5.8445333323529896E-3</v>
      </c>
      <c r="AJ729" s="132">
        <v>9.0660568104326497E-4</v>
      </c>
    </row>
    <row r="730" spans="1:36" x14ac:dyDescent="0.2">
      <c r="A730" s="6">
        <v>559</v>
      </c>
      <c r="B730" s="6">
        <v>7205</v>
      </c>
      <c r="C730" s="6" t="s">
        <v>2253</v>
      </c>
      <c r="D730" s="6" t="s">
        <v>2254</v>
      </c>
      <c r="E730" s="3" t="s">
        <v>430</v>
      </c>
      <c r="F730" s="6" t="s">
        <v>2255</v>
      </c>
      <c r="G730" s="6" t="s">
        <v>2256</v>
      </c>
      <c r="H730" s="6" t="s">
        <v>76</v>
      </c>
      <c r="I730" s="6" t="s">
        <v>230</v>
      </c>
      <c r="J730" s="6" t="s">
        <v>61</v>
      </c>
      <c r="K730" s="6" t="s">
        <v>153</v>
      </c>
      <c r="L730" s="6" t="s">
        <v>805</v>
      </c>
      <c r="M730" s="6" t="s">
        <v>102</v>
      </c>
      <c r="N730" s="6" t="s">
        <v>894</v>
      </c>
      <c r="O730" s="6" t="s">
        <v>62</v>
      </c>
      <c r="P730" s="6" t="s">
        <v>1778</v>
      </c>
      <c r="Q730" s="6" t="s">
        <v>96</v>
      </c>
      <c r="R730" s="6" t="s">
        <v>57</v>
      </c>
      <c r="S730" s="6" t="s">
        <v>1217</v>
      </c>
      <c r="T730" s="131">
        <v>3.2370000000000001</v>
      </c>
      <c r="U730" s="6" t="s">
        <v>2257</v>
      </c>
      <c r="V730" s="134">
        <v>4.3749999999999997E-2</v>
      </c>
      <c r="W730" s="132">
        <v>4.7140000000000001E-2</v>
      </c>
      <c r="X730" s="3" t="s">
        <v>620</v>
      </c>
      <c r="Y730" s="3" t="s">
        <v>62</v>
      </c>
      <c r="Z730" s="131">
        <v>300000</v>
      </c>
      <c r="AA730" s="129">
        <v>3.3719999999999999</v>
      </c>
      <c r="AB730" s="157">
        <v>98.981999999999999</v>
      </c>
      <c r="AD730" s="131">
        <v>1001.3049999999999</v>
      </c>
      <c r="AG730" s="6" t="s">
        <v>17</v>
      </c>
      <c r="AH730" s="132">
        <v>8.6000000000000003E-5</v>
      </c>
      <c r="AI730" s="132">
        <v>3.3673209567724699E-3</v>
      </c>
      <c r="AJ730" s="132">
        <v>5.2233978928766E-4</v>
      </c>
    </row>
    <row r="731" spans="1:36" x14ac:dyDescent="0.2">
      <c r="A731" s="6">
        <v>559</v>
      </c>
      <c r="B731" s="6">
        <v>7205</v>
      </c>
      <c r="C731" s="6" t="s">
        <v>2410</v>
      </c>
      <c r="D731" s="6" t="s">
        <v>2411</v>
      </c>
      <c r="E731" s="3" t="s">
        <v>430</v>
      </c>
      <c r="F731" s="6" t="s">
        <v>2412</v>
      </c>
      <c r="G731" s="6" t="s">
        <v>2413</v>
      </c>
      <c r="H731" s="6" t="s">
        <v>76</v>
      </c>
      <c r="I731" s="6" t="s">
        <v>230</v>
      </c>
      <c r="J731" s="6" t="s">
        <v>61</v>
      </c>
      <c r="K731" s="6" t="s">
        <v>198</v>
      </c>
      <c r="L731" s="6" t="s">
        <v>805</v>
      </c>
      <c r="M731" s="6" t="s">
        <v>486</v>
      </c>
      <c r="N731" s="6" t="s">
        <v>915</v>
      </c>
      <c r="O731" s="6" t="s">
        <v>62</v>
      </c>
      <c r="P731" s="6" t="s">
        <v>2223</v>
      </c>
      <c r="Q731" s="6" t="s">
        <v>96</v>
      </c>
      <c r="R731" s="6" t="s">
        <v>57</v>
      </c>
      <c r="S731" s="6" t="s">
        <v>1215</v>
      </c>
      <c r="T731" s="131">
        <v>2.6440000000000001</v>
      </c>
      <c r="U731" s="6" t="s">
        <v>2414</v>
      </c>
      <c r="V731" s="134">
        <v>1.6250000000000001E-2</v>
      </c>
      <c r="W731" s="132">
        <v>4.0410000000000001E-2</v>
      </c>
      <c r="X731" s="3" t="s">
        <v>620</v>
      </c>
      <c r="Y731" s="3" t="s">
        <v>62</v>
      </c>
      <c r="Z731" s="131">
        <v>155000</v>
      </c>
      <c r="AA731" s="129">
        <v>3.9552</v>
      </c>
      <c r="AB731" s="157">
        <v>94.441000000000003</v>
      </c>
      <c r="AD731" s="131">
        <v>578.97500000000002</v>
      </c>
      <c r="AG731" s="6" t="s">
        <v>17</v>
      </c>
      <c r="AH731" s="132">
        <v>4.4900000000000002E-4</v>
      </c>
      <c r="AI731" s="132">
        <v>1.94705245676958E-3</v>
      </c>
      <c r="AJ731" s="132">
        <v>3.0202733361533898E-4</v>
      </c>
    </row>
    <row r="732" spans="1:36" x14ac:dyDescent="0.2">
      <c r="A732" s="6">
        <v>559</v>
      </c>
      <c r="B732" s="6">
        <v>7205</v>
      </c>
      <c r="C732" s="6" t="s">
        <v>2415</v>
      </c>
      <c r="D732" s="6" t="s">
        <v>2416</v>
      </c>
      <c r="E732" s="3" t="s">
        <v>430</v>
      </c>
      <c r="F732" s="6" t="s">
        <v>2417</v>
      </c>
      <c r="G732" s="6" t="s">
        <v>2418</v>
      </c>
      <c r="H732" s="6" t="s">
        <v>76</v>
      </c>
      <c r="I732" s="6" t="s">
        <v>230</v>
      </c>
      <c r="J732" s="6" t="s">
        <v>61</v>
      </c>
      <c r="K732" s="6" t="s">
        <v>314</v>
      </c>
      <c r="L732" s="6" t="s">
        <v>805</v>
      </c>
      <c r="M732" s="6" t="s">
        <v>476</v>
      </c>
      <c r="N732" s="6" t="s">
        <v>879</v>
      </c>
      <c r="O732" s="6" t="s">
        <v>62</v>
      </c>
      <c r="P732" s="6" t="s">
        <v>2216</v>
      </c>
      <c r="Q732" s="6" t="s">
        <v>84</v>
      </c>
      <c r="R732" s="6" t="s">
        <v>57</v>
      </c>
      <c r="S732" s="6" t="s">
        <v>1217</v>
      </c>
      <c r="T732" s="131">
        <v>5.6879999999999997</v>
      </c>
      <c r="U732" s="6" t="s">
        <v>1440</v>
      </c>
      <c r="V732" s="134">
        <v>4.4999999999999998E-2</v>
      </c>
      <c r="W732" s="132">
        <v>5.0369999999999998E-2</v>
      </c>
      <c r="X732" s="3" t="s">
        <v>620</v>
      </c>
      <c r="Y732" s="3" t="s">
        <v>62</v>
      </c>
      <c r="Z732" s="131">
        <v>240000</v>
      </c>
      <c r="AA732" s="129">
        <v>3.3719999999999999</v>
      </c>
      <c r="AB732" s="157">
        <v>99.114000000000004</v>
      </c>
      <c r="AD732" s="131">
        <v>802.11</v>
      </c>
      <c r="AG732" s="6" t="s">
        <v>17</v>
      </c>
      <c r="AH732" s="132">
        <v>6.8599999999999998E-4</v>
      </c>
      <c r="AI732" s="132">
        <v>2.6974412791611699E-3</v>
      </c>
      <c r="AJ732" s="132">
        <v>4.1842786222652501E-4</v>
      </c>
    </row>
    <row r="733" spans="1:36" x14ac:dyDescent="0.2">
      <c r="A733" s="6">
        <v>559</v>
      </c>
      <c r="B733" s="6">
        <v>7205</v>
      </c>
      <c r="C733" s="6" t="s">
        <v>2258</v>
      </c>
      <c r="D733" s="6" t="s">
        <v>2259</v>
      </c>
      <c r="E733" s="3" t="s">
        <v>430</v>
      </c>
      <c r="F733" s="6" t="s">
        <v>2260</v>
      </c>
      <c r="G733" s="6" t="s">
        <v>2261</v>
      </c>
      <c r="H733" s="6" t="s">
        <v>76</v>
      </c>
      <c r="I733" s="6" t="s">
        <v>230</v>
      </c>
      <c r="J733" s="6" t="s">
        <v>61</v>
      </c>
      <c r="K733" s="6" t="s">
        <v>314</v>
      </c>
      <c r="L733" s="6" t="s">
        <v>805</v>
      </c>
      <c r="M733" s="6" t="s">
        <v>476</v>
      </c>
      <c r="N733" s="6" t="s">
        <v>2262</v>
      </c>
      <c r="O733" s="6" t="s">
        <v>62</v>
      </c>
      <c r="P733" s="6" t="s">
        <v>2263</v>
      </c>
      <c r="Q733" s="6" t="s">
        <v>84</v>
      </c>
      <c r="R733" s="6" t="s">
        <v>57</v>
      </c>
      <c r="S733" s="6" t="s">
        <v>1217</v>
      </c>
      <c r="T733" s="131">
        <v>2.6880000000000002</v>
      </c>
      <c r="U733" s="6" t="s">
        <v>2264</v>
      </c>
      <c r="V733" s="134">
        <v>5.1999999999999998E-2</v>
      </c>
      <c r="W733" s="132">
        <v>4.5629999999999997E-2</v>
      </c>
      <c r="X733" s="3" t="s">
        <v>620</v>
      </c>
      <c r="Y733" s="3" t="s">
        <v>62</v>
      </c>
      <c r="Z733" s="131">
        <v>225000</v>
      </c>
      <c r="AA733" s="129">
        <v>3.3719999999999999</v>
      </c>
      <c r="AB733" s="157">
        <v>104.39400000000001</v>
      </c>
      <c r="AD733" s="131">
        <v>792.03599999999994</v>
      </c>
      <c r="AG733" s="6" t="s">
        <v>17</v>
      </c>
      <c r="AH733" s="132">
        <v>4.4999999999999999E-4</v>
      </c>
      <c r="AI733" s="132">
        <v>2.6635624646747301E-3</v>
      </c>
      <c r="AJ733" s="132">
        <v>4.1317257083989001E-4</v>
      </c>
    </row>
    <row r="734" spans="1:36" x14ac:dyDescent="0.2">
      <c r="A734" s="6">
        <v>559</v>
      </c>
      <c r="B734" s="6">
        <v>7205</v>
      </c>
      <c r="C734" s="6" t="s">
        <v>2258</v>
      </c>
      <c r="D734" s="6" t="s">
        <v>2259</v>
      </c>
      <c r="E734" s="3" t="s">
        <v>430</v>
      </c>
      <c r="F734" s="6" t="s">
        <v>2265</v>
      </c>
      <c r="G734" s="6" t="s">
        <v>2266</v>
      </c>
      <c r="H734" s="6" t="s">
        <v>76</v>
      </c>
      <c r="I734" s="6" t="s">
        <v>230</v>
      </c>
      <c r="J734" s="6" t="s">
        <v>61</v>
      </c>
      <c r="K734" s="6" t="s">
        <v>314</v>
      </c>
      <c r="L734" s="6" t="s">
        <v>805</v>
      </c>
      <c r="M734" s="6" t="s">
        <v>476</v>
      </c>
      <c r="N734" s="6" t="s">
        <v>2262</v>
      </c>
      <c r="O734" s="6" t="s">
        <v>62</v>
      </c>
      <c r="P734" s="6" t="s">
        <v>2263</v>
      </c>
      <c r="Q734" s="6" t="s">
        <v>84</v>
      </c>
      <c r="R734" s="6" t="s">
        <v>57</v>
      </c>
      <c r="S734" s="6" t="s">
        <v>1217</v>
      </c>
      <c r="T734" s="131">
        <v>6.2809999999999997</v>
      </c>
      <c r="U734" s="6" t="s">
        <v>2267</v>
      </c>
      <c r="V734" s="134">
        <v>5.45E-2</v>
      </c>
      <c r="W734" s="132">
        <v>5.203E-2</v>
      </c>
      <c r="X734" s="3" t="s">
        <v>620</v>
      </c>
      <c r="Y734" s="3" t="s">
        <v>62</v>
      </c>
      <c r="Z734" s="131">
        <v>225000</v>
      </c>
      <c r="AA734" s="129">
        <v>3.3719999999999999</v>
      </c>
      <c r="AB734" s="157">
        <v>104.78100000000001</v>
      </c>
      <c r="AD734" s="131">
        <v>794.976</v>
      </c>
      <c r="AG734" s="6" t="s">
        <v>17</v>
      </c>
      <c r="AH734" s="132">
        <v>2.2499999999999999E-4</v>
      </c>
      <c r="AI734" s="132">
        <v>2.67345006971097E-3</v>
      </c>
      <c r="AJ734" s="132">
        <v>4.1470633895926098E-4</v>
      </c>
    </row>
    <row r="735" spans="1:36" x14ac:dyDescent="0.2">
      <c r="A735" s="6">
        <v>559</v>
      </c>
      <c r="B735" s="6">
        <v>7205</v>
      </c>
      <c r="C735" s="6" t="s">
        <v>2419</v>
      </c>
      <c r="D735" s="6" t="s">
        <v>2420</v>
      </c>
      <c r="E735" s="3" t="s">
        <v>78</v>
      </c>
      <c r="F735" s="6" t="s">
        <v>2421</v>
      </c>
      <c r="G735" s="6" t="s">
        <v>2422</v>
      </c>
      <c r="H735" s="6" t="s">
        <v>76</v>
      </c>
      <c r="I735" s="6" t="s">
        <v>230</v>
      </c>
      <c r="J735" s="6" t="s">
        <v>61</v>
      </c>
      <c r="K735" s="6" t="s">
        <v>314</v>
      </c>
      <c r="L735" s="6" t="s">
        <v>805</v>
      </c>
      <c r="M735" s="6" t="s">
        <v>102</v>
      </c>
      <c r="N735" s="6" t="s">
        <v>862</v>
      </c>
      <c r="O735" s="6" t="s">
        <v>62</v>
      </c>
      <c r="P735" s="6" t="s">
        <v>2223</v>
      </c>
      <c r="Q735" s="6" t="s">
        <v>96</v>
      </c>
      <c r="R735" s="6" t="s">
        <v>57</v>
      </c>
      <c r="S735" s="6" t="s">
        <v>1217</v>
      </c>
      <c r="T735" s="131">
        <v>4.6710000000000003</v>
      </c>
      <c r="U735" s="6" t="s">
        <v>2423</v>
      </c>
      <c r="V735" s="134">
        <v>4.4999999999999998E-2</v>
      </c>
      <c r="W735" s="132">
        <v>5.287E-2</v>
      </c>
      <c r="X735" s="3" t="s">
        <v>620</v>
      </c>
      <c r="Y735" s="3" t="s">
        <v>62</v>
      </c>
      <c r="Z735" s="131">
        <v>79000</v>
      </c>
      <c r="AA735" s="129">
        <v>3.3719999999999999</v>
      </c>
      <c r="AB735" s="157">
        <v>98.24</v>
      </c>
      <c r="AD735" s="131">
        <v>261.7</v>
      </c>
      <c r="AG735" s="6" t="s">
        <v>17</v>
      </c>
      <c r="AH735" s="132">
        <v>0.190361</v>
      </c>
      <c r="AI735" s="132">
        <v>8.8007806961002398E-4</v>
      </c>
      <c r="AJ735" s="132">
        <v>1.36517961708469E-4</v>
      </c>
    </row>
    <row r="736" spans="1:36" x14ac:dyDescent="0.2">
      <c r="A736" s="6">
        <v>559</v>
      </c>
      <c r="B736" s="6">
        <v>7205</v>
      </c>
      <c r="C736" s="6" t="s">
        <v>2424</v>
      </c>
      <c r="D736" s="6" t="s">
        <v>2425</v>
      </c>
      <c r="E736" s="3" t="s">
        <v>430</v>
      </c>
      <c r="F736" s="6" t="s">
        <v>2426</v>
      </c>
      <c r="G736" s="6" t="s">
        <v>2427</v>
      </c>
      <c r="H736" s="6" t="s">
        <v>76</v>
      </c>
      <c r="I736" s="6" t="s">
        <v>230</v>
      </c>
      <c r="J736" s="6" t="s">
        <v>61</v>
      </c>
      <c r="K736" s="6" t="s">
        <v>314</v>
      </c>
      <c r="L736" s="6" t="s">
        <v>805</v>
      </c>
      <c r="M736" s="6" t="s">
        <v>476</v>
      </c>
      <c r="N736" s="6" t="s">
        <v>882</v>
      </c>
      <c r="O736" s="6" t="s">
        <v>62</v>
      </c>
      <c r="P736" s="6" t="s">
        <v>1778</v>
      </c>
      <c r="Q736" s="6" t="s">
        <v>96</v>
      </c>
      <c r="R736" s="6" t="s">
        <v>57</v>
      </c>
      <c r="S736" s="6" t="s">
        <v>1217</v>
      </c>
      <c r="T736" s="131">
        <v>5.8239999999999998</v>
      </c>
      <c r="U736" s="6" t="s">
        <v>2428</v>
      </c>
      <c r="V736" s="134">
        <v>3.15E-2</v>
      </c>
      <c r="W736" s="132">
        <v>5.11E-2</v>
      </c>
      <c r="X736" s="3" t="s">
        <v>620</v>
      </c>
      <c r="Y736" s="3" t="s">
        <v>62</v>
      </c>
      <c r="Z736" s="131">
        <v>155000</v>
      </c>
      <c r="AA736" s="129">
        <v>3.3719999999999999</v>
      </c>
      <c r="AB736" s="157">
        <v>90.897000000000006</v>
      </c>
      <c r="AD736" s="131">
        <v>475.08100000000002</v>
      </c>
      <c r="AG736" s="6" t="s">
        <v>17</v>
      </c>
      <c r="AH736" s="132">
        <v>2.0699999999999999E-4</v>
      </c>
      <c r="AI736" s="132">
        <v>1.5976653174920199E-3</v>
      </c>
      <c r="AJ736" s="132">
        <v>2.47830300706133E-4</v>
      </c>
    </row>
    <row r="737" spans="1:36" x14ac:dyDescent="0.2">
      <c r="A737" s="6">
        <v>559</v>
      </c>
      <c r="B737" s="6">
        <v>7205</v>
      </c>
      <c r="C737" s="6" t="s">
        <v>2268</v>
      </c>
      <c r="D737" s="6" t="s">
        <v>2269</v>
      </c>
      <c r="E737" s="3" t="s">
        <v>430</v>
      </c>
      <c r="F737" s="6" t="s">
        <v>2270</v>
      </c>
      <c r="G737" s="6" t="s">
        <v>2271</v>
      </c>
      <c r="H737" s="6" t="s">
        <v>76</v>
      </c>
      <c r="I737" s="6" t="s">
        <v>230</v>
      </c>
      <c r="J737" s="6" t="s">
        <v>61</v>
      </c>
      <c r="K737" s="6" t="s">
        <v>314</v>
      </c>
      <c r="L737" s="6" t="s">
        <v>805</v>
      </c>
      <c r="M737" s="6" t="s">
        <v>102</v>
      </c>
      <c r="N737" s="6" t="s">
        <v>2272</v>
      </c>
      <c r="O737" s="6" t="s">
        <v>62</v>
      </c>
      <c r="P737" s="6" t="s">
        <v>2273</v>
      </c>
      <c r="Q737" s="6" t="s">
        <v>96</v>
      </c>
      <c r="R737" s="6" t="s">
        <v>57</v>
      </c>
      <c r="S737" s="6" t="s">
        <v>1217</v>
      </c>
      <c r="T737" s="131">
        <v>3.6320000000000001</v>
      </c>
      <c r="U737" s="6" t="s">
        <v>2274</v>
      </c>
      <c r="V737" s="134">
        <v>6.8750000000000006E-2</v>
      </c>
      <c r="W737" s="132">
        <v>6.2810000000000005E-2</v>
      </c>
      <c r="X737" s="3" t="s">
        <v>620</v>
      </c>
      <c r="Y737" s="3" t="s">
        <v>62</v>
      </c>
      <c r="Z737" s="131">
        <v>180000</v>
      </c>
      <c r="AA737" s="129">
        <v>3.3719999999999999</v>
      </c>
      <c r="AB737" s="157">
        <v>105.73699999999999</v>
      </c>
      <c r="AD737" s="131">
        <v>641.779</v>
      </c>
      <c r="AG737" s="6" t="s">
        <v>17</v>
      </c>
      <c r="AH737" s="132">
        <v>1.8000000000000001E-4</v>
      </c>
      <c r="AI737" s="132">
        <v>2.1582585744925301E-3</v>
      </c>
      <c r="AJ737" s="132">
        <v>3.3478968696505098E-4</v>
      </c>
    </row>
    <row r="738" spans="1:36" x14ac:dyDescent="0.2">
      <c r="A738" s="6">
        <v>559</v>
      </c>
      <c r="B738" s="6">
        <v>7205</v>
      </c>
      <c r="C738" s="6" t="s">
        <v>2429</v>
      </c>
      <c r="D738" s="6" t="s">
        <v>2430</v>
      </c>
      <c r="E738" s="3" t="s">
        <v>430</v>
      </c>
      <c r="F738" s="6" t="s">
        <v>2431</v>
      </c>
      <c r="G738" s="6" t="s">
        <v>2432</v>
      </c>
      <c r="H738" s="6" t="s">
        <v>76</v>
      </c>
      <c r="I738" s="6" t="s">
        <v>230</v>
      </c>
      <c r="J738" s="6" t="s">
        <v>61</v>
      </c>
      <c r="K738" s="6" t="s">
        <v>314</v>
      </c>
      <c r="L738" s="6" t="s">
        <v>805</v>
      </c>
      <c r="M738" s="6" t="s">
        <v>476</v>
      </c>
      <c r="N738" s="6" t="s">
        <v>882</v>
      </c>
      <c r="O738" s="6" t="s">
        <v>62</v>
      </c>
      <c r="P738" s="6" t="s">
        <v>1994</v>
      </c>
      <c r="Q738" s="6" t="s">
        <v>96</v>
      </c>
      <c r="R738" s="6" t="s">
        <v>57</v>
      </c>
      <c r="S738" s="6" t="s">
        <v>1217</v>
      </c>
      <c r="T738" s="131">
        <v>4.3899999999999997</v>
      </c>
      <c r="U738" s="6" t="s">
        <v>2433</v>
      </c>
      <c r="V738" s="134">
        <v>2.7E-2</v>
      </c>
      <c r="W738" s="132">
        <v>4.5260000000000002E-2</v>
      </c>
      <c r="X738" s="3" t="s">
        <v>620</v>
      </c>
      <c r="Y738" s="3" t="s">
        <v>62</v>
      </c>
      <c r="Z738" s="131">
        <v>155000</v>
      </c>
      <c r="AA738" s="129">
        <v>3.3719999999999999</v>
      </c>
      <c r="AB738" s="157">
        <v>93.265000000000001</v>
      </c>
      <c r="AD738" s="131">
        <v>487.459</v>
      </c>
      <c r="AG738" s="6" t="s">
        <v>17</v>
      </c>
      <c r="AH738" s="132">
        <v>1.63E-4</v>
      </c>
      <c r="AI738" s="132">
        <v>1.63929303309099E-3</v>
      </c>
      <c r="AJ738" s="132">
        <v>2.5428760384819298E-4</v>
      </c>
    </row>
    <row r="739" spans="1:36" x14ac:dyDescent="0.2">
      <c r="A739" s="6">
        <v>559</v>
      </c>
      <c r="B739" s="6">
        <v>7205</v>
      </c>
      <c r="C739" s="6" t="s">
        <v>2275</v>
      </c>
      <c r="D739" s="6" t="s">
        <v>2276</v>
      </c>
      <c r="E739" s="3" t="s">
        <v>430</v>
      </c>
      <c r="F739" s="6" t="s">
        <v>2277</v>
      </c>
      <c r="G739" s="6" t="s">
        <v>2278</v>
      </c>
      <c r="H739" s="6" t="s">
        <v>76</v>
      </c>
      <c r="I739" s="6" t="s">
        <v>230</v>
      </c>
      <c r="J739" s="6" t="s">
        <v>61</v>
      </c>
      <c r="K739" s="6" t="s">
        <v>203</v>
      </c>
      <c r="L739" s="6" t="s">
        <v>805</v>
      </c>
      <c r="M739" s="6" t="s">
        <v>102</v>
      </c>
      <c r="N739" s="6" t="s">
        <v>908</v>
      </c>
      <c r="O739" s="6" t="s">
        <v>62</v>
      </c>
      <c r="P739" s="6" t="s">
        <v>1778</v>
      </c>
      <c r="Q739" s="6" t="s">
        <v>96</v>
      </c>
      <c r="R739" s="6" t="s">
        <v>57</v>
      </c>
      <c r="S739" s="6" t="s">
        <v>1217</v>
      </c>
      <c r="T739" s="131">
        <v>2.6280000000000001</v>
      </c>
      <c r="U739" s="6" t="s">
        <v>2279</v>
      </c>
      <c r="V739" s="134">
        <v>5.7000000000000002E-2</v>
      </c>
      <c r="W739" s="132">
        <v>4.5949999999999998E-2</v>
      </c>
      <c r="X739" s="3" t="s">
        <v>620</v>
      </c>
      <c r="Y739" s="3" t="s">
        <v>62</v>
      </c>
      <c r="Z739" s="131">
        <v>305000</v>
      </c>
      <c r="AA739" s="129">
        <v>3.3719999999999999</v>
      </c>
      <c r="AB739" s="157">
        <v>103.504</v>
      </c>
      <c r="AD739" s="131">
        <v>1064.4960000000001</v>
      </c>
      <c r="AG739" s="6" t="s">
        <v>17</v>
      </c>
      <c r="AH739" s="132">
        <v>3.0499999999999999E-4</v>
      </c>
      <c r="AI739" s="132">
        <v>3.5798269058584299E-3</v>
      </c>
      <c r="AJ739" s="132">
        <v>5.5530377284993004E-4</v>
      </c>
    </row>
    <row r="740" spans="1:36" x14ac:dyDescent="0.2">
      <c r="A740" s="6">
        <v>559</v>
      </c>
      <c r="B740" s="6">
        <v>7205</v>
      </c>
      <c r="C740" s="6" t="s">
        <v>2275</v>
      </c>
      <c r="D740" s="6" t="s">
        <v>2276</v>
      </c>
      <c r="E740" s="3" t="s">
        <v>430</v>
      </c>
      <c r="F740" s="6" t="s">
        <v>2280</v>
      </c>
      <c r="G740" s="6" t="s">
        <v>2281</v>
      </c>
      <c r="H740" s="6" t="s">
        <v>76</v>
      </c>
      <c r="I740" s="6" t="s">
        <v>230</v>
      </c>
      <c r="J740" s="6" t="s">
        <v>61</v>
      </c>
      <c r="K740" s="6" t="s">
        <v>314</v>
      </c>
      <c r="L740" s="6" t="s">
        <v>805</v>
      </c>
      <c r="M740" s="6" t="s">
        <v>102</v>
      </c>
      <c r="N740" s="6" t="s">
        <v>908</v>
      </c>
      <c r="O740" s="6" t="s">
        <v>62</v>
      </c>
      <c r="P740" s="6" t="s">
        <v>1778</v>
      </c>
      <c r="Q740" s="6" t="s">
        <v>96</v>
      </c>
      <c r="R740" s="6" t="s">
        <v>57</v>
      </c>
      <c r="S740" s="6" t="s">
        <v>1217</v>
      </c>
      <c r="T740" s="131">
        <v>2.6280000000000001</v>
      </c>
      <c r="U740" s="6" t="s">
        <v>2279</v>
      </c>
      <c r="V740" s="134">
        <v>5.7000000000000002E-2</v>
      </c>
      <c r="W740" s="132">
        <v>4.5949999999999998E-2</v>
      </c>
      <c r="X740" s="3" t="s">
        <v>620</v>
      </c>
      <c r="Y740" s="3" t="s">
        <v>62</v>
      </c>
      <c r="Z740" s="131">
        <v>145000</v>
      </c>
      <c r="AA740" s="129">
        <v>3.3719999999999999</v>
      </c>
      <c r="AB740" s="157">
        <v>103.47499999999999</v>
      </c>
      <c r="AD740" s="131">
        <v>505.93</v>
      </c>
      <c r="AG740" s="6" t="s">
        <v>17</v>
      </c>
      <c r="AH740" s="132">
        <v>1.45E-4</v>
      </c>
      <c r="AI740" s="132">
        <v>1.70140808291541E-3</v>
      </c>
      <c r="AJ740" s="132">
        <v>2.6392290813114899E-4</v>
      </c>
    </row>
    <row r="741" spans="1:36" x14ac:dyDescent="0.2">
      <c r="A741" s="6">
        <v>559</v>
      </c>
      <c r="B741" s="6">
        <v>7205</v>
      </c>
      <c r="C741" s="6" t="s">
        <v>2434</v>
      </c>
      <c r="D741" s="6" t="s">
        <v>2435</v>
      </c>
      <c r="E741" s="3" t="s">
        <v>430</v>
      </c>
      <c r="F741" s="6" t="s">
        <v>2436</v>
      </c>
      <c r="G741" s="6" t="s">
        <v>2437</v>
      </c>
      <c r="H741" s="6" t="s">
        <v>76</v>
      </c>
      <c r="I741" s="6" t="s">
        <v>307</v>
      </c>
      <c r="J741" s="6" t="s">
        <v>61</v>
      </c>
      <c r="K741" s="6" t="s">
        <v>315</v>
      </c>
      <c r="L741" s="6" t="s">
        <v>805</v>
      </c>
      <c r="M741" s="6" t="s">
        <v>102</v>
      </c>
      <c r="N741" s="6" t="s">
        <v>862</v>
      </c>
      <c r="O741" s="6" t="s">
        <v>62</v>
      </c>
      <c r="P741" s="6" t="s">
        <v>2438</v>
      </c>
      <c r="Q741" s="6" t="s">
        <v>96</v>
      </c>
      <c r="R741" s="6" t="s">
        <v>57</v>
      </c>
      <c r="S741" s="6" t="s">
        <v>1217</v>
      </c>
      <c r="T741" s="131">
        <v>1.7370000000000001</v>
      </c>
      <c r="U741" s="6" t="s">
        <v>2375</v>
      </c>
      <c r="V741" s="134">
        <v>6.5000000000000002E-2</v>
      </c>
      <c r="W741" s="132">
        <v>7.8329999999999997E-2</v>
      </c>
      <c r="X741" s="3" t="s">
        <v>620</v>
      </c>
      <c r="Y741" s="3" t="s">
        <v>62</v>
      </c>
      <c r="Z741" s="131">
        <v>410000</v>
      </c>
      <c r="AA741" s="129">
        <v>3.3719999999999999</v>
      </c>
      <c r="AB741" s="157">
        <v>98.903999999999996</v>
      </c>
      <c r="AD741" s="131">
        <v>1367.3720000000001</v>
      </c>
      <c r="AG741" s="6" t="s">
        <v>17</v>
      </c>
      <c r="AH741" s="132">
        <v>9.1100000000000003E-4</v>
      </c>
      <c r="AI741" s="132">
        <v>4.5983807741466001E-3</v>
      </c>
      <c r="AJ741" s="132">
        <v>7.1330214002955097E-4</v>
      </c>
    </row>
    <row r="742" spans="1:36" x14ac:dyDescent="0.2">
      <c r="A742" s="6">
        <v>559</v>
      </c>
      <c r="B742" s="6">
        <v>7205</v>
      </c>
      <c r="C742" s="6" t="s">
        <v>2439</v>
      </c>
      <c r="D742" s="6" t="s">
        <v>2440</v>
      </c>
      <c r="E742" s="3" t="s">
        <v>430</v>
      </c>
      <c r="F742" s="6" t="s">
        <v>2441</v>
      </c>
      <c r="G742" s="6" t="s">
        <v>2442</v>
      </c>
      <c r="H742" s="6" t="s">
        <v>76</v>
      </c>
      <c r="I742" s="6" t="s">
        <v>230</v>
      </c>
      <c r="J742" s="6" t="s">
        <v>61</v>
      </c>
      <c r="K742" s="6" t="s">
        <v>314</v>
      </c>
      <c r="L742" s="6" t="s">
        <v>805</v>
      </c>
      <c r="M742" s="6" t="s">
        <v>476</v>
      </c>
      <c r="N742" s="6" t="s">
        <v>878</v>
      </c>
      <c r="O742" s="6" t="s">
        <v>62</v>
      </c>
      <c r="P742" s="6" t="s">
        <v>1778</v>
      </c>
      <c r="Q742" s="6" t="s">
        <v>96</v>
      </c>
      <c r="R742" s="6" t="s">
        <v>57</v>
      </c>
      <c r="S742" s="6" t="s">
        <v>1217</v>
      </c>
      <c r="T742" s="131">
        <v>4.4249999999999998</v>
      </c>
      <c r="U742" s="6" t="s">
        <v>2443</v>
      </c>
      <c r="V742" s="134">
        <v>4.2500000000000003E-2</v>
      </c>
      <c r="W742" s="132">
        <v>4.6059999999999997E-2</v>
      </c>
      <c r="X742" s="3" t="s">
        <v>620</v>
      </c>
      <c r="Y742" s="3" t="s">
        <v>62</v>
      </c>
      <c r="Z742" s="131">
        <v>155000</v>
      </c>
      <c r="AA742" s="129">
        <v>3.3719999999999999</v>
      </c>
      <c r="AB742" s="157">
        <v>99.468000000000004</v>
      </c>
      <c r="AD742" s="131">
        <v>519.87699999999995</v>
      </c>
      <c r="AG742" s="6" t="s">
        <v>17</v>
      </c>
      <c r="AH742" s="132">
        <v>4.5100000000000001E-4</v>
      </c>
      <c r="AI742" s="132">
        <v>1.7483129046785601E-3</v>
      </c>
      <c r="AJ742" s="132">
        <v>2.7119879748973999E-4</v>
      </c>
    </row>
    <row r="743" spans="1:36" x14ac:dyDescent="0.2">
      <c r="A743" s="6">
        <v>559</v>
      </c>
      <c r="B743" s="6">
        <v>7205</v>
      </c>
      <c r="C743" s="6" t="s">
        <v>2444</v>
      </c>
      <c r="D743" s="6" t="s">
        <v>2445</v>
      </c>
      <c r="E743" s="3" t="s">
        <v>430</v>
      </c>
      <c r="F743" s="6" t="s">
        <v>2446</v>
      </c>
      <c r="G743" s="6" t="s">
        <v>2447</v>
      </c>
      <c r="H743" s="6" t="s">
        <v>76</v>
      </c>
      <c r="I743" s="6" t="s">
        <v>230</v>
      </c>
      <c r="J743" s="6" t="s">
        <v>61</v>
      </c>
      <c r="K743" s="6" t="s">
        <v>314</v>
      </c>
      <c r="L743" s="6" t="s">
        <v>805</v>
      </c>
      <c r="M743" s="6" t="s">
        <v>476</v>
      </c>
      <c r="N743" s="6" t="s">
        <v>2448</v>
      </c>
      <c r="O743" s="6" t="s">
        <v>62</v>
      </c>
      <c r="P743" s="6" t="s">
        <v>2263</v>
      </c>
      <c r="Q743" s="6" t="s">
        <v>84</v>
      </c>
      <c r="R743" s="6" t="s">
        <v>57</v>
      </c>
      <c r="S743" s="6" t="s">
        <v>1217</v>
      </c>
      <c r="T743" s="131">
        <v>3.1139999999999999</v>
      </c>
      <c r="U743" s="6" t="s">
        <v>2449</v>
      </c>
      <c r="V743" s="134">
        <v>3.125E-2</v>
      </c>
      <c r="W743" s="132">
        <v>6.0909999999999999E-2</v>
      </c>
      <c r="X743" s="3" t="s">
        <v>620</v>
      </c>
      <c r="Y743" s="3" t="s">
        <v>62</v>
      </c>
      <c r="Z743" s="131">
        <v>320000</v>
      </c>
      <c r="AA743" s="129">
        <v>3.3719999999999999</v>
      </c>
      <c r="AB743" s="157">
        <v>92.18</v>
      </c>
      <c r="AD743" s="131">
        <v>994.66300000000001</v>
      </c>
      <c r="AG743" s="6" t="s">
        <v>17</v>
      </c>
      <c r="AH743" s="132">
        <v>4.2700000000000002E-4</v>
      </c>
      <c r="AI743" s="132">
        <v>3.34498503177042E-3</v>
      </c>
      <c r="AJ743" s="132">
        <v>5.1887503421711896E-4</v>
      </c>
    </row>
    <row r="744" spans="1:36" x14ac:dyDescent="0.2">
      <c r="A744" s="6">
        <v>559</v>
      </c>
      <c r="B744" s="6">
        <v>7205</v>
      </c>
      <c r="C744" s="6" t="s">
        <v>2282</v>
      </c>
      <c r="D744" s="6" t="s">
        <v>2283</v>
      </c>
      <c r="E744" s="3" t="s">
        <v>430</v>
      </c>
      <c r="F744" s="6" t="s">
        <v>2284</v>
      </c>
      <c r="G744" s="6" t="s">
        <v>2285</v>
      </c>
      <c r="H744" s="6" t="s">
        <v>76</v>
      </c>
      <c r="I744" s="6" t="s">
        <v>230</v>
      </c>
      <c r="J744" s="6" t="s">
        <v>61</v>
      </c>
      <c r="K744" s="6" t="s">
        <v>314</v>
      </c>
      <c r="L744" s="6" t="s">
        <v>805</v>
      </c>
      <c r="M744" s="6" t="s">
        <v>102</v>
      </c>
      <c r="N744" s="6" t="s">
        <v>1141</v>
      </c>
      <c r="O744" s="6" t="s">
        <v>62</v>
      </c>
      <c r="P744" s="6" t="s">
        <v>2223</v>
      </c>
      <c r="Q744" s="6" t="s">
        <v>96</v>
      </c>
      <c r="R744" s="6" t="s">
        <v>57</v>
      </c>
      <c r="S744" s="6" t="s">
        <v>1217</v>
      </c>
      <c r="T744" s="131">
        <v>3.722</v>
      </c>
      <c r="U744" s="6" t="s">
        <v>2286</v>
      </c>
      <c r="V744" s="134">
        <v>5.8000000000000003E-2</v>
      </c>
      <c r="W744" s="132">
        <v>5.8549999999999998E-2</v>
      </c>
      <c r="X744" s="3" t="s">
        <v>620</v>
      </c>
      <c r="Y744" s="3" t="s">
        <v>62</v>
      </c>
      <c r="Z744" s="131">
        <v>75000</v>
      </c>
      <c r="AA744" s="129">
        <v>3.3719999999999999</v>
      </c>
      <c r="AB744" s="157">
        <v>101.224</v>
      </c>
      <c r="AD744" s="131">
        <v>255.995</v>
      </c>
      <c r="AG744" s="6" t="s">
        <v>17</v>
      </c>
      <c r="AH744" s="132">
        <v>0.255102</v>
      </c>
      <c r="AI744" s="132">
        <v>8.6089564807258104E-4</v>
      </c>
      <c r="AJ744" s="132">
        <v>1.3354237899671601E-4</v>
      </c>
    </row>
    <row r="745" spans="1:36" x14ac:dyDescent="0.2">
      <c r="A745" s="6">
        <v>559</v>
      </c>
      <c r="B745" s="6">
        <v>7205</v>
      </c>
      <c r="C745" s="6" t="s">
        <v>2282</v>
      </c>
      <c r="D745" s="6" t="s">
        <v>2283</v>
      </c>
      <c r="E745" s="3" t="s">
        <v>430</v>
      </c>
      <c r="F745" s="6" t="s">
        <v>2287</v>
      </c>
      <c r="G745" s="6" t="s">
        <v>2288</v>
      </c>
      <c r="H745" s="6" t="s">
        <v>76</v>
      </c>
      <c r="I745" s="6" t="s">
        <v>230</v>
      </c>
      <c r="J745" s="6" t="s">
        <v>61</v>
      </c>
      <c r="K745" s="6" t="s">
        <v>314</v>
      </c>
      <c r="L745" s="6" t="s">
        <v>805</v>
      </c>
      <c r="M745" s="6" t="s">
        <v>102</v>
      </c>
      <c r="N745" s="6" t="s">
        <v>1141</v>
      </c>
      <c r="O745" s="6" t="s">
        <v>62</v>
      </c>
      <c r="P745" s="6" t="s">
        <v>2223</v>
      </c>
      <c r="Q745" s="6" t="s">
        <v>96</v>
      </c>
      <c r="R745" s="6" t="s">
        <v>57</v>
      </c>
      <c r="S745" s="6" t="s">
        <v>1217</v>
      </c>
      <c r="T745" s="131">
        <v>4.1929999999999996</v>
      </c>
      <c r="U745" s="6" t="s">
        <v>2289</v>
      </c>
      <c r="V745" s="134">
        <v>5.8749999999999997E-2</v>
      </c>
      <c r="W745" s="132">
        <v>6.5129999999999993E-2</v>
      </c>
      <c r="X745" s="3" t="s">
        <v>620</v>
      </c>
      <c r="Y745" s="3" t="s">
        <v>62</v>
      </c>
      <c r="Z745" s="131">
        <v>72000</v>
      </c>
      <c r="AA745" s="129">
        <v>3.3719999999999999</v>
      </c>
      <c r="AB745" s="157">
        <v>100.97499999999999</v>
      </c>
      <c r="AD745" s="131">
        <v>245.15199999999999</v>
      </c>
      <c r="AG745" s="6" t="s">
        <v>17</v>
      </c>
      <c r="AH745" s="132">
        <v>1.44E-4</v>
      </c>
      <c r="AI745" s="132">
        <v>8.2442886229075398E-4</v>
      </c>
      <c r="AJ745" s="132">
        <v>1.27885640763027E-4</v>
      </c>
    </row>
    <row r="746" spans="1:36" x14ac:dyDescent="0.2">
      <c r="A746" s="6">
        <v>559</v>
      </c>
      <c r="B746" s="6">
        <v>7205</v>
      </c>
      <c r="C746" s="6" t="s">
        <v>2290</v>
      </c>
      <c r="D746" s="6" t="s">
        <v>2291</v>
      </c>
      <c r="E746" s="3" t="s">
        <v>430</v>
      </c>
      <c r="F746" s="6" t="s">
        <v>2292</v>
      </c>
      <c r="G746" s="6" t="s">
        <v>2293</v>
      </c>
      <c r="H746" s="6" t="s">
        <v>76</v>
      </c>
      <c r="I746" s="6" t="s">
        <v>230</v>
      </c>
      <c r="J746" s="6" t="s">
        <v>61</v>
      </c>
      <c r="K746" s="6" t="s">
        <v>173</v>
      </c>
      <c r="L746" s="6" t="s">
        <v>805</v>
      </c>
      <c r="M746" s="6" t="s">
        <v>486</v>
      </c>
      <c r="N746" s="6" t="s">
        <v>915</v>
      </c>
      <c r="O746" s="6" t="s">
        <v>62</v>
      </c>
      <c r="P746" s="6" t="s">
        <v>1994</v>
      </c>
      <c r="Q746" s="6" t="s">
        <v>96</v>
      </c>
      <c r="R746" s="6" t="s">
        <v>57</v>
      </c>
      <c r="S746" s="6" t="s">
        <v>1215</v>
      </c>
      <c r="T746" s="131">
        <v>2.5249999999999999</v>
      </c>
      <c r="U746" s="6" t="s">
        <v>2294</v>
      </c>
      <c r="V746" s="134">
        <v>1.25E-3</v>
      </c>
      <c r="W746" s="132">
        <v>3.0190000000000002E-2</v>
      </c>
      <c r="X746" s="3" t="s">
        <v>620</v>
      </c>
      <c r="Y746" s="3" t="s">
        <v>62</v>
      </c>
      <c r="Z746" s="131">
        <v>312000</v>
      </c>
      <c r="AA746" s="129">
        <v>3.9552</v>
      </c>
      <c r="AB746" s="157">
        <v>93.034999999999997</v>
      </c>
      <c r="AD746" s="131">
        <v>1148.075</v>
      </c>
      <c r="AG746" s="6" t="s">
        <v>17</v>
      </c>
      <c r="AH746" s="132">
        <v>3.1199999999999999E-4</v>
      </c>
      <c r="AI746" s="132">
        <v>3.8609005595469999E-3</v>
      </c>
      <c r="AJ746" s="132">
        <v>5.9890399834869605E-4</v>
      </c>
    </row>
    <row r="747" spans="1:36" x14ac:dyDescent="0.2">
      <c r="A747" s="6">
        <v>559</v>
      </c>
      <c r="B747" s="6">
        <v>7205</v>
      </c>
      <c r="C747" s="6" t="s">
        <v>2295</v>
      </c>
      <c r="D747" s="6" t="s">
        <v>2296</v>
      </c>
      <c r="E747" s="3" t="s">
        <v>1477</v>
      </c>
      <c r="F747" s="6" t="s">
        <v>2297</v>
      </c>
      <c r="G747" s="6" t="s">
        <v>2298</v>
      </c>
      <c r="H747" s="6" t="s">
        <v>76</v>
      </c>
      <c r="I747" s="6" t="s">
        <v>230</v>
      </c>
      <c r="J747" s="6" t="s">
        <v>53</v>
      </c>
      <c r="K747" s="6" t="s">
        <v>53</v>
      </c>
      <c r="L747" s="6" t="s">
        <v>805</v>
      </c>
      <c r="M747" s="6" t="s">
        <v>102</v>
      </c>
      <c r="N747" s="6" t="s">
        <v>195</v>
      </c>
      <c r="O747" s="6" t="s">
        <v>62</v>
      </c>
      <c r="P747" s="6" t="s">
        <v>1355</v>
      </c>
      <c r="Q747" s="6" t="s">
        <v>84</v>
      </c>
      <c r="R747" s="6" t="s">
        <v>57</v>
      </c>
      <c r="S747" s="6" t="s">
        <v>1217</v>
      </c>
      <c r="T747" s="131">
        <v>2.3769999999999998</v>
      </c>
      <c r="U747" s="6" t="s">
        <v>2299</v>
      </c>
      <c r="V747" s="134">
        <v>5.3749999999999999E-2</v>
      </c>
      <c r="W747" s="132">
        <v>5.4789999999999998E-2</v>
      </c>
      <c r="X747" s="3" t="s">
        <v>620</v>
      </c>
      <c r="Y747" s="3" t="s">
        <v>62</v>
      </c>
      <c r="Z747" s="131">
        <v>475000</v>
      </c>
      <c r="AA747" s="129">
        <v>3.3719999999999999</v>
      </c>
      <c r="AB747" s="157">
        <v>102.18</v>
      </c>
      <c r="AD747" s="131">
        <v>1636.6220000000001</v>
      </c>
      <c r="AG747" s="6" t="s">
        <v>17</v>
      </c>
      <c r="AH747" s="132">
        <v>5.9400000000000002E-4</v>
      </c>
      <c r="AI747" s="132">
        <v>5.5038496374273703E-3</v>
      </c>
      <c r="AJ747" s="132">
        <v>8.5375872890961597E-4</v>
      </c>
    </row>
    <row r="748" spans="1:36" x14ac:dyDescent="0.2">
      <c r="A748" s="6">
        <v>559</v>
      </c>
      <c r="B748" s="6">
        <v>7205</v>
      </c>
      <c r="C748" s="6" t="s">
        <v>2300</v>
      </c>
      <c r="D748" s="6" t="s">
        <v>2301</v>
      </c>
      <c r="E748" s="3" t="s">
        <v>430</v>
      </c>
      <c r="F748" s="6" t="s">
        <v>2302</v>
      </c>
      <c r="G748" s="6" t="s">
        <v>2303</v>
      </c>
      <c r="H748" s="6" t="s">
        <v>76</v>
      </c>
      <c r="I748" s="6" t="s">
        <v>230</v>
      </c>
      <c r="J748" s="6" t="s">
        <v>61</v>
      </c>
      <c r="K748" s="6" t="s">
        <v>314</v>
      </c>
      <c r="L748" s="6" t="s">
        <v>805</v>
      </c>
      <c r="M748" s="6" t="s">
        <v>102</v>
      </c>
      <c r="N748" s="6" t="s">
        <v>202</v>
      </c>
      <c r="O748" s="6" t="s">
        <v>62</v>
      </c>
      <c r="P748" s="6" t="s">
        <v>1994</v>
      </c>
      <c r="Q748" s="6" t="s">
        <v>96</v>
      </c>
      <c r="R748" s="6" t="s">
        <v>57</v>
      </c>
      <c r="S748" s="6" t="s">
        <v>1217</v>
      </c>
      <c r="T748" s="131">
        <v>0.59599999999999997</v>
      </c>
      <c r="U748" s="6" t="s">
        <v>2304</v>
      </c>
      <c r="V748" s="134">
        <v>4.8750000000000002E-2</v>
      </c>
      <c r="W748" s="132">
        <v>4.7559999999999998E-2</v>
      </c>
      <c r="X748" s="3" t="s">
        <v>620</v>
      </c>
      <c r="Y748" s="3" t="s">
        <v>62</v>
      </c>
      <c r="Z748" s="131">
        <v>150000</v>
      </c>
      <c r="AA748" s="129">
        <v>3.3719999999999999</v>
      </c>
      <c r="AB748" s="157">
        <v>101.84</v>
      </c>
      <c r="AD748" s="131">
        <v>515.10599999999999</v>
      </c>
      <c r="AG748" s="6" t="s">
        <v>17</v>
      </c>
      <c r="AH748" s="132">
        <v>1E-4</v>
      </c>
      <c r="AI748" s="132">
        <v>1.7322664450546E-3</v>
      </c>
      <c r="AJ748" s="132">
        <v>2.6870966608635199E-4</v>
      </c>
    </row>
    <row r="749" spans="1:36" x14ac:dyDescent="0.2">
      <c r="A749" s="6">
        <v>559</v>
      </c>
      <c r="B749" s="6">
        <v>7205</v>
      </c>
      <c r="C749" s="6" t="s">
        <v>2305</v>
      </c>
      <c r="D749" s="6" t="s">
        <v>2306</v>
      </c>
      <c r="E749" s="3" t="s">
        <v>430</v>
      </c>
      <c r="F749" s="6" t="s">
        <v>2307</v>
      </c>
      <c r="G749" s="6" t="s">
        <v>2308</v>
      </c>
      <c r="H749" s="6" t="s">
        <v>76</v>
      </c>
      <c r="I749" s="6" t="s">
        <v>230</v>
      </c>
      <c r="J749" s="6" t="s">
        <v>61</v>
      </c>
      <c r="K749" s="6" t="s">
        <v>314</v>
      </c>
      <c r="L749" s="6" t="s">
        <v>805</v>
      </c>
      <c r="M749" s="6" t="s">
        <v>102</v>
      </c>
      <c r="N749" s="6" t="s">
        <v>890</v>
      </c>
      <c r="O749" s="6" t="s">
        <v>62</v>
      </c>
      <c r="P749" s="6" t="s">
        <v>2223</v>
      </c>
      <c r="Q749" s="6" t="s">
        <v>96</v>
      </c>
      <c r="R749" s="6" t="s">
        <v>57</v>
      </c>
      <c r="S749" s="6" t="s">
        <v>1217</v>
      </c>
      <c r="T749" s="131">
        <v>2.6070000000000002</v>
      </c>
      <c r="U749" s="6" t="s">
        <v>2237</v>
      </c>
      <c r="V749" s="134">
        <v>5.7000000000000002E-2</v>
      </c>
      <c r="W749" s="132">
        <v>4.8579999999999998E-2</v>
      </c>
      <c r="X749" s="3" t="s">
        <v>620</v>
      </c>
      <c r="Y749" s="3" t="s">
        <v>62</v>
      </c>
      <c r="Z749" s="131">
        <v>150000</v>
      </c>
      <c r="AA749" s="129">
        <v>3.3719999999999999</v>
      </c>
      <c r="AB749" s="157">
        <v>103.22499999999999</v>
      </c>
      <c r="AD749" s="131">
        <v>522.11</v>
      </c>
      <c r="AG749" s="6" t="s">
        <v>17</v>
      </c>
      <c r="AH749" s="132">
        <v>0.6</v>
      </c>
      <c r="AI749" s="132">
        <v>1.7558192291248699E-3</v>
      </c>
      <c r="AJ749" s="132">
        <v>2.72363180683367E-4</v>
      </c>
    </row>
    <row r="750" spans="1:36" x14ac:dyDescent="0.2">
      <c r="A750" s="6">
        <v>559</v>
      </c>
      <c r="B750" s="6">
        <v>7205</v>
      </c>
      <c r="C750" s="6" t="s">
        <v>1529</v>
      </c>
      <c r="D750" s="6" t="s">
        <v>1530</v>
      </c>
      <c r="E750" s="3" t="s">
        <v>1477</v>
      </c>
      <c r="F750" s="6" t="s">
        <v>2450</v>
      </c>
      <c r="G750" s="6" t="s">
        <v>2451</v>
      </c>
      <c r="H750" s="6" t="s">
        <v>76</v>
      </c>
      <c r="I750" s="6" t="s">
        <v>230</v>
      </c>
      <c r="J750" s="6" t="s">
        <v>61</v>
      </c>
      <c r="K750" s="6" t="s">
        <v>53</v>
      </c>
      <c r="L750" s="6" t="s">
        <v>805</v>
      </c>
      <c r="M750" s="6" t="s">
        <v>102</v>
      </c>
      <c r="N750" s="6" t="s">
        <v>865</v>
      </c>
      <c r="O750" s="6" t="s">
        <v>62</v>
      </c>
      <c r="P750" s="6" t="s">
        <v>2223</v>
      </c>
      <c r="Q750" s="6" t="s">
        <v>96</v>
      </c>
      <c r="R750" s="6" t="s">
        <v>57</v>
      </c>
      <c r="S750" s="6" t="s">
        <v>1217</v>
      </c>
      <c r="T750" s="131">
        <v>8.7210000000000001</v>
      </c>
      <c r="U750" s="6" t="s">
        <v>2452</v>
      </c>
      <c r="V750" s="134">
        <v>6.3750000000000001E-2</v>
      </c>
      <c r="W750" s="132">
        <v>6.3640000000000002E-2</v>
      </c>
      <c r="X750" s="3" t="s">
        <v>620</v>
      </c>
      <c r="Y750" s="3" t="s">
        <v>62</v>
      </c>
      <c r="Z750" s="131">
        <v>1250000</v>
      </c>
      <c r="AA750" s="129">
        <v>3.3719999999999999</v>
      </c>
      <c r="AB750" s="157">
        <v>101.21</v>
      </c>
      <c r="AD750" s="131">
        <v>4266.0200000000004</v>
      </c>
      <c r="AG750" s="6" t="s">
        <v>17</v>
      </c>
      <c r="AH750" s="132">
        <v>1.8029999999999999E-3</v>
      </c>
      <c r="AI750" s="132">
        <v>1.4346338471054701E-2</v>
      </c>
      <c r="AJ750" s="132">
        <v>2.2254081242088402E-3</v>
      </c>
    </row>
    <row r="751" spans="1:36" x14ac:dyDescent="0.2">
      <c r="A751" s="6">
        <v>559</v>
      </c>
      <c r="B751" s="6">
        <v>7205</v>
      </c>
      <c r="C751" s="6" t="s">
        <v>2453</v>
      </c>
      <c r="D751" s="6" t="s">
        <v>2454</v>
      </c>
      <c r="E751" s="3" t="s">
        <v>430</v>
      </c>
      <c r="F751" s="6" t="s">
        <v>2455</v>
      </c>
      <c r="G751" s="6" t="s">
        <v>2456</v>
      </c>
      <c r="H751" s="6" t="s">
        <v>76</v>
      </c>
      <c r="I751" s="6" t="s">
        <v>230</v>
      </c>
      <c r="J751" s="6" t="s">
        <v>61</v>
      </c>
      <c r="K751" s="6" t="s">
        <v>314</v>
      </c>
      <c r="L751" s="6" t="s">
        <v>805</v>
      </c>
      <c r="M751" s="6" t="s">
        <v>102</v>
      </c>
      <c r="N751" s="6" t="s">
        <v>887</v>
      </c>
      <c r="O751" s="6" t="s">
        <v>62</v>
      </c>
      <c r="P751" s="6" t="s">
        <v>1778</v>
      </c>
      <c r="Q751" s="6" t="s">
        <v>96</v>
      </c>
      <c r="R751" s="6" t="s">
        <v>57</v>
      </c>
      <c r="S751" s="6" t="s">
        <v>1217</v>
      </c>
      <c r="T751" s="131">
        <v>4.3470000000000004</v>
      </c>
      <c r="U751" s="6" t="s">
        <v>2457</v>
      </c>
      <c r="V751" s="134">
        <v>3.7499999999999999E-2</v>
      </c>
      <c r="W751" s="132">
        <v>4.5789999999999997E-2</v>
      </c>
      <c r="X751" s="3" t="s">
        <v>620</v>
      </c>
      <c r="Y751" s="3" t="s">
        <v>62</v>
      </c>
      <c r="Z751" s="131">
        <v>155000</v>
      </c>
      <c r="AA751" s="129">
        <v>3.3719999999999999</v>
      </c>
      <c r="AB751" s="157">
        <v>97.596000000000004</v>
      </c>
      <c r="AD751" s="131">
        <v>510.096</v>
      </c>
      <c r="AG751" s="6" t="s">
        <v>17</v>
      </c>
      <c r="AH751" s="132">
        <v>2.0900000000000001E-4</v>
      </c>
      <c r="AI751" s="132">
        <v>1.71541752041834E-3</v>
      </c>
      <c r="AJ751" s="132">
        <v>2.6609605608088799E-4</v>
      </c>
    </row>
    <row r="752" spans="1:36" x14ac:dyDescent="0.2">
      <c r="A752" s="6">
        <v>559</v>
      </c>
      <c r="B752" s="6">
        <v>7205</v>
      </c>
      <c r="C752" s="6" t="s">
        <v>2309</v>
      </c>
      <c r="D752" s="6" t="s">
        <v>2310</v>
      </c>
      <c r="E752" s="3" t="s">
        <v>1477</v>
      </c>
      <c r="F752" s="6" t="s">
        <v>2311</v>
      </c>
      <c r="G752" s="6" t="s">
        <v>2312</v>
      </c>
      <c r="H752" s="6" t="s">
        <v>76</v>
      </c>
      <c r="I752" s="6" t="s">
        <v>230</v>
      </c>
      <c r="J752" s="6" t="s">
        <v>61</v>
      </c>
      <c r="K752" s="6" t="s">
        <v>314</v>
      </c>
      <c r="L752" s="6" t="s">
        <v>805</v>
      </c>
      <c r="M752" s="6" t="s">
        <v>102</v>
      </c>
      <c r="N752" s="6" t="s">
        <v>2215</v>
      </c>
      <c r="O752" s="6" t="s">
        <v>62</v>
      </c>
      <c r="P752" s="6" t="s">
        <v>2273</v>
      </c>
      <c r="Q752" s="6" t="s">
        <v>96</v>
      </c>
      <c r="R752" s="6" t="s">
        <v>57</v>
      </c>
      <c r="S752" s="6" t="s">
        <v>1217</v>
      </c>
      <c r="T752" s="131">
        <v>0.13300000000000001</v>
      </c>
      <c r="U752" s="6" t="s">
        <v>2313</v>
      </c>
      <c r="V752" s="134">
        <v>6.1249999999999999E-2</v>
      </c>
      <c r="W752" s="132">
        <v>0.23773</v>
      </c>
      <c r="X752" s="3" t="s">
        <v>620</v>
      </c>
      <c r="Y752" s="3" t="s">
        <v>62</v>
      </c>
      <c r="Z752" s="131">
        <v>0</v>
      </c>
      <c r="AA752" s="129">
        <v>3.3719999999999999</v>
      </c>
      <c r="AB752" s="157">
        <v>0</v>
      </c>
      <c r="AC752" s="131">
        <v>46.667000000000002</v>
      </c>
      <c r="AD752" s="131">
        <v>157.36000000000001</v>
      </c>
      <c r="AG752" s="6" t="s">
        <v>17</v>
      </c>
      <c r="AH752" s="132">
        <v>0</v>
      </c>
      <c r="AI752" s="132">
        <v>5.2919193571662401E-4</v>
      </c>
      <c r="AJ752" s="132">
        <v>8.2088404325999497E-5</v>
      </c>
    </row>
    <row r="753" spans="1:36" x14ac:dyDescent="0.2">
      <c r="A753" s="6">
        <v>559</v>
      </c>
      <c r="B753" s="6">
        <v>7205</v>
      </c>
      <c r="C753" s="6" t="s">
        <v>2458</v>
      </c>
      <c r="D753" s="6" t="s">
        <v>2459</v>
      </c>
      <c r="E753" s="3" t="s">
        <v>430</v>
      </c>
      <c r="F753" s="6" t="s">
        <v>2460</v>
      </c>
      <c r="G753" s="6" t="s">
        <v>2461</v>
      </c>
      <c r="H753" s="6" t="s">
        <v>76</v>
      </c>
      <c r="I753" s="6" t="s">
        <v>230</v>
      </c>
      <c r="J753" s="6" t="s">
        <v>61</v>
      </c>
      <c r="K753" s="6" t="s">
        <v>314</v>
      </c>
      <c r="L753" s="6" t="s">
        <v>805</v>
      </c>
      <c r="M753" s="6" t="s">
        <v>476</v>
      </c>
      <c r="N753" s="6" t="s">
        <v>884</v>
      </c>
      <c r="O753" s="6" t="s">
        <v>62</v>
      </c>
      <c r="P753" s="6" t="s">
        <v>1994</v>
      </c>
      <c r="Q753" s="6" t="s">
        <v>96</v>
      </c>
      <c r="R753" s="6" t="s">
        <v>57</v>
      </c>
      <c r="S753" s="6" t="s">
        <v>1217</v>
      </c>
      <c r="T753" s="131">
        <v>4.6130000000000004</v>
      </c>
      <c r="U753" s="6" t="s">
        <v>1930</v>
      </c>
      <c r="V753" s="134">
        <v>3.5999999999999997E-2</v>
      </c>
      <c r="W753" s="132">
        <v>4.3810000000000002E-2</v>
      </c>
      <c r="X753" s="3" t="s">
        <v>620</v>
      </c>
      <c r="Y753" s="3" t="s">
        <v>62</v>
      </c>
      <c r="Z753" s="131">
        <v>155000</v>
      </c>
      <c r="AA753" s="129">
        <v>3.3719999999999999</v>
      </c>
      <c r="AB753" s="157">
        <v>96.638999999999996</v>
      </c>
      <c r="AC753" s="131">
        <v>2.79</v>
      </c>
      <c r="AD753" s="131">
        <v>514.50099999999998</v>
      </c>
      <c r="AG753" s="6" t="s">
        <v>17</v>
      </c>
      <c r="AH753" s="132">
        <v>1.55E-4</v>
      </c>
      <c r="AI753" s="132">
        <v>1.73023321723381E-3</v>
      </c>
      <c r="AJ753" s="132">
        <v>2.6839427120563697E-4</v>
      </c>
    </row>
    <row r="754" spans="1:36" x14ac:dyDescent="0.2">
      <c r="A754" s="6">
        <v>559</v>
      </c>
      <c r="B754" s="6">
        <v>7205</v>
      </c>
      <c r="C754" s="6" t="s">
        <v>2462</v>
      </c>
      <c r="D754" s="6" t="s">
        <v>2463</v>
      </c>
      <c r="E754" s="3" t="s">
        <v>430</v>
      </c>
      <c r="F754" s="6" t="s">
        <v>2464</v>
      </c>
      <c r="G754" s="6" t="s">
        <v>2465</v>
      </c>
      <c r="H754" s="6" t="s">
        <v>76</v>
      </c>
      <c r="I754" s="6" t="s">
        <v>230</v>
      </c>
      <c r="J754" s="6" t="s">
        <v>61</v>
      </c>
      <c r="K754" s="6" t="s">
        <v>314</v>
      </c>
      <c r="L754" s="6" t="s">
        <v>805</v>
      </c>
      <c r="M754" s="6" t="s">
        <v>476</v>
      </c>
      <c r="N754" s="6" t="s">
        <v>901</v>
      </c>
      <c r="O754" s="6" t="s">
        <v>62</v>
      </c>
      <c r="P754" s="6" t="s">
        <v>1778</v>
      </c>
      <c r="Q754" s="6" t="s">
        <v>96</v>
      </c>
      <c r="R754" s="6" t="s">
        <v>57</v>
      </c>
      <c r="S754" s="6" t="s">
        <v>1217</v>
      </c>
      <c r="T754" s="131">
        <v>3.3809999999999998</v>
      </c>
      <c r="U754" s="6" t="s">
        <v>2466</v>
      </c>
      <c r="V754" s="134">
        <v>4.5999999999999999E-2</v>
      </c>
      <c r="W754" s="132">
        <v>4.5260000000000002E-2</v>
      </c>
      <c r="X754" s="3" t="s">
        <v>620</v>
      </c>
      <c r="Y754" s="3" t="s">
        <v>62</v>
      </c>
      <c r="Z754" s="131">
        <v>155000</v>
      </c>
      <c r="AA754" s="129">
        <v>3.3719999999999999</v>
      </c>
      <c r="AB754" s="157">
        <v>100.78700000000001</v>
      </c>
      <c r="AD754" s="131">
        <v>526.77099999999996</v>
      </c>
      <c r="AG754" s="6" t="s">
        <v>17</v>
      </c>
      <c r="AH754" s="132">
        <v>1.94E-4</v>
      </c>
      <c r="AI754" s="132">
        <v>1.77149550747569E-3</v>
      </c>
      <c r="AJ754" s="132">
        <v>2.7479488946185798E-4</v>
      </c>
    </row>
    <row r="755" spans="1:36" x14ac:dyDescent="0.2">
      <c r="A755" s="6">
        <v>559</v>
      </c>
      <c r="B755" s="6">
        <v>7205</v>
      </c>
      <c r="C755" s="6" t="s">
        <v>2467</v>
      </c>
      <c r="D755" s="6" t="s">
        <v>2468</v>
      </c>
      <c r="E755" s="3" t="s">
        <v>430</v>
      </c>
      <c r="F755" s="6" t="s">
        <v>2469</v>
      </c>
      <c r="G755" s="6" t="s">
        <v>2470</v>
      </c>
      <c r="H755" s="6" t="s">
        <v>76</v>
      </c>
      <c r="I755" s="6" t="s">
        <v>230</v>
      </c>
      <c r="J755" s="6" t="s">
        <v>61</v>
      </c>
      <c r="K755" s="6" t="s">
        <v>314</v>
      </c>
      <c r="L755" s="6" t="s">
        <v>805</v>
      </c>
      <c r="M755" s="6" t="s">
        <v>476</v>
      </c>
      <c r="N755" s="6" t="s">
        <v>899</v>
      </c>
      <c r="O755" s="6" t="s">
        <v>62</v>
      </c>
      <c r="P755" s="6" t="s">
        <v>1778</v>
      </c>
      <c r="Q755" s="6" t="s">
        <v>96</v>
      </c>
      <c r="R755" s="6" t="s">
        <v>57</v>
      </c>
      <c r="S755" s="6" t="s">
        <v>1217</v>
      </c>
      <c r="T755" s="131">
        <v>2.2919999999999998</v>
      </c>
      <c r="U755" s="6" t="s">
        <v>2471</v>
      </c>
      <c r="V755" s="134">
        <v>3.2500000000000001E-2</v>
      </c>
      <c r="W755" s="132">
        <v>4.3729999999999998E-2</v>
      </c>
      <c r="X755" s="3" t="s">
        <v>620</v>
      </c>
      <c r="Y755" s="3" t="s">
        <v>62</v>
      </c>
      <c r="Z755" s="131">
        <v>155000</v>
      </c>
      <c r="AA755" s="129">
        <v>3.3719999999999999</v>
      </c>
      <c r="AB755" s="157">
        <v>98.055999999999997</v>
      </c>
      <c r="AD755" s="131">
        <v>512.50199999999995</v>
      </c>
      <c r="AG755" s="6" t="s">
        <v>17</v>
      </c>
      <c r="AH755" s="132">
        <v>5.5999999999999999E-5</v>
      </c>
      <c r="AI755" s="132">
        <v>1.72351000754908E-3</v>
      </c>
      <c r="AJ755" s="132">
        <v>2.6735136499766402E-4</v>
      </c>
    </row>
    <row r="756" spans="1:36" x14ac:dyDescent="0.2">
      <c r="A756" s="6">
        <v>559</v>
      </c>
      <c r="B756" s="6">
        <v>7205</v>
      </c>
      <c r="C756" s="6" t="s">
        <v>2314</v>
      </c>
      <c r="D756" s="6" t="s">
        <v>2315</v>
      </c>
      <c r="E756" s="3" t="s">
        <v>1477</v>
      </c>
      <c r="F756" s="6" t="s">
        <v>2316</v>
      </c>
      <c r="G756" s="6" t="s">
        <v>2317</v>
      </c>
      <c r="H756" s="6" t="s">
        <v>76</v>
      </c>
      <c r="I756" s="6" t="s">
        <v>307</v>
      </c>
      <c r="J756" s="6" t="s">
        <v>61</v>
      </c>
      <c r="K756" s="6" t="s">
        <v>314</v>
      </c>
      <c r="L756" s="6" t="s">
        <v>805</v>
      </c>
      <c r="M756" s="6" t="s">
        <v>102</v>
      </c>
      <c r="N756" s="6" t="s">
        <v>2318</v>
      </c>
      <c r="O756" s="6" t="s">
        <v>62</v>
      </c>
      <c r="P756" s="6" t="s">
        <v>298</v>
      </c>
      <c r="Q756" s="6" t="s">
        <v>298</v>
      </c>
      <c r="R756" s="6" t="s">
        <v>298</v>
      </c>
      <c r="S756" s="6" t="s">
        <v>1217</v>
      </c>
      <c r="T756" s="131">
        <v>0.159</v>
      </c>
      <c r="U756" s="6" t="s">
        <v>2319</v>
      </c>
      <c r="V756" s="134">
        <v>2.5000000000000001E-2</v>
      </c>
      <c r="W756" s="132">
        <v>-1.9959999999999999E-2</v>
      </c>
      <c r="X756" s="3" t="s">
        <v>620</v>
      </c>
      <c r="Y756" s="3" t="s">
        <v>62</v>
      </c>
      <c r="Z756" s="131">
        <v>610000</v>
      </c>
      <c r="AA756" s="129">
        <v>3.3719999999999999</v>
      </c>
      <c r="AB756" s="157">
        <v>112.158</v>
      </c>
      <c r="AD756" s="131">
        <v>2306.9929999999999</v>
      </c>
      <c r="AG756" s="6" t="s">
        <v>17</v>
      </c>
      <c r="AH756" s="132">
        <v>1.4139999999999999E-3</v>
      </c>
      <c r="AI756" s="132">
        <v>7.7582617089952798E-3</v>
      </c>
      <c r="AJ756" s="132">
        <v>1.20346377382432E-3</v>
      </c>
    </row>
    <row r="757" spans="1:36" x14ac:dyDescent="0.2">
      <c r="A757" s="6">
        <v>559</v>
      </c>
      <c r="B757" s="6">
        <v>7205</v>
      </c>
      <c r="C757" s="6" t="s">
        <v>2320</v>
      </c>
      <c r="D757" s="6" t="s">
        <v>2321</v>
      </c>
      <c r="E757" s="3" t="s">
        <v>430</v>
      </c>
      <c r="F757" s="6" t="s">
        <v>2322</v>
      </c>
      <c r="G757" s="6" t="s">
        <v>2323</v>
      </c>
      <c r="H757" s="6" t="s">
        <v>76</v>
      </c>
      <c r="I757" s="6" t="s">
        <v>230</v>
      </c>
      <c r="J757" s="6" t="s">
        <v>61</v>
      </c>
      <c r="K757" s="6" t="s">
        <v>314</v>
      </c>
      <c r="L757" s="6" t="s">
        <v>805</v>
      </c>
      <c r="M757" s="6" t="s">
        <v>102</v>
      </c>
      <c r="N757" s="6" t="s">
        <v>2215</v>
      </c>
      <c r="O757" s="6" t="s">
        <v>62</v>
      </c>
      <c r="P757" s="6" t="s">
        <v>2223</v>
      </c>
      <c r="Q757" s="6" t="s">
        <v>96</v>
      </c>
      <c r="R757" s="6" t="s">
        <v>57</v>
      </c>
      <c r="S757" s="6" t="s">
        <v>1217</v>
      </c>
      <c r="T757" s="131">
        <v>3.7719999999999998</v>
      </c>
      <c r="U757" s="6" t="s">
        <v>2324</v>
      </c>
      <c r="V757" s="134">
        <v>5.0259999999999999E-2</v>
      </c>
      <c r="W757" s="132">
        <v>5.0189999999999999E-2</v>
      </c>
      <c r="X757" s="3" t="s">
        <v>620</v>
      </c>
      <c r="Y757" s="3" t="s">
        <v>62</v>
      </c>
      <c r="Z757" s="131">
        <v>70000</v>
      </c>
      <c r="AA757" s="129">
        <v>3.3719999999999999</v>
      </c>
      <c r="AB757" s="157">
        <v>101.46</v>
      </c>
      <c r="AD757" s="131">
        <v>239.48500000000001</v>
      </c>
      <c r="AG757" s="6" t="s">
        <v>17</v>
      </c>
      <c r="AH757" s="132">
        <v>6.9999999999999994E-5</v>
      </c>
      <c r="AI757" s="132">
        <v>8.0537228088589901E-4</v>
      </c>
      <c r="AJ757" s="132">
        <v>1.2492957840861001E-4</v>
      </c>
    </row>
    <row r="758" spans="1:36" x14ac:dyDescent="0.2">
      <c r="A758" s="6">
        <v>559</v>
      </c>
      <c r="B758" s="6">
        <v>7205</v>
      </c>
      <c r="C758" s="6" t="s">
        <v>2325</v>
      </c>
      <c r="D758" s="6" t="s">
        <v>2326</v>
      </c>
      <c r="E758" s="3" t="s">
        <v>1477</v>
      </c>
      <c r="F758" s="6" t="s">
        <v>2472</v>
      </c>
      <c r="G758" s="6" t="s">
        <v>2473</v>
      </c>
      <c r="H758" s="6" t="s">
        <v>76</v>
      </c>
      <c r="I758" s="6" t="s">
        <v>230</v>
      </c>
      <c r="J758" s="6" t="s">
        <v>53</v>
      </c>
      <c r="K758" s="6" t="s">
        <v>314</v>
      </c>
      <c r="L758" s="6" t="s">
        <v>805</v>
      </c>
      <c r="M758" s="6" t="s">
        <v>102</v>
      </c>
      <c r="N758" s="6" t="s">
        <v>894</v>
      </c>
      <c r="O758" s="6" t="s">
        <v>62</v>
      </c>
      <c r="P758" s="6" t="s">
        <v>2329</v>
      </c>
      <c r="Q758" s="6" t="s">
        <v>96</v>
      </c>
      <c r="R758" s="6" t="s">
        <v>57</v>
      </c>
      <c r="S758" s="6" t="s">
        <v>1215</v>
      </c>
      <c r="T758" s="131">
        <v>1.5620000000000001</v>
      </c>
      <c r="U758" s="6" t="s">
        <v>2474</v>
      </c>
      <c r="V758" s="134">
        <v>3.7499999999999999E-2</v>
      </c>
      <c r="W758" s="132">
        <v>3.6420000000000001E-2</v>
      </c>
      <c r="X758" s="3" t="s">
        <v>620</v>
      </c>
      <c r="Y758" s="3" t="s">
        <v>62</v>
      </c>
      <c r="Z758" s="131">
        <v>632000</v>
      </c>
      <c r="AA758" s="129">
        <v>3.9552</v>
      </c>
      <c r="AB758" s="157">
        <v>100.706</v>
      </c>
      <c r="AD758" s="131">
        <v>2517.34</v>
      </c>
      <c r="AG758" s="6" t="s">
        <v>17</v>
      </c>
      <c r="AH758" s="132">
        <v>5.7499999999999999E-4</v>
      </c>
      <c r="AI758" s="132">
        <v>8.4656466978654098E-3</v>
      </c>
      <c r="AJ758" s="132">
        <v>1.31319353548797E-3</v>
      </c>
    </row>
    <row r="759" spans="1:36" x14ac:dyDescent="0.2">
      <c r="A759" s="6">
        <v>559</v>
      </c>
      <c r="B759" s="6">
        <v>7205</v>
      </c>
      <c r="C759" s="6" t="s">
        <v>2325</v>
      </c>
      <c r="D759" s="6" t="s">
        <v>2326</v>
      </c>
      <c r="E759" s="3" t="s">
        <v>1477</v>
      </c>
      <c r="F759" s="6" t="s">
        <v>2475</v>
      </c>
      <c r="G759" s="6" t="s">
        <v>2476</v>
      </c>
      <c r="H759" s="6" t="s">
        <v>76</v>
      </c>
      <c r="I759" s="6" t="s">
        <v>230</v>
      </c>
      <c r="J759" s="6" t="s">
        <v>53</v>
      </c>
      <c r="K759" s="6" t="s">
        <v>314</v>
      </c>
      <c r="L759" s="6" t="s">
        <v>805</v>
      </c>
      <c r="M759" s="6" t="s">
        <v>476</v>
      </c>
      <c r="N759" s="6" t="s">
        <v>894</v>
      </c>
      <c r="O759" s="6" t="s">
        <v>62</v>
      </c>
      <c r="P759" s="6" t="s">
        <v>2329</v>
      </c>
      <c r="Q759" s="6" t="s">
        <v>96</v>
      </c>
      <c r="R759" s="6" t="s">
        <v>57</v>
      </c>
      <c r="S759" s="6" t="s">
        <v>1215</v>
      </c>
      <c r="T759" s="131">
        <v>4.2009999999999996</v>
      </c>
      <c r="U759" s="6" t="s">
        <v>2477</v>
      </c>
      <c r="V759" s="134">
        <v>4.3749999999999997E-2</v>
      </c>
      <c r="W759" s="132">
        <v>4.0820000000000002E-2</v>
      </c>
      <c r="X759" s="3" t="s">
        <v>620</v>
      </c>
      <c r="Y759" s="3" t="s">
        <v>62</v>
      </c>
      <c r="Z759" s="131">
        <v>320000</v>
      </c>
      <c r="AA759" s="129">
        <v>3.9552</v>
      </c>
      <c r="AB759" s="157">
        <v>102.01</v>
      </c>
      <c r="AD759" s="131">
        <v>1291.107</v>
      </c>
      <c r="AG759" s="6" t="s">
        <v>17</v>
      </c>
      <c r="AH759" s="132">
        <v>2.13E-4</v>
      </c>
      <c r="AI759" s="132">
        <v>4.34190770642054E-3</v>
      </c>
      <c r="AJ759" s="132">
        <v>6.7351796445681497E-4</v>
      </c>
    </row>
    <row r="760" spans="1:36" x14ac:dyDescent="0.2">
      <c r="A760" s="6">
        <v>559</v>
      </c>
      <c r="B760" s="6">
        <v>7205</v>
      </c>
      <c r="C760" s="6" t="s">
        <v>2325</v>
      </c>
      <c r="D760" s="6" t="s">
        <v>2326</v>
      </c>
      <c r="E760" s="3" t="s">
        <v>1477</v>
      </c>
      <c r="F760" s="6" t="s">
        <v>2327</v>
      </c>
      <c r="G760" s="6" t="s">
        <v>2328</v>
      </c>
      <c r="H760" s="6" t="s">
        <v>76</v>
      </c>
      <c r="I760" s="6" t="s">
        <v>230</v>
      </c>
      <c r="J760" s="6" t="s">
        <v>53</v>
      </c>
      <c r="K760" s="6" t="s">
        <v>314</v>
      </c>
      <c r="L760" s="6" t="s">
        <v>805</v>
      </c>
      <c r="M760" s="6" t="s">
        <v>102</v>
      </c>
      <c r="N760" s="6" t="s">
        <v>894</v>
      </c>
      <c r="O760" s="6" t="s">
        <v>62</v>
      </c>
      <c r="P760" s="6" t="s">
        <v>2329</v>
      </c>
      <c r="Q760" s="6" t="s">
        <v>96</v>
      </c>
      <c r="R760" s="6" t="s">
        <v>57</v>
      </c>
      <c r="S760" s="6" t="s">
        <v>1215</v>
      </c>
      <c r="T760" s="131">
        <v>3.4660000000000002</v>
      </c>
      <c r="U760" s="6" t="s">
        <v>2330</v>
      </c>
      <c r="V760" s="134">
        <v>7.3749999999999996E-2</v>
      </c>
      <c r="W760" s="132">
        <v>3.9849999999999997E-2</v>
      </c>
      <c r="X760" s="3" t="s">
        <v>620</v>
      </c>
      <c r="Y760" s="3" t="s">
        <v>62</v>
      </c>
      <c r="Z760" s="131">
        <v>37000</v>
      </c>
      <c r="AA760" s="129">
        <v>3.9552</v>
      </c>
      <c r="AB760" s="157">
        <v>115.074</v>
      </c>
      <c r="AD760" s="131">
        <v>168.40199999999999</v>
      </c>
      <c r="AG760" s="6" t="s">
        <v>17</v>
      </c>
      <c r="AH760" s="132">
        <v>5.5999999999999999E-5</v>
      </c>
      <c r="AI760" s="132">
        <v>5.6632499235497401E-4</v>
      </c>
      <c r="AJ760" s="132">
        <v>8.7848494685391096E-5</v>
      </c>
    </row>
    <row r="761" spans="1:36" x14ac:dyDescent="0.2">
      <c r="A761" s="6">
        <v>559</v>
      </c>
      <c r="B761" s="6">
        <v>7205</v>
      </c>
      <c r="C761" s="6" t="s">
        <v>2325</v>
      </c>
      <c r="D761" s="6" t="s">
        <v>2326</v>
      </c>
      <c r="E761" s="3" t="s">
        <v>1477</v>
      </c>
      <c r="F761" s="6" t="s">
        <v>2331</v>
      </c>
      <c r="G761" s="6" t="s">
        <v>2332</v>
      </c>
      <c r="H761" s="6" t="s">
        <v>76</v>
      </c>
      <c r="I761" s="6" t="s">
        <v>230</v>
      </c>
      <c r="J761" s="6" t="s">
        <v>53</v>
      </c>
      <c r="K761" s="6" t="s">
        <v>314</v>
      </c>
      <c r="L761" s="6" t="s">
        <v>805</v>
      </c>
      <c r="M761" s="6" t="s">
        <v>102</v>
      </c>
      <c r="N761" s="6" t="s">
        <v>894</v>
      </c>
      <c r="O761" s="6" t="s">
        <v>62</v>
      </c>
      <c r="P761" s="6" t="s">
        <v>2329</v>
      </c>
      <c r="Q761" s="6" t="s">
        <v>96</v>
      </c>
      <c r="R761" s="6" t="s">
        <v>57</v>
      </c>
      <c r="S761" s="6" t="s">
        <v>1215</v>
      </c>
      <c r="T761" s="131">
        <v>4.88</v>
      </c>
      <c r="U761" s="6" t="s">
        <v>2333</v>
      </c>
      <c r="V761" s="134">
        <v>7.8750000000000001E-2</v>
      </c>
      <c r="W761" s="132">
        <v>4.3709999999999999E-2</v>
      </c>
      <c r="X761" s="3" t="s">
        <v>620</v>
      </c>
      <c r="Y761" s="3" t="s">
        <v>62</v>
      </c>
      <c r="Z761" s="131">
        <v>37000</v>
      </c>
      <c r="AA761" s="129">
        <v>3.9552</v>
      </c>
      <c r="AB761" s="157">
        <v>121.43300000000001</v>
      </c>
      <c r="AD761" s="131">
        <v>177.70699999999999</v>
      </c>
      <c r="AG761" s="6" t="s">
        <v>17</v>
      </c>
      <c r="AH761" s="132">
        <v>7.3999999999999996E-5</v>
      </c>
      <c r="AI761" s="132">
        <v>5.9761779079712304E-4</v>
      </c>
      <c r="AJ761" s="132">
        <v>9.2702642524081406E-5</v>
      </c>
    </row>
    <row r="762" spans="1:36" x14ac:dyDescent="0.2">
      <c r="A762" s="6">
        <v>559</v>
      </c>
      <c r="B762" s="6">
        <v>7205</v>
      </c>
      <c r="C762" s="6" t="s">
        <v>2325</v>
      </c>
      <c r="D762" s="6" t="s">
        <v>2326</v>
      </c>
      <c r="E762" s="3" t="s">
        <v>1477</v>
      </c>
      <c r="F762" s="6" t="s">
        <v>2478</v>
      </c>
      <c r="G762" s="6" t="s">
        <v>2479</v>
      </c>
      <c r="H762" s="6" t="s">
        <v>76</v>
      </c>
      <c r="I762" s="6" t="s">
        <v>230</v>
      </c>
      <c r="J762" s="6" t="s">
        <v>53</v>
      </c>
      <c r="K762" s="6" t="s">
        <v>314</v>
      </c>
      <c r="L762" s="6" t="s">
        <v>805</v>
      </c>
      <c r="M762" s="6" t="s">
        <v>476</v>
      </c>
      <c r="N762" s="6" t="s">
        <v>894</v>
      </c>
      <c r="O762" s="6" t="s">
        <v>62</v>
      </c>
      <c r="P762" s="6" t="s">
        <v>2273</v>
      </c>
      <c r="Q762" s="6" t="s">
        <v>65</v>
      </c>
      <c r="R762" s="6" t="s">
        <v>57</v>
      </c>
      <c r="S762" s="6" t="s">
        <v>1217</v>
      </c>
      <c r="T762" s="131">
        <v>1.2270000000000001</v>
      </c>
      <c r="U762" s="6" t="s">
        <v>2480</v>
      </c>
      <c r="V762" s="134">
        <v>3.15E-2</v>
      </c>
      <c r="W762" s="132">
        <v>5.1270000000000003E-2</v>
      </c>
      <c r="X762" s="3" t="s">
        <v>620</v>
      </c>
      <c r="Y762" s="3" t="s">
        <v>62</v>
      </c>
      <c r="Z762" s="131">
        <v>314000</v>
      </c>
      <c r="AA762" s="129">
        <v>3.3719999999999999</v>
      </c>
      <c r="AB762" s="157">
        <v>98.381</v>
      </c>
      <c r="AD762" s="131">
        <v>1041.67</v>
      </c>
      <c r="AG762" s="6" t="s">
        <v>17</v>
      </c>
      <c r="AH762" s="132">
        <v>1.75E-4</v>
      </c>
      <c r="AI762" s="132">
        <v>3.5030646018809801E-3</v>
      </c>
      <c r="AJ762" s="132">
        <v>5.4339638231616595E-4</v>
      </c>
    </row>
    <row r="763" spans="1:36" x14ac:dyDescent="0.2">
      <c r="A763" s="6">
        <v>559</v>
      </c>
      <c r="B763" s="6">
        <v>7205</v>
      </c>
      <c r="C763" s="6" t="s">
        <v>2481</v>
      </c>
      <c r="D763" s="6" t="s">
        <v>2482</v>
      </c>
      <c r="E763" s="3" t="s">
        <v>430</v>
      </c>
      <c r="F763" s="6" t="s">
        <v>2483</v>
      </c>
      <c r="G763" s="6" t="s">
        <v>2484</v>
      </c>
      <c r="H763" s="6" t="s">
        <v>76</v>
      </c>
      <c r="I763" s="6" t="s">
        <v>230</v>
      </c>
      <c r="J763" s="6" t="s">
        <v>61</v>
      </c>
      <c r="K763" s="6" t="s">
        <v>314</v>
      </c>
      <c r="L763" s="6" t="s">
        <v>805</v>
      </c>
      <c r="M763" s="6" t="s">
        <v>479</v>
      </c>
      <c r="N763" s="6" t="s">
        <v>894</v>
      </c>
      <c r="O763" s="6" t="s">
        <v>62</v>
      </c>
      <c r="P763" s="6" t="s">
        <v>2223</v>
      </c>
      <c r="Q763" s="6" t="s">
        <v>96</v>
      </c>
      <c r="R763" s="6" t="s">
        <v>57</v>
      </c>
      <c r="S763" s="6" t="s">
        <v>1217</v>
      </c>
      <c r="T763" s="131">
        <v>1.94</v>
      </c>
      <c r="U763" s="6" t="s">
        <v>2485</v>
      </c>
      <c r="V763" s="134">
        <v>2.3E-2</v>
      </c>
      <c r="W763" s="132">
        <v>4.9959999999999997E-2</v>
      </c>
      <c r="X763" s="3" t="s">
        <v>620</v>
      </c>
      <c r="Y763" s="3" t="s">
        <v>62</v>
      </c>
      <c r="Z763" s="131">
        <v>155000</v>
      </c>
      <c r="AA763" s="129">
        <v>3.3719999999999999</v>
      </c>
      <c r="AB763" s="157">
        <v>95.15</v>
      </c>
      <c r="AD763" s="131">
        <v>497.31200000000001</v>
      </c>
      <c r="AG763" s="6" t="s">
        <v>17</v>
      </c>
      <c r="AH763" s="132">
        <v>2.0699999999999999E-4</v>
      </c>
      <c r="AI763" s="132">
        <v>1.6724253887496401E-3</v>
      </c>
      <c r="AJ763" s="132">
        <v>2.5942710432810302E-4</v>
      </c>
    </row>
    <row r="764" spans="1:36" x14ac:dyDescent="0.2">
      <c r="A764" s="6">
        <v>559</v>
      </c>
      <c r="B764" s="6">
        <v>7205</v>
      </c>
      <c r="C764" s="6" t="s">
        <v>2334</v>
      </c>
      <c r="D764" s="6" t="s">
        <v>2335</v>
      </c>
      <c r="E764" s="3" t="s">
        <v>767</v>
      </c>
      <c r="F764" s="6" t="s">
        <v>2336</v>
      </c>
      <c r="G764" s="6" t="s">
        <v>2337</v>
      </c>
      <c r="H764" s="6" t="s">
        <v>76</v>
      </c>
      <c r="I764" s="6" t="s">
        <v>230</v>
      </c>
      <c r="J764" s="6" t="s">
        <v>53</v>
      </c>
      <c r="K764" s="6" t="s">
        <v>53</v>
      </c>
      <c r="L764" s="6" t="s">
        <v>805</v>
      </c>
      <c r="M764" s="6" t="s">
        <v>311</v>
      </c>
      <c r="N764" s="6" t="s">
        <v>253</v>
      </c>
      <c r="O764" s="6" t="s">
        <v>62</v>
      </c>
      <c r="P764" s="6" t="s">
        <v>1577</v>
      </c>
      <c r="Q764" s="6" t="s">
        <v>65</v>
      </c>
      <c r="R764" s="6" t="s">
        <v>57</v>
      </c>
      <c r="S764" s="6" t="s">
        <v>1219</v>
      </c>
      <c r="T764" s="131">
        <v>0.501</v>
      </c>
      <c r="U764" s="6" t="s">
        <v>2338</v>
      </c>
      <c r="V764" s="134">
        <v>3.3700000000000001E-2</v>
      </c>
      <c r="W764" s="132">
        <v>5.8880000000000002E-2</v>
      </c>
      <c r="X764" s="3" t="s">
        <v>620</v>
      </c>
      <c r="Y764" s="3" t="s">
        <v>62</v>
      </c>
      <c r="Z764" s="131">
        <v>811859.46</v>
      </c>
      <c r="AA764" s="129">
        <v>1</v>
      </c>
      <c r="AB764" s="157">
        <v>94.4</v>
      </c>
      <c r="AC764" s="131">
        <v>13.045</v>
      </c>
      <c r="AD764" s="131">
        <v>779.44100000000003</v>
      </c>
      <c r="AG764" s="6" t="s">
        <v>17</v>
      </c>
      <c r="AH764" s="132">
        <v>1.1598000000000001E-2</v>
      </c>
      <c r="AI764" s="132">
        <v>2.6212066565354901E-3</v>
      </c>
      <c r="AJ764" s="132">
        <v>4.0660232577487398E-4</v>
      </c>
    </row>
    <row r="765" spans="1:36" x14ac:dyDescent="0.2">
      <c r="A765" s="6">
        <v>559</v>
      </c>
      <c r="B765" s="6">
        <v>7205</v>
      </c>
      <c r="C765" s="6" t="s">
        <v>2111</v>
      </c>
      <c r="D765" s="6" t="s">
        <v>2112</v>
      </c>
      <c r="E765" s="3" t="s">
        <v>1477</v>
      </c>
      <c r="F765" s="6" t="s">
        <v>2339</v>
      </c>
      <c r="G765" s="6" t="s">
        <v>2340</v>
      </c>
      <c r="H765" s="6" t="s">
        <v>76</v>
      </c>
      <c r="I765" s="6" t="s">
        <v>228</v>
      </c>
      <c r="J765" s="6" t="s">
        <v>53</v>
      </c>
      <c r="K765" s="6" t="s">
        <v>53</v>
      </c>
      <c r="L765" s="6" t="s">
        <v>805</v>
      </c>
      <c r="M765" s="6" t="s">
        <v>311</v>
      </c>
      <c r="N765" s="6" t="s">
        <v>140</v>
      </c>
      <c r="O765" s="6" t="s">
        <v>62</v>
      </c>
      <c r="P765" s="6" t="s">
        <v>1527</v>
      </c>
      <c r="Q765" s="6" t="s">
        <v>70</v>
      </c>
      <c r="R765" s="6" t="s">
        <v>57</v>
      </c>
      <c r="S765" s="6" t="s">
        <v>1219</v>
      </c>
      <c r="T765" s="131">
        <v>0.99099999999999999</v>
      </c>
      <c r="U765" s="6" t="s">
        <v>1516</v>
      </c>
      <c r="V765" s="134">
        <v>0.02</v>
      </c>
      <c r="W765" s="132">
        <v>4.9880000000000001E-2</v>
      </c>
      <c r="X765" s="3" t="s">
        <v>620</v>
      </c>
      <c r="Y765" s="3" t="s">
        <v>62</v>
      </c>
      <c r="Z765" s="131">
        <v>567004.31000000006</v>
      </c>
      <c r="AA765" s="129">
        <v>1</v>
      </c>
      <c r="AB765" s="157">
        <v>97.18</v>
      </c>
      <c r="AD765" s="131">
        <v>551.01499999999999</v>
      </c>
      <c r="AG765" s="6" t="s">
        <v>17</v>
      </c>
      <c r="AH765" s="132">
        <v>2.418E-3</v>
      </c>
      <c r="AI765" s="132">
        <v>1.8530257009175099E-3</v>
      </c>
      <c r="AJ765" s="132">
        <v>2.8744187637212899E-4</v>
      </c>
    </row>
    <row r="766" spans="1:36" x14ac:dyDescent="0.2">
      <c r="A766" s="6">
        <v>559</v>
      </c>
      <c r="B766" s="6">
        <v>7206</v>
      </c>
      <c r="C766" s="6" t="s">
        <v>1495</v>
      </c>
      <c r="D766" s="6" t="s">
        <v>1496</v>
      </c>
      <c r="E766" s="3" t="s">
        <v>1477</v>
      </c>
      <c r="F766" s="6" t="s">
        <v>1497</v>
      </c>
      <c r="G766" s="6" t="s">
        <v>1498</v>
      </c>
      <c r="H766" s="6" t="s">
        <v>76</v>
      </c>
      <c r="I766" s="6" t="s">
        <v>230</v>
      </c>
      <c r="J766" s="6" t="s">
        <v>53</v>
      </c>
      <c r="K766" s="6" t="s">
        <v>53</v>
      </c>
      <c r="L766" s="6" t="s">
        <v>805</v>
      </c>
      <c r="M766" s="6" t="s">
        <v>311</v>
      </c>
      <c r="N766" s="6" t="s">
        <v>266</v>
      </c>
      <c r="O766" s="6" t="s">
        <v>62</v>
      </c>
      <c r="P766" s="6" t="s">
        <v>1493</v>
      </c>
      <c r="Q766" s="6" t="s">
        <v>65</v>
      </c>
      <c r="R766" s="6" t="s">
        <v>57</v>
      </c>
      <c r="S766" s="6" t="s">
        <v>1219</v>
      </c>
      <c r="T766" s="131">
        <v>0.499</v>
      </c>
      <c r="U766" s="6" t="s">
        <v>1499</v>
      </c>
      <c r="V766" s="134">
        <v>3.9E-2</v>
      </c>
      <c r="W766" s="132">
        <v>5.6660000000000002E-2</v>
      </c>
      <c r="X766" s="3" t="s">
        <v>620</v>
      </c>
      <c r="Y766" s="3" t="s">
        <v>62</v>
      </c>
      <c r="Z766" s="131">
        <v>600</v>
      </c>
      <c r="AA766" s="129">
        <v>1</v>
      </c>
      <c r="AB766" s="157">
        <v>91.65</v>
      </c>
      <c r="AD766" s="131">
        <v>0.55000000000000004</v>
      </c>
      <c r="AG766" s="6" t="s">
        <v>17</v>
      </c>
      <c r="AH766" s="132">
        <v>1.5E-5</v>
      </c>
      <c r="AI766" s="132">
        <v>2.9745099855589401E-5</v>
      </c>
      <c r="AJ766" s="132">
        <v>6.2993917147580102E-6</v>
      </c>
    </row>
    <row r="767" spans="1:36" x14ac:dyDescent="0.2">
      <c r="A767" s="6">
        <v>559</v>
      </c>
      <c r="B767" s="6">
        <v>7206</v>
      </c>
      <c r="C767" s="6" t="s">
        <v>1500</v>
      </c>
      <c r="D767" s="6" t="s">
        <v>1501</v>
      </c>
      <c r="E767" s="3" t="s">
        <v>1477</v>
      </c>
      <c r="F767" s="6" t="s">
        <v>1502</v>
      </c>
      <c r="G767" s="6" t="s">
        <v>1503</v>
      </c>
      <c r="H767" s="6" t="s">
        <v>76</v>
      </c>
      <c r="I767" s="6" t="s">
        <v>229</v>
      </c>
      <c r="J767" s="6" t="s">
        <v>53</v>
      </c>
      <c r="K767" s="6" t="s">
        <v>53</v>
      </c>
      <c r="L767" s="6" t="s">
        <v>805</v>
      </c>
      <c r="M767" s="6" t="s">
        <v>102</v>
      </c>
      <c r="N767" s="6" t="s">
        <v>635</v>
      </c>
      <c r="O767" s="6" t="s">
        <v>62</v>
      </c>
      <c r="P767" s="6" t="s">
        <v>298</v>
      </c>
      <c r="Q767" s="6" t="s">
        <v>298</v>
      </c>
      <c r="R767" s="6" t="s">
        <v>298</v>
      </c>
      <c r="S767" s="6" t="s">
        <v>1219</v>
      </c>
      <c r="T767" s="131">
        <v>2.9169999999999998</v>
      </c>
      <c r="U767" s="6" t="s">
        <v>1504</v>
      </c>
      <c r="V767" s="134">
        <v>3.7400000000000003E-2</v>
      </c>
      <c r="W767" s="132">
        <v>3.1220000000000001E-2</v>
      </c>
      <c r="X767" s="3" t="s">
        <v>620</v>
      </c>
      <c r="Y767" s="3" t="s">
        <v>62</v>
      </c>
      <c r="Z767" s="131">
        <v>48000</v>
      </c>
      <c r="AA767" s="129">
        <v>1</v>
      </c>
      <c r="AB767" s="157">
        <v>106.2</v>
      </c>
      <c r="AD767" s="131">
        <v>50.975999999999999</v>
      </c>
      <c r="AG767" s="6" t="s">
        <v>17</v>
      </c>
      <c r="AH767" s="132">
        <v>2.41E-4</v>
      </c>
      <c r="AI767" s="132">
        <v>2.7573853614084802E-3</v>
      </c>
      <c r="AJ767" s="132">
        <v>5.8395670494908896E-4</v>
      </c>
    </row>
    <row r="768" spans="1:36" x14ac:dyDescent="0.2">
      <c r="A768" s="6">
        <v>559</v>
      </c>
      <c r="B768" s="6">
        <v>7206</v>
      </c>
      <c r="C768" s="6" t="s">
        <v>2341</v>
      </c>
      <c r="D768" s="6" t="s">
        <v>2342</v>
      </c>
      <c r="E768" s="3" t="s">
        <v>767</v>
      </c>
      <c r="F768" s="6" t="s">
        <v>2343</v>
      </c>
      <c r="G768" s="6" t="s">
        <v>2344</v>
      </c>
      <c r="H768" s="6" t="s">
        <v>76</v>
      </c>
      <c r="I768" s="6" t="s">
        <v>228</v>
      </c>
      <c r="J768" s="6" t="s">
        <v>53</v>
      </c>
      <c r="K768" s="6" t="s">
        <v>314</v>
      </c>
      <c r="L768" s="6" t="s">
        <v>69</v>
      </c>
      <c r="M768" s="6" t="s">
        <v>311</v>
      </c>
      <c r="N768" s="6" t="s">
        <v>636</v>
      </c>
      <c r="O768" s="6" t="s">
        <v>62</v>
      </c>
      <c r="P768" s="6" t="s">
        <v>1753</v>
      </c>
      <c r="Q768" s="6" t="s">
        <v>70</v>
      </c>
      <c r="R768" s="6" t="s">
        <v>57</v>
      </c>
      <c r="S768" s="6" t="s">
        <v>1219</v>
      </c>
      <c r="T768" s="131">
        <v>0</v>
      </c>
      <c r="U768" s="6" t="s">
        <v>2345</v>
      </c>
      <c r="V768" s="134">
        <v>7.0000000000000007E-2</v>
      </c>
      <c r="W768" s="132">
        <v>0</v>
      </c>
      <c r="X768" s="3" t="s">
        <v>620</v>
      </c>
      <c r="Y768" s="3" t="s">
        <v>62</v>
      </c>
      <c r="Z768" s="131">
        <v>10165.67</v>
      </c>
      <c r="AA768" s="129">
        <v>1</v>
      </c>
      <c r="AB768" s="157">
        <v>0</v>
      </c>
      <c r="AD768" s="131">
        <v>0</v>
      </c>
      <c r="AG768" s="6" t="s">
        <v>17</v>
      </c>
      <c r="AH768" s="132">
        <v>0</v>
      </c>
      <c r="AI768" s="132">
        <v>5.4987974040547296E-12</v>
      </c>
      <c r="AJ768" s="132">
        <v>1.16453059416192E-12</v>
      </c>
    </row>
    <row r="769" spans="1:36" x14ac:dyDescent="0.2">
      <c r="A769" s="6">
        <v>559</v>
      </c>
      <c r="B769" s="6">
        <v>7206</v>
      </c>
      <c r="C769" s="6" t="s">
        <v>1505</v>
      </c>
      <c r="D769" s="6" t="s">
        <v>1506</v>
      </c>
      <c r="E769" s="3" t="s">
        <v>1477</v>
      </c>
      <c r="F769" s="6" t="s">
        <v>1507</v>
      </c>
      <c r="G769" s="6" t="s">
        <v>1508</v>
      </c>
      <c r="H769" s="6" t="s">
        <v>76</v>
      </c>
      <c r="I769" s="6" t="s">
        <v>228</v>
      </c>
      <c r="J769" s="6" t="s">
        <v>53</v>
      </c>
      <c r="K769" s="6" t="s">
        <v>53</v>
      </c>
      <c r="L769" s="6" t="s">
        <v>805</v>
      </c>
      <c r="M769" s="6" t="s">
        <v>102</v>
      </c>
      <c r="N769" s="6" t="s">
        <v>140</v>
      </c>
      <c r="O769" s="6" t="s">
        <v>62</v>
      </c>
      <c r="P769" s="6" t="s">
        <v>1355</v>
      </c>
      <c r="Q769" s="6" t="s">
        <v>70</v>
      </c>
      <c r="R769" s="6" t="s">
        <v>57</v>
      </c>
      <c r="S769" s="6" t="s">
        <v>1219</v>
      </c>
      <c r="T769" s="131">
        <v>2.2349999999999999</v>
      </c>
      <c r="U769" s="6" t="s">
        <v>1509</v>
      </c>
      <c r="V769" s="134">
        <v>0.08</v>
      </c>
      <c r="W769" s="132">
        <v>6.1850000000000002E-2</v>
      </c>
      <c r="X769" s="3" t="s">
        <v>620</v>
      </c>
      <c r="Y769" s="3" t="s">
        <v>62</v>
      </c>
      <c r="Z769" s="131">
        <v>28421.05</v>
      </c>
      <c r="AA769" s="129">
        <v>1</v>
      </c>
      <c r="AB769" s="157">
        <v>104.13200000000001</v>
      </c>
      <c r="AC769" s="131">
        <v>2.7789999999999999</v>
      </c>
      <c r="AD769" s="131">
        <v>32.374000000000002</v>
      </c>
      <c r="AG769" s="6" t="s">
        <v>17</v>
      </c>
      <c r="AH769" s="132">
        <v>0</v>
      </c>
      <c r="AI769" s="132">
        <v>1.75118507789621E-3</v>
      </c>
      <c r="AJ769" s="132">
        <v>3.7086447261108502E-4</v>
      </c>
    </row>
    <row r="770" spans="1:36" x14ac:dyDescent="0.2">
      <c r="A770" s="6">
        <v>559</v>
      </c>
      <c r="B770" s="6">
        <v>7206</v>
      </c>
      <c r="C770" s="6" t="s">
        <v>1505</v>
      </c>
      <c r="D770" s="6" t="s">
        <v>1506</v>
      </c>
      <c r="E770" s="3" t="s">
        <v>1477</v>
      </c>
      <c r="F770" s="6" t="s">
        <v>1510</v>
      </c>
      <c r="G770" s="6" t="s">
        <v>1508</v>
      </c>
      <c r="H770" s="6" t="s">
        <v>76</v>
      </c>
      <c r="I770" s="6" t="s">
        <v>228</v>
      </c>
      <c r="J770" s="6" t="s">
        <v>53</v>
      </c>
      <c r="K770" s="6" t="s">
        <v>53</v>
      </c>
      <c r="L770" s="6" t="s">
        <v>54</v>
      </c>
      <c r="M770" s="6" t="s">
        <v>1227</v>
      </c>
      <c r="N770" s="6" t="s">
        <v>140</v>
      </c>
      <c r="O770" s="6" t="s">
        <v>62</v>
      </c>
      <c r="P770" s="6" t="s">
        <v>298</v>
      </c>
      <c r="Q770" s="6" t="s">
        <v>298</v>
      </c>
      <c r="R770" s="6" t="s">
        <v>298</v>
      </c>
      <c r="S770" s="6" t="s">
        <v>1219</v>
      </c>
      <c r="T770" s="131">
        <v>2.6429999999999998</v>
      </c>
      <c r="U770" s="6" t="s">
        <v>1509</v>
      </c>
      <c r="V770" s="134">
        <v>0.08</v>
      </c>
      <c r="W770" s="132">
        <v>6.0499999999999998E-2</v>
      </c>
      <c r="X770" s="3" t="s">
        <v>620</v>
      </c>
      <c r="Y770" s="3" t="s">
        <v>62</v>
      </c>
      <c r="Z770" s="131">
        <v>-1578.95</v>
      </c>
      <c r="AA770" s="129">
        <v>1</v>
      </c>
      <c r="AB770" s="157">
        <v>106.14</v>
      </c>
      <c r="AD770" s="131">
        <v>-1.6759999999999999</v>
      </c>
      <c r="AG770" s="6" t="s">
        <v>17</v>
      </c>
      <c r="AH770" s="132">
        <v>0</v>
      </c>
      <c r="AI770" s="132">
        <v>-9.0652372026887797E-5</v>
      </c>
      <c r="AJ770" s="132">
        <v>-1.9198281533488699E-5</v>
      </c>
    </row>
    <row r="771" spans="1:36" x14ac:dyDescent="0.2">
      <c r="A771" s="6">
        <v>559</v>
      </c>
      <c r="B771" s="6">
        <v>7206</v>
      </c>
      <c r="C771" s="6" t="s">
        <v>1511</v>
      </c>
      <c r="D771" s="6" t="s">
        <v>1512</v>
      </c>
      <c r="E771" s="3" t="s">
        <v>1477</v>
      </c>
      <c r="F771" s="6" t="s">
        <v>1513</v>
      </c>
      <c r="G771" s="6" t="s">
        <v>1514</v>
      </c>
      <c r="H771" s="6" t="s">
        <v>76</v>
      </c>
      <c r="I771" s="6" t="s">
        <v>228</v>
      </c>
      <c r="J771" s="6" t="s">
        <v>53</v>
      </c>
      <c r="K771" s="6" t="s">
        <v>53</v>
      </c>
      <c r="L771" s="6" t="s">
        <v>805</v>
      </c>
      <c r="M771" s="6" t="s">
        <v>311</v>
      </c>
      <c r="N771" s="6" t="s">
        <v>258</v>
      </c>
      <c r="O771" s="6" t="s">
        <v>62</v>
      </c>
      <c r="P771" s="6" t="s">
        <v>1515</v>
      </c>
      <c r="Q771" s="6" t="s">
        <v>65</v>
      </c>
      <c r="R771" s="6" t="s">
        <v>57</v>
      </c>
      <c r="S771" s="6" t="s">
        <v>1219</v>
      </c>
      <c r="T771" s="131">
        <v>0.98099999999999998</v>
      </c>
      <c r="U771" s="6" t="s">
        <v>1516</v>
      </c>
      <c r="V771" s="134">
        <v>3.2500000000000001E-2</v>
      </c>
      <c r="W771" s="132">
        <v>5.7090000000000002E-2</v>
      </c>
      <c r="X771" s="3" t="s">
        <v>620</v>
      </c>
      <c r="Y771" s="3" t="s">
        <v>62</v>
      </c>
      <c r="Z771" s="131">
        <v>31500.17</v>
      </c>
      <c r="AA771" s="129">
        <v>1</v>
      </c>
      <c r="AB771" s="157">
        <v>97.74</v>
      </c>
      <c r="AD771" s="131">
        <v>30.788</v>
      </c>
      <c r="AG771" s="6" t="s">
        <v>17</v>
      </c>
      <c r="AH771" s="132">
        <v>7.2199999999999999E-4</v>
      </c>
      <c r="AI771" s="132">
        <v>1.6653938011459801E-3</v>
      </c>
      <c r="AJ771" s="132">
        <v>3.5269566966261099E-4</v>
      </c>
    </row>
    <row r="772" spans="1:36" x14ac:dyDescent="0.2">
      <c r="A772" s="6">
        <v>559</v>
      </c>
      <c r="B772" s="6">
        <v>7206</v>
      </c>
      <c r="C772" s="6" t="s">
        <v>1517</v>
      </c>
      <c r="D772" s="6" t="s">
        <v>1518</v>
      </c>
      <c r="E772" s="3" t="s">
        <v>1477</v>
      </c>
      <c r="F772" s="6" t="s">
        <v>1519</v>
      </c>
      <c r="G772" s="6" t="s">
        <v>1520</v>
      </c>
      <c r="H772" s="6" t="s">
        <v>76</v>
      </c>
      <c r="I772" s="6" t="s">
        <v>228</v>
      </c>
      <c r="J772" s="6" t="s">
        <v>53</v>
      </c>
      <c r="K772" s="6" t="s">
        <v>53</v>
      </c>
      <c r="L772" s="6" t="s">
        <v>805</v>
      </c>
      <c r="M772" s="6" t="s">
        <v>102</v>
      </c>
      <c r="N772" s="6" t="s">
        <v>140</v>
      </c>
      <c r="O772" s="6" t="s">
        <v>62</v>
      </c>
      <c r="P772" s="6" t="s">
        <v>1521</v>
      </c>
      <c r="Q772" s="6" t="s">
        <v>70</v>
      </c>
      <c r="R772" s="6" t="s">
        <v>57</v>
      </c>
      <c r="S772" s="6" t="s">
        <v>1219</v>
      </c>
      <c r="T772" s="131">
        <v>4.835</v>
      </c>
      <c r="U772" s="6" t="s">
        <v>1522</v>
      </c>
      <c r="V772" s="134">
        <v>5.7700000000000001E-2</v>
      </c>
      <c r="W772" s="132">
        <v>5.321E-2</v>
      </c>
      <c r="X772" s="3" t="s">
        <v>620</v>
      </c>
      <c r="Y772" s="3" t="s">
        <v>62</v>
      </c>
      <c r="Z772" s="131">
        <v>8000</v>
      </c>
      <c r="AA772" s="129">
        <v>1</v>
      </c>
      <c r="AB772" s="157">
        <v>102.7</v>
      </c>
      <c r="AD772" s="131">
        <v>8.2159999999999993</v>
      </c>
      <c r="AG772" s="6" t="s">
        <v>17</v>
      </c>
      <c r="AH772" s="132">
        <v>3.1000000000000001E-5</v>
      </c>
      <c r="AI772" s="132">
        <v>4.4441851320880599E-4</v>
      </c>
      <c r="AJ772" s="132">
        <v>9.4118571246502598E-5</v>
      </c>
    </row>
    <row r="773" spans="1:36" x14ac:dyDescent="0.2">
      <c r="A773" s="6">
        <v>559</v>
      </c>
      <c r="B773" s="6">
        <v>7206</v>
      </c>
      <c r="C773" s="6" t="s">
        <v>1523</v>
      </c>
      <c r="D773" s="6" t="s">
        <v>1524</v>
      </c>
      <c r="E773" s="3" t="s">
        <v>1477</v>
      </c>
      <c r="F773" s="6" t="s">
        <v>1525</v>
      </c>
      <c r="G773" s="6" t="s">
        <v>1526</v>
      </c>
      <c r="H773" s="6" t="s">
        <v>76</v>
      </c>
      <c r="I773" s="6" t="s">
        <v>228</v>
      </c>
      <c r="J773" s="6" t="s">
        <v>53</v>
      </c>
      <c r="K773" s="6" t="s">
        <v>53</v>
      </c>
      <c r="L773" s="6" t="s">
        <v>805</v>
      </c>
      <c r="M773" s="6" t="s">
        <v>311</v>
      </c>
      <c r="N773" s="6" t="s">
        <v>269</v>
      </c>
      <c r="O773" s="6" t="s">
        <v>62</v>
      </c>
      <c r="P773" s="6" t="s">
        <v>1527</v>
      </c>
      <c r="Q773" s="6" t="s">
        <v>70</v>
      </c>
      <c r="R773" s="6" t="s">
        <v>57</v>
      </c>
      <c r="S773" s="6" t="s">
        <v>1219</v>
      </c>
      <c r="T773" s="131">
        <v>0.375</v>
      </c>
      <c r="U773" s="6" t="s">
        <v>1528</v>
      </c>
      <c r="V773" s="134">
        <v>3.27E-2</v>
      </c>
      <c r="W773" s="132">
        <v>5.1979999999999998E-2</v>
      </c>
      <c r="X773" s="3" t="s">
        <v>620</v>
      </c>
      <c r="Y773" s="3" t="s">
        <v>62</v>
      </c>
      <c r="Z773" s="131">
        <v>159000</v>
      </c>
      <c r="AA773" s="129">
        <v>1</v>
      </c>
      <c r="AB773" s="157">
        <v>99.72</v>
      </c>
      <c r="AD773" s="131">
        <v>158.55500000000001</v>
      </c>
      <c r="AG773" s="6" t="s">
        <v>17</v>
      </c>
      <c r="AH773" s="132">
        <v>5.04E-4</v>
      </c>
      <c r="AI773" s="132">
        <v>8.5765200192453196E-3</v>
      </c>
      <c r="AJ773" s="132">
        <v>1.8163280477452499E-3</v>
      </c>
    </row>
    <row r="774" spans="1:36" x14ac:dyDescent="0.2">
      <c r="A774" s="6">
        <v>559</v>
      </c>
      <c r="B774" s="6">
        <v>7206</v>
      </c>
      <c r="C774" s="6" t="s">
        <v>1529</v>
      </c>
      <c r="D774" s="6" t="s">
        <v>1530</v>
      </c>
      <c r="E774" s="3" t="s">
        <v>1477</v>
      </c>
      <c r="F774" s="6" t="s">
        <v>1531</v>
      </c>
      <c r="G774" s="6" t="s">
        <v>1532</v>
      </c>
      <c r="H774" s="6" t="s">
        <v>76</v>
      </c>
      <c r="I774" s="6" t="s">
        <v>228</v>
      </c>
      <c r="J774" s="6" t="s">
        <v>53</v>
      </c>
      <c r="K774" s="6" t="s">
        <v>53</v>
      </c>
      <c r="L774" s="6" t="s">
        <v>805</v>
      </c>
      <c r="M774" s="6" t="s">
        <v>311</v>
      </c>
      <c r="N774" s="6" t="s">
        <v>265</v>
      </c>
      <c r="O774" s="6" t="s">
        <v>62</v>
      </c>
      <c r="P774" s="6" t="s">
        <v>1533</v>
      </c>
      <c r="Q774" s="6" t="s">
        <v>65</v>
      </c>
      <c r="R774" s="6" t="s">
        <v>57</v>
      </c>
      <c r="S774" s="6" t="s">
        <v>1219</v>
      </c>
      <c r="T774" s="131">
        <v>7.3310000000000004</v>
      </c>
      <c r="U774" s="6" t="s">
        <v>1534</v>
      </c>
      <c r="V774" s="134">
        <v>2.4E-2</v>
      </c>
      <c r="W774" s="132">
        <v>4.6940000000000003E-2</v>
      </c>
      <c r="X774" s="3" t="s">
        <v>620</v>
      </c>
      <c r="Y774" s="3" t="s">
        <v>62</v>
      </c>
      <c r="Z774" s="131">
        <v>32000</v>
      </c>
      <c r="AA774" s="129">
        <v>1</v>
      </c>
      <c r="AB774" s="157">
        <v>84.92</v>
      </c>
      <c r="AD774" s="131">
        <v>27.173999999999999</v>
      </c>
      <c r="AG774" s="6" t="s">
        <v>17</v>
      </c>
      <c r="AH774" s="132">
        <v>2.0000000000000002E-5</v>
      </c>
      <c r="AI774" s="132">
        <v>1.46991315060143E-3</v>
      </c>
      <c r="AJ774" s="132">
        <v>3.11296945287361E-4</v>
      </c>
    </row>
    <row r="775" spans="1:36" x14ac:dyDescent="0.2">
      <c r="A775" s="6">
        <v>559</v>
      </c>
      <c r="B775" s="6">
        <v>7206</v>
      </c>
      <c r="C775" s="6" t="s">
        <v>1535</v>
      </c>
      <c r="D775" s="6" t="s">
        <v>1536</v>
      </c>
      <c r="E775" s="3" t="s">
        <v>1477</v>
      </c>
      <c r="F775" s="6" t="s">
        <v>1537</v>
      </c>
      <c r="G775" s="6" t="s">
        <v>1538</v>
      </c>
      <c r="H775" s="6" t="s">
        <v>76</v>
      </c>
      <c r="I775" s="6" t="s">
        <v>229</v>
      </c>
      <c r="J775" s="6" t="s">
        <v>53</v>
      </c>
      <c r="K775" s="6" t="s">
        <v>53</v>
      </c>
      <c r="L775" s="6" t="s">
        <v>805</v>
      </c>
      <c r="M775" s="6" t="s">
        <v>311</v>
      </c>
      <c r="N775" s="6" t="s">
        <v>635</v>
      </c>
      <c r="O775" s="6" t="s">
        <v>62</v>
      </c>
      <c r="P775" s="6" t="s">
        <v>1533</v>
      </c>
      <c r="Q775" s="6" t="s">
        <v>65</v>
      </c>
      <c r="R775" s="6" t="s">
        <v>57</v>
      </c>
      <c r="S775" s="6" t="s">
        <v>1219</v>
      </c>
      <c r="T775" s="131">
        <v>2.0139999999999998</v>
      </c>
      <c r="U775" s="6" t="s">
        <v>1539</v>
      </c>
      <c r="V775" s="134">
        <v>2.3400000000000001E-2</v>
      </c>
      <c r="W775" s="132">
        <v>2.8719999999999999E-2</v>
      </c>
      <c r="X775" s="3" t="s">
        <v>620</v>
      </c>
      <c r="Y775" s="3" t="s">
        <v>62</v>
      </c>
      <c r="Z775" s="131">
        <v>100000.27</v>
      </c>
      <c r="AA775" s="129">
        <v>1</v>
      </c>
      <c r="AB775" s="157">
        <v>116.49</v>
      </c>
      <c r="AD775" s="131">
        <v>116.49</v>
      </c>
      <c r="AG775" s="6" t="s">
        <v>17</v>
      </c>
      <c r="AH775" s="132">
        <v>6.0999999999999999E-5</v>
      </c>
      <c r="AI775" s="132">
        <v>6.3011748275971103E-3</v>
      </c>
      <c r="AJ775" s="132">
        <v>1.33445739617338E-3</v>
      </c>
    </row>
    <row r="776" spans="1:36" x14ac:dyDescent="0.2">
      <c r="A776" s="6">
        <v>559</v>
      </c>
      <c r="B776" s="6">
        <v>7206</v>
      </c>
      <c r="C776" s="6" t="s">
        <v>1540</v>
      </c>
      <c r="D776" s="6" t="s">
        <v>1541</v>
      </c>
      <c r="E776" s="3" t="s">
        <v>1477</v>
      </c>
      <c r="F776" s="6" t="s">
        <v>1542</v>
      </c>
      <c r="G776" s="6" t="s">
        <v>1543</v>
      </c>
      <c r="H776" s="6" t="s">
        <v>76</v>
      </c>
      <c r="I776" s="6" t="s">
        <v>607</v>
      </c>
      <c r="J776" s="6" t="s">
        <v>53</v>
      </c>
      <c r="K776" s="6" t="s">
        <v>53</v>
      </c>
      <c r="L776" s="6" t="s">
        <v>805</v>
      </c>
      <c r="M776" s="6" t="s">
        <v>311</v>
      </c>
      <c r="N776" s="6" t="s">
        <v>259</v>
      </c>
      <c r="O776" s="6" t="s">
        <v>62</v>
      </c>
      <c r="P776" s="6" t="s">
        <v>298</v>
      </c>
      <c r="Q776" s="6" t="s">
        <v>298</v>
      </c>
      <c r="R776" s="6" t="s">
        <v>298</v>
      </c>
      <c r="S776" s="6" t="s">
        <v>1219</v>
      </c>
      <c r="T776" s="131">
        <v>2.839</v>
      </c>
      <c r="U776" s="6" t="s">
        <v>1544</v>
      </c>
      <c r="V776" s="134">
        <v>4.8500000000000001E-2</v>
      </c>
      <c r="W776" s="132">
        <v>1E-4</v>
      </c>
      <c r="X776" s="3" t="s">
        <v>620</v>
      </c>
      <c r="Y776" s="3" t="s">
        <v>62</v>
      </c>
      <c r="Z776" s="131">
        <v>69000</v>
      </c>
      <c r="AA776" s="129">
        <v>1</v>
      </c>
      <c r="AB776" s="157">
        <v>115</v>
      </c>
      <c r="AD776" s="131">
        <v>79.349999999999994</v>
      </c>
      <c r="AG776" s="6" t="s">
        <v>17</v>
      </c>
      <c r="AH776" s="132">
        <v>2.3000000000000001E-4</v>
      </c>
      <c r="AI776" s="132">
        <v>4.2921870768158196E-3</v>
      </c>
      <c r="AJ776" s="132">
        <v>9.0899569479186803E-4</v>
      </c>
    </row>
    <row r="777" spans="1:36" x14ac:dyDescent="0.2">
      <c r="A777" s="6">
        <v>559</v>
      </c>
      <c r="B777" s="6">
        <v>7206</v>
      </c>
      <c r="C777" s="6" t="s">
        <v>1545</v>
      </c>
      <c r="D777" s="6" t="s">
        <v>1546</v>
      </c>
      <c r="E777" s="3" t="s">
        <v>1477</v>
      </c>
      <c r="F777" s="6" t="s">
        <v>2346</v>
      </c>
      <c r="G777" s="6" t="s">
        <v>2347</v>
      </c>
      <c r="H777" s="6" t="s">
        <v>76</v>
      </c>
      <c r="I777" s="6" t="s">
        <v>230</v>
      </c>
      <c r="J777" s="6" t="s">
        <v>53</v>
      </c>
      <c r="K777" s="6" t="s">
        <v>317</v>
      </c>
      <c r="L777" s="6" t="s">
        <v>805</v>
      </c>
      <c r="M777" s="6" t="s">
        <v>311</v>
      </c>
      <c r="N777" s="6" t="s">
        <v>638</v>
      </c>
      <c r="O777" s="6" t="s">
        <v>62</v>
      </c>
      <c r="P777" s="6" t="s">
        <v>1339</v>
      </c>
      <c r="Q777" s="6" t="s">
        <v>65</v>
      </c>
      <c r="R777" s="6" t="s">
        <v>57</v>
      </c>
      <c r="S777" s="6" t="s">
        <v>1219</v>
      </c>
      <c r="T777" s="131">
        <v>4.867</v>
      </c>
      <c r="U777" s="6" t="s">
        <v>2348</v>
      </c>
      <c r="V777" s="134">
        <v>2.6700000000000002E-2</v>
      </c>
      <c r="W777" s="132">
        <v>5.0970000000000001E-2</v>
      </c>
      <c r="X777" s="3" t="s">
        <v>620</v>
      </c>
      <c r="Y777" s="3" t="s">
        <v>62</v>
      </c>
      <c r="Z777" s="131">
        <v>36030.519999999997</v>
      </c>
      <c r="AA777" s="129">
        <v>1</v>
      </c>
      <c r="AB777" s="157">
        <v>92</v>
      </c>
      <c r="AD777" s="131">
        <v>33.148000000000003</v>
      </c>
      <c r="AG777" s="6" t="s">
        <v>17</v>
      </c>
      <c r="AH777" s="132">
        <v>2.2900000000000001E-4</v>
      </c>
      <c r="AI777" s="132">
        <v>1.79304037466613E-3</v>
      </c>
      <c r="AJ777" s="132">
        <v>3.7972855143318603E-4</v>
      </c>
    </row>
    <row r="778" spans="1:36" x14ac:dyDescent="0.2">
      <c r="A778" s="6">
        <v>559</v>
      </c>
      <c r="B778" s="6">
        <v>7206</v>
      </c>
      <c r="C778" s="6" t="s">
        <v>1545</v>
      </c>
      <c r="D778" s="6" t="s">
        <v>1546</v>
      </c>
      <c r="E778" s="3" t="s">
        <v>1477</v>
      </c>
      <c r="F778" s="6" t="s">
        <v>1547</v>
      </c>
      <c r="G778" s="6" t="s">
        <v>1548</v>
      </c>
      <c r="H778" s="6" t="s">
        <v>76</v>
      </c>
      <c r="I778" s="6" t="s">
        <v>228</v>
      </c>
      <c r="J778" s="6" t="s">
        <v>53</v>
      </c>
      <c r="K778" s="6" t="s">
        <v>317</v>
      </c>
      <c r="L778" s="6" t="s">
        <v>805</v>
      </c>
      <c r="M778" s="6" t="s">
        <v>311</v>
      </c>
      <c r="N778" s="6" t="s">
        <v>638</v>
      </c>
      <c r="O778" s="6" t="s">
        <v>62</v>
      </c>
      <c r="P778" s="6" t="s">
        <v>1339</v>
      </c>
      <c r="Q778" s="6" t="s">
        <v>65</v>
      </c>
      <c r="R778" s="6" t="s">
        <v>57</v>
      </c>
      <c r="S778" s="6" t="s">
        <v>1219</v>
      </c>
      <c r="T778" s="131">
        <v>2.4220000000000002</v>
      </c>
      <c r="U778" s="6" t="s">
        <v>1549</v>
      </c>
      <c r="V778" s="134">
        <v>1.0800000000000001E-2</v>
      </c>
      <c r="W778" s="132">
        <v>4.3990000000000001E-2</v>
      </c>
      <c r="X778" s="3" t="s">
        <v>620</v>
      </c>
      <c r="Y778" s="3" t="s">
        <v>62</v>
      </c>
      <c r="Z778" s="131">
        <v>113600.73</v>
      </c>
      <c r="AA778" s="129">
        <v>1</v>
      </c>
      <c r="AB778" s="157">
        <v>92.42</v>
      </c>
      <c r="AD778" s="131">
        <v>104.99</v>
      </c>
      <c r="AG778" s="6" t="s">
        <v>17</v>
      </c>
      <c r="AH778" s="132">
        <v>1.5100000000000001E-4</v>
      </c>
      <c r="AI778" s="132">
        <v>5.67909060948899E-3</v>
      </c>
      <c r="AJ778" s="132">
        <v>1.20271293444834E-3</v>
      </c>
    </row>
    <row r="779" spans="1:36" x14ac:dyDescent="0.2">
      <c r="A779" s="6">
        <v>559</v>
      </c>
      <c r="B779" s="6">
        <v>7206</v>
      </c>
      <c r="C779" s="6" t="s">
        <v>1550</v>
      </c>
      <c r="D779" s="6" t="s">
        <v>1551</v>
      </c>
      <c r="E779" s="3" t="s">
        <v>1477</v>
      </c>
      <c r="F779" s="6" t="s">
        <v>1552</v>
      </c>
      <c r="G779" s="6" t="s">
        <v>1553</v>
      </c>
      <c r="H779" s="6" t="s">
        <v>76</v>
      </c>
      <c r="I779" s="6" t="s">
        <v>228</v>
      </c>
      <c r="J779" s="6" t="s">
        <v>53</v>
      </c>
      <c r="K779" s="6" t="s">
        <v>53</v>
      </c>
      <c r="L779" s="6" t="s">
        <v>805</v>
      </c>
      <c r="M779" s="6" t="s">
        <v>311</v>
      </c>
      <c r="N779" s="6" t="s">
        <v>258</v>
      </c>
      <c r="O779" s="6" t="s">
        <v>62</v>
      </c>
      <c r="P779" s="6" t="s">
        <v>1493</v>
      </c>
      <c r="Q779" s="6" t="s">
        <v>65</v>
      </c>
      <c r="R779" s="6" t="s">
        <v>57</v>
      </c>
      <c r="S779" s="6" t="s">
        <v>1219</v>
      </c>
      <c r="T779" s="131">
        <v>0.76400000000000001</v>
      </c>
      <c r="U779" s="6" t="s">
        <v>1554</v>
      </c>
      <c r="V779" s="134">
        <v>3.2500000000000001E-2</v>
      </c>
      <c r="W779" s="132">
        <v>5.1630000000000002E-2</v>
      </c>
      <c r="X779" s="3" t="s">
        <v>620</v>
      </c>
      <c r="Y779" s="3" t="s">
        <v>62</v>
      </c>
      <c r="Z779" s="131">
        <v>113000.88</v>
      </c>
      <c r="AA779" s="129">
        <v>1</v>
      </c>
      <c r="AB779" s="157">
        <v>99.33</v>
      </c>
      <c r="AD779" s="131">
        <v>112.244</v>
      </c>
      <c r="AG779" s="6" t="s">
        <v>17</v>
      </c>
      <c r="AH779" s="132">
        <v>3.9599999999999998E-4</v>
      </c>
      <c r="AI779" s="132">
        <v>6.0714716655604602E-3</v>
      </c>
      <c r="AJ779" s="132">
        <v>1.28581105769032E-3</v>
      </c>
    </row>
    <row r="780" spans="1:36" x14ac:dyDescent="0.2">
      <c r="A780" s="6">
        <v>559</v>
      </c>
      <c r="B780" s="6">
        <v>7206</v>
      </c>
      <c r="C780" s="6" t="s">
        <v>1560</v>
      </c>
      <c r="D780" s="6" t="s">
        <v>1561</v>
      </c>
      <c r="E780" s="3" t="s">
        <v>1477</v>
      </c>
      <c r="F780" s="6" t="s">
        <v>1562</v>
      </c>
      <c r="G780" s="6" t="s">
        <v>1563</v>
      </c>
      <c r="H780" s="6" t="s">
        <v>76</v>
      </c>
      <c r="I780" s="6" t="s">
        <v>228</v>
      </c>
      <c r="J780" s="6" t="s">
        <v>53</v>
      </c>
      <c r="K780" s="6" t="s">
        <v>53</v>
      </c>
      <c r="L780" s="6" t="s">
        <v>805</v>
      </c>
      <c r="M780" s="6" t="s">
        <v>102</v>
      </c>
      <c r="N780" s="6" t="s">
        <v>692</v>
      </c>
      <c r="O780" s="6" t="s">
        <v>62</v>
      </c>
      <c r="P780" s="6" t="s">
        <v>298</v>
      </c>
      <c r="Q780" s="6" t="s">
        <v>298</v>
      </c>
      <c r="R780" s="6" t="s">
        <v>298</v>
      </c>
      <c r="S780" s="6" t="s">
        <v>1219</v>
      </c>
      <c r="T780" s="131">
        <v>4.0350000000000001</v>
      </c>
      <c r="U780" s="6" t="s">
        <v>1564</v>
      </c>
      <c r="V780" s="134">
        <v>6.5600000000000006E-2</v>
      </c>
      <c r="W780" s="132">
        <v>6.3450000000000006E-2</v>
      </c>
      <c r="X780" s="3" t="s">
        <v>620</v>
      </c>
      <c r="Y780" s="3" t="s">
        <v>62</v>
      </c>
      <c r="Z780" s="131">
        <v>30000</v>
      </c>
      <c r="AA780" s="129">
        <v>1</v>
      </c>
      <c r="AB780" s="157">
        <v>102.91</v>
      </c>
      <c r="AD780" s="131">
        <v>30.873000000000001</v>
      </c>
      <c r="AG780" s="6" t="s">
        <v>17</v>
      </c>
      <c r="AH780" s="132">
        <v>2.4699999999999999E-4</v>
      </c>
      <c r="AI780" s="132">
        <v>1.6699772101138599E-3</v>
      </c>
      <c r="AJ780" s="132">
        <v>3.5366634007951298E-4</v>
      </c>
    </row>
    <row r="781" spans="1:36" x14ac:dyDescent="0.2">
      <c r="A781" s="6">
        <v>559</v>
      </c>
      <c r="B781" s="6">
        <v>7206</v>
      </c>
      <c r="C781" s="6" t="s">
        <v>1565</v>
      </c>
      <c r="D781" s="6" t="s">
        <v>1566</v>
      </c>
      <c r="E781" s="3" t="s">
        <v>1477</v>
      </c>
      <c r="F781" s="6" t="s">
        <v>1567</v>
      </c>
      <c r="G781" s="6" t="s">
        <v>1568</v>
      </c>
      <c r="H781" s="6" t="s">
        <v>76</v>
      </c>
      <c r="I781" s="6" t="s">
        <v>228</v>
      </c>
      <c r="J781" s="6" t="s">
        <v>53</v>
      </c>
      <c r="K781" s="6" t="s">
        <v>53</v>
      </c>
      <c r="L781" s="6" t="s">
        <v>805</v>
      </c>
      <c r="M781" s="6" t="s">
        <v>311</v>
      </c>
      <c r="N781" s="6" t="s">
        <v>631</v>
      </c>
      <c r="O781" s="6" t="s">
        <v>62</v>
      </c>
      <c r="P781" s="6" t="s">
        <v>298</v>
      </c>
      <c r="Q781" s="6" t="s">
        <v>298</v>
      </c>
      <c r="R781" s="6" t="s">
        <v>298</v>
      </c>
      <c r="S781" s="6" t="s">
        <v>1219</v>
      </c>
      <c r="T781" s="131">
        <v>2.0779999999999998</v>
      </c>
      <c r="U781" s="6" t="s">
        <v>1569</v>
      </c>
      <c r="V781" s="134">
        <v>6.0499999999999998E-2</v>
      </c>
      <c r="W781" s="132">
        <v>5.6259999999999998E-2</v>
      </c>
      <c r="X781" s="3" t="s">
        <v>620</v>
      </c>
      <c r="Y781" s="3" t="s">
        <v>62</v>
      </c>
      <c r="Z781" s="131">
        <v>39766</v>
      </c>
      <c r="AA781" s="129">
        <v>1</v>
      </c>
      <c r="AB781" s="157">
        <v>102.55</v>
      </c>
      <c r="AD781" s="131">
        <v>40.78</v>
      </c>
      <c r="AG781" s="6" t="s">
        <v>17</v>
      </c>
      <c r="AH781" s="132">
        <v>1.8100000000000001E-4</v>
      </c>
      <c r="AI781" s="132">
        <v>2.2058668006896399E-3</v>
      </c>
      <c r="AJ781" s="132">
        <v>4.6715657757366499E-4</v>
      </c>
    </row>
    <row r="782" spans="1:36" x14ac:dyDescent="0.2">
      <c r="A782" s="6">
        <v>559</v>
      </c>
      <c r="B782" s="6">
        <v>7206</v>
      </c>
      <c r="C782" s="6" t="s">
        <v>1565</v>
      </c>
      <c r="D782" s="6" t="s">
        <v>1566</v>
      </c>
      <c r="E782" s="3" t="s">
        <v>1477</v>
      </c>
      <c r="F782" s="6" t="s">
        <v>1570</v>
      </c>
      <c r="G782" s="6" t="s">
        <v>1571</v>
      </c>
      <c r="H782" s="6" t="s">
        <v>76</v>
      </c>
      <c r="I782" s="6" t="s">
        <v>228</v>
      </c>
      <c r="J782" s="6" t="s">
        <v>53</v>
      </c>
      <c r="K782" s="6" t="s">
        <v>53</v>
      </c>
      <c r="L782" s="6" t="s">
        <v>805</v>
      </c>
      <c r="M782" s="6" t="s">
        <v>102</v>
      </c>
      <c r="N782" s="6" t="s">
        <v>631</v>
      </c>
      <c r="O782" s="6" t="s">
        <v>62</v>
      </c>
      <c r="P782" s="6" t="s">
        <v>298</v>
      </c>
      <c r="Q782" s="6" t="s">
        <v>298</v>
      </c>
      <c r="R782" s="6" t="s">
        <v>298</v>
      </c>
      <c r="S782" s="6" t="s">
        <v>1219</v>
      </c>
      <c r="T782" s="131">
        <v>4.6459999999999999</v>
      </c>
      <c r="U782" s="6" t="s">
        <v>1572</v>
      </c>
      <c r="V782" s="134">
        <v>6.3399999999999998E-2</v>
      </c>
      <c r="W782" s="132">
        <v>6.4640000000000003E-2</v>
      </c>
      <c r="X782" s="3" t="s">
        <v>620</v>
      </c>
      <c r="Y782" s="3" t="s">
        <v>62</v>
      </c>
      <c r="Z782" s="131">
        <v>40000</v>
      </c>
      <c r="AA782" s="129">
        <v>1</v>
      </c>
      <c r="AB782" s="157">
        <v>102.19</v>
      </c>
      <c r="AD782" s="131">
        <v>40.875999999999998</v>
      </c>
      <c r="AG782" s="6" t="s">
        <v>17</v>
      </c>
      <c r="AH782" s="132">
        <v>1.8599999999999999E-4</v>
      </c>
      <c r="AI782" s="132">
        <v>2.21105783178227E-3</v>
      </c>
      <c r="AJ782" s="132">
        <v>4.6825592968257598E-4</v>
      </c>
    </row>
    <row r="783" spans="1:36" x14ac:dyDescent="0.2">
      <c r="A783" s="6">
        <v>559</v>
      </c>
      <c r="B783" s="6">
        <v>7206</v>
      </c>
      <c r="C783" s="6" t="s">
        <v>1573</v>
      </c>
      <c r="D783" s="6" t="s">
        <v>1574</v>
      </c>
      <c r="E783" s="3" t="s">
        <v>1477</v>
      </c>
      <c r="F783" s="6" t="s">
        <v>1575</v>
      </c>
      <c r="G783" s="6" t="s">
        <v>1576</v>
      </c>
      <c r="H783" s="6" t="s">
        <v>76</v>
      </c>
      <c r="I783" s="6" t="s">
        <v>228</v>
      </c>
      <c r="J783" s="6" t="s">
        <v>53</v>
      </c>
      <c r="K783" s="6" t="s">
        <v>53</v>
      </c>
      <c r="L783" s="6" t="s">
        <v>805</v>
      </c>
      <c r="M783" s="6" t="s">
        <v>311</v>
      </c>
      <c r="N783" s="6" t="s">
        <v>692</v>
      </c>
      <c r="O783" s="6" t="s">
        <v>62</v>
      </c>
      <c r="P783" s="6" t="s">
        <v>1577</v>
      </c>
      <c r="Q783" s="6" t="s">
        <v>65</v>
      </c>
      <c r="R783" s="6" t="s">
        <v>57</v>
      </c>
      <c r="S783" s="6" t="s">
        <v>1219</v>
      </c>
      <c r="T783" s="131">
        <v>0.73</v>
      </c>
      <c r="U783" s="6" t="s">
        <v>1578</v>
      </c>
      <c r="V783" s="134">
        <v>3.9E-2</v>
      </c>
      <c r="W783" s="132">
        <v>4.9660000000000003E-2</v>
      </c>
      <c r="X783" s="3" t="s">
        <v>620</v>
      </c>
      <c r="Y783" s="3" t="s">
        <v>62</v>
      </c>
      <c r="Z783" s="131">
        <v>231000</v>
      </c>
      <c r="AA783" s="129">
        <v>1</v>
      </c>
      <c r="AB783" s="157">
        <v>100.26</v>
      </c>
      <c r="AD783" s="131">
        <v>231.601</v>
      </c>
      <c r="AG783" s="6" t="s">
        <v>17</v>
      </c>
      <c r="AH783" s="132">
        <v>4.0099999999999999E-4</v>
      </c>
      <c r="AI783" s="132">
        <v>1.2527701352272101E-2</v>
      </c>
      <c r="AJ783" s="132">
        <v>2.6531058388306701E-3</v>
      </c>
    </row>
    <row r="784" spans="1:36" x14ac:dyDescent="0.2">
      <c r="A784" s="6">
        <v>559</v>
      </c>
      <c r="B784" s="6">
        <v>7206</v>
      </c>
      <c r="C784" s="6" t="s">
        <v>1579</v>
      </c>
      <c r="D784" s="6" t="s">
        <v>1580</v>
      </c>
      <c r="E784" s="3" t="s">
        <v>1477</v>
      </c>
      <c r="F784" s="6" t="s">
        <v>1581</v>
      </c>
      <c r="G784" s="6" t="s">
        <v>1582</v>
      </c>
      <c r="H784" s="6" t="s">
        <v>76</v>
      </c>
      <c r="I784" s="6" t="s">
        <v>228</v>
      </c>
      <c r="J784" s="6" t="s">
        <v>53</v>
      </c>
      <c r="K784" s="6" t="s">
        <v>53</v>
      </c>
      <c r="L784" s="6" t="s">
        <v>805</v>
      </c>
      <c r="M784" s="6" t="s">
        <v>311</v>
      </c>
      <c r="N784" s="6" t="s">
        <v>635</v>
      </c>
      <c r="O784" s="6" t="s">
        <v>62</v>
      </c>
      <c r="P784" s="6" t="s">
        <v>1577</v>
      </c>
      <c r="Q784" s="6" t="s">
        <v>65</v>
      </c>
      <c r="R784" s="6" t="s">
        <v>57</v>
      </c>
      <c r="S784" s="6" t="s">
        <v>1219</v>
      </c>
      <c r="T784" s="131">
        <v>1.141</v>
      </c>
      <c r="U784" s="6" t="s">
        <v>1583</v>
      </c>
      <c r="V784" s="134">
        <v>3.85E-2</v>
      </c>
      <c r="W784" s="132">
        <v>4.9360000000000001E-2</v>
      </c>
      <c r="X784" s="3" t="s">
        <v>620</v>
      </c>
      <c r="Y784" s="3" t="s">
        <v>62</v>
      </c>
      <c r="Z784" s="131">
        <v>71000</v>
      </c>
      <c r="AA784" s="129">
        <v>1</v>
      </c>
      <c r="AB784" s="157">
        <v>100.09</v>
      </c>
      <c r="AD784" s="131">
        <v>71.063999999999993</v>
      </c>
      <c r="AG784" s="6" t="s">
        <v>17</v>
      </c>
      <c r="AH784" s="132">
        <v>2.2800000000000001E-4</v>
      </c>
      <c r="AI784" s="132">
        <v>3.8439767260003998E-3</v>
      </c>
      <c r="AJ784" s="132">
        <v>8.1407409143188195E-4</v>
      </c>
    </row>
    <row r="785" spans="1:36" x14ac:dyDescent="0.2">
      <c r="A785" s="6">
        <v>559</v>
      </c>
      <c r="B785" s="6">
        <v>7206</v>
      </c>
      <c r="C785" s="6" t="s">
        <v>1586</v>
      </c>
      <c r="D785" s="6" t="s">
        <v>1587</v>
      </c>
      <c r="E785" s="3" t="s">
        <v>1477</v>
      </c>
      <c r="F785" s="6" t="s">
        <v>1588</v>
      </c>
      <c r="G785" s="6" t="s">
        <v>1589</v>
      </c>
      <c r="H785" s="6" t="s">
        <v>76</v>
      </c>
      <c r="I785" s="6" t="s">
        <v>228</v>
      </c>
      <c r="J785" s="6" t="s">
        <v>53</v>
      </c>
      <c r="K785" s="6" t="s">
        <v>53</v>
      </c>
      <c r="L785" s="6" t="s">
        <v>805</v>
      </c>
      <c r="M785" s="6" t="s">
        <v>102</v>
      </c>
      <c r="N785" s="6" t="s">
        <v>140</v>
      </c>
      <c r="O785" s="6" t="s">
        <v>62</v>
      </c>
      <c r="P785" s="6" t="s">
        <v>298</v>
      </c>
      <c r="Q785" s="6" t="s">
        <v>298</v>
      </c>
      <c r="R785" s="6" t="s">
        <v>298</v>
      </c>
      <c r="S785" s="6" t="s">
        <v>1219</v>
      </c>
      <c r="T785" s="131">
        <v>2.605</v>
      </c>
      <c r="U785" s="6" t="s">
        <v>1590</v>
      </c>
      <c r="V785" s="134">
        <v>6.0699999999999997E-2</v>
      </c>
      <c r="W785" s="132">
        <v>5.7910000000000003E-2</v>
      </c>
      <c r="X785" s="3" t="s">
        <v>620</v>
      </c>
      <c r="Y785" s="3" t="s">
        <v>62</v>
      </c>
      <c r="Z785" s="131">
        <v>38000</v>
      </c>
      <c r="AA785" s="129">
        <v>1</v>
      </c>
      <c r="AB785" s="157">
        <v>101.2</v>
      </c>
      <c r="AD785" s="131">
        <v>38.456000000000003</v>
      </c>
      <c r="AG785" s="6" t="s">
        <v>17</v>
      </c>
      <c r="AH785" s="132">
        <v>4.2200000000000001E-4</v>
      </c>
      <c r="AI785" s="132">
        <v>2.08015559201045E-3</v>
      </c>
      <c r="AJ785" s="132">
        <v>4.40533565707827E-4</v>
      </c>
    </row>
    <row r="786" spans="1:36" x14ac:dyDescent="0.2">
      <c r="A786" s="6">
        <v>559</v>
      </c>
      <c r="B786" s="6">
        <v>7206</v>
      </c>
      <c r="C786" s="6" t="s">
        <v>1591</v>
      </c>
      <c r="D786" s="6" t="s">
        <v>1592</v>
      </c>
      <c r="E786" s="3" t="s">
        <v>1477</v>
      </c>
      <c r="F786" s="6" t="s">
        <v>1593</v>
      </c>
      <c r="G786" s="6" t="s">
        <v>1594</v>
      </c>
      <c r="H786" s="6" t="s">
        <v>76</v>
      </c>
      <c r="I786" s="6" t="s">
        <v>228</v>
      </c>
      <c r="J786" s="6" t="s">
        <v>53</v>
      </c>
      <c r="K786" s="6" t="s">
        <v>53</v>
      </c>
      <c r="L786" s="6" t="s">
        <v>805</v>
      </c>
      <c r="M786" s="6" t="s">
        <v>311</v>
      </c>
      <c r="N786" s="6" t="s">
        <v>140</v>
      </c>
      <c r="O786" s="6" t="s">
        <v>62</v>
      </c>
      <c r="P786" s="6" t="s">
        <v>298</v>
      </c>
      <c r="Q786" s="6" t="s">
        <v>298</v>
      </c>
      <c r="R786" s="6" t="s">
        <v>298</v>
      </c>
      <c r="S786" s="6" t="s">
        <v>1219</v>
      </c>
      <c r="T786" s="131">
        <v>0.81699999999999995</v>
      </c>
      <c r="U786" s="6" t="s">
        <v>1595</v>
      </c>
      <c r="V786" s="134">
        <v>8.2000000000000003E-2</v>
      </c>
      <c r="W786" s="132">
        <v>6.0940000000000001E-2</v>
      </c>
      <c r="X786" s="3" t="s">
        <v>620</v>
      </c>
      <c r="Y786" s="3" t="s">
        <v>62</v>
      </c>
      <c r="Z786" s="131">
        <v>30750</v>
      </c>
      <c r="AA786" s="129">
        <v>1</v>
      </c>
      <c r="AB786" s="157">
        <v>101.78</v>
      </c>
      <c r="AD786" s="131">
        <v>31.297000000000001</v>
      </c>
      <c r="AG786" s="6" t="s">
        <v>17</v>
      </c>
      <c r="AH786" s="132">
        <v>3.9800000000000002E-4</v>
      </c>
      <c r="AI786" s="132">
        <v>1.69293108013335E-3</v>
      </c>
      <c r="AJ786" s="132">
        <v>3.5852749096905201E-4</v>
      </c>
    </row>
    <row r="787" spans="1:36" x14ac:dyDescent="0.2">
      <c r="A787" s="6">
        <v>559</v>
      </c>
      <c r="B787" s="6">
        <v>7206</v>
      </c>
      <c r="C787" s="6" t="s">
        <v>1596</v>
      </c>
      <c r="D787" s="6" t="s">
        <v>1597</v>
      </c>
      <c r="E787" s="3" t="s">
        <v>1477</v>
      </c>
      <c r="F787" s="6" t="s">
        <v>1598</v>
      </c>
      <c r="G787" s="6" t="s">
        <v>1599</v>
      </c>
      <c r="H787" s="6" t="s">
        <v>76</v>
      </c>
      <c r="I787" s="6" t="s">
        <v>228</v>
      </c>
      <c r="J787" s="6" t="s">
        <v>53</v>
      </c>
      <c r="K787" s="6" t="s">
        <v>53</v>
      </c>
      <c r="L787" s="6" t="s">
        <v>805</v>
      </c>
      <c r="M787" s="6" t="s">
        <v>311</v>
      </c>
      <c r="N787" s="6" t="s">
        <v>692</v>
      </c>
      <c r="O787" s="6" t="s">
        <v>62</v>
      </c>
      <c r="P787" s="6" t="s">
        <v>1493</v>
      </c>
      <c r="Q787" s="6" t="s">
        <v>65</v>
      </c>
      <c r="R787" s="6" t="s">
        <v>57</v>
      </c>
      <c r="S787" s="6" t="s">
        <v>1219</v>
      </c>
      <c r="T787" s="131">
        <v>0.98499999999999999</v>
      </c>
      <c r="U787" s="6" t="s">
        <v>1595</v>
      </c>
      <c r="V787" s="134">
        <v>0.04</v>
      </c>
      <c r="W787" s="132">
        <v>4.9259999999999998E-2</v>
      </c>
      <c r="X787" s="3" t="s">
        <v>620</v>
      </c>
      <c r="Y787" s="3" t="s">
        <v>62</v>
      </c>
      <c r="Z787" s="131">
        <v>20000.05</v>
      </c>
      <c r="AA787" s="129">
        <v>1</v>
      </c>
      <c r="AB787" s="157">
        <v>99.19</v>
      </c>
      <c r="AD787" s="131">
        <v>19.838000000000001</v>
      </c>
      <c r="AG787" s="6" t="s">
        <v>17</v>
      </c>
      <c r="AH787" s="132">
        <v>3.0400000000000002E-4</v>
      </c>
      <c r="AI787" s="132">
        <v>1.0730764978057999E-3</v>
      </c>
      <c r="AJ787" s="132">
        <v>2.2725521959574699E-4</v>
      </c>
    </row>
    <row r="788" spans="1:36" x14ac:dyDescent="0.2">
      <c r="A788" s="6">
        <v>559</v>
      </c>
      <c r="B788" s="6">
        <v>7206</v>
      </c>
      <c r="C788" s="6" t="s">
        <v>1600</v>
      </c>
      <c r="D788" s="6" t="s">
        <v>1601</v>
      </c>
      <c r="E788" s="3" t="s">
        <v>767</v>
      </c>
      <c r="F788" s="6" t="s">
        <v>1602</v>
      </c>
      <c r="G788" s="6" t="s">
        <v>1603</v>
      </c>
      <c r="H788" s="6" t="s">
        <v>76</v>
      </c>
      <c r="I788" s="6" t="s">
        <v>228</v>
      </c>
      <c r="J788" s="6" t="s">
        <v>53</v>
      </c>
      <c r="K788" s="6" t="s">
        <v>317</v>
      </c>
      <c r="L788" s="6" t="s">
        <v>805</v>
      </c>
      <c r="M788" s="6" t="s">
        <v>102</v>
      </c>
      <c r="N788" s="6" t="s">
        <v>636</v>
      </c>
      <c r="O788" s="6" t="s">
        <v>62</v>
      </c>
      <c r="P788" s="6" t="s">
        <v>1604</v>
      </c>
      <c r="Q788" s="6" t="s">
        <v>70</v>
      </c>
      <c r="R788" s="6" t="s">
        <v>57</v>
      </c>
      <c r="S788" s="6" t="s">
        <v>1219</v>
      </c>
      <c r="T788" s="131">
        <v>2.2410000000000001</v>
      </c>
      <c r="U788" s="6" t="s">
        <v>1605</v>
      </c>
      <c r="V788" s="134">
        <v>7.9500000000000001E-2</v>
      </c>
      <c r="W788" s="132">
        <v>5.8229999999999997E-2</v>
      </c>
      <c r="X788" s="3" t="s">
        <v>620</v>
      </c>
      <c r="Y788" s="3" t="s">
        <v>62</v>
      </c>
      <c r="Z788" s="131">
        <v>4000</v>
      </c>
      <c r="AA788" s="129">
        <v>1</v>
      </c>
      <c r="AB788" s="157">
        <v>104.91</v>
      </c>
      <c r="AD788" s="131">
        <v>4.1959999999999997</v>
      </c>
      <c r="AG788" s="6" t="s">
        <v>17</v>
      </c>
      <c r="AH788" s="132">
        <v>2.1999999999999999E-5</v>
      </c>
      <c r="AI788" s="132">
        <v>2.2699097478449799E-4</v>
      </c>
      <c r="AJ788" s="132">
        <v>4.8071953794890901E-5</v>
      </c>
    </row>
    <row r="789" spans="1:36" x14ac:dyDescent="0.2">
      <c r="A789" s="6">
        <v>559</v>
      </c>
      <c r="B789" s="6">
        <v>7206</v>
      </c>
      <c r="C789" s="6" t="s">
        <v>1600</v>
      </c>
      <c r="D789" s="6" t="s">
        <v>1601</v>
      </c>
      <c r="E789" s="3" t="s">
        <v>767</v>
      </c>
      <c r="F789" s="6" t="s">
        <v>1606</v>
      </c>
      <c r="G789" s="6" t="s">
        <v>1607</v>
      </c>
      <c r="H789" s="6" t="s">
        <v>76</v>
      </c>
      <c r="I789" s="6" t="s">
        <v>228</v>
      </c>
      <c r="J789" s="6" t="s">
        <v>53</v>
      </c>
      <c r="K789" s="6" t="s">
        <v>317</v>
      </c>
      <c r="L789" s="6" t="s">
        <v>805</v>
      </c>
      <c r="M789" s="6" t="s">
        <v>102</v>
      </c>
      <c r="N789" s="6" t="s">
        <v>636</v>
      </c>
      <c r="O789" s="6" t="s">
        <v>62</v>
      </c>
      <c r="P789" s="6" t="s">
        <v>1604</v>
      </c>
      <c r="Q789" s="6" t="s">
        <v>70</v>
      </c>
      <c r="R789" s="6" t="s">
        <v>57</v>
      </c>
      <c r="S789" s="6" t="s">
        <v>1219</v>
      </c>
      <c r="T789" s="131">
        <v>2.4500000000000002</v>
      </c>
      <c r="U789" s="6" t="s">
        <v>1608</v>
      </c>
      <c r="V789" s="134">
        <v>0.06</v>
      </c>
      <c r="W789" s="132">
        <v>5.8319999999999997E-2</v>
      </c>
      <c r="X789" s="3" t="s">
        <v>620</v>
      </c>
      <c r="Y789" s="3" t="s">
        <v>62</v>
      </c>
      <c r="Z789" s="131">
        <v>49000</v>
      </c>
      <c r="AA789" s="129">
        <v>1</v>
      </c>
      <c r="AB789" s="157">
        <v>102.71</v>
      </c>
      <c r="AD789" s="131">
        <v>50.328000000000003</v>
      </c>
      <c r="AG789" s="6" t="s">
        <v>17</v>
      </c>
      <c r="AH789" s="132">
        <v>1.7899999999999999E-4</v>
      </c>
      <c r="AI789" s="132">
        <v>2.7223284433935601E-3</v>
      </c>
      <c r="AJ789" s="132">
        <v>5.7653238094411603E-4</v>
      </c>
    </row>
    <row r="790" spans="1:36" x14ac:dyDescent="0.2">
      <c r="A790" s="6">
        <v>559</v>
      </c>
      <c r="B790" s="6">
        <v>7206</v>
      </c>
      <c r="C790" s="6" t="s">
        <v>1609</v>
      </c>
      <c r="D790" s="6" t="s">
        <v>1610</v>
      </c>
      <c r="E790" s="3" t="s">
        <v>1477</v>
      </c>
      <c r="F790" s="6" t="s">
        <v>1611</v>
      </c>
      <c r="G790" s="6" t="s">
        <v>1612</v>
      </c>
      <c r="H790" s="6" t="s">
        <v>76</v>
      </c>
      <c r="I790" s="6" t="s">
        <v>228</v>
      </c>
      <c r="J790" s="6" t="s">
        <v>53</v>
      </c>
      <c r="K790" s="6" t="s">
        <v>53</v>
      </c>
      <c r="L790" s="6" t="s">
        <v>805</v>
      </c>
      <c r="M790" s="6" t="s">
        <v>311</v>
      </c>
      <c r="N790" s="6" t="s">
        <v>635</v>
      </c>
      <c r="O790" s="6" t="s">
        <v>62</v>
      </c>
      <c r="P790" s="6" t="s">
        <v>1533</v>
      </c>
      <c r="Q790" s="6" t="s">
        <v>65</v>
      </c>
      <c r="R790" s="6" t="s">
        <v>57</v>
      </c>
      <c r="S790" s="6" t="s">
        <v>1219</v>
      </c>
      <c r="T790" s="131">
        <v>0.51</v>
      </c>
      <c r="U790" s="6" t="s">
        <v>1613</v>
      </c>
      <c r="V790" s="134">
        <v>3.39E-2</v>
      </c>
      <c r="W790" s="132">
        <v>4.514E-2</v>
      </c>
      <c r="X790" s="3" t="s">
        <v>620</v>
      </c>
      <c r="Y790" s="3" t="s">
        <v>62</v>
      </c>
      <c r="Z790" s="131">
        <v>79000</v>
      </c>
      <c r="AA790" s="129">
        <v>1</v>
      </c>
      <c r="AB790" s="157">
        <v>101.09</v>
      </c>
      <c r="AD790" s="131">
        <v>79.861000000000004</v>
      </c>
      <c r="AG790" s="6" t="s">
        <v>17</v>
      </c>
      <c r="AH790" s="132">
        <v>4.84E-4</v>
      </c>
      <c r="AI790" s="132">
        <v>4.31983341348829E-3</v>
      </c>
      <c r="AJ790" s="132">
        <v>9.1485061224124504E-4</v>
      </c>
    </row>
    <row r="791" spans="1:36" x14ac:dyDescent="0.2">
      <c r="A791" s="6">
        <v>559</v>
      </c>
      <c r="B791" s="6">
        <v>7206</v>
      </c>
      <c r="C791" s="6" t="s">
        <v>1609</v>
      </c>
      <c r="D791" s="6" t="s">
        <v>1610</v>
      </c>
      <c r="E791" s="3" t="s">
        <v>1477</v>
      </c>
      <c r="F791" s="6" t="s">
        <v>1614</v>
      </c>
      <c r="G791" s="6" t="s">
        <v>1615</v>
      </c>
      <c r="H791" s="6" t="s">
        <v>76</v>
      </c>
      <c r="I791" s="6" t="s">
        <v>228</v>
      </c>
      <c r="J791" s="6" t="s">
        <v>53</v>
      </c>
      <c r="K791" s="6" t="s">
        <v>53</v>
      </c>
      <c r="L791" s="6" t="s">
        <v>805</v>
      </c>
      <c r="M791" s="6" t="s">
        <v>1227</v>
      </c>
      <c r="N791" s="6" t="s">
        <v>635</v>
      </c>
      <c r="O791" s="6" t="s">
        <v>62</v>
      </c>
      <c r="P791" s="6" t="s">
        <v>1533</v>
      </c>
      <c r="Q791" s="6" t="s">
        <v>65</v>
      </c>
      <c r="R791" s="6" t="s">
        <v>57</v>
      </c>
      <c r="S791" s="6" t="s">
        <v>1219</v>
      </c>
      <c r="T791" s="131">
        <v>7.4320000000000004</v>
      </c>
      <c r="U791" s="6" t="s">
        <v>1616</v>
      </c>
      <c r="V791" s="134">
        <v>5.79E-2</v>
      </c>
      <c r="W791" s="132">
        <v>4.9489999999999999E-2</v>
      </c>
      <c r="X791" s="3" t="s">
        <v>620</v>
      </c>
      <c r="Y791" s="3" t="s">
        <v>62</v>
      </c>
      <c r="Z791" s="131">
        <v>50000</v>
      </c>
      <c r="AA791" s="129">
        <v>1</v>
      </c>
      <c r="AB791" s="157">
        <v>109</v>
      </c>
      <c r="AD791" s="131">
        <v>54.5</v>
      </c>
      <c r="AG791" s="6" t="s">
        <v>17</v>
      </c>
      <c r="AH791" s="132">
        <v>5.5000000000000002E-5</v>
      </c>
      <c r="AI791" s="132">
        <v>2.9480049865968799E-3</v>
      </c>
      <c r="AJ791" s="132">
        <v>6.2432596554702895E-4</v>
      </c>
    </row>
    <row r="792" spans="1:36" x14ac:dyDescent="0.2">
      <c r="A792" s="6">
        <v>559</v>
      </c>
      <c r="B792" s="6">
        <v>7206</v>
      </c>
      <c r="C792" s="6" t="s">
        <v>1617</v>
      </c>
      <c r="D792" s="6" t="s">
        <v>1618</v>
      </c>
      <c r="E792" s="3" t="s">
        <v>1477</v>
      </c>
      <c r="F792" s="6" t="s">
        <v>1619</v>
      </c>
      <c r="G792" s="6" t="s">
        <v>1620</v>
      </c>
      <c r="H792" s="6" t="s">
        <v>76</v>
      </c>
      <c r="I792" s="6" t="s">
        <v>228</v>
      </c>
      <c r="J792" s="6" t="s">
        <v>53</v>
      </c>
      <c r="K792" s="6" t="s">
        <v>314</v>
      </c>
      <c r="L792" s="6" t="s">
        <v>805</v>
      </c>
      <c r="M792" s="6" t="s">
        <v>311</v>
      </c>
      <c r="N792" s="6" t="s">
        <v>631</v>
      </c>
      <c r="O792" s="6" t="s">
        <v>62</v>
      </c>
      <c r="P792" s="6" t="s">
        <v>1527</v>
      </c>
      <c r="Q792" s="6" t="s">
        <v>70</v>
      </c>
      <c r="R792" s="6" t="s">
        <v>57</v>
      </c>
      <c r="S792" s="6" t="s">
        <v>1219</v>
      </c>
      <c r="T792" s="131">
        <v>1.01</v>
      </c>
      <c r="U792" s="6" t="s">
        <v>1621</v>
      </c>
      <c r="V792" s="134">
        <v>3.4500000000000003E-2</v>
      </c>
      <c r="W792" s="132">
        <v>4.7660000000000001E-2</v>
      </c>
      <c r="X792" s="3" t="s">
        <v>620</v>
      </c>
      <c r="Y792" s="3" t="s">
        <v>62</v>
      </c>
      <c r="Z792" s="131">
        <v>205000.24</v>
      </c>
      <c r="AA792" s="129">
        <v>1</v>
      </c>
      <c r="AB792" s="157">
        <v>99.89</v>
      </c>
      <c r="AD792" s="131">
        <v>204.77500000000001</v>
      </c>
      <c r="AG792" s="6" t="s">
        <v>17</v>
      </c>
      <c r="AH792" s="132">
        <v>3.19E-4</v>
      </c>
      <c r="AI792" s="132">
        <v>1.10766413554276E-2</v>
      </c>
      <c r="AJ792" s="132">
        <v>2.3458015982627499E-3</v>
      </c>
    </row>
    <row r="793" spans="1:36" x14ac:dyDescent="0.2">
      <c r="A793" s="6">
        <v>559</v>
      </c>
      <c r="B793" s="6">
        <v>7206</v>
      </c>
      <c r="C793" s="6" t="s">
        <v>1617</v>
      </c>
      <c r="D793" s="6" t="s">
        <v>1618</v>
      </c>
      <c r="E793" s="3" t="s">
        <v>1477</v>
      </c>
      <c r="F793" s="6" t="s">
        <v>1622</v>
      </c>
      <c r="G793" s="6" t="s">
        <v>1623</v>
      </c>
      <c r="H793" s="6" t="s">
        <v>76</v>
      </c>
      <c r="I793" s="6" t="s">
        <v>607</v>
      </c>
      <c r="J793" s="6" t="s">
        <v>53</v>
      </c>
      <c r="K793" s="6" t="s">
        <v>314</v>
      </c>
      <c r="L793" s="6" t="s">
        <v>805</v>
      </c>
      <c r="M793" s="6" t="s">
        <v>311</v>
      </c>
      <c r="N793" s="6" t="s">
        <v>631</v>
      </c>
      <c r="O793" s="6" t="s">
        <v>62</v>
      </c>
      <c r="P793" s="6" t="s">
        <v>1527</v>
      </c>
      <c r="Q793" s="6" t="s">
        <v>70</v>
      </c>
      <c r="R793" s="6" t="s">
        <v>57</v>
      </c>
      <c r="S793" s="6" t="s">
        <v>1219</v>
      </c>
      <c r="T793" s="131">
        <v>3.1269999999999998</v>
      </c>
      <c r="U793" s="6" t="s">
        <v>1504</v>
      </c>
      <c r="V793" s="134">
        <v>7.4999999999999997E-3</v>
      </c>
      <c r="W793" s="132">
        <v>5.1119999999999999E-2</v>
      </c>
      <c r="X793" s="3" t="s">
        <v>620</v>
      </c>
      <c r="Y793" s="3" t="s">
        <v>62</v>
      </c>
      <c r="Z793" s="131">
        <v>93000</v>
      </c>
      <c r="AA793" s="129">
        <v>1</v>
      </c>
      <c r="AB793" s="157">
        <v>87.8</v>
      </c>
      <c r="AD793" s="131">
        <v>81.653999999999996</v>
      </c>
      <c r="AG793" s="6" t="s">
        <v>17</v>
      </c>
      <c r="AH793" s="132">
        <v>1.75E-4</v>
      </c>
      <c r="AI793" s="132">
        <v>4.41681466377213E-3</v>
      </c>
      <c r="AJ793" s="132">
        <v>9.3538921817939698E-4</v>
      </c>
    </row>
    <row r="794" spans="1:36" x14ac:dyDescent="0.2">
      <c r="A794" s="6">
        <v>559</v>
      </c>
      <c r="B794" s="6">
        <v>7206</v>
      </c>
      <c r="C794" s="6" t="s">
        <v>1624</v>
      </c>
      <c r="D794" s="6" t="s">
        <v>1625</v>
      </c>
      <c r="E794" s="3" t="s">
        <v>767</v>
      </c>
      <c r="F794" s="6" t="s">
        <v>1626</v>
      </c>
      <c r="G794" s="6" t="s">
        <v>1627</v>
      </c>
      <c r="H794" s="6" t="s">
        <v>76</v>
      </c>
      <c r="I794" s="6" t="s">
        <v>228</v>
      </c>
      <c r="J794" s="6" t="s">
        <v>53</v>
      </c>
      <c r="K794" s="6" t="s">
        <v>314</v>
      </c>
      <c r="L794" s="6" t="s">
        <v>805</v>
      </c>
      <c r="M794" s="6" t="s">
        <v>1227</v>
      </c>
      <c r="N794" s="6" t="s">
        <v>636</v>
      </c>
      <c r="O794" s="6" t="s">
        <v>62</v>
      </c>
      <c r="P794" s="6" t="s">
        <v>1628</v>
      </c>
      <c r="Q794" s="6" t="s">
        <v>65</v>
      </c>
      <c r="R794" s="6" t="s">
        <v>57</v>
      </c>
      <c r="S794" s="6" t="s">
        <v>1219</v>
      </c>
      <c r="T794" s="131">
        <v>0.98399999999999999</v>
      </c>
      <c r="U794" s="6" t="s">
        <v>1629</v>
      </c>
      <c r="V794" s="134">
        <v>7.2499999999999995E-2</v>
      </c>
      <c r="W794" s="132">
        <v>6.1409999999999999E-2</v>
      </c>
      <c r="X794" s="3" t="s">
        <v>620</v>
      </c>
      <c r="Y794" s="3" t="s">
        <v>62</v>
      </c>
      <c r="Z794" s="131">
        <v>35000</v>
      </c>
      <c r="AA794" s="129">
        <v>1</v>
      </c>
      <c r="AB794" s="157">
        <v>104.55</v>
      </c>
      <c r="AD794" s="131">
        <v>36.593000000000004</v>
      </c>
      <c r="AG794" s="6" t="s">
        <v>17</v>
      </c>
      <c r="AH794" s="132">
        <v>2.42E-4</v>
      </c>
      <c r="AI794" s="132">
        <v>1.9793554582026801E-3</v>
      </c>
      <c r="AJ794" s="132">
        <v>4.1918619989504002E-4</v>
      </c>
    </row>
    <row r="795" spans="1:36" x14ac:dyDescent="0.2">
      <c r="A795" s="6">
        <v>559</v>
      </c>
      <c r="B795" s="6">
        <v>7206</v>
      </c>
      <c r="C795" s="6" t="s">
        <v>1630</v>
      </c>
      <c r="D795" s="6" t="s">
        <v>1631</v>
      </c>
      <c r="E795" s="3" t="s">
        <v>1477</v>
      </c>
      <c r="F795" s="6" t="s">
        <v>1632</v>
      </c>
      <c r="G795" s="6" t="s">
        <v>1633</v>
      </c>
      <c r="H795" s="6" t="s">
        <v>76</v>
      </c>
      <c r="I795" s="6" t="s">
        <v>607</v>
      </c>
      <c r="J795" s="6" t="s">
        <v>53</v>
      </c>
      <c r="K795" s="6" t="s">
        <v>53</v>
      </c>
      <c r="L795" s="6" t="s">
        <v>805</v>
      </c>
      <c r="M795" s="6" t="s">
        <v>311</v>
      </c>
      <c r="N795" s="6" t="s">
        <v>631</v>
      </c>
      <c r="O795" s="6" t="s">
        <v>62</v>
      </c>
      <c r="P795" s="6" t="s">
        <v>1628</v>
      </c>
      <c r="Q795" s="6" t="s">
        <v>65</v>
      </c>
      <c r="R795" s="6" t="s">
        <v>57</v>
      </c>
      <c r="S795" s="6" t="s">
        <v>1219</v>
      </c>
      <c r="T795" s="131">
        <v>2.0760000000000001</v>
      </c>
      <c r="U795" s="6" t="s">
        <v>1634</v>
      </c>
      <c r="V795" s="134">
        <v>1.25E-3</v>
      </c>
      <c r="W795" s="132">
        <v>4.8520000000000001E-2</v>
      </c>
      <c r="X795" s="3" t="s">
        <v>620</v>
      </c>
      <c r="Y795" s="3" t="s">
        <v>62</v>
      </c>
      <c r="Z795" s="131">
        <v>6000</v>
      </c>
      <c r="AA795" s="129">
        <v>1</v>
      </c>
      <c r="AB795" s="157">
        <v>91.2</v>
      </c>
      <c r="AD795" s="131">
        <v>5.4720000000000004</v>
      </c>
      <c r="AG795" s="6" t="s">
        <v>17</v>
      </c>
      <c r="AH795" s="132">
        <v>1.1E-5</v>
      </c>
      <c r="AI795" s="132">
        <v>2.9599051902125001E-4</v>
      </c>
      <c r="AJ795" s="132">
        <v>6.2684618045382503E-5</v>
      </c>
    </row>
    <row r="796" spans="1:36" x14ac:dyDescent="0.2">
      <c r="A796" s="6">
        <v>559</v>
      </c>
      <c r="B796" s="6">
        <v>7206</v>
      </c>
      <c r="C796" s="6" t="s">
        <v>1635</v>
      </c>
      <c r="D796" s="6" t="s">
        <v>1636</v>
      </c>
      <c r="E796" s="3" t="s">
        <v>1477</v>
      </c>
      <c r="F796" s="6" t="s">
        <v>1637</v>
      </c>
      <c r="G796" s="6" t="s">
        <v>1638</v>
      </c>
      <c r="H796" s="6" t="s">
        <v>76</v>
      </c>
      <c r="I796" s="6" t="s">
        <v>228</v>
      </c>
      <c r="J796" s="6" t="s">
        <v>53</v>
      </c>
      <c r="K796" s="6" t="s">
        <v>53</v>
      </c>
      <c r="L796" s="6" t="s">
        <v>805</v>
      </c>
      <c r="M796" s="6" t="s">
        <v>311</v>
      </c>
      <c r="N796" s="6" t="s">
        <v>636</v>
      </c>
      <c r="O796" s="6" t="s">
        <v>62</v>
      </c>
      <c r="P796" s="6" t="s">
        <v>1493</v>
      </c>
      <c r="Q796" s="6" t="s">
        <v>65</v>
      </c>
      <c r="R796" s="6" t="s">
        <v>57</v>
      </c>
      <c r="S796" s="6" t="s">
        <v>1219</v>
      </c>
      <c r="T796" s="131">
        <v>2</v>
      </c>
      <c r="U796" s="6" t="s">
        <v>1639</v>
      </c>
      <c r="V796" s="134">
        <v>2.3E-2</v>
      </c>
      <c r="W796" s="132">
        <v>4.8910000000000002E-2</v>
      </c>
      <c r="X796" s="3" t="s">
        <v>620</v>
      </c>
      <c r="Y796" s="3" t="s">
        <v>62</v>
      </c>
      <c r="Z796" s="131">
        <v>147000.91</v>
      </c>
      <c r="AA796" s="129">
        <v>1</v>
      </c>
      <c r="AB796" s="157">
        <v>95.78</v>
      </c>
      <c r="AD796" s="131">
        <v>140.797</v>
      </c>
      <c r="AG796" s="6" t="s">
        <v>17</v>
      </c>
      <c r="AH796" s="132">
        <v>2.04E-4</v>
      </c>
      <c r="AI796" s="132">
        <v>7.6159935480942399E-3</v>
      </c>
      <c r="AJ796" s="132">
        <v>1.6129085761835201E-3</v>
      </c>
    </row>
    <row r="797" spans="1:36" x14ac:dyDescent="0.2">
      <c r="A797" s="6">
        <v>559</v>
      </c>
      <c r="B797" s="6">
        <v>7206</v>
      </c>
      <c r="C797" s="6" t="s">
        <v>1640</v>
      </c>
      <c r="D797" s="6" t="s">
        <v>1641</v>
      </c>
      <c r="E797" s="3" t="s">
        <v>1477</v>
      </c>
      <c r="F797" s="6" t="s">
        <v>1642</v>
      </c>
      <c r="G797" s="6" t="s">
        <v>1643</v>
      </c>
      <c r="H797" s="6" t="s">
        <v>76</v>
      </c>
      <c r="I797" s="6" t="s">
        <v>228</v>
      </c>
      <c r="J797" s="6" t="s">
        <v>53</v>
      </c>
      <c r="K797" s="6" t="s">
        <v>53</v>
      </c>
      <c r="L797" s="6" t="s">
        <v>805</v>
      </c>
      <c r="M797" s="6" t="s">
        <v>311</v>
      </c>
      <c r="N797" s="6" t="s">
        <v>140</v>
      </c>
      <c r="O797" s="6" t="s">
        <v>62</v>
      </c>
      <c r="P797" s="6" t="s">
        <v>298</v>
      </c>
      <c r="Q797" s="6" t="s">
        <v>298</v>
      </c>
      <c r="R797" s="6" t="s">
        <v>298</v>
      </c>
      <c r="S797" s="6" t="s">
        <v>1219</v>
      </c>
      <c r="T797" s="131">
        <v>1.4359999999999999</v>
      </c>
      <c r="U797" s="6" t="s">
        <v>1644</v>
      </c>
      <c r="V797" s="134">
        <v>8.5000000000000006E-2</v>
      </c>
      <c r="W797" s="132">
        <v>5.4870000000000002E-2</v>
      </c>
      <c r="X797" s="3" t="s">
        <v>620</v>
      </c>
      <c r="Y797" s="3" t="s">
        <v>62</v>
      </c>
      <c r="Z797" s="131">
        <v>47000</v>
      </c>
      <c r="AA797" s="129">
        <v>1</v>
      </c>
      <c r="AB797" s="157">
        <v>104.4</v>
      </c>
      <c r="AD797" s="131">
        <v>49.067999999999998</v>
      </c>
      <c r="AG797" s="6" t="s">
        <v>17</v>
      </c>
      <c r="AH797" s="132">
        <v>3.6200000000000002E-4</v>
      </c>
      <c r="AI797" s="132">
        <v>2.65417814096028E-3</v>
      </c>
      <c r="AJ797" s="132">
        <v>5.6209956839379203E-4</v>
      </c>
    </row>
    <row r="798" spans="1:36" x14ac:dyDescent="0.2">
      <c r="A798" s="6">
        <v>559</v>
      </c>
      <c r="B798" s="6">
        <v>7206</v>
      </c>
      <c r="C798" s="6" t="s">
        <v>1640</v>
      </c>
      <c r="D798" s="6" t="s">
        <v>1641</v>
      </c>
      <c r="E798" s="3" t="s">
        <v>1477</v>
      </c>
      <c r="F798" s="6" t="s">
        <v>1645</v>
      </c>
      <c r="G798" s="6" t="s">
        <v>1646</v>
      </c>
      <c r="H798" s="6" t="s">
        <v>76</v>
      </c>
      <c r="I798" s="6" t="s">
        <v>228</v>
      </c>
      <c r="J798" s="6" t="s">
        <v>53</v>
      </c>
      <c r="K798" s="6" t="s">
        <v>53</v>
      </c>
      <c r="L798" s="6" t="s">
        <v>805</v>
      </c>
      <c r="M798" s="6" t="s">
        <v>102</v>
      </c>
      <c r="N798" s="6" t="s">
        <v>140</v>
      </c>
      <c r="O798" s="6" t="s">
        <v>62</v>
      </c>
      <c r="P798" s="6" t="s">
        <v>298</v>
      </c>
      <c r="Q798" s="6" t="s">
        <v>298</v>
      </c>
      <c r="R798" s="6" t="s">
        <v>298</v>
      </c>
      <c r="S798" s="6" t="s">
        <v>1219</v>
      </c>
      <c r="T798" s="131">
        <v>2.8119999999999998</v>
      </c>
      <c r="U798" s="6" t="s">
        <v>1590</v>
      </c>
      <c r="V798" s="134">
        <v>7.17E-2</v>
      </c>
      <c r="W798" s="132">
        <v>5.9709999999999999E-2</v>
      </c>
      <c r="X798" s="3" t="s">
        <v>620</v>
      </c>
      <c r="Y798" s="3" t="s">
        <v>62</v>
      </c>
      <c r="Z798" s="131">
        <v>12000</v>
      </c>
      <c r="AA798" s="129">
        <v>1</v>
      </c>
      <c r="AB798" s="157">
        <v>103.57</v>
      </c>
      <c r="AD798" s="131">
        <v>12.428000000000001</v>
      </c>
      <c r="AG798" s="6" t="s">
        <v>17</v>
      </c>
      <c r="AH798" s="132">
        <v>8.3999999999999995E-5</v>
      </c>
      <c r="AI798" s="132">
        <v>6.7227495734716698E-4</v>
      </c>
      <c r="AJ798" s="132">
        <v>1.4237381339825099E-4</v>
      </c>
    </row>
    <row r="799" spans="1:36" x14ac:dyDescent="0.2">
      <c r="A799" s="6">
        <v>559</v>
      </c>
      <c r="B799" s="6">
        <v>7206</v>
      </c>
      <c r="C799" s="6" t="s">
        <v>1640</v>
      </c>
      <c r="D799" s="6" t="s">
        <v>1641</v>
      </c>
      <c r="E799" s="3" t="s">
        <v>1477</v>
      </c>
      <c r="F799" s="6" t="s">
        <v>1647</v>
      </c>
      <c r="G799" s="6" t="s">
        <v>1648</v>
      </c>
      <c r="H799" s="6" t="s">
        <v>76</v>
      </c>
      <c r="I799" s="6" t="s">
        <v>228</v>
      </c>
      <c r="J799" s="6" t="s">
        <v>53</v>
      </c>
      <c r="K799" s="6" t="s">
        <v>53</v>
      </c>
      <c r="L799" s="6" t="s">
        <v>805</v>
      </c>
      <c r="M799" s="6" t="s">
        <v>102</v>
      </c>
      <c r="N799" s="6" t="s">
        <v>140</v>
      </c>
      <c r="O799" s="6" t="s">
        <v>62</v>
      </c>
      <c r="P799" s="6" t="s">
        <v>298</v>
      </c>
      <c r="Q799" s="6" t="s">
        <v>298</v>
      </c>
      <c r="R799" s="6" t="s">
        <v>298</v>
      </c>
      <c r="S799" s="6" t="s">
        <v>1219</v>
      </c>
      <c r="T799" s="131">
        <v>3.2839999999999998</v>
      </c>
      <c r="U799" s="6" t="s">
        <v>1649</v>
      </c>
      <c r="V799" s="134">
        <v>6.6900000000000001E-2</v>
      </c>
      <c r="W799" s="132">
        <v>6.5750000000000003E-2</v>
      </c>
      <c r="X799" s="3" t="s">
        <v>620</v>
      </c>
      <c r="Y799" s="3" t="s">
        <v>62</v>
      </c>
      <c r="Z799" s="131">
        <v>16000</v>
      </c>
      <c r="AA799" s="129">
        <v>1</v>
      </c>
      <c r="AB799" s="157">
        <v>100.7</v>
      </c>
      <c r="AD799" s="131">
        <v>16.111999999999998</v>
      </c>
      <c r="AG799" s="6" t="s">
        <v>17</v>
      </c>
      <c r="AH799" s="132">
        <v>5.3000000000000001E-5</v>
      </c>
      <c r="AI799" s="132">
        <v>8.7152763934034605E-4</v>
      </c>
      <c r="AJ799" s="132">
        <v>1.8457137535584801E-4</v>
      </c>
    </row>
    <row r="800" spans="1:36" x14ac:dyDescent="0.2">
      <c r="A800" s="6">
        <v>559</v>
      </c>
      <c r="B800" s="6">
        <v>7206</v>
      </c>
      <c r="C800" s="6" t="s">
        <v>1650</v>
      </c>
      <c r="D800" s="6" t="s">
        <v>1651</v>
      </c>
      <c r="E800" s="3" t="s">
        <v>1477</v>
      </c>
      <c r="F800" s="6" t="s">
        <v>1652</v>
      </c>
      <c r="G800" s="6" t="s">
        <v>1653</v>
      </c>
      <c r="H800" s="6" t="s">
        <v>76</v>
      </c>
      <c r="I800" s="6" t="s">
        <v>228</v>
      </c>
      <c r="J800" s="6" t="s">
        <v>53</v>
      </c>
      <c r="K800" s="6" t="s">
        <v>53</v>
      </c>
      <c r="L800" s="6" t="s">
        <v>805</v>
      </c>
      <c r="M800" s="6" t="s">
        <v>311</v>
      </c>
      <c r="N800" s="6" t="s">
        <v>692</v>
      </c>
      <c r="O800" s="6" t="s">
        <v>62</v>
      </c>
      <c r="P800" s="6" t="s">
        <v>1533</v>
      </c>
      <c r="Q800" s="6" t="s">
        <v>65</v>
      </c>
      <c r="R800" s="6" t="s">
        <v>57</v>
      </c>
      <c r="S800" s="6" t="s">
        <v>1219</v>
      </c>
      <c r="T800" s="131">
        <v>2.1859999999999999</v>
      </c>
      <c r="U800" s="6" t="s">
        <v>1654</v>
      </c>
      <c r="V800" s="134">
        <v>1.6400000000000001E-2</v>
      </c>
      <c r="W800" s="132">
        <v>4.7849999999999997E-2</v>
      </c>
      <c r="X800" s="3" t="s">
        <v>620</v>
      </c>
      <c r="Y800" s="3" t="s">
        <v>62</v>
      </c>
      <c r="Z800" s="131">
        <v>40000</v>
      </c>
      <c r="AA800" s="129">
        <v>1</v>
      </c>
      <c r="AB800" s="157">
        <v>93.91</v>
      </c>
      <c r="AD800" s="131">
        <v>37.564</v>
      </c>
      <c r="AG800" s="6" t="s">
        <v>17</v>
      </c>
      <c r="AH800" s="132">
        <v>1.2799999999999999E-4</v>
      </c>
      <c r="AI800" s="132">
        <v>2.0319056755325701E-3</v>
      </c>
      <c r="AJ800" s="132">
        <v>4.3031523981300199E-4</v>
      </c>
    </row>
    <row r="801" spans="1:36" x14ac:dyDescent="0.2">
      <c r="A801" s="6">
        <v>559</v>
      </c>
      <c r="B801" s="6">
        <v>7206</v>
      </c>
      <c r="C801" s="6" t="s">
        <v>1655</v>
      </c>
      <c r="D801" s="6" t="s">
        <v>1656</v>
      </c>
      <c r="E801" s="3" t="s">
        <v>1477</v>
      </c>
      <c r="F801" s="6" t="s">
        <v>1657</v>
      </c>
      <c r="G801" s="6" t="s">
        <v>1658</v>
      </c>
      <c r="H801" s="6" t="s">
        <v>76</v>
      </c>
      <c r="I801" s="6" t="s">
        <v>607</v>
      </c>
      <c r="J801" s="6" t="s">
        <v>53</v>
      </c>
      <c r="K801" s="6" t="s">
        <v>53</v>
      </c>
      <c r="L801" s="6" t="s">
        <v>805</v>
      </c>
      <c r="M801" s="6" t="s">
        <v>311</v>
      </c>
      <c r="N801" s="6" t="s">
        <v>631</v>
      </c>
      <c r="O801" s="6" t="s">
        <v>62</v>
      </c>
      <c r="P801" s="6" t="s">
        <v>298</v>
      </c>
      <c r="Q801" s="6" t="s">
        <v>298</v>
      </c>
      <c r="R801" s="6" t="s">
        <v>298</v>
      </c>
      <c r="S801" s="6" t="s">
        <v>1219</v>
      </c>
      <c r="T801" s="131">
        <v>0.98799999999999999</v>
      </c>
      <c r="U801" s="6" t="s">
        <v>1595</v>
      </c>
      <c r="V801" s="134">
        <v>2.5000000000000001E-2</v>
      </c>
      <c r="W801" s="132">
        <v>1.7059999999999999E-2</v>
      </c>
      <c r="X801" s="3" t="s">
        <v>620</v>
      </c>
      <c r="Y801" s="3" t="s">
        <v>62</v>
      </c>
      <c r="Z801" s="131">
        <v>94000</v>
      </c>
      <c r="AA801" s="129">
        <v>1</v>
      </c>
      <c r="AB801" s="157">
        <v>100.8</v>
      </c>
      <c r="AD801" s="131">
        <v>94.751999999999995</v>
      </c>
      <c r="AG801" s="6" t="s">
        <v>17</v>
      </c>
      <c r="AH801" s="132">
        <v>2.81E-4</v>
      </c>
      <c r="AI801" s="132">
        <v>5.1253095135784799E-3</v>
      </c>
      <c r="AJ801" s="132">
        <v>1.0854336493121501E-3</v>
      </c>
    </row>
    <row r="802" spans="1:36" x14ac:dyDescent="0.2">
      <c r="A802" s="6">
        <v>559</v>
      </c>
      <c r="B802" s="6">
        <v>7206</v>
      </c>
      <c r="C802" s="6" t="s">
        <v>1659</v>
      </c>
      <c r="D802" s="6" t="s">
        <v>1660</v>
      </c>
      <c r="E802" s="3" t="s">
        <v>1477</v>
      </c>
      <c r="F802" s="6" t="s">
        <v>1661</v>
      </c>
      <c r="G802" s="6" t="s">
        <v>1662</v>
      </c>
      <c r="H802" s="6" t="s">
        <v>76</v>
      </c>
      <c r="I802" s="6" t="s">
        <v>229</v>
      </c>
      <c r="J802" s="6" t="s">
        <v>53</v>
      </c>
      <c r="K802" s="6" t="s">
        <v>53</v>
      </c>
      <c r="L802" s="6" t="s">
        <v>805</v>
      </c>
      <c r="M802" s="6" t="s">
        <v>311</v>
      </c>
      <c r="N802" s="6" t="s">
        <v>635</v>
      </c>
      <c r="O802" s="6" t="s">
        <v>62</v>
      </c>
      <c r="P802" s="6" t="s">
        <v>298</v>
      </c>
      <c r="Q802" s="6" t="s">
        <v>298</v>
      </c>
      <c r="R802" s="6" t="s">
        <v>298</v>
      </c>
      <c r="S802" s="6" t="s">
        <v>1219</v>
      </c>
      <c r="T802" s="131">
        <v>1.6719999999999999</v>
      </c>
      <c r="U802" s="6" t="s">
        <v>1663</v>
      </c>
      <c r="V802" s="134">
        <v>1.9E-2</v>
      </c>
      <c r="W802" s="132">
        <v>3.4250000000000003E-2</v>
      </c>
      <c r="X802" s="3" t="s">
        <v>620</v>
      </c>
      <c r="Y802" s="3" t="s">
        <v>62</v>
      </c>
      <c r="Z802" s="131">
        <v>74919.8</v>
      </c>
      <c r="AA802" s="129">
        <v>1</v>
      </c>
      <c r="AB802" s="157">
        <v>110.1</v>
      </c>
      <c r="AD802" s="131">
        <v>82.486999999999995</v>
      </c>
      <c r="AG802" s="6" t="s">
        <v>17</v>
      </c>
      <c r="AH802" s="132">
        <v>1.3300000000000001E-4</v>
      </c>
      <c r="AI802" s="132">
        <v>4.4618569236388904E-3</v>
      </c>
      <c r="AJ802" s="132">
        <v>9.44928229310513E-4</v>
      </c>
    </row>
    <row r="803" spans="1:36" x14ac:dyDescent="0.2">
      <c r="A803" s="6">
        <v>559</v>
      </c>
      <c r="B803" s="6">
        <v>7206</v>
      </c>
      <c r="C803" s="6" t="s">
        <v>1664</v>
      </c>
      <c r="D803" s="6" t="s">
        <v>1665</v>
      </c>
      <c r="E803" s="3" t="s">
        <v>1477</v>
      </c>
      <c r="F803" s="6" t="s">
        <v>1666</v>
      </c>
      <c r="G803" s="6" t="s">
        <v>1667</v>
      </c>
      <c r="H803" s="6" t="s">
        <v>76</v>
      </c>
      <c r="I803" s="6" t="s">
        <v>229</v>
      </c>
      <c r="J803" s="6" t="s">
        <v>53</v>
      </c>
      <c r="K803" s="6" t="s">
        <v>53</v>
      </c>
      <c r="L803" s="6" t="s">
        <v>805</v>
      </c>
      <c r="M803" s="6" t="s">
        <v>311</v>
      </c>
      <c r="N803" s="6" t="s">
        <v>635</v>
      </c>
      <c r="O803" s="6" t="s">
        <v>62</v>
      </c>
      <c r="P803" s="6" t="s">
        <v>1493</v>
      </c>
      <c r="Q803" s="6" t="s">
        <v>65</v>
      </c>
      <c r="R803" s="6" t="s">
        <v>57</v>
      </c>
      <c r="S803" s="6" t="s">
        <v>1219</v>
      </c>
      <c r="T803" s="131">
        <v>2.956</v>
      </c>
      <c r="U803" s="6" t="s">
        <v>1668</v>
      </c>
      <c r="V803" s="134">
        <v>1.83E-2</v>
      </c>
      <c r="W803" s="132">
        <v>2.8729999999999999E-2</v>
      </c>
      <c r="X803" s="3" t="s">
        <v>620</v>
      </c>
      <c r="Y803" s="3" t="s">
        <v>62</v>
      </c>
      <c r="Z803" s="131">
        <v>33050</v>
      </c>
      <c r="AA803" s="129">
        <v>1</v>
      </c>
      <c r="AB803" s="157">
        <v>113.83</v>
      </c>
      <c r="AD803" s="131">
        <v>37.621000000000002</v>
      </c>
      <c r="AG803" s="6" t="s">
        <v>17</v>
      </c>
      <c r="AH803" s="132">
        <v>1.3100000000000001E-4</v>
      </c>
      <c r="AI803" s="132">
        <v>2.0349789031162998E-3</v>
      </c>
      <c r="AJ803" s="132">
        <v>4.3096608531268202E-4</v>
      </c>
    </row>
    <row r="804" spans="1:36" x14ac:dyDescent="0.2">
      <c r="A804" s="6">
        <v>559</v>
      </c>
      <c r="B804" s="6">
        <v>7206</v>
      </c>
      <c r="C804" s="6" t="s">
        <v>1664</v>
      </c>
      <c r="D804" s="6" t="s">
        <v>1665</v>
      </c>
      <c r="E804" s="3" t="s">
        <v>1477</v>
      </c>
      <c r="F804" s="6" t="s">
        <v>1669</v>
      </c>
      <c r="G804" s="6" t="s">
        <v>1670</v>
      </c>
      <c r="H804" s="6" t="s">
        <v>76</v>
      </c>
      <c r="I804" s="6" t="s">
        <v>229</v>
      </c>
      <c r="J804" s="6" t="s">
        <v>53</v>
      </c>
      <c r="K804" s="6" t="s">
        <v>53</v>
      </c>
      <c r="L804" s="6" t="s">
        <v>805</v>
      </c>
      <c r="M804" s="6" t="s">
        <v>311</v>
      </c>
      <c r="N804" s="6" t="s">
        <v>635</v>
      </c>
      <c r="O804" s="6" t="s">
        <v>62</v>
      </c>
      <c r="P804" s="6" t="s">
        <v>1493</v>
      </c>
      <c r="Q804" s="6" t="s">
        <v>65</v>
      </c>
      <c r="R804" s="6" t="s">
        <v>57</v>
      </c>
      <c r="S804" s="6" t="s">
        <v>1219</v>
      </c>
      <c r="T804" s="131">
        <v>3.4209999999999998</v>
      </c>
      <c r="U804" s="6" t="s">
        <v>1549</v>
      </c>
      <c r="V804" s="134">
        <v>1.5299999999999999E-2</v>
      </c>
      <c r="W804" s="132">
        <v>2.7949999999999999E-2</v>
      </c>
      <c r="X804" s="3" t="s">
        <v>620</v>
      </c>
      <c r="Y804" s="3" t="s">
        <v>62</v>
      </c>
      <c r="Z804" s="131">
        <v>112628.36</v>
      </c>
      <c r="AA804" s="129">
        <v>1</v>
      </c>
      <c r="AB804" s="157">
        <v>112.31</v>
      </c>
      <c r="AC804" s="131">
        <v>4.99</v>
      </c>
      <c r="AD804" s="131">
        <v>131.483</v>
      </c>
      <c r="AG804" s="6" t="s">
        <v>17</v>
      </c>
      <c r="AH804" s="132">
        <v>2.1900000000000001E-4</v>
      </c>
      <c r="AI804" s="132">
        <v>7.1121637831805303E-3</v>
      </c>
      <c r="AJ804" s="132">
        <v>1.5062079410485001E-3</v>
      </c>
    </row>
    <row r="805" spans="1:36" x14ac:dyDescent="0.2">
      <c r="A805" s="6">
        <v>559</v>
      </c>
      <c r="B805" s="6">
        <v>7206</v>
      </c>
      <c r="C805" s="6" t="s">
        <v>1671</v>
      </c>
      <c r="D805" s="6" t="s">
        <v>1672</v>
      </c>
      <c r="E805" s="3" t="s">
        <v>1477</v>
      </c>
      <c r="F805" s="6" t="s">
        <v>1673</v>
      </c>
      <c r="G805" s="6" t="s">
        <v>1674</v>
      </c>
      <c r="H805" s="6" t="s">
        <v>76</v>
      </c>
      <c r="I805" s="6" t="s">
        <v>229</v>
      </c>
      <c r="J805" s="6" t="s">
        <v>53</v>
      </c>
      <c r="K805" s="6" t="s">
        <v>53</v>
      </c>
      <c r="L805" s="6" t="s">
        <v>805</v>
      </c>
      <c r="M805" s="6" t="s">
        <v>311</v>
      </c>
      <c r="N805" s="6" t="s">
        <v>140</v>
      </c>
      <c r="O805" s="6" t="s">
        <v>62</v>
      </c>
      <c r="P805" s="6" t="s">
        <v>1628</v>
      </c>
      <c r="Q805" s="6" t="s">
        <v>65</v>
      </c>
      <c r="R805" s="6" t="s">
        <v>57</v>
      </c>
      <c r="S805" s="6" t="s">
        <v>1219</v>
      </c>
      <c r="T805" s="131">
        <v>0.35899999999999999</v>
      </c>
      <c r="U805" s="6" t="s">
        <v>1675</v>
      </c>
      <c r="V805" s="134">
        <v>2.4E-2</v>
      </c>
      <c r="W805" s="132">
        <v>2.7359999999999999E-2</v>
      </c>
      <c r="X805" s="3" t="s">
        <v>620</v>
      </c>
      <c r="Y805" s="3" t="s">
        <v>62</v>
      </c>
      <c r="Z805" s="131">
        <v>2502.61</v>
      </c>
      <c r="AA805" s="129">
        <v>1</v>
      </c>
      <c r="AB805" s="157">
        <v>117.52</v>
      </c>
      <c r="AD805" s="131">
        <v>2.9409999999999998</v>
      </c>
      <c r="AG805" s="6" t="s">
        <v>17</v>
      </c>
      <c r="AH805" s="132">
        <v>7.4999999999999993E-5</v>
      </c>
      <c r="AI805" s="132">
        <v>1.5908772447289699E-4</v>
      </c>
      <c r="AJ805" s="132">
        <v>3.3691461730828803E-5</v>
      </c>
    </row>
    <row r="806" spans="1:36" x14ac:dyDescent="0.2">
      <c r="A806" s="6">
        <v>559</v>
      </c>
      <c r="B806" s="6">
        <v>7206</v>
      </c>
      <c r="C806" s="6" t="s">
        <v>1676</v>
      </c>
      <c r="D806" s="6" t="s">
        <v>1677</v>
      </c>
      <c r="E806" s="3" t="s">
        <v>1477</v>
      </c>
      <c r="F806" s="6" t="s">
        <v>1678</v>
      </c>
      <c r="G806" s="6" t="s">
        <v>1679</v>
      </c>
      <c r="H806" s="6" t="s">
        <v>76</v>
      </c>
      <c r="I806" s="6" t="s">
        <v>230</v>
      </c>
      <c r="J806" s="6" t="s">
        <v>53</v>
      </c>
      <c r="K806" s="6" t="s">
        <v>53</v>
      </c>
      <c r="L806" s="6" t="s">
        <v>805</v>
      </c>
      <c r="M806" s="6" t="s">
        <v>311</v>
      </c>
      <c r="N806" s="6" t="s">
        <v>156</v>
      </c>
      <c r="O806" s="6" t="s">
        <v>62</v>
      </c>
      <c r="P806" s="6" t="s">
        <v>1493</v>
      </c>
      <c r="Q806" s="6" t="s">
        <v>65</v>
      </c>
      <c r="R806" s="6" t="s">
        <v>57</v>
      </c>
      <c r="S806" s="6" t="s">
        <v>1219</v>
      </c>
      <c r="T806" s="131">
        <v>0.247</v>
      </c>
      <c r="U806" s="6" t="s">
        <v>1680</v>
      </c>
      <c r="V806" s="134">
        <v>4.7E-2</v>
      </c>
      <c r="W806" s="132">
        <v>7.2179999999999994E-2</v>
      </c>
      <c r="X806" s="3" t="s">
        <v>620</v>
      </c>
      <c r="Y806" s="3" t="s">
        <v>62</v>
      </c>
      <c r="Z806" s="131">
        <v>37500.33</v>
      </c>
      <c r="AA806" s="129">
        <v>1</v>
      </c>
      <c r="AB806" s="157">
        <v>93.14</v>
      </c>
      <c r="AD806" s="131">
        <v>34.927999999999997</v>
      </c>
      <c r="AG806" s="6" t="s">
        <v>17</v>
      </c>
      <c r="AH806" s="132">
        <v>1.5300000000000001E-4</v>
      </c>
      <c r="AI806" s="132">
        <v>1.88930917934075E-3</v>
      </c>
      <c r="AJ806" s="132">
        <v>4.0011627625176702E-4</v>
      </c>
    </row>
    <row r="807" spans="1:36" x14ac:dyDescent="0.2">
      <c r="A807" s="6">
        <v>559</v>
      </c>
      <c r="B807" s="6">
        <v>7206</v>
      </c>
      <c r="C807" s="6" t="s">
        <v>1681</v>
      </c>
      <c r="D807" s="6" t="s">
        <v>1682</v>
      </c>
      <c r="E807" s="3" t="s">
        <v>1477</v>
      </c>
      <c r="F807" s="6" t="s">
        <v>1683</v>
      </c>
      <c r="G807" s="6" t="s">
        <v>1684</v>
      </c>
      <c r="H807" s="6" t="s">
        <v>76</v>
      </c>
      <c r="I807" s="6" t="s">
        <v>229</v>
      </c>
      <c r="J807" s="6" t="s">
        <v>53</v>
      </c>
      <c r="K807" s="6" t="s">
        <v>53</v>
      </c>
      <c r="L807" s="6" t="s">
        <v>805</v>
      </c>
      <c r="M807" s="6" t="s">
        <v>311</v>
      </c>
      <c r="N807" s="6" t="s">
        <v>260</v>
      </c>
      <c r="O807" s="6" t="s">
        <v>62</v>
      </c>
      <c r="P807" s="6" t="s">
        <v>1533</v>
      </c>
      <c r="Q807" s="6" t="s">
        <v>65</v>
      </c>
      <c r="R807" s="6" t="s">
        <v>57</v>
      </c>
      <c r="S807" s="6" t="s">
        <v>1219</v>
      </c>
      <c r="T807" s="131">
        <v>0.41599999999999998</v>
      </c>
      <c r="U807" s="6" t="s">
        <v>1685</v>
      </c>
      <c r="V807" s="134">
        <v>2.1999999999999999E-2</v>
      </c>
      <c r="W807" s="132">
        <v>1.949E-2</v>
      </c>
      <c r="X807" s="3" t="s">
        <v>620</v>
      </c>
      <c r="Y807" s="3" t="s">
        <v>62</v>
      </c>
      <c r="Z807" s="131">
        <v>33000</v>
      </c>
      <c r="AA807" s="129">
        <v>1</v>
      </c>
      <c r="AB807" s="157">
        <v>117.6</v>
      </c>
      <c r="AD807" s="131">
        <v>38.808</v>
      </c>
      <c r="AG807" s="6" t="s">
        <v>17</v>
      </c>
      <c r="AH807" s="132">
        <v>1.25E-4</v>
      </c>
      <c r="AI807" s="132">
        <v>2.0991959177954398E-3</v>
      </c>
      <c r="AJ807" s="132">
        <v>4.4456590955869898E-4</v>
      </c>
    </row>
    <row r="808" spans="1:36" x14ac:dyDescent="0.2">
      <c r="A808" s="6">
        <v>559</v>
      </c>
      <c r="B808" s="6">
        <v>7206</v>
      </c>
      <c r="C808" s="6" t="s">
        <v>1681</v>
      </c>
      <c r="D808" s="6" t="s">
        <v>1682</v>
      </c>
      <c r="E808" s="3" t="s">
        <v>1477</v>
      </c>
      <c r="F808" s="6" t="s">
        <v>1686</v>
      </c>
      <c r="G808" s="6" t="s">
        <v>1687</v>
      </c>
      <c r="H808" s="6" t="s">
        <v>76</v>
      </c>
      <c r="I808" s="6" t="s">
        <v>228</v>
      </c>
      <c r="J808" s="6" t="s">
        <v>53</v>
      </c>
      <c r="K808" s="6" t="s">
        <v>53</v>
      </c>
      <c r="L808" s="6" t="s">
        <v>805</v>
      </c>
      <c r="M808" s="6" t="s">
        <v>311</v>
      </c>
      <c r="N808" s="6" t="s">
        <v>260</v>
      </c>
      <c r="O808" s="6" t="s">
        <v>62</v>
      </c>
      <c r="P808" s="6" t="s">
        <v>1533</v>
      </c>
      <c r="Q808" s="6" t="s">
        <v>65</v>
      </c>
      <c r="R808" s="6" t="s">
        <v>57</v>
      </c>
      <c r="S808" s="6" t="s">
        <v>1219</v>
      </c>
      <c r="T808" s="131">
        <v>0.41599999999999998</v>
      </c>
      <c r="U808" s="6" t="s">
        <v>1685</v>
      </c>
      <c r="V808" s="134">
        <v>3.6499999999999998E-2</v>
      </c>
      <c r="W808" s="132">
        <v>4.514E-2</v>
      </c>
      <c r="X808" s="3" t="s">
        <v>620</v>
      </c>
      <c r="Y808" s="3" t="s">
        <v>62</v>
      </c>
      <c r="Z808" s="131">
        <v>149000</v>
      </c>
      <c r="AA808" s="129">
        <v>1</v>
      </c>
      <c r="AB808" s="157">
        <v>99.97</v>
      </c>
      <c r="AD808" s="131">
        <v>148.95500000000001</v>
      </c>
      <c r="AG808" s="6" t="s">
        <v>17</v>
      </c>
      <c r="AH808" s="132">
        <v>2.7999999999999998E-4</v>
      </c>
      <c r="AI808" s="132">
        <v>8.0572654528446499E-3</v>
      </c>
      <c r="AJ808" s="132">
        <v>1.7063607613917E-3</v>
      </c>
    </row>
    <row r="809" spans="1:36" x14ac:dyDescent="0.2">
      <c r="A809" s="6">
        <v>559</v>
      </c>
      <c r="B809" s="6">
        <v>7206</v>
      </c>
      <c r="C809" s="6" t="s">
        <v>1688</v>
      </c>
      <c r="D809" s="6" t="s">
        <v>1689</v>
      </c>
      <c r="E809" s="3" t="s">
        <v>1477</v>
      </c>
      <c r="F809" s="6" t="s">
        <v>1690</v>
      </c>
      <c r="G809" s="6" t="s">
        <v>1691</v>
      </c>
      <c r="H809" s="6" t="s">
        <v>76</v>
      </c>
      <c r="I809" s="6" t="s">
        <v>229</v>
      </c>
      <c r="J809" s="6" t="s">
        <v>53</v>
      </c>
      <c r="K809" s="6" t="s">
        <v>53</v>
      </c>
      <c r="L809" s="6" t="s">
        <v>805</v>
      </c>
      <c r="M809" s="6" t="s">
        <v>311</v>
      </c>
      <c r="N809" s="6" t="s">
        <v>635</v>
      </c>
      <c r="O809" s="6" t="s">
        <v>62</v>
      </c>
      <c r="P809" s="6" t="s">
        <v>1533</v>
      </c>
      <c r="Q809" s="6" t="s">
        <v>65</v>
      </c>
      <c r="R809" s="6" t="s">
        <v>57</v>
      </c>
      <c r="S809" s="6" t="s">
        <v>1219</v>
      </c>
      <c r="T809" s="131">
        <v>2.94</v>
      </c>
      <c r="U809" s="6" t="s">
        <v>1692</v>
      </c>
      <c r="V809" s="134">
        <v>7.7999999999999996E-3</v>
      </c>
      <c r="W809" s="132">
        <v>2.6079999999999999E-2</v>
      </c>
      <c r="X809" s="3" t="s">
        <v>620</v>
      </c>
      <c r="Y809" s="3" t="s">
        <v>62</v>
      </c>
      <c r="Z809" s="131">
        <v>25000</v>
      </c>
      <c r="AA809" s="129">
        <v>1</v>
      </c>
      <c r="AB809" s="157">
        <v>110.24</v>
      </c>
      <c r="AD809" s="131">
        <v>27.56</v>
      </c>
      <c r="AG809" s="6" t="s">
        <v>17</v>
      </c>
      <c r="AH809" s="132">
        <v>4.3000000000000002E-5</v>
      </c>
      <c r="AI809" s="132">
        <v>1.49077096202954E-3</v>
      </c>
      <c r="AJ809" s="132">
        <v>3.1571419468763502E-4</v>
      </c>
    </row>
    <row r="810" spans="1:36" x14ac:dyDescent="0.2">
      <c r="A810" s="6">
        <v>559</v>
      </c>
      <c r="B810" s="6">
        <v>7206</v>
      </c>
      <c r="C810" s="6" t="s">
        <v>1688</v>
      </c>
      <c r="D810" s="6" t="s">
        <v>1689</v>
      </c>
      <c r="E810" s="3" t="s">
        <v>1477</v>
      </c>
      <c r="F810" s="6" t="s">
        <v>1693</v>
      </c>
      <c r="G810" s="6" t="s">
        <v>1694</v>
      </c>
      <c r="H810" s="6" t="s">
        <v>76</v>
      </c>
      <c r="I810" s="6" t="s">
        <v>229</v>
      </c>
      <c r="J810" s="6" t="s">
        <v>53</v>
      </c>
      <c r="K810" s="6" t="s">
        <v>53</v>
      </c>
      <c r="L810" s="6" t="s">
        <v>805</v>
      </c>
      <c r="M810" s="6" t="s">
        <v>311</v>
      </c>
      <c r="N810" s="6" t="s">
        <v>635</v>
      </c>
      <c r="O810" s="6" t="s">
        <v>62</v>
      </c>
      <c r="P810" s="6" t="s">
        <v>1533</v>
      </c>
      <c r="Q810" s="6" t="s">
        <v>65</v>
      </c>
      <c r="R810" s="6" t="s">
        <v>57</v>
      </c>
      <c r="S810" s="6" t="s">
        <v>1219</v>
      </c>
      <c r="T810" s="131">
        <v>0.77500000000000002</v>
      </c>
      <c r="U810" s="6" t="s">
        <v>1695</v>
      </c>
      <c r="V810" s="134">
        <v>1.34E-2</v>
      </c>
      <c r="W810" s="132">
        <v>3.2250000000000001E-2</v>
      </c>
      <c r="X810" s="3" t="s">
        <v>620</v>
      </c>
      <c r="Y810" s="3" t="s">
        <v>62</v>
      </c>
      <c r="Z810" s="131">
        <v>177763.55</v>
      </c>
      <c r="AA810" s="129">
        <v>1</v>
      </c>
      <c r="AB810" s="157">
        <v>116.88</v>
      </c>
      <c r="AD810" s="131">
        <v>207.77</v>
      </c>
      <c r="AG810" s="6" t="s">
        <v>17</v>
      </c>
      <c r="AH810" s="132">
        <v>3.9399999999999998E-4</v>
      </c>
      <c r="AI810" s="132">
        <v>1.12386624926411E-2</v>
      </c>
      <c r="AJ810" s="132">
        <v>2.3801142956257799E-3</v>
      </c>
    </row>
    <row r="811" spans="1:36" x14ac:dyDescent="0.2">
      <c r="A811" s="6">
        <v>559</v>
      </c>
      <c r="B811" s="6">
        <v>7206</v>
      </c>
      <c r="C811" s="6" t="s">
        <v>1688</v>
      </c>
      <c r="D811" s="6" t="s">
        <v>1689</v>
      </c>
      <c r="E811" s="3" t="s">
        <v>1477</v>
      </c>
      <c r="F811" s="6" t="s">
        <v>1696</v>
      </c>
      <c r="G811" s="6" t="s">
        <v>1697</v>
      </c>
      <c r="H811" s="6" t="s">
        <v>76</v>
      </c>
      <c r="I811" s="6" t="s">
        <v>229</v>
      </c>
      <c r="J811" s="6" t="s">
        <v>53</v>
      </c>
      <c r="K811" s="6" t="s">
        <v>53</v>
      </c>
      <c r="L811" s="6" t="s">
        <v>805</v>
      </c>
      <c r="M811" s="6" t="s">
        <v>311</v>
      </c>
      <c r="N811" s="6" t="s">
        <v>635</v>
      </c>
      <c r="O811" s="6" t="s">
        <v>62</v>
      </c>
      <c r="P811" s="6" t="s">
        <v>1533</v>
      </c>
      <c r="Q811" s="6" t="s">
        <v>65</v>
      </c>
      <c r="R811" s="6" t="s">
        <v>57</v>
      </c>
      <c r="S811" s="6" t="s">
        <v>1219</v>
      </c>
      <c r="T811" s="131">
        <v>4.7249999999999996</v>
      </c>
      <c r="U811" s="6" t="s">
        <v>1698</v>
      </c>
      <c r="V811" s="134">
        <v>2.5999999999999999E-2</v>
      </c>
      <c r="W811" s="132">
        <v>2.8320000000000001E-2</v>
      </c>
      <c r="X811" s="3" t="s">
        <v>620</v>
      </c>
      <c r="Y811" s="3" t="s">
        <v>62</v>
      </c>
      <c r="Z811" s="131">
        <v>54000</v>
      </c>
      <c r="AA811" s="129">
        <v>1</v>
      </c>
      <c r="AB811" s="157">
        <v>104</v>
      </c>
      <c r="AC811" s="131">
        <v>0.73699999999999999</v>
      </c>
      <c r="AD811" s="131">
        <v>56.896999999999998</v>
      </c>
      <c r="AG811" s="6" t="s">
        <v>17</v>
      </c>
      <c r="AH811" s="132">
        <v>1.01E-4</v>
      </c>
      <c r="AI811" s="132">
        <v>3.0776874554981001E-3</v>
      </c>
      <c r="AJ811" s="132">
        <v>6.5179000749383202E-4</v>
      </c>
    </row>
    <row r="812" spans="1:36" x14ac:dyDescent="0.2">
      <c r="A812" s="6">
        <v>559</v>
      </c>
      <c r="B812" s="6">
        <v>7206</v>
      </c>
      <c r="C812" s="6" t="s">
        <v>1688</v>
      </c>
      <c r="D812" s="6" t="s">
        <v>1689</v>
      </c>
      <c r="E812" s="3" t="s">
        <v>1477</v>
      </c>
      <c r="F812" s="6" t="s">
        <v>1699</v>
      </c>
      <c r="G812" s="6" t="s">
        <v>1700</v>
      </c>
      <c r="H812" s="6" t="s">
        <v>76</v>
      </c>
      <c r="I812" s="6" t="s">
        <v>229</v>
      </c>
      <c r="J812" s="6" t="s">
        <v>53</v>
      </c>
      <c r="K812" s="6" t="s">
        <v>53</v>
      </c>
      <c r="L812" s="6" t="s">
        <v>805</v>
      </c>
      <c r="M812" s="6" t="s">
        <v>311</v>
      </c>
      <c r="N812" s="6" t="s">
        <v>635</v>
      </c>
      <c r="O812" s="6" t="s">
        <v>62</v>
      </c>
      <c r="P812" s="6" t="s">
        <v>1533</v>
      </c>
      <c r="Q812" s="6" t="s">
        <v>65</v>
      </c>
      <c r="R812" s="6" t="s">
        <v>57</v>
      </c>
      <c r="S812" s="6" t="s">
        <v>1219</v>
      </c>
      <c r="T812" s="131">
        <v>0.41399999999999998</v>
      </c>
      <c r="U812" s="6" t="s">
        <v>1273</v>
      </c>
      <c r="V812" s="134">
        <v>2E-3</v>
      </c>
      <c r="W812" s="132">
        <v>1.916E-2</v>
      </c>
      <c r="X812" s="3" t="s">
        <v>620</v>
      </c>
      <c r="Y812" s="3" t="s">
        <v>62</v>
      </c>
      <c r="Z812" s="131">
        <v>193857.35</v>
      </c>
      <c r="AA812" s="129">
        <v>1</v>
      </c>
      <c r="AB812" s="157">
        <v>115.09</v>
      </c>
      <c r="AD812" s="131">
        <v>223.11</v>
      </c>
      <c r="AG812" s="6" t="s">
        <v>17</v>
      </c>
      <c r="AH812" s="132">
        <v>6.4599999999999998E-4</v>
      </c>
      <c r="AI812" s="132">
        <v>1.2068452162436001E-2</v>
      </c>
      <c r="AJ812" s="132">
        <v>2.5558464396184298E-3</v>
      </c>
    </row>
    <row r="813" spans="1:36" x14ac:dyDescent="0.2">
      <c r="A813" s="6">
        <v>559</v>
      </c>
      <c r="B813" s="6">
        <v>7206</v>
      </c>
      <c r="C813" s="6" t="s">
        <v>1701</v>
      </c>
      <c r="D813" s="6" t="s">
        <v>1702</v>
      </c>
      <c r="E813" s="3" t="s">
        <v>1477</v>
      </c>
      <c r="F813" s="6" t="s">
        <v>1703</v>
      </c>
      <c r="G813" s="6" t="s">
        <v>1704</v>
      </c>
      <c r="H813" s="6" t="s">
        <v>76</v>
      </c>
      <c r="I813" s="6" t="s">
        <v>229</v>
      </c>
      <c r="J813" s="6" t="s">
        <v>53</v>
      </c>
      <c r="K813" s="6" t="s">
        <v>53</v>
      </c>
      <c r="L813" s="6" t="s">
        <v>805</v>
      </c>
      <c r="M813" s="6" t="s">
        <v>311</v>
      </c>
      <c r="N813" s="6" t="s">
        <v>256</v>
      </c>
      <c r="O813" s="6" t="s">
        <v>62</v>
      </c>
      <c r="P813" s="6" t="s">
        <v>1213</v>
      </c>
      <c r="Q813" s="6" t="s">
        <v>65</v>
      </c>
      <c r="R813" s="6" t="s">
        <v>57</v>
      </c>
      <c r="S813" s="6" t="s">
        <v>1219</v>
      </c>
      <c r="T813" s="131">
        <v>0.192</v>
      </c>
      <c r="U813" s="6" t="s">
        <v>1705</v>
      </c>
      <c r="V813" s="134">
        <v>1E-3</v>
      </c>
      <c r="W813" s="132">
        <v>2.2579999999999999E-2</v>
      </c>
      <c r="X813" s="3" t="s">
        <v>620</v>
      </c>
      <c r="Y813" s="3" t="s">
        <v>62</v>
      </c>
      <c r="Z813" s="131">
        <v>292000</v>
      </c>
      <c r="AA813" s="129">
        <v>1</v>
      </c>
      <c r="AB813" s="157">
        <v>115.96</v>
      </c>
      <c r="AD813" s="131">
        <v>338.60300000000001</v>
      </c>
      <c r="AG813" s="6" t="s">
        <v>17</v>
      </c>
      <c r="AH813" s="132">
        <v>1.95E-4</v>
      </c>
      <c r="AI813" s="132">
        <v>1.8315668295002901E-2</v>
      </c>
      <c r="AJ813" s="132">
        <v>3.8788765096754801E-3</v>
      </c>
    </row>
    <row r="814" spans="1:36" x14ac:dyDescent="0.2">
      <c r="A814" s="6">
        <v>559</v>
      </c>
      <c r="B814" s="6">
        <v>7206</v>
      </c>
      <c r="C814" s="6" t="s">
        <v>1701</v>
      </c>
      <c r="D814" s="6" t="s">
        <v>1702</v>
      </c>
      <c r="E814" s="3" t="s">
        <v>1477</v>
      </c>
      <c r="F814" s="6" t="s">
        <v>1706</v>
      </c>
      <c r="G814" s="6" t="s">
        <v>1707</v>
      </c>
      <c r="H814" s="6" t="s">
        <v>76</v>
      </c>
      <c r="I814" s="6" t="s">
        <v>229</v>
      </c>
      <c r="J814" s="6" t="s">
        <v>53</v>
      </c>
      <c r="K814" s="6" t="s">
        <v>53</v>
      </c>
      <c r="L814" s="6" t="s">
        <v>805</v>
      </c>
      <c r="M814" s="6" t="s">
        <v>311</v>
      </c>
      <c r="N814" s="6" t="s">
        <v>256</v>
      </c>
      <c r="O814" s="6" t="s">
        <v>62</v>
      </c>
      <c r="P814" s="6" t="s">
        <v>1213</v>
      </c>
      <c r="Q814" s="6" t="s">
        <v>65</v>
      </c>
      <c r="R814" s="6" t="s">
        <v>57</v>
      </c>
      <c r="S814" s="6" t="s">
        <v>1219</v>
      </c>
      <c r="T814" s="131">
        <v>1.415</v>
      </c>
      <c r="U814" s="6" t="s">
        <v>1708</v>
      </c>
      <c r="V814" s="134">
        <v>1E-3</v>
      </c>
      <c r="W814" s="132">
        <v>2.563E-2</v>
      </c>
      <c r="X814" s="3" t="s">
        <v>620</v>
      </c>
      <c r="Y814" s="3" t="s">
        <v>62</v>
      </c>
      <c r="Z814" s="131">
        <v>126000</v>
      </c>
      <c r="AA814" s="129">
        <v>1</v>
      </c>
      <c r="AB814" s="157">
        <v>110.36</v>
      </c>
      <c r="AD814" s="131">
        <v>139.054</v>
      </c>
      <c r="AG814" s="6" t="s">
        <v>17</v>
      </c>
      <c r="AH814" s="132">
        <v>2.7E-4</v>
      </c>
      <c r="AI814" s="132">
        <v>7.52166433402289E-3</v>
      </c>
      <c r="AJ814" s="132">
        <v>1.5929316161979901E-3</v>
      </c>
    </row>
    <row r="815" spans="1:36" x14ac:dyDescent="0.2">
      <c r="A815" s="6">
        <v>559</v>
      </c>
      <c r="B815" s="6">
        <v>7206</v>
      </c>
      <c r="C815" s="6" t="s">
        <v>1709</v>
      </c>
      <c r="D815" s="6" t="s">
        <v>1710</v>
      </c>
      <c r="E815" s="3" t="s">
        <v>1477</v>
      </c>
      <c r="F815" s="6" t="s">
        <v>1711</v>
      </c>
      <c r="G815" s="6" t="s">
        <v>1712</v>
      </c>
      <c r="H815" s="6" t="s">
        <v>76</v>
      </c>
      <c r="I815" s="6" t="s">
        <v>228</v>
      </c>
      <c r="J815" s="6" t="s">
        <v>53</v>
      </c>
      <c r="K815" s="6" t="s">
        <v>53</v>
      </c>
      <c r="L815" s="6" t="s">
        <v>805</v>
      </c>
      <c r="M815" s="6" t="s">
        <v>311</v>
      </c>
      <c r="N815" s="6" t="s">
        <v>263</v>
      </c>
      <c r="O815" s="6" t="s">
        <v>62</v>
      </c>
      <c r="P815" s="6" t="s">
        <v>298</v>
      </c>
      <c r="Q815" s="6" t="s">
        <v>298</v>
      </c>
      <c r="R815" s="6" t="s">
        <v>298</v>
      </c>
      <c r="S815" s="6" t="s">
        <v>1219</v>
      </c>
      <c r="T815" s="131">
        <v>3.1269999999999998</v>
      </c>
      <c r="U815" s="6" t="s">
        <v>1713</v>
      </c>
      <c r="V815" s="134">
        <v>7.5800000000000006E-2</v>
      </c>
      <c r="W815" s="132">
        <v>5.926E-2</v>
      </c>
      <c r="X815" s="3" t="s">
        <v>620</v>
      </c>
      <c r="Y815" s="3" t="s">
        <v>62</v>
      </c>
      <c r="Z815" s="131">
        <v>25000</v>
      </c>
      <c r="AA815" s="129">
        <v>1</v>
      </c>
      <c r="AB815" s="157">
        <v>105.4</v>
      </c>
      <c r="AD815" s="131">
        <v>26.35</v>
      </c>
      <c r="AG815" s="6" t="s">
        <v>17</v>
      </c>
      <c r="AH815" s="132">
        <v>4.8099999999999998E-4</v>
      </c>
      <c r="AI815" s="132">
        <v>1.42531984214363E-3</v>
      </c>
      <c r="AJ815" s="132">
        <v>3.0185301270026102E-4</v>
      </c>
    </row>
    <row r="816" spans="1:36" x14ac:dyDescent="0.2">
      <c r="A816" s="6">
        <v>559</v>
      </c>
      <c r="B816" s="6">
        <v>7206</v>
      </c>
      <c r="C816" s="6" t="s">
        <v>1719</v>
      </c>
      <c r="D816" s="6" t="s">
        <v>1720</v>
      </c>
      <c r="E816" s="3" t="s">
        <v>1477</v>
      </c>
      <c r="F816" s="6" t="s">
        <v>1721</v>
      </c>
      <c r="G816" s="6" t="s">
        <v>1722</v>
      </c>
      <c r="H816" s="6" t="s">
        <v>76</v>
      </c>
      <c r="I816" s="6" t="s">
        <v>228</v>
      </c>
      <c r="J816" s="6" t="s">
        <v>53</v>
      </c>
      <c r="K816" s="6" t="s">
        <v>53</v>
      </c>
      <c r="L816" s="6" t="s">
        <v>805</v>
      </c>
      <c r="M816" s="6" t="s">
        <v>311</v>
      </c>
      <c r="N816" s="6" t="s">
        <v>140</v>
      </c>
      <c r="O816" s="6" t="s">
        <v>62</v>
      </c>
      <c r="P816" s="6" t="s">
        <v>298</v>
      </c>
      <c r="Q816" s="6" t="s">
        <v>298</v>
      </c>
      <c r="R816" s="6" t="s">
        <v>298</v>
      </c>
      <c r="S816" s="6" t="s">
        <v>1219</v>
      </c>
      <c r="T816" s="131">
        <v>0.98499999999999999</v>
      </c>
      <c r="U816" s="6" t="s">
        <v>1595</v>
      </c>
      <c r="V816" s="134">
        <v>3.8699999999999998E-2</v>
      </c>
      <c r="W816" s="132">
        <v>4.9630000000000001E-2</v>
      </c>
      <c r="X816" s="3" t="s">
        <v>620</v>
      </c>
      <c r="Y816" s="3" t="s">
        <v>62</v>
      </c>
      <c r="Z816" s="131">
        <v>115000.38</v>
      </c>
      <c r="AA816" s="129">
        <v>1</v>
      </c>
      <c r="AB816" s="157">
        <v>99.03</v>
      </c>
      <c r="AD816" s="131">
        <v>113.88500000000001</v>
      </c>
      <c r="AG816" s="6" t="s">
        <v>17</v>
      </c>
      <c r="AH816" s="132">
        <v>3.6099999999999999E-4</v>
      </c>
      <c r="AI816" s="132">
        <v>6.1602418948924799E-3</v>
      </c>
      <c r="AJ816" s="132">
        <v>1.30461074065949E-3</v>
      </c>
    </row>
    <row r="817" spans="1:36" x14ac:dyDescent="0.2">
      <c r="A817" s="6">
        <v>559</v>
      </c>
      <c r="B817" s="6">
        <v>7206</v>
      </c>
      <c r="C817" s="6" t="s">
        <v>1723</v>
      </c>
      <c r="D817" s="6" t="s">
        <v>1724</v>
      </c>
      <c r="E817" s="3" t="s">
        <v>1477</v>
      </c>
      <c r="F817" s="6" t="s">
        <v>1725</v>
      </c>
      <c r="G817" s="6" t="s">
        <v>1726</v>
      </c>
      <c r="H817" s="6" t="s">
        <v>76</v>
      </c>
      <c r="I817" s="6" t="s">
        <v>229</v>
      </c>
      <c r="J817" s="6" t="s">
        <v>53</v>
      </c>
      <c r="K817" s="6" t="s">
        <v>53</v>
      </c>
      <c r="L817" s="6" t="s">
        <v>805</v>
      </c>
      <c r="M817" s="6" t="s">
        <v>102</v>
      </c>
      <c r="N817" s="6" t="s">
        <v>636</v>
      </c>
      <c r="O817" s="6" t="s">
        <v>62</v>
      </c>
      <c r="P817" s="6" t="s">
        <v>1515</v>
      </c>
      <c r="Q817" s="6" t="s">
        <v>65</v>
      </c>
      <c r="R817" s="6" t="s">
        <v>57</v>
      </c>
      <c r="S817" s="6" t="s">
        <v>1219</v>
      </c>
      <c r="T817" s="131">
        <v>2.8919999999999999</v>
      </c>
      <c r="U817" s="6" t="s">
        <v>1569</v>
      </c>
      <c r="V817" s="134">
        <v>1.7500000000000002E-2</v>
      </c>
      <c r="W817" s="132">
        <v>5.1749999999999997E-2</v>
      </c>
      <c r="X817" s="3" t="s">
        <v>620</v>
      </c>
      <c r="Y817" s="3" t="s">
        <v>62</v>
      </c>
      <c r="Z817" s="131">
        <v>45000</v>
      </c>
      <c r="AA817" s="129">
        <v>1</v>
      </c>
      <c r="AB817" s="157">
        <v>106.47799999999999</v>
      </c>
      <c r="AD817" s="131">
        <v>47.914999999999999</v>
      </c>
      <c r="AG817" s="6" t="s">
        <v>17</v>
      </c>
      <c r="AH817" s="132">
        <v>0</v>
      </c>
      <c r="AI817" s="132">
        <v>2.5918224171146901E-3</v>
      </c>
      <c r="AJ817" s="132">
        <v>5.4889392672280305E-4</v>
      </c>
    </row>
    <row r="818" spans="1:36" x14ac:dyDescent="0.2">
      <c r="A818" s="6">
        <v>559</v>
      </c>
      <c r="B818" s="6">
        <v>7206</v>
      </c>
      <c r="C818" s="6" t="s">
        <v>1723</v>
      </c>
      <c r="D818" s="6" t="s">
        <v>1724</v>
      </c>
      <c r="E818" s="3" t="s">
        <v>1477</v>
      </c>
      <c r="F818" s="6" t="s">
        <v>1727</v>
      </c>
      <c r="G818" s="6" t="s">
        <v>1728</v>
      </c>
      <c r="H818" s="6" t="s">
        <v>76</v>
      </c>
      <c r="I818" s="6" t="s">
        <v>229</v>
      </c>
      <c r="J818" s="6" t="s">
        <v>53</v>
      </c>
      <c r="K818" s="6" t="s">
        <v>317</v>
      </c>
      <c r="L818" s="6" t="s">
        <v>805</v>
      </c>
      <c r="M818" s="6" t="s">
        <v>311</v>
      </c>
      <c r="N818" s="6" t="s">
        <v>636</v>
      </c>
      <c r="O818" s="6" t="s">
        <v>62</v>
      </c>
      <c r="P818" s="6" t="s">
        <v>1515</v>
      </c>
      <c r="Q818" s="6" t="s">
        <v>65</v>
      </c>
      <c r="R818" s="6" t="s">
        <v>57</v>
      </c>
      <c r="S818" s="6" t="s">
        <v>1219</v>
      </c>
      <c r="T818" s="131">
        <v>2.4929999999999999</v>
      </c>
      <c r="U818" s="6" t="s">
        <v>1544</v>
      </c>
      <c r="V818" s="134">
        <v>3.2800000000000003E-2</v>
      </c>
      <c r="W818" s="132">
        <v>4.3709999999999999E-2</v>
      </c>
      <c r="X818" s="3" t="s">
        <v>620</v>
      </c>
      <c r="Y818" s="3" t="s">
        <v>62</v>
      </c>
      <c r="Z818" s="131">
        <v>12000</v>
      </c>
      <c r="AA818" s="129">
        <v>1</v>
      </c>
      <c r="AB818" s="157">
        <v>115.58</v>
      </c>
      <c r="AD818" s="131">
        <v>13.87</v>
      </c>
      <c r="AG818" s="6" t="s">
        <v>17</v>
      </c>
      <c r="AH818" s="132">
        <v>1.1E-5</v>
      </c>
      <c r="AI818" s="132">
        <v>7.5023210939640403E-4</v>
      </c>
      <c r="AJ818" s="132">
        <v>1.5888351214222201E-4</v>
      </c>
    </row>
    <row r="819" spans="1:36" x14ac:dyDescent="0.2">
      <c r="A819" s="6">
        <v>559</v>
      </c>
      <c r="B819" s="6">
        <v>7206</v>
      </c>
      <c r="C819" s="6" t="s">
        <v>1723</v>
      </c>
      <c r="D819" s="6" t="s">
        <v>1724</v>
      </c>
      <c r="E819" s="3" t="s">
        <v>1477</v>
      </c>
      <c r="F819" s="6" t="s">
        <v>1729</v>
      </c>
      <c r="G819" s="6" t="s">
        <v>1730</v>
      </c>
      <c r="H819" s="6" t="s">
        <v>76</v>
      </c>
      <c r="I819" s="6" t="s">
        <v>607</v>
      </c>
      <c r="J819" s="6" t="s">
        <v>53</v>
      </c>
      <c r="K819" s="6" t="s">
        <v>317</v>
      </c>
      <c r="L819" s="6" t="s">
        <v>805</v>
      </c>
      <c r="M819" s="6" t="s">
        <v>311</v>
      </c>
      <c r="N819" s="6" t="s">
        <v>636</v>
      </c>
      <c r="O819" s="6" t="s">
        <v>62</v>
      </c>
      <c r="P819" s="6" t="s">
        <v>1515</v>
      </c>
      <c r="Q819" s="6" t="s">
        <v>65</v>
      </c>
      <c r="R819" s="6" t="s">
        <v>57</v>
      </c>
      <c r="S819" s="6" t="s">
        <v>1219</v>
      </c>
      <c r="T819" s="131">
        <v>3.7029999999999998</v>
      </c>
      <c r="U819" s="6" t="s">
        <v>1549</v>
      </c>
      <c r="V819" s="134">
        <v>5.5E-2</v>
      </c>
      <c r="W819" s="132">
        <v>4.5249999999999999E-2</v>
      </c>
      <c r="X819" s="3" t="s">
        <v>620</v>
      </c>
      <c r="Y819" s="3" t="s">
        <v>62</v>
      </c>
      <c r="Z819" s="131">
        <v>69597</v>
      </c>
      <c r="AA819" s="129">
        <v>1</v>
      </c>
      <c r="AB819" s="157">
        <v>103.5</v>
      </c>
      <c r="AD819" s="131">
        <v>72.033000000000001</v>
      </c>
      <c r="AG819" s="6" t="s">
        <v>17</v>
      </c>
      <c r="AH819" s="132">
        <v>1.35E-4</v>
      </c>
      <c r="AI819" s="132">
        <v>3.89639144328457E-3</v>
      </c>
      <c r="AJ819" s="132">
        <v>8.2517443526647295E-4</v>
      </c>
    </row>
    <row r="820" spans="1:36" x14ac:dyDescent="0.2">
      <c r="A820" s="6">
        <v>559</v>
      </c>
      <c r="B820" s="6">
        <v>7206</v>
      </c>
      <c r="C820" s="6" t="s">
        <v>1723</v>
      </c>
      <c r="D820" s="6" t="s">
        <v>1724</v>
      </c>
      <c r="E820" s="3" t="s">
        <v>1477</v>
      </c>
      <c r="F820" s="6" t="s">
        <v>1731</v>
      </c>
      <c r="G820" s="6" t="s">
        <v>1732</v>
      </c>
      <c r="H820" s="6" t="s">
        <v>76</v>
      </c>
      <c r="I820" s="6" t="s">
        <v>229</v>
      </c>
      <c r="J820" s="6" t="s">
        <v>53</v>
      </c>
      <c r="K820" s="6" t="s">
        <v>53</v>
      </c>
      <c r="L820" s="6" t="s">
        <v>805</v>
      </c>
      <c r="M820" s="6" t="s">
        <v>102</v>
      </c>
      <c r="N820" s="6" t="s">
        <v>636</v>
      </c>
      <c r="O820" s="6" t="s">
        <v>62</v>
      </c>
      <c r="P820" s="6" t="s">
        <v>1628</v>
      </c>
      <c r="Q820" s="6" t="s">
        <v>65</v>
      </c>
      <c r="R820" s="6" t="s">
        <v>57</v>
      </c>
      <c r="S820" s="6" t="s">
        <v>1219</v>
      </c>
      <c r="T820" s="131">
        <v>2.3660000000000001</v>
      </c>
      <c r="U820" s="6" t="s">
        <v>1733</v>
      </c>
      <c r="V820" s="134">
        <v>1.3299999999999999E-2</v>
      </c>
      <c r="W820" s="132">
        <v>3.1989999999999998E-2</v>
      </c>
      <c r="X820" s="3" t="s">
        <v>620</v>
      </c>
      <c r="Y820" s="3" t="s">
        <v>62</v>
      </c>
      <c r="Z820" s="131">
        <v>40000</v>
      </c>
      <c r="AA820" s="129">
        <v>1</v>
      </c>
      <c r="AB820" s="157">
        <v>112.72499999999999</v>
      </c>
      <c r="AD820" s="131">
        <v>45.09</v>
      </c>
      <c r="AG820" s="6" t="s">
        <v>17</v>
      </c>
      <c r="AH820" s="132">
        <v>0</v>
      </c>
      <c r="AI820" s="132">
        <v>2.4389993039573002E-3</v>
      </c>
      <c r="AJ820" s="132">
        <v>5.1652917899894398E-4</v>
      </c>
    </row>
    <row r="821" spans="1:36" x14ac:dyDescent="0.2">
      <c r="A821" s="6">
        <v>559</v>
      </c>
      <c r="B821" s="6">
        <v>7206</v>
      </c>
      <c r="C821" s="6" t="s">
        <v>1723</v>
      </c>
      <c r="D821" s="6" t="s">
        <v>1724</v>
      </c>
      <c r="E821" s="3" t="s">
        <v>1477</v>
      </c>
      <c r="F821" s="6" t="s">
        <v>1734</v>
      </c>
      <c r="G821" s="6" t="s">
        <v>1735</v>
      </c>
      <c r="H821" s="6" t="s">
        <v>76</v>
      </c>
      <c r="I821" s="6" t="s">
        <v>229</v>
      </c>
      <c r="J821" s="6" t="s">
        <v>53</v>
      </c>
      <c r="K821" s="6" t="s">
        <v>53</v>
      </c>
      <c r="L821" s="6" t="s">
        <v>805</v>
      </c>
      <c r="M821" s="6" t="s">
        <v>102</v>
      </c>
      <c r="N821" s="6" t="s">
        <v>636</v>
      </c>
      <c r="O821" s="6" t="s">
        <v>62</v>
      </c>
      <c r="P821" s="6" t="s">
        <v>1628</v>
      </c>
      <c r="Q821" s="6" t="s">
        <v>65</v>
      </c>
      <c r="R821" s="6" t="s">
        <v>57</v>
      </c>
      <c r="S821" s="6" t="s">
        <v>1219</v>
      </c>
      <c r="T821" s="131">
        <v>4.3460000000000001</v>
      </c>
      <c r="U821" s="6" t="s">
        <v>1736</v>
      </c>
      <c r="V821" s="134">
        <v>4.24E-2</v>
      </c>
      <c r="W821" s="132">
        <v>3.3500000000000002E-2</v>
      </c>
      <c r="X821" s="3" t="s">
        <v>620</v>
      </c>
      <c r="Y821" s="3" t="s">
        <v>62</v>
      </c>
      <c r="Z821" s="131">
        <v>62000</v>
      </c>
      <c r="AA821" s="129">
        <v>1</v>
      </c>
      <c r="AB821" s="157">
        <v>108.23</v>
      </c>
      <c r="AD821" s="131">
        <v>67.102999999999994</v>
      </c>
      <c r="AG821" s="6" t="s">
        <v>17</v>
      </c>
      <c r="AH821" s="132">
        <v>9.6000000000000002E-5</v>
      </c>
      <c r="AI821" s="132">
        <v>3.6297027415342301E-3</v>
      </c>
      <c r="AJ821" s="132">
        <v>7.6869533093057104E-4</v>
      </c>
    </row>
    <row r="822" spans="1:36" x14ac:dyDescent="0.2">
      <c r="A822" s="6">
        <v>559</v>
      </c>
      <c r="B822" s="6">
        <v>7206</v>
      </c>
      <c r="C822" s="6" t="s">
        <v>1737</v>
      </c>
      <c r="D822" s="6" t="s">
        <v>1738</v>
      </c>
      <c r="E822" s="3" t="s">
        <v>1477</v>
      </c>
      <c r="F822" s="6" t="s">
        <v>1739</v>
      </c>
      <c r="G822" s="6" t="s">
        <v>1740</v>
      </c>
      <c r="H822" s="6" t="s">
        <v>76</v>
      </c>
      <c r="I822" s="6" t="s">
        <v>229</v>
      </c>
      <c r="J822" s="6" t="s">
        <v>53</v>
      </c>
      <c r="K822" s="6" t="s">
        <v>53</v>
      </c>
      <c r="L822" s="6" t="s">
        <v>805</v>
      </c>
      <c r="M822" s="6" t="s">
        <v>311</v>
      </c>
      <c r="N822" s="6" t="s">
        <v>635</v>
      </c>
      <c r="O822" s="6" t="s">
        <v>62</v>
      </c>
      <c r="P822" s="6" t="s">
        <v>1521</v>
      </c>
      <c r="Q822" s="6" t="s">
        <v>70</v>
      </c>
      <c r="R822" s="6" t="s">
        <v>57</v>
      </c>
      <c r="S822" s="6" t="s">
        <v>1219</v>
      </c>
      <c r="T822" s="131">
        <v>0.499</v>
      </c>
      <c r="U822" s="6" t="s">
        <v>1499</v>
      </c>
      <c r="V822" s="134">
        <v>2.5000000000000001E-2</v>
      </c>
      <c r="W822" s="132">
        <v>3.3689999999999998E-2</v>
      </c>
      <c r="X822" s="3" t="s">
        <v>620</v>
      </c>
      <c r="Y822" s="3" t="s">
        <v>62</v>
      </c>
      <c r="Z822" s="131">
        <v>35714.85</v>
      </c>
      <c r="AA822" s="129">
        <v>1</v>
      </c>
      <c r="AB822" s="157">
        <v>117.96</v>
      </c>
      <c r="AD822" s="131">
        <v>42.128999999999998</v>
      </c>
      <c r="AG822" s="6" t="s">
        <v>17</v>
      </c>
      <c r="AH822" s="132">
        <v>1.17E-4</v>
      </c>
      <c r="AI822" s="132">
        <v>2.2788477235670102E-3</v>
      </c>
      <c r="AJ822" s="132">
        <v>4.8261241477512299E-4</v>
      </c>
    </row>
    <row r="823" spans="1:36" x14ac:dyDescent="0.2">
      <c r="A823" s="6">
        <v>559</v>
      </c>
      <c r="B823" s="6">
        <v>7206</v>
      </c>
      <c r="C823" s="6" t="s">
        <v>1741</v>
      </c>
      <c r="D823" s="6" t="s">
        <v>1742</v>
      </c>
      <c r="E823" s="3" t="s">
        <v>1477</v>
      </c>
      <c r="F823" s="6" t="s">
        <v>1743</v>
      </c>
      <c r="G823" s="6" t="s">
        <v>1744</v>
      </c>
      <c r="H823" s="6" t="s">
        <v>76</v>
      </c>
      <c r="I823" s="6" t="s">
        <v>228</v>
      </c>
      <c r="J823" s="6" t="s">
        <v>53</v>
      </c>
      <c r="K823" s="6" t="s">
        <v>53</v>
      </c>
      <c r="L823" s="6" t="s">
        <v>805</v>
      </c>
      <c r="M823" s="6" t="s">
        <v>311</v>
      </c>
      <c r="N823" s="6" t="s">
        <v>257</v>
      </c>
      <c r="O823" s="6" t="s">
        <v>62</v>
      </c>
      <c r="P823" s="6" t="s">
        <v>1533</v>
      </c>
      <c r="Q823" s="6" t="s">
        <v>65</v>
      </c>
      <c r="R823" s="6" t="s">
        <v>57</v>
      </c>
      <c r="S823" s="6" t="s">
        <v>1219</v>
      </c>
      <c r="T823" s="131">
        <v>0.29899999999999999</v>
      </c>
      <c r="U823" s="6" t="s">
        <v>1745</v>
      </c>
      <c r="V823" s="134">
        <v>0.03</v>
      </c>
      <c r="W823" s="132">
        <v>4.761E-2</v>
      </c>
      <c r="X823" s="3" t="s">
        <v>620</v>
      </c>
      <c r="Y823" s="3" t="s">
        <v>62</v>
      </c>
      <c r="Z823" s="131">
        <v>36571.43</v>
      </c>
      <c r="AA823" s="129">
        <v>1</v>
      </c>
      <c r="AB823" s="157">
        <v>100.1</v>
      </c>
      <c r="AD823" s="131">
        <v>36.607999999999997</v>
      </c>
      <c r="AG823" s="6" t="s">
        <v>17</v>
      </c>
      <c r="AH823" s="132">
        <v>4.2299999999999998E-4</v>
      </c>
      <c r="AI823" s="132">
        <v>1.98019395899056E-3</v>
      </c>
      <c r="AJ823" s="132">
        <v>4.1936377687214302E-4</v>
      </c>
    </row>
    <row r="824" spans="1:36" x14ac:dyDescent="0.2">
      <c r="A824" s="6">
        <v>559</v>
      </c>
      <c r="B824" s="6">
        <v>7206</v>
      </c>
      <c r="C824" s="6" t="s">
        <v>1741</v>
      </c>
      <c r="D824" s="6" t="s">
        <v>1742</v>
      </c>
      <c r="E824" s="3" t="s">
        <v>1477</v>
      </c>
      <c r="F824" s="6" t="s">
        <v>1746</v>
      </c>
      <c r="G824" s="6" t="s">
        <v>1747</v>
      </c>
      <c r="H824" s="6" t="s">
        <v>76</v>
      </c>
      <c r="I824" s="6" t="s">
        <v>228</v>
      </c>
      <c r="J824" s="6" t="s">
        <v>53</v>
      </c>
      <c r="K824" s="6" t="s">
        <v>53</v>
      </c>
      <c r="L824" s="6" t="s">
        <v>805</v>
      </c>
      <c r="M824" s="6" t="s">
        <v>102</v>
      </c>
      <c r="N824" s="6" t="s">
        <v>257</v>
      </c>
      <c r="O824" s="6" t="s">
        <v>62</v>
      </c>
      <c r="P824" s="6" t="s">
        <v>1533</v>
      </c>
      <c r="Q824" s="6" t="s">
        <v>65</v>
      </c>
      <c r="R824" s="6" t="s">
        <v>57</v>
      </c>
      <c r="S824" s="6" t="s">
        <v>1219</v>
      </c>
      <c r="T824" s="131">
        <v>3.2410000000000001</v>
      </c>
      <c r="U824" s="6" t="s">
        <v>1748</v>
      </c>
      <c r="V824" s="134">
        <v>5.4600000000000003E-2</v>
      </c>
      <c r="W824" s="132">
        <v>5.6050000000000003E-2</v>
      </c>
      <c r="X824" s="3" t="s">
        <v>620</v>
      </c>
      <c r="Y824" s="3" t="s">
        <v>62</v>
      </c>
      <c r="Z824" s="131">
        <v>20000</v>
      </c>
      <c r="AA824" s="129">
        <v>1</v>
      </c>
      <c r="AB824" s="157">
        <v>99.88</v>
      </c>
      <c r="AD824" s="131">
        <v>19.975999999999999</v>
      </c>
      <c r="AG824" s="6" t="s">
        <v>17</v>
      </c>
      <c r="AH824" s="132">
        <v>6.7000000000000002E-5</v>
      </c>
      <c r="AI824" s="132">
        <v>1.08053848829833E-3</v>
      </c>
      <c r="AJ824" s="132">
        <v>2.2883551353701799E-4</v>
      </c>
    </row>
    <row r="825" spans="1:36" x14ac:dyDescent="0.2">
      <c r="A825" s="6">
        <v>559</v>
      </c>
      <c r="B825" s="6">
        <v>7206</v>
      </c>
      <c r="C825" s="6" t="s">
        <v>1749</v>
      </c>
      <c r="D825" s="6" t="s">
        <v>1750</v>
      </c>
      <c r="E825" s="3" t="s">
        <v>767</v>
      </c>
      <c r="F825" s="6" t="s">
        <v>1751</v>
      </c>
      <c r="G825" s="6" t="s">
        <v>1752</v>
      </c>
      <c r="H825" s="6" t="s">
        <v>76</v>
      </c>
      <c r="I825" s="6" t="s">
        <v>228</v>
      </c>
      <c r="J825" s="6" t="s">
        <v>53</v>
      </c>
      <c r="K825" s="6" t="s">
        <v>314</v>
      </c>
      <c r="L825" s="6" t="s">
        <v>805</v>
      </c>
      <c r="M825" s="6" t="s">
        <v>311</v>
      </c>
      <c r="N825" s="6" t="s">
        <v>636</v>
      </c>
      <c r="O825" s="6" t="s">
        <v>62</v>
      </c>
      <c r="P825" s="6" t="s">
        <v>1753</v>
      </c>
      <c r="Q825" s="6" t="s">
        <v>65</v>
      </c>
      <c r="R825" s="6" t="s">
        <v>57</v>
      </c>
      <c r="S825" s="6" t="s">
        <v>1219</v>
      </c>
      <c r="T825" s="131">
        <v>0.16400000000000001</v>
      </c>
      <c r="U825" s="6" t="s">
        <v>1270</v>
      </c>
      <c r="V825" s="134">
        <v>6.9500000000000006E-2</v>
      </c>
      <c r="W825" s="132">
        <v>1E-4</v>
      </c>
      <c r="X825" s="3" t="s">
        <v>620</v>
      </c>
      <c r="Y825" s="3" t="s">
        <v>55</v>
      </c>
      <c r="Z825" s="131">
        <v>112084.53</v>
      </c>
      <c r="AA825" s="129">
        <v>1</v>
      </c>
      <c r="AB825" s="157">
        <v>85.66</v>
      </c>
      <c r="AD825" s="131">
        <v>96.012</v>
      </c>
      <c r="AG825" s="6" t="s">
        <v>17</v>
      </c>
      <c r="AH825" s="132">
        <v>4.0499999999999998E-4</v>
      </c>
      <c r="AI825" s="132">
        <v>5.1934440427245897E-3</v>
      </c>
      <c r="AJ825" s="132">
        <v>1.09986312140926E-3</v>
      </c>
    </row>
    <row r="826" spans="1:36" x14ac:dyDescent="0.2">
      <c r="A826" s="6">
        <v>559</v>
      </c>
      <c r="B826" s="6">
        <v>7206</v>
      </c>
      <c r="C826" s="6" t="s">
        <v>1754</v>
      </c>
      <c r="D826" s="6" t="s">
        <v>1755</v>
      </c>
      <c r="E826" s="3" t="s">
        <v>78</v>
      </c>
      <c r="F826" s="6" t="s">
        <v>1756</v>
      </c>
      <c r="G826" s="6" t="s">
        <v>1757</v>
      </c>
      <c r="H826" s="6" t="s">
        <v>76</v>
      </c>
      <c r="I826" s="6" t="s">
        <v>228</v>
      </c>
      <c r="J826" s="6" t="s">
        <v>53</v>
      </c>
      <c r="K826" s="6" t="s">
        <v>314</v>
      </c>
      <c r="L826" s="6" t="s">
        <v>805</v>
      </c>
      <c r="M826" s="6" t="s">
        <v>311</v>
      </c>
      <c r="N826" s="6" t="s">
        <v>636</v>
      </c>
      <c r="O826" s="6" t="s">
        <v>62</v>
      </c>
      <c r="P826" s="6" t="s">
        <v>1628</v>
      </c>
      <c r="Q826" s="6" t="s">
        <v>65</v>
      </c>
      <c r="R826" s="6" t="s">
        <v>57</v>
      </c>
      <c r="S826" s="6" t="s">
        <v>1219</v>
      </c>
      <c r="T826" s="131">
        <v>1.4279999999999999</v>
      </c>
      <c r="U826" s="6" t="s">
        <v>1516</v>
      </c>
      <c r="V826" s="134">
        <v>6.8000000000000005E-2</v>
      </c>
      <c r="W826" s="132">
        <v>5.6610000000000001E-2</v>
      </c>
      <c r="X826" s="3" t="s">
        <v>620</v>
      </c>
      <c r="Y826" s="3" t="s">
        <v>62</v>
      </c>
      <c r="Z826" s="131">
        <v>21654.45</v>
      </c>
      <c r="AA826" s="129">
        <v>1</v>
      </c>
      <c r="AB826" s="157">
        <v>101.71</v>
      </c>
      <c r="AD826" s="131">
        <v>22.024999999999999</v>
      </c>
      <c r="AG826" s="6" t="s">
        <v>17</v>
      </c>
      <c r="AH826" s="132">
        <v>6.3E-5</v>
      </c>
      <c r="AI826" s="132">
        <v>1.19135865278101E-3</v>
      </c>
      <c r="AJ826" s="132">
        <v>2.5230491284512302E-4</v>
      </c>
    </row>
    <row r="827" spans="1:36" x14ac:dyDescent="0.2">
      <c r="A827" s="6">
        <v>559</v>
      </c>
      <c r="B827" s="6">
        <v>7206</v>
      </c>
      <c r="C827" s="6" t="s">
        <v>1758</v>
      </c>
      <c r="D827" s="6" t="s">
        <v>1759</v>
      </c>
      <c r="E827" s="3" t="s">
        <v>1477</v>
      </c>
      <c r="F827" s="6" t="s">
        <v>1760</v>
      </c>
      <c r="G827" s="6" t="s">
        <v>1761</v>
      </c>
      <c r="H827" s="6" t="s">
        <v>76</v>
      </c>
      <c r="I827" s="6" t="s">
        <v>228</v>
      </c>
      <c r="J827" s="6" t="s">
        <v>53</v>
      </c>
      <c r="K827" s="6" t="s">
        <v>53</v>
      </c>
      <c r="L827" s="6" t="s">
        <v>805</v>
      </c>
      <c r="M827" s="6" t="s">
        <v>311</v>
      </c>
      <c r="N827" s="6" t="s">
        <v>156</v>
      </c>
      <c r="O827" s="6" t="s">
        <v>62</v>
      </c>
      <c r="P827" s="6" t="s">
        <v>1527</v>
      </c>
      <c r="Q827" s="6" t="s">
        <v>70</v>
      </c>
      <c r="R827" s="6" t="s">
        <v>57</v>
      </c>
      <c r="S827" s="6" t="s">
        <v>1219</v>
      </c>
      <c r="T827" s="131">
        <v>1.202</v>
      </c>
      <c r="U827" s="6" t="s">
        <v>1280</v>
      </c>
      <c r="V827" s="134">
        <v>3.2899999999999999E-2</v>
      </c>
      <c r="W827" s="132">
        <v>4.9500000000000002E-2</v>
      </c>
      <c r="X827" s="3" t="s">
        <v>620</v>
      </c>
      <c r="Y827" s="3" t="s">
        <v>62</v>
      </c>
      <c r="Z827" s="131">
        <v>54000</v>
      </c>
      <c r="AA827" s="129">
        <v>1</v>
      </c>
      <c r="AB827" s="157">
        <v>98.94</v>
      </c>
      <c r="AD827" s="131">
        <v>53.427999999999997</v>
      </c>
      <c r="AG827" s="6" t="s">
        <v>17</v>
      </c>
      <c r="AH827" s="132">
        <v>7.4999999999999993E-5</v>
      </c>
      <c r="AI827" s="132">
        <v>2.88999690315419E-3</v>
      </c>
      <c r="AJ827" s="132">
        <v>6.1204106342863205E-4</v>
      </c>
    </row>
    <row r="828" spans="1:36" x14ac:dyDescent="0.2">
      <c r="A828" s="6">
        <v>559</v>
      </c>
      <c r="B828" s="6">
        <v>7206</v>
      </c>
      <c r="C828" s="6" t="s">
        <v>1762</v>
      </c>
      <c r="D828" s="6" t="s">
        <v>1763</v>
      </c>
      <c r="E828" s="3" t="s">
        <v>1477</v>
      </c>
      <c r="F828" s="6" t="s">
        <v>1764</v>
      </c>
      <c r="G828" s="6" t="s">
        <v>1765</v>
      </c>
      <c r="H828" s="6" t="s">
        <v>76</v>
      </c>
      <c r="I828" s="6" t="s">
        <v>229</v>
      </c>
      <c r="J828" s="6" t="s">
        <v>53</v>
      </c>
      <c r="K828" s="6" t="s">
        <v>53</v>
      </c>
      <c r="L828" s="6" t="s">
        <v>805</v>
      </c>
      <c r="M828" s="6" t="s">
        <v>311</v>
      </c>
      <c r="N828" s="6" t="s">
        <v>631</v>
      </c>
      <c r="O828" s="6" t="s">
        <v>62</v>
      </c>
      <c r="P828" s="6" t="s">
        <v>298</v>
      </c>
      <c r="Q828" s="6" t="s">
        <v>298</v>
      </c>
      <c r="R828" s="6" t="s">
        <v>298</v>
      </c>
      <c r="S828" s="6" t="s">
        <v>1219</v>
      </c>
      <c r="T828" s="131">
        <v>2.44</v>
      </c>
      <c r="U828" s="6" t="s">
        <v>1544</v>
      </c>
      <c r="V828" s="134">
        <v>1.5800000000000002E-2</v>
      </c>
      <c r="W828" s="132">
        <v>3.6760000000000001E-2</v>
      </c>
      <c r="X828" s="3" t="s">
        <v>620</v>
      </c>
      <c r="Y828" s="3" t="s">
        <v>62</v>
      </c>
      <c r="Z828" s="131">
        <v>3310.34</v>
      </c>
      <c r="AA828" s="129">
        <v>1</v>
      </c>
      <c r="AB828" s="157">
        <v>109.71</v>
      </c>
      <c r="AD828" s="131">
        <v>3.6320000000000001</v>
      </c>
      <c r="AG828" s="6" t="s">
        <v>17</v>
      </c>
      <c r="AH828" s="132">
        <v>1.1E-5</v>
      </c>
      <c r="AI828" s="132">
        <v>1.9644931932963201E-4</v>
      </c>
      <c r="AJ828" s="132">
        <v>4.1603868219067198E-5</v>
      </c>
    </row>
    <row r="829" spans="1:36" x14ac:dyDescent="0.2">
      <c r="A829" s="6">
        <v>559</v>
      </c>
      <c r="B829" s="6">
        <v>7206</v>
      </c>
      <c r="C829" s="6" t="s">
        <v>1475</v>
      </c>
      <c r="D829" s="6" t="s">
        <v>1476</v>
      </c>
      <c r="E829" s="3" t="s">
        <v>1477</v>
      </c>
      <c r="F829" s="6" t="s">
        <v>1766</v>
      </c>
      <c r="G829" s="6" t="s">
        <v>1767</v>
      </c>
      <c r="H829" s="6" t="s">
        <v>76</v>
      </c>
      <c r="I829" s="6" t="s">
        <v>229</v>
      </c>
      <c r="J829" s="6" t="s">
        <v>53</v>
      </c>
      <c r="K829" s="6" t="s">
        <v>53</v>
      </c>
      <c r="L829" s="6" t="s">
        <v>805</v>
      </c>
      <c r="M829" s="6" t="s">
        <v>311</v>
      </c>
      <c r="N829" s="6" t="s">
        <v>256</v>
      </c>
      <c r="O829" s="6" t="s">
        <v>62</v>
      </c>
      <c r="P829" s="6" t="s">
        <v>1213</v>
      </c>
      <c r="Q829" s="6" t="s">
        <v>65</v>
      </c>
      <c r="R829" s="6" t="s">
        <v>57</v>
      </c>
      <c r="S829" s="6" t="s">
        <v>1219</v>
      </c>
      <c r="T829" s="131">
        <v>3.4950000000000001</v>
      </c>
      <c r="U829" s="6" t="s">
        <v>1768</v>
      </c>
      <c r="V829" s="134">
        <v>2E-3</v>
      </c>
      <c r="W829" s="132">
        <v>2.6020000000000001E-2</v>
      </c>
      <c r="X829" s="3" t="s">
        <v>620</v>
      </c>
      <c r="Y829" s="3" t="s">
        <v>62</v>
      </c>
      <c r="Z829" s="131">
        <v>341000.53</v>
      </c>
      <c r="AA829" s="129">
        <v>1</v>
      </c>
      <c r="AB829" s="157">
        <v>105.05</v>
      </c>
      <c r="AD829" s="131">
        <v>358.221</v>
      </c>
      <c r="AG829" s="6" t="s">
        <v>17</v>
      </c>
      <c r="AH829" s="132">
        <v>1E-4</v>
      </c>
      <c r="AI829" s="132">
        <v>1.9376834158664601E-2</v>
      </c>
      <c r="AJ829" s="132">
        <v>4.1036093053960698E-3</v>
      </c>
    </row>
    <row r="830" spans="1:36" x14ac:dyDescent="0.2">
      <c r="A830" s="6">
        <v>559</v>
      </c>
      <c r="B830" s="6">
        <v>7206</v>
      </c>
      <c r="C830" s="6" t="s">
        <v>1475</v>
      </c>
      <c r="D830" s="6" t="s">
        <v>1476</v>
      </c>
      <c r="E830" s="3" t="s">
        <v>1477</v>
      </c>
      <c r="F830" s="6" t="s">
        <v>1769</v>
      </c>
      <c r="G830" s="6" t="s">
        <v>1770</v>
      </c>
      <c r="H830" s="6" t="s">
        <v>76</v>
      </c>
      <c r="I830" s="6" t="s">
        <v>229</v>
      </c>
      <c r="J830" s="6" t="s">
        <v>53</v>
      </c>
      <c r="K830" s="6" t="s">
        <v>53</v>
      </c>
      <c r="L830" s="6" t="s">
        <v>805</v>
      </c>
      <c r="M830" s="6" t="s">
        <v>311</v>
      </c>
      <c r="N830" s="6" t="s">
        <v>256</v>
      </c>
      <c r="O830" s="6" t="s">
        <v>62</v>
      </c>
      <c r="P830" s="6" t="s">
        <v>1213</v>
      </c>
      <c r="Q830" s="6" t="s">
        <v>65</v>
      </c>
      <c r="R830" s="6" t="s">
        <v>57</v>
      </c>
      <c r="S830" s="6" t="s">
        <v>1219</v>
      </c>
      <c r="T830" s="131">
        <v>4.8920000000000003</v>
      </c>
      <c r="U830" s="6" t="s">
        <v>1771</v>
      </c>
      <c r="V830" s="134">
        <v>2.47E-2</v>
      </c>
      <c r="W830" s="132">
        <v>2.63E-2</v>
      </c>
      <c r="X830" s="3" t="s">
        <v>620</v>
      </c>
      <c r="Y830" s="3" t="s">
        <v>62</v>
      </c>
      <c r="Z830" s="131">
        <v>72800</v>
      </c>
      <c r="AA830" s="129">
        <v>1</v>
      </c>
      <c r="AB830" s="157">
        <v>103.16</v>
      </c>
      <c r="AD830" s="131">
        <v>75.099999999999994</v>
      </c>
      <c r="AG830" s="6" t="s">
        <v>17</v>
      </c>
      <c r="AH830" s="132">
        <v>2.8E-5</v>
      </c>
      <c r="AI830" s="132">
        <v>4.0623227437764902E-3</v>
      </c>
      <c r="AJ830" s="132">
        <v>8.6031522365220803E-4</v>
      </c>
    </row>
    <row r="831" spans="1:36" x14ac:dyDescent="0.2">
      <c r="A831" s="6">
        <v>559</v>
      </c>
      <c r="B831" s="6">
        <v>7206</v>
      </c>
      <c r="C831" s="6" t="s">
        <v>1475</v>
      </c>
      <c r="D831" s="6" t="s">
        <v>1476</v>
      </c>
      <c r="E831" s="3" t="s">
        <v>1477</v>
      </c>
      <c r="F831" s="6" t="s">
        <v>1772</v>
      </c>
      <c r="G831" s="6" t="s">
        <v>1773</v>
      </c>
      <c r="H831" s="6" t="s">
        <v>76</v>
      </c>
      <c r="I831" s="6" t="s">
        <v>229</v>
      </c>
      <c r="J831" s="6" t="s">
        <v>53</v>
      </c>
      <c r="K831" s="6" t="s">
        <v>53</v>
      </c>
      <c r="L831" s="6" t="s">
        <v>805</v>
      </c>
      <c r="M831" s="6" t="s">
        <v>1227</v>
      </c>
      <c r="N831" s="6" t="s">
        <v>256</v>
      </c>
      <c r="O831" s="6" t="s">
        <v>62</v>
      </c>
      <c r="P831" s="6" t="s">
        <v>1213</v>
      </c>
      <c r="Q831" s="6" t="s">
        <v>65</v>
      </c>
      <c r="R831" s="6" t="s">
        <v>57</v>
      </c>
      <c r="S831" s="6" t="s">
        <v>1219</v>
      </c>
      <c r="T831" s="131">
        <v>4.8159999999999998</v>
      </c>
      <c r="U831" s="6" t="s">
        <v>1771</v>
      </c>
      <c r="V831" s="134">
        <v>2.4E-2</v>
      </c>
      <c r="W831" s="132">
        <v>2.605E-2</v>
      </c>
      <c r="X831" s="3" t="s">
        <v>620</v>
      </c>
      <c r="Y831" s="3" t="s">
        <v>62</v>
      </c>
      <c r="Z831" s="131">
        <v>90000</v>
      </c>
      <c r="AA831" s="129">
        <v>1</v>
      </c>
      <c r="AB831" s="157">
        <v>101.7</v>
      </c>
      <c r="AD831" s="131">
        <v>91.53</v>
      </c>
      <c r="AG831" s="6" t="s">
        <v>17</v>
      </c>
      <c r="AH831" s="132">
        <v>4.1E-5</v>
      </c>
      <c r="AI831" s="132">
        <v>4.9510256224442597E-3</v>
      </c>
      <c r="AJ831" s="132">
        <v>1.0485239564499E-3</v>
      </c>
    </row>
    <row r="832" spans="1:36" x14ac:dyDescent="0.2">
      <c r="A832" s="6">
        <v>559</v>
      </c>
      <c r="B832" s="6">
        <v>7206</v>
      </c>
      <c r="C832" s="6" t="s">
        <v>1774</v>
      </c>
      <c r="D832" s="6" t="s">
        <v>1775</v>
      </c>
      <c r="E832" s="3" t="s">
        <v>1477</v>
      </c>
      <c r="F832" s="6" t="s">
        <v>1776</v>
      </c>
      <c r="G832" s="6" t="s">
        <v>1777</v>
      </c>
      <c r="H832" s="6" t="s">
        <v>76</v>
      </c>
      <c r="I832" s="6" t="s">
        <v>229</v>
      </c>
      <c r="J832" s="6" t="s">
        <v>53</v>
      </c>
      <c r="K832" s="6" t="s">
        <v>53</v>
      </c>
      <c r="L832" s="6" t="s">
        <v>805</v>
      </c>
      <c r="M832" s="6" t="s">
        <v>311</v>
      </c>
      <c r="N832" s="6" t="s">
        <v>692</v>
      </c>
      <c r="O832" s="6" t="s">
        <v>62</v>
      </c>
      <c r="P832" s="6" t="s">
        <v>1778</v>
      </c>
      <c r="Q832" s="6" t="s">
        <v>65</v>
      </c>
      <c r="R832" s="6" t="s">
        <v>57</v>
      </c>
      <c r="S832" s="6" t="s">
        <v>1219</v>
      </c>
      <c r="T832" s="131">
        <v>0.499</v>
      </c>
      <c r="U832" s="6" t="s">
        <v>1499</v>
      </c>
      <c r="V832" s="134">
        <v>4.9500000000000002E-2</v>
      </c>
      <c r="W832" s="132">
        <v>3.3270000000000001E-2</v>
      </c>
      <c r="X832" s="3" t="s">
        <v>620</v>
      </c>
      <c r="Y832" s="3" t="s">
        <v>55</v>
      </c>
      <c r="Z832" s="131">
        <v>70000.009999999995</v>
      </c>
      <c r="AA832" s="129">
        <v>1</v>
      </c>
      <c r="AB832" s="157">
        <v>145.99</v>
      </c>
      <c r="AD832" s="131">
        <v>102.193</v>
      </c>
      <c r="AG832" s="6" t="s">
        <v>17</v>
      </c>
      <c r="AH832" s="132">
        <v>3.8200000000000002E-4</v>
      </c>
      <c r="AI832" s="132">
        <v>5.5278076446462297E-3</v>
      </c>
      <c r="AJ832" s="132">
        <v>1.17067435801252E-3</v>
      </c>
    </row>
    <row r="833" spans="1:36" x14ac:dyDescent="0.2">
      <c r="A833" s="6">
        <v>559</v>
      </c>
      <c r="B833" s="6">
        <v>7206</v>
      </c>
      <c r="C833" s="6" t="s">
        <v>1774</v>
      </c>
      <c r="D833" s="6" t="s">
        <v>1775</v>
      </c>
      <c r="E833" s="3" t="s">
        <v>1477</v>
      </c>
      <c r="F833" s="6" t="s">
        <v>1779</v>
      </c>
      <c r="G833" s="6" t="s">
        <v>1780</v>
      </c>
      <c r="H833" s="6" t="s">
        <v>76</v>
      </c>
      <c r="I833" s="6" t="s">
        <v>228</v>
      </c>
      <c r="J833" s="6" t="s">
        <v>53</v>
      </c>
      <c r="K833" s="6" t="s">
        <v>53</v>
      </c>
      <c r="L833" s="6" t="s">
        <v>805</v>
      </c>
      <c r="M833" s="6" t="s">
        <v>311</v>
      </c>
      <c r="N833" s="6" t="s">
        <v>692</v>
      </c>
      <c r="O833" s="6" t="s">
        <v>62</v>
      </c>
      <c r="P833" s="6" t="s">
        <v>1778</v>
      </c>
      <c r="Q833" s="6" t="s">
        <v>65</v>
      </c>
      <c r="R833" s="6" t="s">
        <v>57</v>
      </c>
      <c r="S833" s="6" t="s">
        <v>1219</v>
      </c>
      <c r="T833" s="131">
        <v>0.97599999999999998</v>
      </c>
      <c r="U833" s="6" t="s">
        <v>1559</v>
      </c>
      <c r="V833" s="134">
        <v>5.8000000000000003E-2</v>
      </c>
      <c r="W833" s="132">
        <v>5.9490000000000001E-2</v>
      </c>
      <c r="X833" s="3" t="s">
        <v>620</v>
      </c>
      <c r="Y833" s="3" t="s">
        <v>62</v>
      </c>
      <c r="Z833" s="131">
        <v>59000.76</v>
      </c>
      <c r="AA833" s="129">
        <v>1</v>
      </c>
      <c r="AB833" s="157">
        <v>99.25</v>
      </c>
      <c r="AD833" s="131">
        <v>58.558</v>
      </c>
      <c r="AG833" s="6" t="s">
        <v>17</v>
      </c>
      <c r="AH833" s="132">
        <v>1.0399999999999999E-4</v>
      </c>
      <c r="AI833" s="132">
        <v>3.1675234070239998E-3</v>
      </c>
      <c r="AJ833" s="132">
        <v>6.7081538819442198E-4</v>
      </c>
    </row>
    <row r="834" spans="1:36" x14ac:dyDescent="0.2">
      <c r="A834" s="6">
        <v>559</v>
      </c>
      <c r="B834" s="6">
        <v>7206</v>
      </c>
      <c r="C834" s="6" t="s">
        <v>1781</v>
      </c>
      <c r="D834" s="6" t="s">
        <v>1782</v>
      </c>
      <c r="E834" s="3" t="s">
        <v>1477</v>
      </c>
      <c r="F834" s="6" t="s">
        <v>2349</v>
      </c>
      <c r="G834" s="6" t="s">
        <v>2350</v>
      </c>
      <c r="H834" s="6" t="s">
        <v>76</v>
      </c>
      <c r="I834" s="6" t="s">
        <v>228</v>
      </c>
      <c r="J834" s="6" t="s">
        <v>53</v>
      </c>
      <c r="K834" s="6" t="s">
        <v>53</v>
      </c>
      <c r="L834" s="6" t="s">
        <v>805</v>
      </c>
      <c r="M834" s="6" t="s">
        <v>311</v>
      </c>
      <c r="N834" s="6" t="s">
        <v>267</v>
      </c>
      <c r="O834" s="6" t="s">
        <v>62</v>
      </c>
      <c r="P834" s="6" t="s">
        <v>1515</v>
      </c>
      <c r="Q834" s="6" t="s">
        <v>65</v>
      </c>
      <c r="R834" s="6" t="s">
        <v>57</v>
      </c>
      <c r="S834" s="6" t="s">
        <v>1219</v>
      </c>
      <c r="T834" s="131">
        <v>2.339</v>
      </c>
      <c r="U834" s="6" t="s">
        <v>2351</v>
      </c>
      <c r="V834" s="134">
        <v>6.7500000000000004E-2</v>
      </c>
      <c r="W834" s="132">
        <v>5.058E-2</v>
      </c>
      <c r="X834" s="3" t="s">
        <v>620</v>
      </c>
      <c r="Y834" s="3" t="s">
        <v>62</v>
      </c>
      <c r="Z834" s="131">
        <v>28257.46</v>
      </c>
      <c r="AA834" s="129">
        <v>1</v>
      </c>
      <c r="AB834" s="157">
        <v>106.95</v>
      </c>
      <c r="AD834" s="131">
        <v>30.221</v>
      </c>
      <c r="AG834" s="6" t="s">
        <v>17</v>
      </c>
      <c r="AH834" s="132">
        <v>2.5999999999999998E-5</v>
      </c>
      <c r="AI834" s="132">
        <v>1.6347284537847099E-3</v>
      </c>
      <c r="AJ834" s="132">
        <v>3.4620138872102398E-4</v>
      </c>
    </row>
    <row r="835" spans="1:36" x14ac:dyDescent="0.2">
      <c r="A835" s="6">
        <v>559</v>
      </c>
      <c r="B835" s="6">
        <v>7206</v>
      </c>
      <c r="C835" s="6" t="s">
        <v>1781</v>
      </c>
      <c r="D835" s="6" t="s">
        <v>1782</v>
      </c>
      <c r="E835" s="3" t="s">
        <v>1477</v>
      </c>
      <c r="F835" s="6" t="s">
        <v>1783</v>
      </c>
      <c r="G835" s="6" t="s">
        <v>1784</v>
      </c>
      <c r="H835" s="6" t="s">
        <v>76</v>
      </c>
      <c r="I835" s="6" t="s">
        <v>228</v>
      </c>
      <c r="J835" s="6" t="s">
        <v>53</v>
      </c>
      <c r="K835" s="6" t="s">
        <v>53</v>
      </c>
      <c r="L835" s="6" t="s">
        <v>805</v>
      </c>
      <c r="M835" s="6" t="s">
        <v>311</v>
      </c>
      <c r="N835" s="6" t="s">
        <v>267</v>
      </c>
      <c r="O835" s="6" t="s">
        <v>62</v>
      </c>
      <c r="P835" s="6" t="s">
        <v>1515</v>
      </c>
      <c r="Q835" s="6" t="s">
        <v>65</v>
      </c>
      <c r="R835" s="6" t="s">
        <v>57</v>
      </c>
      <c r="S835" s="6" t="s">
        <v>1219</v>
      </c>
      <c r="T835" s="131">
        <v>3.3580000000000001</v>
      </c>
      <c r="U835" s="6" t="s">
        <v>1785</v>
      </c>
      <c r="V835" s="134">
        <v>6.5199999999999994E-2</v>
      </c>
      <c r="W835" s="132">
        <v>5.144E-2</v>
      </c>
      <c r="X835" s="3" t="s">
        <v>620</v>
      </c>
      <c r="Y835" s="3" t="s">
        <v>62</v>
      </c>
      <c r="Z835" s="131">
        <v>24553.5</v>
      </c>
      <c r="AA835" s="129">
        <v>1</v>
      </c>
      <c r="AB835" s="157">
        <v>105.89</v>
      </c>
      <c r="AD835" s="131">
        <v>26</v>
      </c>
      <c r="AG835" s="6" t="s">
        <v>17</v>
      </c>
      <c r="AH835" s="132">
        <v>3.1000000000000001E-5</v>
      </c>
      <c r="AI835" s="132">
        <v>1.4063715346830899E-3</v>
      </c>
      <c r="AJ835" s="132">
        <v>2.9784015641115498E-4</v>
      </c>
    </row>
    <row r="836" spans="1:36" x14ac:dyDescent="0.2">
      <c r="A836" s="6">
        <v>559</v>
      </c>
      <c r="B836" s="6">
        <v>7206</v>
      </c>
      <c r="C836" s="6" t="s">
        <v>1781</v>
      </c>
      <c r="D836" s="6" t="s">
        <v>1782</v>
      </c>
      <c r="E836" s="3" t="s">
        <v>1477</v>
      </c>
      <c r="F836" s="6" t="s">
        <v>1786</v>
      </c>
      <c r="G836" s="6" t="s">
        <v>1787</v>
      </c>
      <c r="H836" s="6" t="s">
        <v>76</v>
      </c>
      <c r="I836" s="6" t="s">
        <v>228</v>
      </c>
      <c r="J836" s="6" t="s">
        <v>53</v>
      </c>
      <c r="K836" s="6" t="s">
        <v>53</v>
      </c>
      <c r="L836" s="6" t="s">
        <v>805</v>
      </c>
      <c r="M836" s="6" t="s">
        <v>102</v>
      </c>
      <c r="N836" s="6" t="s">
        <v>267</v>
      </c>
      <c r="O836" s="6" t="s">
        <v>62</v>
      </c>
      <c r="P836" s="6" t="s">
        <v>1515</v>
      </c>
      <c r="Q836" s="6" t="s">
        <v>65</v>
      </c>
      <c r="R836" s="6" t="s">
        <v>57</v>
      </c>
      <c r="S836" s="6" t="s">
        <v>1219</v>
      </c>
      <c r="T836" s="131">
        <v>5.4980000000000002</v>
      </c>
      <c r="U836" s="6" t="s">
        <v>1788</v>
      </c>
      <c r="V836" s="134">
        <v>5.6899999999999999E-2</v>
      </c>
      <c r="W836" s="132">
        <v>6.0490000000000002E-2</v>
      </c>
      <c r="X836" s="3" t="s">
        <v>620</v>
      </c>
      <c r="Y836" s="3" t="s">
        <v>62</v>
      </c>
      <c r="Z836" s="131">
        <v>40000</v>
      </c>
      <c r="AA836" s="129">
        <v>1</v>
      </c>
      <c r="AB836" s="157">
        <v>100.623</v>
      </c>
      <c r="AD836" s="131">
        <v>40.249000000000002</v>
      </c>
      <c r="AG836" s="6" t="s">
        <v>17</v>
      </c>
      <c r="AH836" s="132">
        <v>0</v>
      </c>
      <c r="AI836" s="132">
        <v>2.1771443932980402E-3</v>
      </c>
      <c r="AJ836" s="132">
        <v>4.6107377079107002E-4</v>
      </c>
    </row>
    <row r="837" spans="1:36" x14ac:dyDescent="0.2">
      <c r="A837" s="6">
        <v>559</v>
      </c>
      <c r="B837" s="6">
        <v>7206</v>
      </c>
      <c r="C837" s="6" t="s">
        <v>1789</v>
      </c>
      <c r="D837" s="6" t="s">
        <v>1790</v>
      </c>
      <c r="E837" s="3" t="s">
        <v>1477</v>
      </c>
      <c r="F837" s="6" t="s">
        <v>1791</v>
      </c>
      <c r="G837" s="6" t="s">
        <v>1792</v>
      </c>
      <c r="H837" s="6" t="s">
        <v>76</v>
      </c>
      <c r="I837" s="6" t="s">
        <v>229</v>
      </c>
      <c r="J837" s="6" t="s">
        <v>53</v>
      </c>
      <c r="K837" s="6" t="s">
        <v>53</v>
      </c>
      <c r="L837" s="6" t="s">
        <v>805</v>
      </c>
      <c r="M837" s="6" t="s">
        <v>311</v>
      </c>
      <c r="N837" s="6" t="s">
        <v>635</v>
      </c>
      <c r="O837" s="6" t="s">
        <v>62</v>
      </c>
      <c r="P837" s="6" t="s">
        <v>1628</v>
      </c>
      <c r="Q837" s="6" t="s">
        <v>65</v>
      </c>
      <c r="R837" s="6" t="s">
        <v>57</v>
      </c>
      <c r="S837" s="6" t="s">
        <v>1219</v>
      </c>
      <c r="T837" s="131">
        <v>2.8719999999999999</v>
      </c>
      <c r="U837" s="6" t="s">
        <v>1649</v>
      </c>
      <c r="V837" s="134">
        <v>2.7E-2</v>
      </c>
      <c r="W837" s="132">
        <v>2.9139999999999999E-2</v>
      </c>
      <c r="X837" s="3" t="s">
        <v>620</v>
      </c>
      <c r="Y837" s="3" t="s">
        <v>62</v>
      </c>
      <c r="Z837" s="131">
        <v>46000</v>
      </c>
      <c r="AA837" s="129">
        <v>1</v>
      </c>
      <c r="AB837" s="157">
        <v>108.07</v>
      </c>
      <c r="AD837" s="131">
        <v>49.712000000000003</v>
      </c>
      <c r="AG837" s="6" t="s">
        <v>17</v>
      </c>
      <c r="AH837" s="132">
        <v>1.17E-4</v>
      </c>
      <c r="AI837" s="132">
        <v>2.6890241008202002E-3</v>
      </c>
      <c r="AJ837" s="132">
        <v>5.6947921586177996E-4</v>
      </c>
    </row>
    <row r="838" spans="1:36" x14ac:dyDescent="0.2">
      <c r="A838" s="6">
        <v>559</v>
      </c>
      <c r="B838" s="6">
        <v>7206</v>
      </c>
      <c r="C838" s="6" t="s">
        <v>1793</v>
      </c>
      <c r="D838" s="6" t="s">
        <v>1794</v>
      </c>
      <c r="E838" s="3" t="s">
        <v>767</v>
      </c>
      <c r="F838" s="6" t="s">
        <v>1795</v>
      </c>
      <c r="G838" s="6" t="s">
        <v>1796</v>
      </c>
      <c r="H838" s="6" t="s">
        <v>76</v>
      </c>
      <c r="I838" s="6" t="s">
        <v>228</v>
      </c>
      <c r="J838" s="6" t="s">
        <v>53</v>
      </c>
      <c r="K838" s="6" t="s">
        <v>317</v>
      </c>
      <c r="L838" s="6" t="s">
        <v>805</v>
      </c>
      <c r="M838" s="6" t="s">
        <v>311</v>
      </c>
      <c r="N838" s="6" t="s">
        <v>636</v>
      </c>
      <c r="O838" s="6" t="s">
        <v>62</v>
      </c>
      <c r="P838" s="6" t="s">
        <v>1753</v>
      </c>
      <c r="Q838" s="6" t="s">
        <v>70</v>
      </c>
      <c r="R838" s="6" t="s">
        <v>57</v>
      </c>
      <c r="S838" s="6" t="s">
        <v>1219</v>
      </c>
      <c r="T838" s="131">
        <v>0.64100000000000001</v>
      </c>
      <c r="U838" s="6" t="s">
        <v>1797</v>
      </c>
      <c r="V838" s="134">
        <v>8.9499999999999996E-2</v>
      </c>
      <c r="W838" s="132">
        <v>0.21804000000000001</v>
      </c>
      <c r="X838" s="3" t="s">
        <v>620</v>
      </c>
      <c r="Y838" s="3" t="s">
        <v>62</v>
      </c>
      <c r="Z838" s="131">
        <v>47830.93</v>
      </c>
      <c r="AA838" s="129">
        <v>1</v>
      </c>
      <c r="AB838" s="157">
        <v>98.78</v>
      </c>
      <c r="AD838" s="131">
        <v>47.247</v>
      </c>
      <c r="AG838" s="6" t="s">
        <v>17</v>
      </c>
      <c r="AH838" s="132">
        <v>2.4499999999999999E-4</v>
      </c>
      <c r="AI838" s="132">
        <v>2.55569814949895E-3</v>
      </c>
      <c r="AJ838" s="132">
        <v>5.4124356033556295E-4</v>
      </c>
    </row>
    <row r="839" spans="1:36" x14ac:dyDescent="0.2">
      <c r="A839" s="6">
        <v>559</v>
      </c>
      <c r="B839" s="6">
        <v>7206</v>
      </c>
      <c r="C839" s="6" t="s">
        <v>1798</v>
      </c>
      <c r="D839" s="6" t="s">
        <v>1799</v>
      </c>
      <c r="E839" s="3" t="s">
        <v>1477</v>
      </c>
      <c r="F839" s="6" t="s">
        <v>1800</v>
      </c>
      <c r="G839" s="6" t="s">
        <v>1801</v>
      </c>
      <c r="H839" s="6" t="s">
        <v>76</v>
      </c>
      <c r="I839" s="6" t="s">
        <v>228</v>
      </c>
      <c r="J839" s="6" t="s">
        <v>53</v>
      </c>
      <c r="K839" s="6" t="s">
        <v>53</v>
      </c>
      <c r="L839" s="6" t="s">
        <v>805</v>
      </c>
      <c r="M839" s="6" t="s">
        <v>102</v>
      </c>
      <c r="N839" s="6" t="s">
        <v>140</v>
      </c>
      <c r="O839" s="6" t="s">
        <v>62</v>
      </c>
      <c r="P839" s="6" t="s">
        <v>298</v>
      </c>
      <c r="Q839" s="6" t="s">
        <v>298</v>
      </c>
      <c r="R839" s="6" t="s">
        <v>298</v>
      </c>
      <c r="S839" s="6" t="s">
        <v>1219</v>
      </c>
      <c r="T839" s="131">
        <v>3.2440000000000002</v>
      </c>
      <c r="U839" s="6" t="s">
        <v>1509</v>
      </c>
      <c r="V839" s="134">
        <v>7.1099999999999997E-2</v>
      </c>
      <c r="W839" s="132">
        <v>6.9029999999999994E-2</v>
      </c>
      <c r="X839" s="3" t="s">
        <v>620</v>
      </c>
      <c r="Y839" s="3" t="s">
        <v>62</v>
      </c>
      <c r="Z839" s="131">
        <v>25000</v>
      </c>
      <c r="AA839" s="129">
        <v>1</v>
      </c>
      <c r="AB839" s="157">
        <v>101.02</v>
      </c>
      <c r="AD839" s="131">
        <v>25.254999999999999</v>
      </c>
      <c r="AG839" s="6" t="s">
        <v>17</v>
      </c>
      <c r="AH839" s="132">
        <v>1.92E-4</v>
      </c>
      <c r="AI839" s="132">
        <v>1.3660892832386101E-3</v>
      </c>
      <c r="AJ839" s="132">
        <v>2.89309215777802E-4</v>
      </c>
    </row>
    <row r="840" spans="1:36" x14ac:dyDescent="0.2">
      <c r="A840" s="6">
        <v>559</v>
      </c>
      <c r="B840" s="6">
        <v>7206</v>
      </c>
      <c r="C840" s="6" t="s">
        <v>1802</v>
      </c>
      <c r="D840" s="6" t="s">
        <v>1803</v>
      </c>
      <c r="E840" s="3" t="s">
        <v>1477</v>
      </c>
      <c r="F840" s="6" t="s">
        <v>1804</v>
      </c>
      <c r="G840" s="6" t="s">
        <v>1805</v>
      </c>
      <c r="H840" s="6" t="s">
        <v>76</v>
      </c>
      <c r="I840" s="6" t="s">
        <v>228</v>
      </c>
      <c r="J840" s="6" t="s">
        <v>53</v>
      </c>
      <c r="K840" s="6" t="s">
        <v>53</v>
      </c>
      <c r="L840" s="6" t="s">
        <v>805</v>
      </c>
      <c r="M840" s="6" t="s">
        <v>311</v>
      </c>
      <c r="N840" s="6" t="s">
        <v>692</v>
      </c>
      <c r="O840" s="6" t="s">
        <v>62</v>
      </c>
      <c r="P840" s="6" t="s">
        <v>1493</v>
      </c>
      <c r="Q840" s="6" t="s">
        <v>65</v>
      </c>
      <c r="R840" s="6" t="s">
        <v>57</v>
      </c>
      <c r="S840" s="6" t="s">
        <v>1219</v>
      </c>
      <c r="T840" s="131">
        <v>0.76300000000000001</v>
      </c>
      <c r="U840" s="6" t="s">
        <v>1578</v>
      </c>
      <c r="V840" s="134">
        <v>3.5999999999999997E-2</v>
      </c>
      <c r="W840" s="132">
        <v>4.9209999999999997E-2</v>
      </c>
      <c r="X840" s="3" t="s">
        <v>620</v>
      </c>
      <c r="Y840" s="3" t="s">
        <v>62</v>
      </c>
      <c r="Z840" s="131">
        <v>58000.55</v>
      </c>
      <c r="AA840" s="129">
        <v>1</v>
      </c>
      <c r="AB840" s="157">
        <v>99.96</v>
      </c>
      <c r="AD840" s="131">
        <v>57.976999999999997</v>
      </c>
      <c r="AG840" s="6" t="s">
        <v>17</v>
      </c>
      <c r="AH840" s="132">
        <v>2.7900000000000001E-4</v>
      </c>
      <c r="AI840" s="132">
        <v>3.1361012158002098E-3</v>
      </c>
      <c r="AJ840" s="132">
        <v>6.6416082350929104E-4</v>
      </c>
    </row>
    <row r="841" spans="1:36" x14ac:dyDescent="0.2">
      <c r="A841" s="6">
        <v>559</v>
      </c>
      <c r="B841" s="6">
        <v>7206</v>
      </c>
      <c r="C841" s="6" t="s">
        <v>1806</v>
      </c>
      <c r="D841" s="6" t="s">
        <v>1807</v>
      </c>
      <c r="E841" s="3" t="s">
        <v>1477</v>
      </c>
      <c r="F841" s="6" t="s">
        <v>1808</v>
      </c>
      <c r="G841" s="6" t="s">
        <v>1809</v>
      </c>
      <c r="H841" s="6" t="s">
        <v>76</v>
      </c>
      <c r="I841" s="6" t="s">
        <v>228</v>
      </c>
      <c r="J841" s="6" t="s">
        <v>53</v>
      </c>
      <c r="K841" s="6" t="s">
        <v>53</v>
      </c>
      <c r="L841" s="6" t="s">
        <v>805</v>
      </c>
      <c r="M841" s="6" t="s">
        <v>102</v>
      </c>
      <c r="N841" s="6" t="s">
        <v>140</v>
      </c>
      <c r="O841" s="6" t="s">
        <v>62</v>
      </c>
      <c r="P841" s="6" t="s">
        <v>298</v>
      </c>
      <c r="Q841" s="6" t="s">
        <v>298</v>
      </c>
      <c r="R841" s="6" t="s">
        <v>298</v>
      </c>
      <c r="S841" s="6" t="s">
        <v>1219</v>
      </c>
      <c r="T841" s="131">
        <v>1.117</v>
      </c>
      <c r="U841" s="6" t="s">
        <v>1810</v>
      </c>
      <c r="V841" s="134">
        <v>2.9000000000000001E-2</v>
      </c>
      <c r="W841" s="132">
        <v>6.7830000000000001E-2</v>
      </c>
      <c r="X841" s="3" t="s">
        <v>620</v>
      </c>
      <c r="Y841" s="3" t="s">
        <v>62</v>
      </c>
      <c r="Z841" s="131">
        <v>37500</v>
      </c>
      <c r="AA841" s="129">
        <v>1</v>
      </c>
      <c r="AB841" s="157">
        <v>95.8</v>
      </c>
      <c r="AC841" s="131">
        <v>13.225</v>
      </c>
      <c r="AD841" s="131">
        <v>49.15</v>
      </c>
      <c r="AG841" s="6" t="s">
        <v>17</v>
      </c>
      <c r="AH841" s="132">
        <v>0</v>
      </c>
      <c r="AI841" s="132">
        <v>2.65861367139883E-3</v>
      </c>
      <c r="AJ841" s="132">
        <v>5.6303892122268795E-4</v>
      </c>
    </row>
    <row r="842" spans="1:36" x14ac:dyDescent="0.2">
      <c r="A842" s="6">
        <v>559</v>
      </c>
      <c r="B842" s="6">
        <v>7206</v>
      </c>
      <c r="C842" s="6" t="s">
        <v>1806</v>
      </c>
      <c r="D842" s="6" t="s">
        <v>1807</v>
      </c>
      <c r="E842" s="3" t="s">
        <v>1477</v>
      </c>
      <c r="F842" s="6" t="s">
        <v>2352</v>
      </c>
      <c r="G842" s="6" t="s">
        <v>2353</v>
      </c>
      <c r="H842" s="6" t="s">
        <v>76</v>
      </c>
      <c r="I842" s="6" t="s">
        <v>229</v>
      </c>
      <c r="J842" s="6" t="s">
        <v>53</v>
      </c>
      <c r="K842" s="6" t="s">
        <v>53</v>
      </c>
      <c r="L842" s="6" t="s">
        <v>805</v>
      </c>
      <c r="M842" s="6" t="s">
        <v>311</v>
      </c>
      <c r="N842" s="6" t="s">
        <v>140</v>
      </c>
      <c r="O842" s="6" t="s">
        <v>62</v>
      </c>
      <c r="P842" s="6" t="s">
        <v>298</v>
      </c>
      <c r="Q842" s="6" t="s">
        <v>298</v>
      </c>
      <c r="R842" s="6" t="s">
        <v>298</v>
      </c>
      <c r="S842" s="6" t="s">
        <v>1219</v>
      </c>
      <c r="T842" s="131">
        <v>1.107</v>
      </c>
      <c r="U842" s="6" t="s">
        <v>1516</v>
      </c>
      <c r="V842" s="134">
        <v>3.5000000000000003E-2</v>
      </c>
      <c r="W842" s="132">
        <v>3.8109999999999998E-2</v>
      </c>
      <c r="X842" s="3" t="s">
        <v>620</v>
      </c>
      <c r="Y842" s="3" t="s">
        <v>62</v>
      </c>
      <c r="Z842" s="131">
        <v>8000</v>
      </c>
      <c r="AA842" s="129">
        <v>1</v>
      </c>
      <c r="AB842" s="157">
        <v>110.5</v>
      </c>
      <c r="AD842" s="131">
        <v>8.84</v>
      </c>
      <c r="AG842" s="6" t="s">
        <v>17</v>
      </c>
      <c r="AH842" s="132">
        <v>5.3000000000000001E-5</v>
      </c>
      <c r="AI842" s="132">
        <v>4.7817181800947499E-4</v>
      </c>
      <c r="AJ842" s="132">
        <v>1.0126681716395901E-4</v>
      </c>
    </row>
    <row r="843" spans="1:36" x14ac:dyDescent="0.2">
      <c r="A843" s="6">
        <v>559</v>
      </c>
      <c r="B843" s="6">
        <v>7206</v>
      </c>
      <c r="C843" s="6" t="s">
        <v>1811</v>
      </c>
      <c r="D843" s="6" t="s">
        <v>1812</v>
      </c>
      <c r="E843" s="3" t="s">
        <v>1477</v>
      </c>
      <c r="F843" s="6" t="s">
        <v>1813</v>
      </c>
      <c r="G843" s="6" t="s">
        <v>1814</v>
      </c>
      <c r="H843" s="6" t="s">
        <v>76</v>
      </c>
      <c r="I843" s="6" t="s">
        <v>229</v>
      </c>
      <c r="J843" s="6" t="s">
        <v>53</v>
      </c>
      <c r="K843" s="6" t="s">
        <v>53</v>
      </c>
      <c r="L843" s="6" t="s">
        <v>805</v>
      </c>
      <c r="M843" s="6" t="s">
        <v>311</v>
      </c>
      <c r="N843" s="6" t="s">
        <v>75</v>
      </c>
      <c r="O843" s="6" t="s">
        <v>62</v>
      </c>
      <c r="P843" s="6" t="s">
        <v>1577</v>
      </c>
      <c r="Q843" s="6" t="s">
        <v>65</v>
      </c>
      <c r="R843" s="6" t="s">
        <v>57</v>
      </c>
      <c r="S843" s="6" t="s">
        <v>1219</v>
      </c>
      <c r="T843" s="131">
        <v>1.0900000000000001</v>
      </c>
      <c r="U843" s="6" t="s">
        <v>1815</v>
      </c>
      <c r="V843" s="134">
        <v>1.0500000000000001E-2</v>
      </c>
      <c r="W843" s="132">
        <v>3.2000000000000001E-2</v>
      </c>
      <c r="X843" s="3" t="s">
        <v>620</v>
      </c>
      <c r="Y843" s="3" t="s">
        <v>62</v>
      </c>
      <c r="Z843" s="131">
        <v>42838.27</v>
      </c>
      <c r="AA843" s="129">
        <v>1</v>
      </c>
      <c r="AB843" s="157">
        <v>113.64</v>
      </c>
      <c r="AD843" s="131">
        <v>48.680999999999997</v>
      </c>
      <c r="AG843" s="6" t="s">
        <v>17</v>
      </c>
      <c r="AH843" s="132">
        <v>1.0399999999999999E-4</v>
      </c>
      <c r="AI843" s="132">
        <v>2.6332667801304802E-3</v>
      </c>
      <c r="AJ843" s="132">
        <v>5.5767097834719202E-4</v>
      </c>
    </row>
    <row r="844" spans="1:36" x14ac:dyDescent="0.2">
      <c r="A844" s="6">
        <v>559</v>
      </c>
      <c r="B844" s="6">
        <v>7206</v>
      </c>
      <c r="C844" s="6" t="s">
        <v>1811</v>
      </c>
      <c r="D844" s="6" t="s">
        <v>1812</v>
      </c>
      <c r="E844" s="3" t="s">
        <v>1477</v>
      </c>
      <c r="F844" s="6" t="s">
        <v>1816</v>
      </c>
      <c r="G844" s="6" t="s">
        <v>1817</v>
      </c>
      <c r="H844" s="6" t="s">
        <v>76</v>
      </c>
      <c r="I844" s="6" t="s">
        <v>228</v>
      </c>
      <c r="J844" s="6" t="s">
        <v>53</v>
      </c>
      <c r="K844" s="6" t="s">
        <v>53</v>
      </c>
      <c r="L844" s="6" t="s">
        <v>805</v>
      </c>
      <c r="M844" s="6" t="s">
        <v>311</v>
      </c>
      <c r="N844" s="6" t="s">
        <v>75</v>
      </c>
      <c r="O844" s="6" t="s">
        <v>62</v>
      </c>
      <c r="P844" s="6" t="s">
        <v>1577</v>
      </c>
      <c r="Q844" s="6" t="s">
        <v>65</v>
      </c>
      <c r="R844" s="6" t="s">
        <v>57</v>
      </c>
      <c r="S844" s="6" t="s">
        <v>1219</v>
      </c>
      <c r="T844" s="131">
        <v>1.7789999999999999</v>
      </c>
      <c r="U844" s="6" t="s">
        <v>1818</v>
      </c>
      <c r="V844" s="134">
        <v>2.18E-2</v>
      </c>
      <c r="W844" s="132">
        <v>4.8379999999999999E-2</v>
      </c>
      <c r="X844" s="3" t="s">
        <v>620</v>
      </c>
      <c r="Y844" s="3" t="s">
        <v>62</v>
      </c>
      <c r="Z844" s="131">
        <v>64000.13</v>
      </c>
      <c r="AA844" s="129">
        <v>1</v>
      </c>
      <c r="AB844" s="157">
        <v>95.82</v>
      </c>
      <c r="AD844" s="131">
        <v>61.325000000000003</v>
      </c>
      <c r="AG844" s="6" t="s">
        <v>17</v>
      </c>
      <c r="AH844" s="132">
        <v>2.24E-4</v>
      </c>
      <c r="AI844" s="132">
        <v>3.3171776774907399E-3</v>
      </c>
      <c r="AJ844" s="132">
        <v>7.0250904113333397E-4</v>
      </c>
    </row>
    <row r="845" spans="1:36" x14ac:dyDescent="0.2">
      <c r="A845" s="6">
        <v>559</v>
      </c>
      <c r="B845" s="6">
        <v>7206</v>
      </c>
      <c r="C845" s="6" t="s">
        <v>1819</v>
      </c>
      <c r="D845" s="6" t="s">
        <v>1820</v>
      </c>
      <c r="E845" s="3" t="s">
        <v>1477</v>
      </c>
      <c r="F845" s="6" t="s">
        <v>1821</v>
      </c>
      <c r="G845" s="6" t="s">
        <v>1822</v>
      </c>
      <c r="H845" s="6" t="s">
        <v>76</v>
      </c>
      <c r="I845" s="6" t="s">
        <v>229</v>
      </c>
      <c r="J845" s="6" t="s">
        <v>53</v>
      </c>
      <c r="K845" s="6" t="s">
        <v>53</v>
      </c>
      <c r="L845" s="6" t="s">
        <v>805</v>
      </c>
      <c r="M845" s="6" t="s">
        <v>311</v>
      </c>
      <c r="N845" s="6" t="s">
        <v>256</v>
      </c>
      <c r="O845" s="6" t="s">
        <v>62</v>
      </c>
      <c r="P845" s="6" t="s">
        <v>1577</v>
      </c>
      <c r="Q845" s="6" t="s">
        <v>65</v>
      </c>
      <c r="R845" s="6" t="s">
        <v>57</v>
      </c>
      <c r="S845" s="6" t="s">
        <v>1219</v>
      </c>
      <c r="T845" s="131">
        <v>3.8740000000000001</v>
      </c>
      <c r="U845" s="6" t="s">
        <v>1823</v>
      </c>
      <c r="V845" s="134">
        <v>2.5899999999999999E-2</v>
      </c>
      <c r="W845" s="132">
        <v>2.7470000000000001E-2</v>
      </c>
      <c r="X845" s="3" t="s">
        <v>620</v>
      </c>
      <c r="Y845" s="3" t="s">
        <v>62</v>
      </c>
      <c r="Z845" s="131">
        <v>45000</v>
      </c>
      <c r="AA845" s="129">
        <v>1</v>
      </c>
      <c r="AB845" s="157">
        <v>105.24</v>
      </c>
      <c r="AD845" s="131">
        <v>47.357999999999997</v>
      </c>
      <c r="AG845" s="6" t="s">
        <v>17</v>
      </c>
      <c r="AH845" s="132">
        <v>6.6000000000000005E-5</v>
      </c>
      <c r="AI845" s="132">
        <v>2.5616811037661399E-3</v>
      </c>
      <c r="AJ845" s="132">
        <v>5.42510625254609E-4</v>
      </c>
    </row>
    <row r="846" spans="1:36" x14ac:dyDescent="0.2">
      <c r="A846" s="6">
        <v>559</v>
      </c>
      <c r="B846" s="6">
        <v>7206</v>
      </c>
      <c r="C846" s="6" t="s">
        <v>1824</v>
      </c>
      <c r="D846" s="6" t="s">
        <v>1825</v>
      </c>
      <c r="E846" s="3" t="s">
        <v>1477</v>
      </c>
      <c r="F846" s="6" t="s">
        <v>1826</v>
      </c>
      <c r="G846" s="6" t="s">
        <v>1827</v>
      </c>
      <c r="H846" s="6" t="s">
        <v>76</v>
      </c>
      <c r="I846" s="6" t="s">
        <v>229</v>
      </c>
      <c r="J846" s="6" t="s">
        <v>53</v>
      </c>
      <c r="K846" s="6" t="s">
        <v>53</v>
      </c>
      <c r="L846" s="6" t="s">
        <v>805</v>
      </c>
      <c r="M846" s="6" t="s">
        <v>102</v>
      </c>
      <c r="N846" s="6" t="s">
        <v>635</v>
      </c>
      <c r="O846" s="6" t="s">
        <v>62</v>
      </c>
      <c r="P846" s="6" t="s">
        <v>298</v>
      </c>
      <c r="Q846" s="6" t="s">
        <v>298</v>
      </c>
      <c r="R846" s="6" t="s">
        <v>298</v>
      </c>
      <c r="S846" s="6" t="s">
        <v>1219</v>
      </c>
      <c r="T846" s="131">
        <v>5.0380000000000003</v>
      </c>
      <c r="U846" s="6" t="s">
        <v>1828</v>
      </c>
      <c r="V846" s="134">
        <v>4.99E-2</v>
      </c>
      <c r="W846" s="132">
        <v>4.861E-2</v>
      </c>
      <c r="X846" s="3" t="s">
        <v>620</v>
      </c>
      <c r="Y846" s="3" t="s">
        <v>62</v>
      </c>
      <c r="Z846" s="131">
        <v>39000</v>
      </c>
      <c r="AA846" s="129">
        <v>1</v>
      </c>
      <c r="AB846" s="157">
        <v>100.85</v>
      </c>
      <c r="AD846" s="131">
        <v>39.331000000000003</v>
      </c>
      <c r="AG846" s="6" t="s">
        <v>17</v>
      </c>
      <c r="AH846" s="132">
        <v>3.0600000000000001E-4</v>
      </c>
      <c r="AI846" s="132">
        <v>2.1275129932171598E-3</v>
      </c>
      <c r="AJ846" s="132">
        <v>4.5056287548464198E-4</v>
      </c>
    </row>
    <row r="847" spans="1:36" x14ac:dyDescent="0.2">
      <c r="A847" s="6">
        <v>559</v>
      </c>
      <c r="B847" s="6">
        <v>7206</v>
      </c>
      <c r="C847" s="6" t="s">
        <v>1829</v>
      </c>
      <c r="D847" s="6" t="s">
        <v>1830</v>
      </c>
      <c r="E847" s="3" t="s">
        <v>1477</v>
      </c>
      <c r="F847" s="6" t="s">
        <v>1831</v>
      </c>
      <c r="G847" s="6" t="s">
        <v>1832</v>
      </c>
      <c r="H847" s="6" t="s">
        <v>76</v>
      </c>
      <c r="I847" s="6" t="s">
        <v>228</v>
      </c>
      <c r="J847" s="6" t="s">
        <v>53</v>
      </c>
      <c r="K847" s="6" t="s">
        <v>53</v>
      </c>
      <c r="L847" s="6" t="s">
        <v>805</v>
      </c>
      <c r="M847" s="6" t="s">
        <v>311</v>
      </c>
      <c r="N847" s="6" t="s">
        <v>140</v>
      </c>
      <c r="O847" s="6" t="s">
        <v>62</v>
      </c>
      <c r="P847" s="6" t="s">
        <v>1515</v>
      </c>
      <c r="Q847" s="6" t="s">
        <v>65</v>
      </c>
      <c r="R847" s="6" t="s">
        <v>57</v>
      </c>
      <c r="S847" s="6" t="s">
        <v>1219</v>
      </c>
      <c r="T847" s="131">
        <v>1.4570000000000001</v>
      </c>
      <c r="U847" s="6" t="s">
        <v>1644</v>
      </c>
      <c r="V847" s="134">
        <v>3.95E-2</v>
      </c>
      <c r="W847" s="132">
        <v>5.5649999999999998E-2</v>
      </c>
      <c r="X847" s="3" t="s">
        <v>620</v>
      </c>
      <c r="Y847" s="3" t="s">
        <v>62</v>
      </c>
      <c r="Z847" s="131">
        <v>5600</v>
      </c>
      <c r="AA847" s="129">
        <v>1</v>
      </c>
      <c r="AB847" s="157">
        <v>97.85</v>
      </c>
      <c r="AD847" s="131">
        <v>5.48</v>
      </c>
      <c r="AG847" s="6" t="s">
        <v>17</v>
      </c>
      <c r="AH847" s="132">
        <v>1.0000000000000001E-5</v>
      </c>
      <c r="AI847" s="132">
        <v>2.9640161696433499E-4</v>
      </c>
      <c r="AJ847" s="132">
        <v>6.2771680014889897E-5</v>
      </c>
    </row>
    <row r="848" spans="1:36" x14ac:dyDescent="0.2">
      <c r="A848" s="6">
        <v>559</v>
      </c>
      <c r="B848" s="6">
        <v>7206</v>
      </c>
      <c r="C848" s="6" t="s">
        <v>1833</v>
      </c>
      <c r="D848" s="6" t="s">
        <v>1834</v>
      </c>
      <c r="E848" s="3" t="s">
        <v>432</v>
      </c>
      <c r="F848" s="6" t="s">
        <v>1835</v>
      </c>
      <c r="G848" s="6" t="s">
        <v>1836</v>
      </c>
      <c r="H848" s="6" t="s">
        <v>76</v>
      </c>
      <c r="I848" s="6" t="s">
        <v>230</v>
      </c>
      <c r="J848" s="6" t="s">
        <v>53</v>
      </c>
      <c r="K848" s="6" t="s">
        <v>53</v>
      </c>
      <c r="L848" s="6" t="s">
        <v>805</v>
      </c>
      <c r="M848" s="6" t="s">
        <v>311</v>
      </c>
      <c r="N848" s="6" t="s">
        <v>267</v>
      </c>
      <c r="O848" s="6" t="s">
        <v>62</v>
      </c>
      <c r="P848" s="6" t="s">
        <v>1533</v>
      </c>
      <c r="Q848" s="6" t="s">
        <v>65</v>
      </c>
      <c r="R848" s="6" t="s">
        <v>57</v>
      </c>
      <c r="S848" s="6" t="s">
        <v>1219</v>
      </c>
      <c r="T848" s="131">
        <v>2.86</v>
      </c>
      <c r="U848" s="6" t="s">
        <v>1837</v>
      </c>
      <c r="V848" s="134">
        <v>3.7699999999999997E-2</v>
      </c>
      <c r="W848" s="132">
        <v>5.6959999999999997E-2</v>
      </c>
      <c r="X848" s="3" t="s">
        <v>620</v>
      </c>
      <c r="Y848" s="3" t="s">
        <v>62</v>
      </c>
      <c r="Z848" s="131">
        <v>23895.75</v>
      </c>
      <c r="AA848" s="129">
        <v>1</v>
      </c>
      <c r="AB848" s="157">
        <v>94.84</v>
      </c>
      <c r="AD848" s="131">
        <v>22.663</v>
      </c>
      <c r="AG848" s="6" t="s">
        <v>17</v>
      </c>
      <c r="AH848" s="132">
        <v>1.4300000000000001E-4</v>
      </c>
      <c r="AI848" s="132">
        <v>1.2258686052531199E-3</v>
      </c>
      <c r="AJ848" s="132">
        <v>2.5961340095694398E-4</v>
      </c>
    </row>
    <row r="849" spans="1:36" x14ac:dyDescent="0.2">
      <c r="A849" s="6">
        <v>559</v>
      </c>
      <c r="B849" s="6">
        <v>7206</v>
      </c>
      <c r="C849" s="6" t="s">
        <v>1833</v>
      </c>
      <c r="D849" s="6" t="s">
        <v>1834</v>
      </c>
      <c r="E849" s="3" t="s">
        <v>432</v>
      </c>
      <c r="F849" s="6" t="s">
        <v>1838</v>
      </c>
      <c r="G849" s="6" t="s">
        <v>1839</v>
      </c>
      <c r="H849" s="6" t="s">
        <v>76</v>
      </c>
      <c r="I849" s="6" t="s">
        <v>230</v>
      </c>
      <c r="J849" s="6" t="s">
        <v>53</v>
      </c>
      <c r="K849" s="6" t="s">
        <v>53</v>
      </c>
      <c r="L849" s="6" t="s">
        <v>805</v>
      </c>
      <c r="M849" s="6" t="s">
        <v>311</v>
      </c>
      <c r="N849" s="6" t="s">
        <v>267</v>
      </c>
      <c r="O849" s="6" t="s">
        <v>62</v>
      </c>
      <c r="P849" s="6" t="s">
        <v>1533</v>
      </c>
      <c r="Q849" s="6" t="s">
        <v>65</v>
      </c>
      <c r="R849" s="6" t="s">
        <v>57</v>
      </c>
      <c r="S849" s="6" t="s">
        <v>1219</v>
      </c>
      <c r="T849" s="131">
        <v>0.27400000000000002</v>
      </c>
      <c r="U849" s="6" t="s">
        <v>1840</v>
      </c>
      <c r="V849" s="134">
        <v>3.49E-2</v>
      </c>
      <c r="W849" s="132">
        <v>2.896E-2</v>
      </c>
      <c r="X849" s="3" t="s">
        <v>620</v>
      </c>
      <c r="Y849" s="3" t="s">
        <v>62</v>
      </c>
      <c r="Z849" s="131">
        <v>57000.04</v>
      </c>
      <c r="AA849" s="129">
        <v>1</v>
      </c>
      <c r="AB849" s="157">
        <v>94.47</v>
      </c>
      <c r="AD849" s="131">
        <v>53.847999999999999</v>
      </c>
      <c r="AG849" s="6" t="s">
        <v>17</v>
      </c>
      <c r="AH849" s="132">
        <v>1.7000000000000001E-4</v>
      </c>
      <c r="AI849" s="132">
        <v>2.91273374526573E-3</v>
      </c>
      <c r="AJ849" s="132">
        <v>6.1685625233411903E-4</v>
      </c>
    </row>
    <row r="850" spans="1:36" x14ac:dyDescent="0.2">
      <c r="A850" s="6">
        <v>559</v>
      </c>
      <c r="B850" s="6">
        <v>7206</v>
      </c>
      <c r="C850" s="6" t="s">
        <v>1841</v>
      </c>
      <c r="D850" s="6" t="s">
        <v>1842</v>
      </c>
      <c r="E850" s="3" t="s">
        <v>1477</v>
      </c>
      <c r="F850" s="6" t="s">
        <v>1843</v>
      </c>
      <c r="G850" s="6" t="s">
        <v>1844</v>
      </c>
      <c r="H850" s="6" t="s">
        <v>76</v>
      </c>
      <c r="I850" s="6" t="s">
        <v>229</v>
      </c>
      <c r="J850" s="6" t="s">
        <v>53</v>
      </c>
      <c r="K850" s="6" t="s">
        <v>53</v>
      </c>
      <c r="L850" s="6" t="s">
        <v>805</v>
      </c>
      <c r="M850" s="6" t="s">
        <v>311</v>
      </c>
      <c r="N850" s="6" t="s">
        <v>635</v>
      </c>
      <c r="O850" s="6" t="s">
        <v>62</v>
      </c>
      <c r="P850" s="6" t="s">
        <v>1533</v>
      </c>
      <c r="Q850" s="6" t="s">
        <v>65</v>
      </c>
      <c r="R850" s="6" t="s">
        <v>57</v>
      </c>
      <c r="S850" s="6" t="s">
        <v>1219</v>
      </c>
      <c r="T850" s="131">
        <v>1.7569999999999999</v>
      </c>
      <c r="U850" s="6" t="s">
        <v>1845</v>
      </c>
      <c r="V850" s="134">
        <v>1.5800000000000002E-2</v>
      </c>
      <c r="W850" s="132">
        <v>2.7789999999999999E-2</v>
      </c>
      <c r="X850" s="3" t="s">
        <v>620</v>
      </c>
      <c r="Y850" s="3" t="s">
        <v>62</v>
      </c>
      <c r="Z850" s="131">
        <v>70583.33</v>
      </c>
      <c r="AA850" s="129">
        <v>1</v>
      </c>
      <c r="AB850" s="157">
        <v>116.04</v>
      </c>
      <c r="AD850" s="131">
        <v>81.905000000000001</v>
      </c>
      <c r="AG850" s="6" t="s">
        <v>17</v>
      </c>
      <c r="AH850" s="132">
        <v>1.7899999999999999E-4</v>
      </c>
      <c r="AI850" s="132">
        <v>4.4303860958501903E-3</v>
      </c>
      <c r="AJ850" s="132">
        <v>9.3826336441541402E-4</v>
      </c>
    </row>
    <row r="851" spans="1:36" x14ac:dyDescent="0.2">
      <c r="A851" s="6">
        <v>559</v>
      </c>
      <c r="B851" s="6">
        <v>7206</v>
      </c>
      <c r="C851" s="6" t="s">
        <v>1841</v>
      </c>
      <c r="D851" s="6" t="s">
        <v>1842</v>
      </c>
      <c r="E851" s="3" t="s">
        <v>1477</v>
      </c>
      <c r="F851" s="6" t="s">
        <v>1846</v>
      </c>
      <c r="G851" s="6" t="s">
        <v>1847</v>
      </c>
      <c r="H851" s="6" t="s">
        <v>76</v>
      </c>
      <c r="I851" s="6" t="s">
        <v>228</v>
      </c>
      <c r="J851" s="6" t="s">
        <v>53</v>
      </c>
      <c r="K851" s="6" t="s">
        <v>53</v>
      </c>
      <c r="L851" s="6" t="s">
        <v>805</v>
      </c>
      <c r="M851" s="6" t="s">
        <v>311</v>
      </c>
      <c r="N851" s="6" t="s">
        <v>635</v>
      </c>
      <c r="O851" s="6" t="s">
        <v>62</v>
      </c>
      <c r="P851" s="6" t="s">
        <v>1577</v>
      </c>
      <c r="Q851" s="6" t="s">
        <v>65</v>
      </c>
      <c r="R851" s="6" t="s">
        <v>57</v>
      </c>
      <c r="S851" s="6" t="s">
        <v>1219</v>
      </c>
      <c r="T851" s="131">
        <v>1.121</v>
      </c>
      <c r="U851" s="6" t="s">
        <v>1848</v>
      </c>
      <c r="V851" s="134">
        <v>5.0500000000000003E-2</v>
      </c>
      <c r="W851" s="132">
        <v>4.7960000000000003E-2</v>
      </c>
      <c r="X851" s="3" t="s">
        <v>620</v>
      </c>
      <c r="Y851" s="3" t="s">
        <v>62</v>
      </c>
      <c r="Z851" s="131">
        <v>13000</v>
      </c>
      <c r="AA851" s="129">
        <v>1</v>
      </c>
      <c r="AB851" s="157">
        <v>102.04</v>
      </c>
      <c r="AD851" s="131">
        <v>13.265000000000001</v>
      </c>
      <c r="AG851" s="6" t="s">
        <v>17</v>
      </c>
      <c r="AH851" s="132">
        <v>6.9999999999999994E-5</v>
      </c>
      <c r="AI851" s="132">
        <v>7.1753900455421801E-4</v>
      </c>
      <c r="AJ851" s="132">
        <v>1.51959794461917E-4</v>
      </c>
    </row>
    <row r="852" spans="1:36" x14ac:dyDescent="0.2">
      <c r="A852" s="6">
        <v>559</v>
      </c>
      <c r="B852" s="6">
        <v>7206</v>
      </c>
      <c r="C852" s="6" t="s">
        <v>1841</v>
      </c>
      <c r="D852" s="6" t="s">
        <v>1842</v>
      </c>
      <c r="E852" s="3" t="s">
        <v>1477</v>
      </c>
      <c r="F852" s="6" t="s">
        <v>2497</v>
      </c>
      <c r="G852" s="6" t="s">
        <v>2498</v>
      </c>
      <c r="H852" s="6" t="s">
        <v>76</v>
      </c>
      <c r="I852" s="6" t="s">
        <v>229</v>
      </c>
      <c r="J852" s="6" t="s">
        <v>53</v>
      </c>
      <c r="K852" s="6" t="s">
        <v>53</v>
      </c>
      <c r="L852" s="6" t="s">
        <v>805</v>
      </c>
      <c r="M852" s="6" t="s">
        <v>311</v>
      </c>
      <c r="N852" s="6" t="s">
        <v>635</v>
      </c>
      <c r="O852" s="6" t="s">
        <v>62</v>
      </c>
      <c r="P852" s="6" t="s">
        <v>1533</v>
      </c>
      <c r="Q852" s="6" t="s">
        <v>65</v>
      </c>
      <c r="R852" s="6" t="s">
        <v>57</v>
      </c>
      <c r="S852" s="6" t="s">
        <v>1219</v>
      </c>
      <c r="T852" s="131">
        <v>4.2240000000000002</v>
      </c>
      <c r="U852" s="6" t="s">
        <v>2499</v>
      </c>
      <c r="V852" s="134">
        <v>8.3999999999999995E-3</v>
      </c>
      <c r="W852" s="132">
        <v>2.7869999999999999E-2</v>
      </c>
      <c r="X852" s="3" t="s">
        <v>620</v>
      </c>
      <c r="Y852" s="3" t="s">
        <v>62</v>
      </c>
      <c r="Z852" s="131">
        <v>33000.92</v>
      </c>
      <c r="AA852" s="129">
        <v>1</v>
      </c>
      <c r="AB852" s="157">
        <v>107.28</v>
      </c>
      <c r="AD852" s="131">
        <v>35.402999999999999</v>
      </c>
      <c r="AG852" s="6" t="s">
        <v>17</v>
      </c>
      <c r="AH852" s="132">
        <v>4.3000000000000002E-5</v>
      </c>
      <c r="AI852" s="132">
        <v>1.9150341531682E-3</v>
      </c>
      <c r="AJ852" s="132">
        <v>4.0556428912708802E-4</v>
      </c>
    </row>
    <row r="853" spans="1:36" x14ac:dyDescent="0.2">
      <c r="A853" s="6">
        <v>559</v>
      </c>
      <c r="B853" s="6">
        <v>7206</v>
      </c>
      <c r="C853" s="6" t="s">
        <v>1849</v>
      </c>
      <c r="D853" s="6" t="s">
        <v>1850</v>
      </c>
      <c r="E853" s="3" t="s">
        <v>1477</v>
      </c>
      <c r="F853" s="6" t="s">
        <v>1851</v>
      </c>
      <c r="G853" s="6" t="s">
        <v>1852</v>
      </c>
      <c r="H853" s="6" t="s">
        <v>76</v>
      </c>
      <c r="I853" s="6" t="s">
        <v>607</v>
      </c>
      <c r="J853" s="6" t="s">
        <v>53</v>
      </c>
      <c r="K853" s="6" t="s">
        <v>53</v>
      </c>
      <c r="L853" s="6" t="s">
        <v>805</v>
      </c>
      <c r="M853" s="6" t="s">
        <v>311</v>
      </c>
      <c r="N853" s="6" t="s">
        <v>269</v>
      </c>
      <c r="O853" s="6" t="s">
        <v>62</v>
      </c>
      <c r="P853" s="6" t="s">
        <v>1577</v>
      </c>
      <c r="Q853" s="6" t="s">
        <v>65</v>
      </c>
      <c r="R853" s="6" t="s">
        <v>57</v>
      </c>
      <c r="S853" s="6" t="s">
        <v>1219</v>
      </c>
      <c r="T853" s="131">
        <v>2.6040000000000001</v>
      </c>
      <c r="U853" s="6" t="s">
        <v>1608</v>
      </c>
      <c r="V853" s="134">
        <v>2.8000000000000001E-2</v>
      </c>
      <c r="W853" s="132">
        <v>1E-4</v>
      </c>
      <c r="X853" s="3" t="s">
        <v>620</v>
      </c>
      <c r="Y853" s="3" t="s">
        <v>62</v>
      </c>
      <c r="Z853" s="131">
        <v>264000</v>
      </c>
      <c r="AA853" s="129">
        <v>1</v>
      </c>
      <c r="AB853" s="157">
        <v>183.2</v>
      </c>
      <c r="AD853" s="131">
        <v>483.64800000000002</v>
      </c>
      <c r="AG853" s="6" t="s">
        <v>17</v>
      </c>
      <c r="AH853" s="132">
        <v>1.7600000000000001E-3</v>
      </c>
      <c r="AI853" s="132">
        <v>2.6161407628579901E-2</v>
      </c>
      <c r="AJ853" s="132">
        <v>5.5404404510988898E-3</v>
      </c>
    </row>
    <row r="854" spans="1:36" x14ac:dyDescent="0.2">
      <c r="A854" s="6">
        <v>559</v>
      </c>
      <c r="B854" s="6">
        <v>7206</v>
      </c>
      <c r="C854" s="6" t="s">
        <v>1220</v>
      </c>
      <c r="D854" s="6" t="s">
        <v>1483</v>
      </c>
      <c r="E854" s="3" t="s">
        <v>1477</v>
      </c>
      <c r="F854" s="6" t="s">
        <v>1853</v>
      </c>
      <c r="G854" s="6" t="s">
        <v>1854</v>
      </c>
      <c r="H854" s="6" t="s">
        <v>76</v>
      </c>
      <c r="I854" s="6" t="s">
        <v>229</v>
      </c>
      <c r="J854" s="6" t="s">
        <v>53</v>
      </c>
      <c r="K854" s="6" t="s">
        <v>53</v>
      </c>
      <c r="L854" s="6" t="s">
        <v>805</v>
      </c>
      <c r="M854" s="6" t="s">
        <v>311</v>
      </c>
      <c r="N854" s="6" t="s">
        <v>256</v>
      </c>
      <c r="O854" s="6" t="s">
        <v>62</v>
      </c>
      <c r="P854" s="6" t="s">
        <v>1213</v>
      </c>
      <c r="Q854" s="6" t="s">
        <v>65</v>
      </c>
      <c r="R854" s="6" t="s">
        <v>57</v>
      </c>
      <c r="S854" s="6" t="s">
        <v>1219</v>
      </c>
      <c r="T854" s="131">
        <v>2.0920000000000001</v>
      </c>
      <c r="U854" s="6" t="s">
        <v>1299</v>
      </c>
      <c r="V854" s="134">
        <v>1.8599999999999998E-2</v>
      </c>
      <c r="W854" s="132">
        <v>2.5680000000000001E-2</v>
      </c>
      <c r="X854" s="3" t="s">
        <v>620</v>
      </c>
      <c r="Y854" s="3" t="s">
        <v>62</v>
      </c>
      <c r="Z854" s="131">
        <v>515000</v>
      </c>
      <c r="AA854" s="129">
        <v>1</v>
      </c>
      <c r="AB854" s="157">
        <v>104.2</v>
      </c>
      <c r="AD854" s="131">
        <v>536.63</v>
      </c>
      <c r="AG854" s="6" t="s">
        <v>17</v>
      </c>
      <c r="AH854" s="132">
        <v>1.7899999999999999E-4</v>
      </c>
      <c r="AI854" s="132">
        <v>2.9027301210228999E-2</v>
      </c>
      <c r="AJ854" s="132">
        <v>6.14737693378903E-3</v>
      </c>
    </row>
    <row r="855" spans="1:36" x14ac:dyDescent="0.2">
      <c r="A855" s="6">
        <v>559</v>
      </c>
      <c r="B855" s="6">
        <v>7206</v>
      </c>
      <c r="C855" s="6" t="s">
        <v>1220</v>
      </c>
      <c r="D855" s="6" t="s">
        <v>1483</v>
      </c>
      <c r="E855" s="3" t="s">
        <v>1477</v>
      </c>
      <c r="F855" s="6" t="s">
        <v>1855</v>
      </c>
      <c r="G855" s="6" t="s">
        <v>1856</v>
      </c>
      <c r="H855" s="6" t="s">
        <v>76</v>
      </c>
      <c r="I855" s="6" t="s">
        <v>229</v>
      </c>
      <c r="J855" s="6" t="s">
        <v>53</v>
      </c>
      <c r="K855" s="6" t="s">
        <v>53</v>
      </c>
      <c r="L855" s="6" t="s">
        <v>805</v>
      </c>
      <c r="M855" s="6" t="s">
        <v>311</v>
      </c>
      <c r="N855" s="6" t="s">
        <v>256</v>
      </c>
      <c r="O855" s="6" t="s">
        <v>62</v>
      </c>
      <c r="P855" s="6" t="s">
        <v>1213</v>
      </c>
      <c r="Q855" s="6" t="s">
        <v>65</v>
      </c>
      <c r="R855" s="6" t="s">
        <v>57</v>
      </c>
      <c r="S855" s="6" t="s">
        <v>1219</v>
      </c>
      <c r="T855" s="131">
        <v>0.995</v>
      </c>
      <c r="U855" s="6" t="s">
        <v>1595</v>
      </c>
      <c r="V855" s="134">
        <v>8.3000000000000001E-3</v>
      </c>
      <c r="W855" s="132">
        <v>2.4899999999999999E-2</v>
      </c>
      <c r="X855" s="3" t="s">
        <v>620</v>
      </c>
      <c r="Y855" s="3" t="s">
        <v>62</v>
      </c>
      <c r="Z855" s="131">
        <v>204000</v>
      </c>
      <c r="AA855" s="129">
        <v>1</v>
      </c>
      <c r="AB855" s="157">
        <v>115.16</v>
      </c>
      <c r="AD855" s="131">
        <v>234.92599999999999</v>
      </c>
      <c r="AG855" s="6" t="s">
        <v>17</v>
      </c>
      <c r="AH855" s="132">
        <v>1.34E-4</v>
      </c>
      <c r="AI855" s="132">
        <v>1.2707599975839499E-2</v>
      </c>
      <c r="AJ855" s="132">
        <v>2.6912046149080299E-3</v>
      </c>
    </row>
    <row r="856" spans="1:36" x14ac:dyDescent="0.2">
      <c r="A856" s="6">
        <v>559</v>
      </c>
      <c r="B856" s="6">
        <v>7206</v>
      </c>
      <c r="C856" s="6" t="s">
        <v>1220</v>
      </c>
      <c r="D856" s="6" t="s">
        <v>1483</v>
      </c>
      <c r="E856" s="3" t="s">
        <v>1477</v>
      </c>
      <c r="F856" s="6" t="s">
        <v>2354</v>
      </c>
      <c r="G856" s="6" t="s">
        <v>2355</v>
      </c>
      <c r="H856" s="6" t="s">
        <v>76</v>
      </c>
      <c r="I856" s="6" t="s">
        <v>229</v>
      </c>
      <c r="J856" s="6" t="s">
        <v>53</v>
      </c>
      <c r="K856" s="6" t="s">
        <v>53</v>
      </c>
      <c r="L856" s="6" t="s">
        <v>805</v>
      </c>
      <c r="M856" s="6" t="s">
        <v>311</v>
      </c>
      <c r="N856" s="6" t="s">
        <v>256</v>
      </c>
      <c r="O856" s="6" t="s">
        <v>62</v>
      </c>
      <c r="P856" s="6" t="s">
        <v>1213</v>
      </c>
      <c r="Q856" s="6" t="s">
        <v>65</v>
      </c>
      <c r="R856" s="6" t="s">
        <v>57</v>
      </c>
      <c r="S856" s="6" t="s">
        <v>1219</v>
      </c>
      <c r="T856" s="131">
        <v>2.3969999999999998</v>
      </c>
      <c r="U856" s="6" t="s">
        <v>2356</v>
      </c>
      <c r="V856" s="134">
        <v>1E-3</v>
      </c>
      <c r="W856" s="132">
        <v>2.4969999999999999E-2</v>
      </c>
      <c r="X856" s="3" t="s">
        <v>620</v>
      </c>
      <c r="Y856" s="3" t="s">
        <v>62</v>
      </c>
      <c r="Z856" s="131">
        <v>75000</v>
      </c>
      <c r="AA856" s="129">
        <v>1</v>
      </c>
      <c r="AB856" s="157">
        <v>107.95</v>
      </c>
      <c r="AD856" s="131">
        <v>80.962999999999994</v>
      </c>
      <c r="AG856" s="6" t="s">
        <v>17</v>
      </c>
      <c r="AH856" s="132">
        <v>2.4000000000000001E-5</v>
      </c>
      <c r="AI856" s="132">
        <v>4.3794101601348501E-3</v>
      </c>
      <c r="AJ856" s="132">
        <v>9.2746772450644699E-4</v>
      </c>
    </row>
    <row r="857" spans="1:36" x14ac:dyDescent="0.2">
      <c r="A857" s="6">
        <v>559</v>
      </c>
      <c r="B857" s="6">
        <v>7206</v>
      </c>
      <c r="C857" s="6" t="s">
        <v>1220</v>
      </c>
      <c r="D857" s="6" t="s">
        <v>1483</v>
      </c>
      <c r="E857" s="3" t="s">
        <v>1477</v>
      </c>
      <c r="F857" s="6" t="s">
        <v>1857</v>
      </c>
      <c r="G857" s="6" t="s">
        <v>1858</v>
      </c>
      <c r="H857" s="6" t="s">
        <v>76</v>
      </c>
      <c r="I857" s="6" t="s">
        <v>228</v>
      </c>
      <c r="J857" s="6" t="s">
        <v>53</v>
      </c>
      <c r="K857" s="6" t="s">
        <v>53</v>
      </c>
      <c r="L857" s="6" t="s">
        <v>805</v>
      </c>
      <c r="M857" s="6" t="s">
        <v>311</v>
      </c>
      <c r="N857" s="6" t="s">
        <v>256</v>
      </c>
      <c r="O857" s="6" t="s">
        <v>62</v>
      </c>
      <c r="P857" s="6" t="s">
        <v>1213</v>
      </c>
      <c r="Q857" s="6" t="s">
        <v>65</v>
      </c>
      <c r="R857" s="6" t="s">
        <v>57</v>
      </c>
      <c r="S857" s="6" t="s">
        <v>1219</v>
      </c>
      <c r="T857" s="131">
        <v>2.4529999999999998</v>
      </c>
      <c r="U857" s="6" t="s">
        <v>1859</v>
      </c>
      <c r="V857" s="134">
        <v>2.76E-2</v>
      </c>
      <c r="W857" s="132">
        <v>4.3869999999999999E-2</v>
      </c>
      <c r="X857" s="3" t="s">
        <v>620</v>
      </c>
      <c r="Y857" s="3" t="s">
        <v>62</v>
      </c>
      <c r="Z857" s="131">
        <v>119000</v>
      </c>
      <c r="AA857" s="129">
        <v>1</v>
      </c>
      <c r="AB857" s="157">
        <v>96.65</v>
      </c>
      <c r="AD857" s="131">
        <v>115.01300000000001</v>
      </c>
      <c r="AG857" s="6" t="s">
        <v>17</v>
      </c>
      <c r="AH857" s="132">
        <v>5.5000000000000002E-5</v>
      </c>
      <c r="AI857" s="132">
        <v>6.2212912206598102E-3</v>
      </c>
      <c r="AJ857" s="132">
        <v>1.31753971446685E-3</v>
      </c>
    </row>
    <row r="858" spans="1:36" x14ac:dyDescent="0.2">
      <c r="A858" s="6">
        <v>559</v>
      </c>
      <c r="B858" s="6">
        <v>7206</v>
      </c>
      <c r="C858" s="6" t="s">
        <v>1220</v>
      </c>
      <c r="D858" s="6" t="s">
        <v>1483</v>
      </c>
      <c r="E858" s="3" t="s">
        <v>1477</v>
      </c>
      <c r="F858" s="6" t="s">
        <v>1860</v>
      </c>
      <c r="G858" s="6" t="s">
        <v>1861</v>
      </c>
      <c r="H858" s="6" t="s">
        <v>76</v>
      </c>
      <c r="I858" s="6" t="s">
        <v>229</v>
      </c>
      <c r="J858" s="6" t="s">
        <v>53</v>
      </c>
      <c r="K858" s="6" t="s">
        <v>53</v>
      </c>
      <c r="L858" s="6" t="s">
        <v>805</v>
      </c>
      <c r="M858" s="6" t="s">
        <v>311</v>
      </c>
      <c r="N858" s="6" t="s">
        <v>256</v>
      </c>
      <c r="O858" s="6" t="s">
        <v>62</v>
      </c>
      <c r="P858" s="6" t="s">
        <v>1213</v>
      </c>
      <c r="Q858" s="6" t="s">
        <v>65</v>
      </c>
      <c r="R858" s="6" t="s">
        <v>57</v>
      </c>
      <c r="S858" s="6" t="s">
        <v>1219</v>
      </c>
      <c r="T858" s="131">
        <v>4.3879999999999999</v>
      </c>
      <c r="U858" s="6" t="s">
        <v>1862</v>
      </c>
      <c r="V858" s="134">
        <v>2.0199999999999999E-2</v>
      </c>
      <c r="W858" s="132">
        <v>2.6360000000000001E-2</v>
      </c>
      <c r="X858" s="3" t="s">
        <v>620</v>
      </c>
      <c r="Y858" s="3" t="s">
        <v>62</v>
      </c>
      <c r="Z858" s="131">
        <v>63000</v>
      </c>
      <c r="AA858" s="129">
        <v>1</v>
      </c>
      <c r="AB858" s="157">
        <v>102.52</v>
      </c>
      <c r="AD858" s="131">
        <v>64.587999999999994</v>
      </c>
      <c r="AG858" s="6" t="s">
        <v>17</v>
      </c>
      <c r="AH858" s="132">
        <v>1.8E-5</v>
      </c>
      <c r="AI858" s="132">
        <v>3.49366177747384E-3</v>
      </c>
      <c r="AJ858" s="132">
        <v>7.3988469233697801E-4</v>
      </c>
    </row>
    <row r="859" spans="1:36" x14ac:dyDescent="0.2">
      <c r="A859" s="6">
        <v>559</v>
      </c>
      <c r="B859" s="6">
        <v>7206</v>
      </c>
      <c r="C859" s="6" t="s">
        <v>1220</v>
      </c>
      <c r="D859" s="6" t="s">
        <v>1483</v>
      </c>
      <c r="E859" s="3" t="s">
        <v>1477</v>
      </c>
      <c r="F859" s="6" t="s">
        <v>1863</v>
      </c>
      <c r="G859" s="6" t="s">
        <v>1864</v>
      </c>
      <c r="H859" s="6" t="s">
        <v>76</v>
      </c>
      <c r="I859" s="6" t="s">
        <v>229</v>
      </c>
      <c r="J859" s="6" t="s">
        <v>53</v>
      </c>
      <c r="K859" s="6" t="s">
        <v>53</v>
      </c>
      <c r="L859" s="6" t="s">
        <v>805</v>
      </c>
      <c r="M859" s="6" t="s">
        <v>311</v>
      </c>
      <c r="N859" s="6" t="s">
        <v>256</v>
      </c>
      <c r="O859" s="6" t="s">
        <v>62</v>
      </c>
      <c r="P859" s="6" t="s">
        <v>1213</v>
      </c>
      <c r="Q859" s="6" t="s">
        <v>65</v>
      </c>
      <c r="R859" s="6" t="s">
        <v>57</v>
      </c>
      <c r="S859" s="6" t="s">
        <v>1219</v>
      </c>
      <c r="T859" s="131">
        <v>4.3920000000000003</v>
      </c>
      <c r="U859" s="6" t="s">
        <v>1865</v>
      </c>
      <c r="V859" s="134">
        <v>1E-3</v>
      </c>
      <c r="W859" s="132">
        <v>2.581E-2</v>
      </c>
      <c r="X859" s="3" t="s">
        <v>620</v>
      </c>
      <c r="Y859" s="3" t="s">
        <v>62</v>
      </c>
      <c r="Z859" s="131">
        <v>112000</v>
      </c>
      <c r="AA859" s="129">
        <v>1</v>
      </c>
      <c r="AB859" s="157">
        <v>102.6</v>
      </c>
      <c r="AD859" s="131">
        <v>114.91200000000001</v>
      </c>
      <c r="AG859" s="6" t="s">
        <v>17</v>
      </c>
      <c r="AH859" s="132">
        <v>2.5999999999999998E-5</v>
      </c>
      <c r="AI859" s="132">
        <v>6.2158008994462402E-3</v>
      </c>
      <c r="AJ859" s="132">
        <v>1.3163769789530299E-3</v>
      </c>
    </row>
    <row r="860" spans="1:36" x14ac:dyDescent="0.2">
      <c r="A860" s="6">
        <v>559</v>
      </c>
      <c r="B860" s="6">
        <v>7206</v>
      </c>
      <c r="C860" s="6" t="s">
        <v>1866</v>
      </c>
      <c r="D860" s="6" t="s">
        <v>1867</v>
      </c>
      <c r="E860" s="3" t="s">
        <v>1477</v>
      </c>
      <c r="F860" s="6" t="s">
        <v>1868</v>
      </c>
      <c r="G860" s="6" t="s">
        <v>1869</v>
      </c>
      <c r="H860" s="6" t="s">
        <v>76</v>
      </c>
      <c r="I860" s="6" t="s">
        <v>228</v>
      </c>
      <c r="J860" s="6" t="s">
        <v>53</v>
      </c>
      <c r="K860" s="6" t="s">
        <v>53</v>
      </c>
      <c r="L860" s="6" t="s">
        <v>805</v>
      </c>
      <c r="M860" s="6" t="s">
        <v>311</v>
      </c>
      <c r="N860" s="6" t="s">
        <v>140</v>
      </c>
      <c r="O860" s="6" t="s">
        <v>62</v>
      </c>
      <c r="P860" s="6" t="s">
        <v>298</v>
      </c>
      <c r="Q860" s="6" t="s">
        <v>298</v>
      </c>
      <c r="R860" s="6" t="s">
        <v>298</v>
      </c>
      <c r="S860" s="6" t="s">
        <v>1219</v>
      </c>
      <c r="T860" s="131">
        <v>3.8039999999999998</v>
      </c>
      <c r="U860" s="6" t="s">
        <v>1870</v>
      </c>
      <c r="V860" s="134">
        <v>6.7299999999999999E-2</v>
      </c>
      <c r="W860" s="132">
        <v>5.4149999999999997E-2</v>
      </c>
      <c r="X860" s="3" t="s">
        <v>620</v>
      </c>
      <c r="Y860" s="3" t="s">
        <v>62</v>
      </c>
      <c r="Z860" s="131">
        <v>24557</v>
      </c>
      <c r="AA860" s="129">
        <v>1</v>
      </c>
      <c r="AB860" s="157">
        <v>105.77</v>
      </c>
      <c r="AD860" s="131">
        <v>25.974</v>
      </c>
      <c r="AG860" s="6" t="s">
        <v>17</v>
      </c>
      <c r="AH860" s="132">
        <v>9.5000000000000005E-5</v>
      </c>
      <c r="AI860" s="132">
        <v>1.40497800731674E-3</v>
      </c>
      <c r="AJ860" s="132">
        <v>2.9754503638168897E-4</v>
      </c>
    </row>
    <row r="861" spans="1:36" x14ac:dyDescent="0.2">
      <c r="A861" s="6">
        <v>559</v>
      </c>
      <c r="B861" s="6">
        <v>7206</v>
      </c>
      <c r="C861" s="6" t="s">
        <v>2357</v>
      </c>
      <c r="D861" s="6" t="s">
        <v>2358</v>
      </c>
      <c r="E861" s="3" t="s">
        <v>1477</v>
      </c>
      <c r="F861" s="6" t="s">
        <v>2359</v>
      </c>
      <c r="G861" s="6" t="s">
        <v>2360</v>
      </c>
      <c r="H861" s="6" t="s">
        <v>76</v>
      </c>
      <c r="I861" s="6" t="s">
        <v>228</v>
      </c>
      <c r="J861" s="6" t="s">
        <v>53</v>
      </c>
      <c r="K861" s="6" t="s">
        <v>53</v>
      </c>
      <c r="L861" s="6" t="s">
        <v>805</v>
      </c>
      <c r="M861" s="6" t="s">
        <v>311</v>
      </c>
      <c r="N861" s="6" t="s">
        <v>140</v>
      </c>
      <c r="O861" s="6" t="s">
        <v>62</v>
      </c>
      <c r="P861" s="6" t="s">
        <v>298</v>
      </c>
      <c r="Q861" s="6" t="s">
        <v>298</v>
      </c>
      <c r="R861" s="6" t="s">
        <v>298</v>
      </c>
      <c r="S861" s="6" t="s">
        <v>1219</v>
      </c>
      <c r="T861" s="131">
        <v>1.1779999999999999</v>
      </c>
      <c r="U861" s="6" t="s">
        <v>1285</v>
      </c>
      <c r="V861" s="134">
        <v>8.5000000000000006E-2</v>
      </c>
      <c r="W861" s="132">
        <v>7.6810000000000003E-2</v>
      </c>
      <c r="X861" s="3" t="s">
        <v>620</v>
      </c>
      <c r="Y861" s="3" t="s">
        <v>62</v>
      </c>
      <c r="Z861" s="131">
        <v>6399.94</v>
      </c>
      <c r="AA861" s="129">
        <v>1</v>
      </c>
      <c r="AB861" s="157">
        <v>103.26</v>
      </c>
      <c r="AD861" s="131">
        <v>6.609</v>
      </c>
      <c r="AG861" s="6" t="s">
        <v>17</v>
      </c>
      <c r="AH861" s="132">
        <v>1.17E-4</v>
      </c>
      <c r="AI861" s="132">
        <v>3.5747011060599298E-4</v>
      </c>
      <c r="AJ861" s="132">
        <v>7.5704713178223799E-5</v>
      </c>
    </row>
    <row r="862" spans="1:36" x14ac:dyDescent="0.2">
      <c r="A862" s="6">
        <v>559</v>
      </c>
      <c r="B862" s="6">
        <v>7206</v>
      </c>
      <c r="C862" s="6" t="s">
        <v>1871</v>
      </c>
      <c r="D862" s="6" t="s">
        <v>1872</v>
      </c>
      <c r="E862" s="3" t="s">
        <v>1477</v>
      </c>
      <c r="F862" s="6" t="s">
        <v>1873</v>
      </c>
      <c r="G862" s="6" t="s">
        <v>1874</v>
      </c>
      <c r="H862" s="6" t="s">
        <v>76</v>
      </c>
      <c r="I862" s="6" t="s">
        <v>228</v>
      </c>
      <c r="J862" s="6" t="s">
        <v>53</v>
      </c>
      <c r="K862" s="6" t="s">
        <v>53</v>
      </c>
      <c r="L862" s="6" t="s">
        <v>805</v>
      </c>
      <c r="M862" s="6" t="s">
        <v>311</v>
      </c>
      <c r="N862" s="6" t="s">
        <v>692</v>
      </c>
      <c r="O862" s="6" t="s">
        <v>62</v>
      </c>
      <c r="P862" s="6" t="s">
        <v>298</v>
      </c>
      <c r="Q862" s="6" t="s">
        <v>298</v>
      </c>
      <c r="R862" s="6" t="s">
        <v>298</v>
      </c>
      <c r="S862" s="6" t="s">
        <v>1219</v>
      </c>
      <c r="T862" s="131">
        <v>0.499</v>
      </c>
      <c r="U862" s="6" t="s">
        <v>1499</v>
      </c>
      <c r="V862" s="134">
        <v>3.5000000000000003E-2</v>
      </c>
      <c r="W862" s="132">
        <v>5.0310000000000001E-2</v>
      </c>
      <c r="X862" s="3" t="s">
        <v>620</v>
      </c>
      <c r="Y862" s="3" t="s">
        <v>62</v>
      </c>
      <c r="Z862" s="131">
        <v>10500</v>
      </c>
      <c r="AA862" s="129">
        <v>1</v>
      </c>
      <c r="AB862" s="157">
        <v>99.29</v>
      </c>
      <c r="AD862" s="131">
        <v>10.425000000000001</v>
      </c>
      <c r="AG862" s="6" t="s">
        <v>17</v>
      </c>
      <c r="AH862" s="132">
        <v>2.6200000000000003E-4</v>
      </c>
      <c r="AI862" s="132">
        <v>5.6393171720213605E-4</v>
      </c>
      <c r="AJ862" s="132">
        <v>1.19428975000225E-4</v>
      </c>
    </row>
    <row r="863" spans="1:36" x14ac:dyDescent="0.2">
      <c r="A863" s="6">
        <v>559</v>
      </c>
      <c r="B863" s="6">
        <v>7206</v>
      </c>
      <c r="C863" s="6" t="s">
        <v>1875</v>
      </c>
      <c r="D863" s="6" t="s">
        <v>1876</v>
      </c>
      <c r="E863" s="3" t="s">
        <v>1477</v>
      </c>
      <c r="F863" s="6" t="s">
        <v>1877</v>
      </c>
      <c r="G863" s="6" t="s">
        <v>1878</v>
      </c>
      <c r="H863" s="6" t="s">
        <v>76</v>
      </c>
      <c r="I863" s="6" t="s">
        <v>229</v>
      </c>
      <c r="J863" s="6" t="s">
        <v>53</v>
      </c>
      <c r="K863" s="6" t="s">
        <v>53</v>
      </c>
      <c r="L863" s="6" t="s">
        <v>805</v>
      </c>
      <c r="M863" s="6" t="s">
        <v>311</v>
      </c>
      <c r="N863" s="6" t="s">
        <v>635</v>
      </c>
      <c r="O863" s="6" t="s">
        <v>62</v>
      </c>
      <c r="P863" s="6" t="s">
        <v>298</v>
      </c>
      <c r="Q863" s="6" t="s">
        <v>298</v>
      </c>
      <c r="R863" s="6" t="s">
        <v>298</v>
      </c>
      <c r="S863" s="6" t="s">
        <v>1219</v>
      </c>
      <c r="T863" s="131">
        <v>2.2250000000000001</v>
      </c>
      <c r="U863" s="6" t="s">
        <v>1605</v>
      </c>
      <c r="V863" s="134">
        <v>6.0999999999999999E-2</v>
      </c>
      <c r="W863" s="132">
        <v>3.9820000000000001E-2</v>
      </c>
      <c r="X863" s="3" t="s">
        <v>620</v>
      </c>
      <c r="Y863" s="3" t="s">
        <v>62</v>
      </c>
      <c r="Z863" s="131">
        <v>24000</v>
      </c>
      <c r="AA863" s="129">
        <v>1</v>
      </c>
      <c r="AB863" s="157">
        <v>110.19</v>
      </c>
      <c r="AD863" s="131">
        <v>26.446000000000002</v>
      </c>
      <c r="AG863" s="6" t="s">
        <v>17</v>
      </c>
      <c r="AH863" s="132">
        <v>2.8299999999999999E-4</v>
      </c>
      <c r="AI863" s="132">
        <v>1.43049102153296E-3</v>
      </c>
      <c r="AJ863" s="132">
        <v>3.0294816063248701E-4</v>
      </c>
    </row>
    <row r="864" spans="1:36" x14ac:dyDescent="0.2">
      <c r="A864" s="6">
        <v>559</v>
      </c>
      <c r="B864" s="6">
        <v>7206</v>
      </c>
      <c r="C864" s="6" t="s">
        <v>1875</v>
      </c>
      <c r="D864" s="6" t="s">
        <v>1876</v>
      </c>
      <c r="E864" s="3" t="s">
        <v>1477</v>
      </c>
      <c r="F864" s="6" t="s">
        <v>1879</v>
      </c>
      <c r="G864" s="6" t="s">
        <v>1880</v>
      </c>
      <c r="H864" s="6" t="s">
        <v>76</v>
      </c>
      <c r="I864" s="6" t="s">
        <v>229</v>
      </c>
      <c r="J864" s="6" t="s">
        <v>53</v>
      </c>
      <c r="K864" s="6" t="s">
        <v>53</v>
      </c>
      <c r="L864" s="6" t="s">
        <v>805</v>
      </c>
      <c r="M864" s="6" t="s">
        <v>311</v>
      </c>
      <c r="N864" s="6" t="s">
        <v>635</v>
      </c>
      <c r="O864" s="6" t="s">
        <v>62</v>
      </c>
      <c r="P864" s="6" t="s">
        <v>298</v>
      </c>
      <c r="Q864" s="6" t="s">
        <v>298</v>
      </c>
      <c r="R864" s="6" t="s">
        <v>298</v>
      </c>
      <c r="S864" s="6" t="s">
        <v>1219</v>
      </c>
      <c r="T864" s="131">
        <v>2.5059999999999998</v>
      </c>
      <c r="U864" s="6" t="s">
        <v>1544</v>
      </c>
      <c r="V864" s="134">
        <v>0.06</v>
      </c>
      <c r="W864" s="132">
        <v>3.2570000000000002E-2</v>
      </c>
      <c r="X864" s="3" t="s">
        <v>620</v>
      </c>
      <c r="Y864" s="3" t="s">
        <v>62</v>
      </c>
      <c r="Z864" s="131">
        <v>12600</v>
      </c>
      <c r="AA864" s="129">
        <v>1</v>
      </c>
      <c r="AB864" s="157">
        <v>113.39</v>
      </c>
      <c r="AD864" s="131">
        <v>14.287000000000001</v>
      </c>
      <c r="AG864" s="6" t="s">
        <v>17</v>
      </c>
      <c r="AH864" s="132">
        <v>1.8200000000000001E-4</v>
      </c>
      <c r="AI864" s="132">
        <v>7.7281761402215904E-4</v>
      </c>
      <c r="AJ864" s="132">
        <v>1.63666650924873E-4</v>
      </c>
    </row>
    <row r="865" spans="1:36" x14ac:dyDescent="0.2">
      <c r="A865" s="6">
        <v>559</v>
      </c>
      <c r="B865" s="6">
        <v>7206</v>
      </c>
      <c r="C865" s="6" t="s">
        <v>1881</v>
      </c>
      <c r="D865" s="6" t="s">
        <v>1882</v>
      </c>
      <c r="E865" s="3" t="s">
        <v>1477</v>
      </c>
      <c r="F865" s="6" t="s">
        <v>1883</v>
      </c>
      <c r="G865" s="6" t="s">
        <v>1884</v>
      </c>
      <c r="H865" s="6" t="s">
        <v>76</v>
      </c>
      <c r="I865" s="6" t="s">
        <v>229</v>
      </c>
      <c r="J865" s="6" t="s">
        <v>53</v>
      </c>
      <c r="K865" s="6" t="s">
        <v>53</v>
      </c>
      <c r="L865" s="6" t="s">
        <v>805</v>
      </c>
      <c r="M865" s="6" t="s">
        <v>311</v>
      </c>
      <c r="N865" s="6" t="s">
        <v>635</v>
      </c>
      <c r="O865" s="6" t="s">
        <v>62</v>
      </c>
      <c r="P865" s="6" t="s">
        <v>1533</v>
      </c>
      <c r="Q865" s="6" t="s">
        <v>65</v>
      </c>
      <c r="R865" s="6" t="s">
        <v>57</v>
      </c>
      <c r="S865" s="6" t="s">
        <v>1219</v>
      </c>
      <c r="T865" s="131">
        <v>1.6419999999999999</v>
      </c>
      <c r="U865" s="6" t="s">
        <v>1285</v>
      </c>
      <c r="V865" s="134">
        <v>2.5999999999999999E-2</v>
      </c>
      <c r="W865" s="132">
        <v>2.768E-2</v>
      </c>
      <c r="X865" s="3" t="s">
        <v>620</v>
      </c>
      <c r="Y865" s="3" t="s">
        <v>62</v>
      </c>
      <c r="Z865" s="131">
        <v>42152.83</v>
      </c>
      <c r="AA865" s="129">
        <v>1</v>
      </c>
      <c r="AB865" s="157">
        <v>118.58</v>
      </c>
      <c r="AD865" s="131">
        <v>49.984999999999999</v>
      </c>
      <c r="AG865" s="6" t="s">
        <v>17</v>
      </c>
      <c r="AH865" s="132">
        <v>1.25E-4</v>
      </c>
      <c r="AI865" s="132">
        <v>2.7037709312632699E-3</v>
      </c>
      <c r="AJ865" s="132">
        <v>5.7260228695459904E-4</v>
      </c>
    </row>
    <row r="866" spans="1:36" x14ac:dyDescent="0.2">
      <c r="A866" s="6">
        <v>559</v>
      </c>
      <c r="B866" s="6">
        <v>7206</v>
      </c>
      <c r="C866" s="6" t="s">
        <v>1881</v>
      </c>
      <c r="D866" s="6" t="s">
        <v>1882</v>
      </c>
      <c r="E866" s="3" t="s">
        <v>1477</v>
      </c>
      <c r="F866" s="6" t="s">
        <v>1885</v>
      </c>
      <c r="G866" s="6" t="s">
        <v>1886</v>
      </c>
      <c r="H866" s="6" t="s">
        <v>76</v>
      </c>
      <c r="I866" s="6" t="s">
        <v>229</v>
      </c>
      <c r="J866" s="6" t="s">
        <v>53</v>
      </c>
      <c r="K866" s="6" t="s">
        <v>53</v>
      </c>
      <c r="L866" s="6" t="s">
        <v>805</v>
      </c>
      <c r="M866" s="6" t="s">
        <v>311</v>
      </c>
      <c r="N866" s="6" t="s">
        <v>635</v>
      </c>
      <c r="O866" s="6" t="s">
        <v>62</v>
      </c>
      <c r="P866" s="6" t="s">
        <v>1533</v>
      </c>
      <c r="Q866" s="6" t="s">
        <v>65</v>
      </c>
      <c r="R866" s="6" t="s">
        <v>57</v>
      </c>
      <c r="S866" s="6" t="s">
        <v>1219</v>
      </c>
      <c r="T866" s="131">
        <v>1.1559999999999999</v>
      </c>
      <c r="U866" s="6" t="s">
        <v>1578</v>
      </c>
      <c r="V866" s="134">
        <v>2.4E-2</v>
      </c>
      <c r="W866" s="132">
        <v>2.861E-2</v>
      </c>
      <c r="X866" s="3" t="s">
        <v>620</v>
      </c>
      <c r="Y866" s="3" t="s">
        <v>62</v>
      </c>
      <c r="Z866" s="131">
        <v>139726.20000000001</v>
      </c>
      <c r="AA866" s="129">
        <v>1</v>
      </c>
      <c r="AB866" s="157">
        <v>117.85</v>
      </c>
      <c r="AD866" s="131">
        <v>164.667</v>
      </c>
      <c r="AG866" s="6" t="s">
        <v>17</v>
      </c>
      <c r="AH866" s="132">
        <v>2.5999999999999998E-4</v>
      </c>
      <c r="AI866" s="132">
        <v>8.9071578025903993E-3</v>
      </c>
      <c r="AJ866" s="132">
        <v>1.8863502336885401E-3</v>
      </c>
    </row>
    <row r="867" spans="1:36" x14ac:dyDescent="0.2">
      <c r="A867" s="6">
        <v>559</v>
      </c>
      <c r="B867" s="6">
        <v>7206</v>
      </c>
      <c r="C867" s="6" t="s">
        <v>1887</v>
      </c>
      <c r="D867" s="6" t="s">
        <v>1888</v>
      </c>
      <c r="E867" s="3" t="s">
        <v>1477</v>
      </c>
      <c r="F867" s="6" t="s">
        <v>1889</v>
      </c>
      <c r="G867" s="6" t="s">
        <v>1890</v>
      </c>
      <c r="H867" s="6" t="s">
        <v>76</v>
      </c>
      <c r="I867" s="6" t="s">
        <v>228</v>
      </c>
      <c r="J867" s="6" t="s">
        <v>53</v>
      </c>
      <c r="K867" s="6" t="s">
        <v>53</v>
      </c>
      <c r="L867" s="6" t="s">
        <v>805</v>
      </c>
      <c r="M867" s="6" t="s">
        <v>311</v>
      </c>
      <c r="N867" s="6" t="s">
        <v>269</v>
      </c>
      <c r="O867" s="6" t="s">
        <v>62</v>
      </c>
      <c r="P867" s="6" t="s">
        <v>1521</v>
      </c>
      <c r="Q867" s="6" t="s">
        <v>70</v>
      </c>
      <c r="R867" s="6" t="s">
        <v>57</v>
      </c>
      <c r="S867" s="6" t="s">
        <v>1219</v>
      </c>
      <c r="T867" s="131">
        <v>0.499</v>
      </c>
      <c r="U867" s="6" t="s">
        <v>1499</v>
      </c>
      <c r="V867" s="134">
        <v>2.63E-2</v>
      </c>
      <c r="W867" s="132">
        <v>4.7759999999999997E-2</v>
      </c>
      <c r="X867" s="3" t="s">
        <v>620</v>
      </c>
      <c r="Y867" s="3" t="s">
        <v>62</v>
      </c>
      <c r="Z867" s="131">
        <v>140000</v>
      </c>
      <c r="AA867" s="129">
        <v>1</v>
      </c>
      <c r="AB867" s="157">
        <v>100.27</v>
      </c>
      <c r="AD867" s="131">
        <v>140.37799999999999</v>
      </c>
      <c r="AG867" s="6" t="s">
        <v>17</v>
      </c>
      <c r="AH867" s="132">
        <v>2.8600000000000001E-4</v>
      </c>
      <c r="AI867" s="132">
        <v>7.5933035597889201E-3</v>
      </c>
      <c r="AJ867" s="132">
        <v>1.6081033099369E-3</v>
      </c>
    </row>
    <row r="868" spans="1:36" x14ac:dyDescent="0.2">
      <c r="A868" s="6">
        <v>559</v>
      </c>
      <c r="B868" s="6">
        <v>7206</v>
      </c>
      <c r="C868" s="6" t="s">
        <v>1489</v>
      </c>
      <c r="D868" s="6" t="s">
        <v>1490</v>
      </c>
      <c r="E868" s="3" t="s">
        <v>1477</v>
      </c>
      <c r="F868" s="6" t="s">
        <v>1891</v>
      </c>
      <c r="G868" s="6" t="s">
        <v>1892</v>
      </c>
      <c r="H868" s="6" t="s">
        <v>76</v>
      </c>
      <c r="I868" s="6" t="s">
        <v>229</v>
      </c>
      <c r="J868" s="6" t="s">
        <v>53</v>
      </c>
      <c r="K868" s="6" t="s">
        <v>53</v>
      </c>
      <c r="L868" s="6" t="s">
        <v>805</v>
      </c>
      <c r="M868" s="6" t="s">
        <v>311</v>
      </c>
      <c r="N868" s="6" t="s">
        <v>635</v>
      </c>
      <c r="O868" s="6" t="s">
        <v>62</v>
      </c>
      <c r="P868" s="6" t="s">
        <v>1577</v>
      </c>
      <c r="Q868" s="6" t="s">
        <v>65</v>
      </c>
      <c r="R868" s="6" t="s">
        <v>57</v>
      </c>
      <c r="S868" s="6" t="s">
        <v>1219</v>
      </c>
      <c r="T868" s="131">
        <v>1.3939999999999999</v>
      </c>
      <c r="U868" s="6" t="s">
        <v>1285</v>
      </c>
      <c r="V868" s="134">
        <v>1.4E-2</v>
      </c>
      <c r="W868" s="132">
        <v>2.8840000000000001E-2</v>
      </c>
      <c r="X868" s="3" t="s">
        <v>620</v>
      </c>
      <c r="Y868" s="3" t="s">
        <v>62</v>
      </c>
      <c r="Z868" s="131">
        <v>278550</v>
      </c>
      <c r="AA868" s="129">
        <v>1</v>
      </c>
      <c r="AB868" s="157">
        <v>115.68</v>
      </c>
      <c r="AD868" s="131">
        <v>322.22699999999998</v>
      </c>
      <c r="AG868" s="6" t="s">
        <v>17</v>
      </c>
      <c r="AH868" s="132">
        <v>4.6000000000000001E-4</v>
      </c>
      <c r="AI868" s="132">
        <v>1.7429830119896399E-2</v>
      </c>
      <c r="AJ868" s="132">
        <v>3.69127446133899E-3</v>
      </c>
    </row>
    <row r="869" spans="1:36" x14ac:dyDescent="0.2">
      <c r="A869" s="6">
        <v>559</v>
      </c>
      <c r="B869" s="6">
        <v>7206</v>
      </c>
      <c r="C869" s="6" t="s">
        <v>1489</v>
      </c>
      <c r="D869" s="6" t="s">
        <v>1490</v>
      </c>
      <c r="E869" s="3" t="s">
        <v>1477</v>
      </c>
      <c r="F869" s="6" t="s">
        <v>1893</v>
      </c>
      <c r="G869" s="6" t="s">
        <v>1894</v>
      </c>
      <c r="H869" s="6" t="s">
        <v>76</v>
      </c>
      <c r="I869" s="6" t="s">
        <v>229</v>
      </c>
      <c r="J869" s="6" t="s">
        <v>53</v>
      </c>
      <c r="K869" s="6" t="s">
        <v>53</v>
      </c>
      <c r="L869" s="6" t="s">
        <v>805</v>
      </c>
      <c r="M869" s="6" t="s">
        <v>1227</v>
      </c>
      <c r="N869" s="6" t="s">
        <v>635</v>
      </c>
      <c r="O869" s="6" t="s">
        <v>62</v>
      </c>
      <c r="P869" s="6" t="s">
        <v>1577</v>
      </c>
      <c r="Q869" s="6" t="s">
        <v>65</v>
      </c>
      <c r="R869" s="6" t="s">
        <v>57</v>
      </c>
      <c r="S869" s="6" t="s">
        <v>1219</v>
      </c>
      <c r="T869" s="131">
        <v>5.0170000000000003</v>
      </c>
      <c r="U869" s="6" t="s">
        <v>1895</v>
      </c>
      <c r="V869" s="134">
        <v>3.1800000000000002E-2</v>
      </c>
      <c r="W869" s="132">
        <v>2.9229999999999999E-2</v>
      </c>
      <c r="X869" s="3" t="s">
        <v>620</v>
      </c>
      <c r="Y869" s="3" t="s">
        <v>62</v>
      </c>
      <c r="Z869" s="131">
        <v>40000</v>
      </c>
      <c r="AA869" s="129">
        <v>1</v>
      </c>
      <c r="AB869" s="157">
        <v>104.39</v>
      </c>
      <c r="AD869" s="131">
        <v>41.756</v>
      </c>
      <c r="AG869" s="6" t="s">
        <v>17</v>
      </c>
      <c r="AH869" s="132">
        <v>8.7999999999999998E-5</v>
      </c>
      <c r="AI869" s="132">
        <v>2.2586586462447502E-3</v>
      </c>
      <c r="AJ869" s="132">
        <v>4.7833678930975698E-4</v>
      </c>
    </row>
    <row r="870" spans="1:36" x14ac:dyDescent="0.2">
      <c r="A870" s="6">
        <v>559</v>
      </c>
      <c r="B870" s="6">
        <v>7206</v>
      </c>
      <c r="C870" s="6" t="s">
        <v>1896</v>
      </c>
      <c r="D870" s="6" t="s">
        <v>1897</v>
      </c>
      <c r="E870" s="3" t="s">
        <v>1477</v>
      </c>
      <c r="F870" s="6" t="s">
        <v>1898</v>
      </c>
      <c r="G870" s="6" t="s">
        <v>1899</v>
      </c>
      <c r="H870" s="6" t="s">
        <v>76</v>
      </c>
      <c r="I870" s="6" t="s">
        <v>229</v>
      </c>
      <c r="J870" s="6" t="s">
        <v>53</v>
      </c>
      <c r="K870" s="6" t="s">
        <v>53</v>
      </c>
      <c r="L870" s="6" t="s">
        <v>805</v>
      </c>
      <c r="M870" s="6" t="s">
        <v>311</v>
      </c>
      <c r="N870" s="6" t="s">
        <v>635</v>
      </c>
      <c r="O870" s="6" t="s">
        <v>62</v>
      </c>
      <c r="P870" s="6" t="s">
        <v>1515</v>
      </c>
      <c r="Q870" s="6" t="s">
        <v>65</v>
      </c>
      <c r="R870" s="6" t="s">
        <v>57</v>
      </c>
      <c r="S870" s="6" t="s">
        <v>1219</v>
      </c>
      <c r="T870" s="131">
        <v>0.499</v>
      </c>
      <c r="U870" s="6" t="s">
        <v>1499</v>
      </c>
      <c r="V870" s="134">
        <v>1E-3</v>
      </c>
      <c r="W870" s="132">
        <v>1E-4</v>
      </c>
      <c r="X870" s="3" t="s">
        <v>620</v>
      </c>
      <c r="Y870" s="3" t="s">
        <v>62</v>
      </c>
      <c r="Z870" s="131">
        <v>100000</v>
      </c>
      <c r="AA870" s="129">
        <v>1</v>
      </c>
      <c r="AB870" s="157">
        <v>119.66</v>
      </c>
      <c r="AD870" s="131">
        <v>119.66</v>
      </c>
      <c r="AG870" s="6" t="s">
        <v>17</v>
      </c>
      <c r="AH870" s="132">
        <v>1.74E-4</v>
      </c>
      <c r="AI870" s="132">
        <v>6.4726289302051796E-3</v>
      </c>
      <c r="AJ870" s="132">
        <v>1.3707677988506E-3</v>
      </c>
    </row>
    <row r="871" spans="1:36" x14ac:dyDescent="0.2">
      <c r="A871" s="6">
        <v>559</v>
      </c>
      <c r="B871" s="6">
        <v>7206</v>
      </c>
      <c r="C871" s="6" t="s">
        <v>1896</v>
      </c>
      <c r="D871" s="6" t="s">
        <v>1897</v>
      </c>
      <c r="E871" s="3" t="s">
        <v>1477</v>
      </c>
      <c r="F871" s="6" t="s">
        <v>1900</v>
      </c>
      <c r="G871" s="6" t="s">
        <v>1901</v>
      </c>
      <c r="H871" s="6" t="s">
        <v>76</v>
      </c>
      <c r="I871" s="6" t="s">
        <v>229</v>
      </c>
      <c r="J871" s="6" t="s">
        <v>53</v>
      </c>
      <c r="K871" s="6" t="s">
        <v>53</v>
      </c>
      <c r="L871" s="6" t="s">
        <v>805</v>
      </c>
      <c r="M871" s="6" t="s">
        <v>311</v>
      </c>
      <c r="N871" s="6" t="s">
        <v>635</v>
      </c>
      <c r="O871" s="6" t="s">
        <v>62</v>
      </c>
      <c r="P871" s="6" t="s">
        <v>1515</v>
      </c>
      <c r="Q871" s="6" t="s">
        <v>65</v>
      </c>
      <c r="R871" s="6" t="s">
        <v>57</v>
      </c>
      <c r="S871" s="6" t="s">
        <v>1219</v>
      </c>
      <c r="T871" s="131">
        <v>1.7410000000000001</v>
      </c>
      <c r="U871" s="6" t="s">
        <v>1285</v>
      </c>
      <c r="V871" s="134">
        <v>3.0000000000000001E-3</v>
      </c>
      <c r="W871" s="132">
        <v>2.954E-2</v>
      </c>
      <c r="X871" s="3" t="s">
        <v>620</v>
      </c>
      <c r="Y871" s="3" t="s">
        <v>62</v>
      </c>
      <c r="Z871" s="131">
        <v>80000</v>
      </c>
      <c r="AA871" s="129">
        <v>1</v>
      </c>
      <c r="AB871" s="157">
        <v>108.03</v>
      </c>
      <c r="AD871" s="131">
        <v>86.424000000000007</v>
      </c>
      <c r="AG871" s="6" t="s">
        <v>17</v>
      </c>
      <c r="AH871" s="132">
        <v>1.5699999999999999E-4</v>
      </c>
      <c r="AI871" s="132">
        <v>4.6748327148926298E-3</v>
      </c>
      <c r="AJ871" s="132">
        <v>9.900320595676419E-4</v>
      </c>
    </row>
    <row r="872" spans="1:36" x14ac:dyDescent="0.2">
      <c r="A872" s="6">
        <v>559</v>
      </c>
      <c r="B872" s="6">
        <v>7206</v>
      </c>
      <c r="C872" s="6" t="s">
        <v>1896</v>
      </c>
      <c r="D872" s="6" t="s">
        <v>1897</v>
      </c>
      <c r="E872" s="3" t="s">
        <v>1477</v>
      </c>
      <c r="F872" s="6" t="s">
        <v>1902</v>
      </c>
      <c r="G872" s="6" t="s">
        <v>1903</v>
      </c>
      <c r="H872" s="6" t="s">
        <v>76</v>
      </c>
      <c r="I872" s="6" t="s">
        <v>229</v>
      </c>
      <c r="J872" s="6" t="s">
        <v>53</v>
      </c>
      <c r="K872" s="6" t="s">
        <v>53</v>
      </c>
      <c r="L872" s="6" t="s">
        <v>805</v>
      </c>
      <c r="M872" s="6" t="s">
        <v>311</v>
      </c>
      <c r="N872" s="6" t="s">
        <v>635</v>
      </c>
      <c r="O872" s="6" t="s">
        <v>62</v>
      </c>
      <c r="P872" s="6" t="s">
        <v>1515</v>
      </c>
      <c r="Q872" s="6" t="s">
        <v>65</v>
      </c>
      <c r="R872" s="6" t="s">
        <v>57</v>
      </c>
      <c r="S872" s="6" t="s">
        <v>1219</v>
      </c>
      <c r="T872" s="131">
        <v>1.244</v>
      </c>
      <c r="U872" s="6" t="s">
        <v>1578</v>
      </c>
      <c r="V872" s="134">
        <v>3.0000000000000001E-3</v>
      </c>
      <c r="W872" s="132">
        <v>2.963E-2</v>
      </c>
      <c r="X872" s="3" t="s">
        <v>620</v>
      </c>
      <c r="Y872" s="3" t="s">
        <v>62</v>
      </c>
      <c r="Z872" s="131">
        <v>74000</v>
      </c>
      <c r="AA872" s="129">
        <v>1</v>
      </c>
      <c r="AB872" s="157">
        <v>105.16</v>
      </c>
      <c r="AD872" s="131">
        <v>77.817999999999998</v>
      </c>
      <c r="AG872" s="6" t="s">
        <v>17</v>
      </c>
      <c r="AH872" s="132">
        <v>1.7100000000000001E-4</v>
      </c>
      <c r="AI872" s="132">
        <v>4.2093400229172503E-3</v>
      </c>
      <c r="AJ872" s="132">
        <v>8.9145041683165005E-4</v>
      </c>
    </row>
    <row r="873" spans="1:36" x14ac:dyDescent="0.2">
      <c r="A873" s="6">
        <v>559</v>
      </c>
      <c r="B873" s="6">
        <v>7206</v>
      </c>
      <c r="C873" s="6" t="s">
        <v>1896</v>
      </c>
      <c r="D873" s="6" t="s">
        <v>1897</v>
      </c>
      <c r="E873" s="3" t="s">
        <v>1477</v>
      </c>
      <c r="F873" s="6" t="s">
        <v>1904</v>
      </c>
      <c r="G873" s="6" t="s">
        <v>1905</v>
      </c>
      <c r="H873" s="6" t="s">
        <v>76</v>
      </c>
      <c r="I873" s="6" t="s">
        <v>229</v>
      </c>
      <c r="J873" s="6" t="s">
        <v>53</v>
      </c>
      <c r="K873" s="6" t="s">
        <v>53</v>
      </c>
      <c r="L873" s="6" t="s">
        <v>805</v>
      </c>
      <c r="M873" s="6" t="s">
        <v>311</v>
      </c>
      <c r="N873" s="6" t="s">
        <v>635</v>
      </c>
      <c r="O873" s="6" t="s">
        <v>62</v>
      </c>
      <c r="P873" s="6" t="s">
        <v>1515</v>
      </c>
      <c r="Q873" s="6" t="s">
        <v>65</v>
      </c>
      <c r="R873" s="6" t="s">
        <v>57</v>
      </c>
      <c r="S873" s="6" t="s">
        <v>1219</v>
      </c>
      <c r="T873" s="131">
        <v>1.496</v>
      </c>
      <c r="U873" s="6" t="s">
        <v>1516</v>
      </c>
      <c r="V873" s="134">
        <v>3.0000000000000001E-3</v>
      </c>
      <c r="W873" s="132">
        <v>2.7779999999999999E-2</v>
      </c>
      <c r="X873" s="3" t="s">
        <v>620</v>
      </c>
      <c r="Y873" s="3" t="s">
        <v>62</v>
      </c>
      <c r="Z873" s="131">
        <v>47000</v>
      </c>
      <c r="AA873" s="129">
        <v>1</v>
      </c>
      <c r="AB873" s="157">
        <v>101.38</v>
      </c>
      <c r="AD873" s="131">
        <v>47.649000000000001</v>
      </c>
      <c r="AG873" s="6" t="s">
        <v>17</v>
      </c>
      <c r="AH873" s="132">
        <v>1.2999999999999999E-4</v>
      </c>
      <c r="AI873" s="132">
        <v>2.5774001909056898E-3</v>
      </c>
      <c r="AJ873" s="132">
        <v>5.4583960003603996E-4</v>
      </c>
    </row>
    <row r="874" spans="1:36" x14ac:dyDescent="0.2">
      <c r="A874" s="6">
        <v>559</v>
      </c>
      <c r="B874" s="6">
        <v>7206</v>
      </c>
      <c r="C874" s="6" t="s">
        <v>1906</v>
      </c>
      <c r="D874" s="6" t="s">
        <v>1907</v>
      </c>
      <c r="E874" s="3" t="s">
        <v>1477</v>
      </c>
      <c r="F874" s="6" t="s">
        <v>1908</v>
      </c>
      <c r="G874" s="6" t="s">
        <v>1909</v>
      </c>
      <c r="H874" s="6" t="s">
        <v>76</v>
      </c>
      <c r="I874" s="6" t="s">
        <v>229</v>
      </c>
      <c r="J874" s="6" t="s">
        <v>53</v>
      </c>
      <c r="K874" s="6" t="s">
        <v>53</v>
      </c>
      <c r="L874" s="6" t="s">
        <v>805</v>
      </c>
      <c r="M874" s="6" t="s">
        <v>1227</v>
      </c>
      <c r="N874" s="6" t="s">
        <v>261</v>
      </c>
      <c r="O874" s="6" t="s">
        <v>62</v>
      </c>
      <c r="P874" s="6" t="s">
        <v>298</v>
      </c>
      <c r="Q874" s="6" t="s">
        <v>298</v>
      </c>
      <c r="R874" s="6" t="s">
        <v>298</v>
      </c>
      <c r="S874" s="6" t="s">
        <v>1219</v>
      </c>
      <c r="T874" s="131">
        <v>3.9620000000000002</v>
      </c>
      <c r="U874" s="6" t="s">
        <v>1713</v>
      </c>
      <c r="V874" s="134">
        <v>4.0899999999999999E-2</v>
      </c>
      <c r="W874" s="132">
        <v>3.2349999999999997E-2</v>
      </c>
      <c r="X874" s="3" t="s">
        <v>620</v>
      </c>
      <c r="Y874" s="3" t="s">
        <v>62</v>
      </c>
      <c r="Z874" s="131">
        <v>33000</v>
      </c>
      <c r="AA874" s="129">
        <v>1</v>
      </c>
      <c r="AB874" s="157">
        <v>105.02</v>
      </c>
      <c r="AD874" s="131">
        <v>34.656999999999996</v>
      </c>
      <c r="AG874" s="6" t="s">
        <v>17</v>
      </c>
      <c r="AH874" s="132">
        <v>9.7999999999999997E-5</v>
      </c>
      <c r="AI874" s="132">
        <v>1.87463907556868E-3</v>
      </c>
      <c r="AJ874" s="132">
        <v>3.97009454267471E-4</v>
      </c>
    </row>
    <row r="875" spans="1:36" x14ac:dyDescent="0.2">
      <c r="A875" s="6">
        <v>559</v>
      </c>
      <c r="B875" s="6">
        <v>7206</v>
      </c>
      <c r="C875" s="6" t="s">
        <v>1910</v>
      </c>
      <c r="D875" s="6" t="s">
        <v>1911</v>
      </c>
      <c r="E875" s="3" t="s">
        <v>1477</v>
      </c>
      <c r="F875" s="6" t="s">
        <v>1912</v>
      </c>
      <c r="G875" s="6" t="s">
        <v>1913</v>
      </c>
      <c r="H875" s="6" t="s">
        <v>76</v>
      </c>
      <c r="I875" s="6" t="s">
        <v>229</v>
      </c>
      <c r="J875" s="6" t="s">
        <v>53</v>
      </c>
      <c r="K875" s="6" t="s">
        <v>53</v>
      </c>
      <c r="L875" s="6" t="s">
        <v>805</v>
      </c>
      <c r="M875" s="6" t="s">
        <v>311</v>
      </c>
      <c r="N875" s="6" t="s">
        <v>256</v>
      </c>
      <c r="O875" s="6" t="s">
        <v>62</v>
      </c>
      <c r="P875" s="6" t="s">
        <v>1213</v>
      </c>
      <c r="Q875" s="6" t="s">
        <v>65</v>
      </c>
      <c r="R875" s="6" t="s">
        <v>57</v>
      </c>
      <c r="S875" s="6" t="s">
        <v>1219</v>
      </c>
      <c r="T875" s="131">
        <v>2.2040000000000002</v>
      </c>
      <c r="U875" s="6" t="s">
        <v>1914</v>
      </c>
      <c r="V875" s="134">
        <v>1.2200000000000001E-2</v>
      </c>
      <c r="W875" s="132">
        <v>2.5080000000000002E-2</v>
      </c>
      <c r="X875" s="3" t="s">
        <v>620</v>
      </c>
      <c r="Y875" s="3" t="s">
        <v>62</v>
      </c>
      <c r="Z875" s="131">
        <v>23000</v>
      </c>
      <c r="AA875" s="129">
        <v>1</v>
      </c>
      <c r="AB875" s="157">
        <v>116.02</v>
      </c>
      <c r="AD875" s="131">
        <v>26.684999999999999</v>
      </c>
      <c r="AG875" s="6" t="s">
        <v>17</v>
      </c>
      <c r="AH875" s="132">
        <v>7.9999999999999996E-6</v>
      </c>
      <c r="AI875" s="132">
        <v>1.44341897000629E-3</v>
      </c>
      <c r="AJ875" s="132">
        <v>3.0568603046305097E-4</v>
      </c>
    </row>
    <row r="876" spans="1:36" x14ac:dyDescent="0.2">
      <c r="A876" s="6">
        <v>559</v>
      </c>
      <c r="B876" s="6">
        <v>7206</v>
      </c>
      <c r="C876" s="6" t="s">
        <v>1910</v>
      </c>
      <c r="D876" s="6" t="s">
        <v>1911</v>
      </c>
      <c r="E876" s="3" t="s">
        <v>1477</v>
      </c>
      <c r="F876" s="6" t="s">
        <v>1915</v>
      </c>
      <c r="G876" s="6" t="s">
        <v>1916</v>
      </c>
      <c r="H876" s="6" t="s">
        <v>76</v>
      </c>
      <c r="I876" s="6" t="s">
        <v>229</v>
      </c>
      <c r="J876" s="6" t="s">
        <v>53</v>
      </c>
      <c r="K876" s="6" t="s">
        <v>53</v>
      </c>
      <c r="L876" s="6" t="s">
        <v>805</v>
      </c>
      <c r="M876" s="6" t="s">
        <v>311</v>
      </c>
      <c r="N876" s="6" t="s">
        <v>256</v>
      </c>
      <c r="O876" s="6" t="s">
        <v>62</v>
      </c>
      <c r="P876" s="6" t="s">
        <v>1213</v>
      </c>
      <c r="Q876" s="6" t="s">
        <v>65</v>
      </c>
      <c r="R876" s="6" t="s">
        <v>57</v>
      </c>
      <c r="S876" s="6" t="s">
        <v>1219</v>
      </c>
      <c r="T876" s="131">
        <v>3.3029999999999999</v>
      </c>
      <c r="U876" s="6" t="s">
        <v>1917</v>
      </c>
      <c r="V876" s="134">
        <v>1E-3</v>
      </c>
      <c r="W876" s="132">
        <v>2.5829999999999999E-2</v>
      </c>
      <c r="X876" s="3" t="s">
        <v>620</v>
      </c>
      <c r="Y876" s="3" t="s">
        <v>62</v>
      </c>
      <c r="Z876" s="131">
        <v>155000</v>
      </c>
      <c r="AA876" s="129">
        <v>1</v>
      </c>
      <c r="AB876" s="157">
        <v>105.48</v>
      </c>
      <c r="AD876" s="131">
        <v>163.494</v>
      </c>
      <c r="AG876" s="6" t="s">
        <v>17</v>
      </c>
      <c r="AH876" s="132">
        <v>4.6E-5</v>
      </c>
      <c r="AI876" s="132">
        <v>8.8436904087829202E-3</v>
      </c>
      <c r="AJ876" s="132">
        <v>1.8729091635072701E-3</v>
      </c>
    </row>
    <row r="877" spans="1:36" x14ac:dyDescent="0.2">
      <c r="A877" s="6">
        <v>559</v>
      </c>
      <c r="B877" s="6">
        <v>7206</v>
      </c>
      <c r="C877" s="6" t="s">
        <v>1910</v>
      </c>
      <c r="D877" s="6" t="s">
        <v>1911</v>
      </c>
      <c r="E877" s="3" t="s">
        <v>1477</v>
      </c>
      <c r="F877" s="6" t="s">
        <v>1918</v>
      </c>
      <c r="G877" s="6" t="s">
        <v>1919</v>
      </c>
      <c r="H877" s="6" t="s">
        <v>76</v>
      </c>
      <c r="I877" s="6" t="s">
        <v>229</v>
      </c>
      <c r="J877" s="6" t="s">
        <v>53</v>
      </c>
      <c r="K877" s="6" t="s">
        <v>53</v>
      </c>
      <c r="L877" s="6" t="s">
        <v>805</v>
      </c>
      <c r="M877" s="6" t="s">
        <v>311</v>
      </c>
      <c r="N877" s="6" t="s">
        <v>256</v>
      </c>
      <c r="O877" s="6" t="s">
        <v>62</v>
      </c>
      <c r="P877" s="6" t="s">
        <v>1213</v>
      </c>
      <c r="Q877" s="6" t="s">
        <v>65</v>
      </c>
      <c r="R877" s="6" t="s">
        <v>57</v>
      </c>
      <c r="S877" s="6" t="s">
        <v>1219</v>
      </c>
      <c r="T877" s="131">
        <v>4.2160000000000002</v>
      </c>
      <c r="U877" s="6" t="s">
        <v>1920</v>
      </c>
      <c r="V877" s="134">
        <v>2.06E-2</v>
      </c>
      <c r="W877" s="132">
        <v>2.5899999999999999E-2</v>
      </c>
      <c r="X877" s="3" t="s">
        <v>620</v>
      </c>
      <c r="Y877" s="3" t="s">
        <v>62</v>
      </c>
      <c r="Z877" s="131">
        <v>64000</v>
      </c>
      <c r="AA877" s="129">
        <v>1</v>
      </c>
      <c r="AB877" s="157">
        <v>103.97</v>
      </c>
      <c r="AD877" s="131">
        <v>66.540999999999997</v>
      </c>
      <c r="AG877" s="6" t="s">
        <v>17</v>
      </c>
      <c r="AH877" s="132">
        <v>4.0000000000000003E-5</v>
      </c>
      <c r="AI877" s="132">
        <v>3.5993139488466998E-3</v>
      </c>
      <c r="AJ877" s="132">
        <v>7.6225961850040003E-4</v>
      </c>
    </row>
    <row r="878" spans="1:36" x14ac:dyDescent="0.2">
      <c r="A878" s="6">
        <v>559</v>
      </c>
      <c r="B878" s="6">
        <v>7206</v>
      </c>
      <c r="C878" s="6" t="s">
        <v>1910</v>
      </c>
      <c r="D878" s="6" t="s">
        <v>1911</v>
      </c>
      <c r="E878" s="3" t="s">
        <v>1477</v>
      </c>
      <c r="F878" s="6" t="s">
        <v>1921</v>
      </c>
      <c r="G878" s="6" t="s">
        <v>1922</v>
      </c>
      <c r="H878" s="6" t="s">
        <v>76</v>
      </c>
      <c r="I878" s="6" t="s">
        <v>229</v>
      </c>
      <c r="J878" s="6" t="s">
        <v>53</v>
      </c>
      <c r="K878" s="6" t="s">
        <v>53</v>
      </c>
      <c r="L878" s="6" t="s">
        <v>805</v>
      </c>
      <c r="M878" s="6" t="s">
        <v>311</v>
      </c>
      <c r="N878" s="6" t="s">
        <v>256</v>
      </c>
      <c r="O878" s="6" t="s">
        <v>62</v>
      </c>
      <c r="P878" s="6" t="s">
        <v>1213</v>
      </c>
      <c r="Q878" s="6" t="s">
        <v>65</v>
      </c>
      <c r="R878" s="6" t="s">
        <v>57</v>
      </c>
      <c r="S878" s="6" t="s">
        <v>1219</v>
      </c>
      <c r="T878" s="131">
        <v>4.1950000000000003</v>
      </c>
      <c r="U878" s="6" t="s">
        <v>1923</v>
      </c>
      <c r="V878" s="134">
        <v>1.9900000000000001E-2</v>
      </c>
      <c r="W878" s="132">
        <v>2.581E-2</v>
      </c>
      <c r="X878" s="3" t="s">
        <v>620</v>
      </c>
      <c r="Y878" s="3" t="s">
        <v>62</v>
      </c>
      <c r="Z878" s="131">
        <v>115000</v>
      </c>
      <c r="AA878" s="129">
        <v>1</v>
      </c>
      <c r="AB878" s="157">
        <v>103.57</v>
      </c>
      <c r="AD878" s="131">
        <v>119.105</v>
      </c>
      <c r="AG878" s="6" t="s">
        <v>17</v>
      </c>
      <c r="AH878" s="132">
        <v>4.6999999999999997E-5</v>
      </c>
      <c r="AI878" s="132">
        <v>6.4426350079103498E-3</v>
      </c>
      <c r="AJ878" s="132">
        <v>1.36441571173324E-3</v>
      </c>
    </row>
    <row r="879" spans="1:36" x14ac:dyDescent="0.2">
      <c r="A879" s="6">
        <v>559</v>
      </c>
      <c r="B879" s="6">
        <v>7206</v>
      </c>
      <c r="C879" s="6" t="s">
        <v>1910</v>
      </c>
      <c r="D879" s="6" t="s">
        <v>1911</v>
      </c>
      <c r="E879" s="3" t="s">
        <v>1477</v>
      </c>
      <c r="F879" s="6" t="s">
        <v>1924</v>
      </c>
      <c r="G879" s="6" t="s">
        <v>1925</v>
      </c>
      <c r="H879" s="6" t="s">
        <v>76</v>
      </c>
      <c r="I879" s="6" t="s">
        <v>229</v>
      </c>
      <c r="J879" s="6" t="s">
        <v>53</v>
      </c>
      <c r="K879" s="6" t="s">
        <v>53</v>
      </c>
      <c r="L879" s="6" t="s">
        <v>805</v>
      </c>
      <c r="M879" s="6" t="s">
        <v>311</v>
      </c>
      <c r="N879" s="6" t="s">
        <v>256</v>
      </c>
      <c r="O879" s="6" t="s">
        <v>62</v>
      </c>
      <c r="P879" s="6" t="s">
        <v>1926</v>
      </c>
      <c r="Q879" s="6" t="s">
        <v>70</v>
      </c>
      <c r="R879" s="6" t="s">
        <v>57</v>
      </c>
      <c r="S879" s="6" t="s">
        <v>1219</v>
      </c>
      <c r="T879" s="131">
        <v>1.42</v>
      </c>
      <c r="U879" s="6" t="s">
        <v>1927</v>
      </c>
      <c r="V879" s="134">
        <v>5.0000000000000001E-3</v>
      </c>
      <c r="W879" s="132">
        <v>2.6210000000000001E-2</v>
      </c>
      <c r="X879" s="3" t="s">
        <v>620</v>
      </c>
      <c r="Y879" s="3" t="s">
        <v>62</v>
      </c>
      <c r="Z879" s="131">
        <v>66000</v>
      </c>
      <c r="AA879" s="129">
        <v>1</v>
      </c>
      <c r="AB879" s="157">
        <v>112.82</v>
      </c>
      <c r="AD879" s="131">
        <v>74.460999999999999</v>
      </c>
      <c r="AG879" s="6" t="s">
        <v>17</v>
      </c>
      <c r="AH879" s="132">
        <v>8.6000000000000003E-5</v>
      </c>
      <c r="AI879" s="132">
        <v>4.0277429157428799E-3</v>
      </c>
      <c r="AJ879" s="132">
        <v>8.5299193735395302E-4</v>
      </c>
    </row>
    <row r="880" spans="1:36" x14ac:dyDescent="0.2">
      <c r="A880" s="6">
        <v>559</v>
      </c>
      <c r="B880" s="6">
        <v>7206</v>
      </c>
      <c r="C880" s="6" t="s">
        <v>1910</v>
      </c>
      <c r="D880" s="6" t="s">
        <v>1911</v>
      </c>
      <c r="E880" s="3" t="s">
        <v>1477</v>
      </c>
      <c r="F880" s="6" t="s">
        <v>1928</v>
      </c>
      <c r="G880" s="6" t="s">
        <v>1929</v>
      </c>
      <c r="H880" s="6" t="s">
        <v>76</v>
      </c>
      <c r="I880" s="6" t="s">
        <v>229</v>
      </c>
      <c r="J880" s="6" t="s">
        <v>53</v>
      </c>
      <c r="K880" s="6" t="s">
        <v>53</v>
      </c>
      <c r="L880" s="6" t="s">
        <v>805</v>
      </c>
      <c r="M880" s="6" t="s">
        <v>311</v>
      </c>
      <c r="N880" s="6" t="s">
        <v>256</v>
      </c>
      <c r="O880" s="6" t="s">
        <v>62</v>
      </c>
      <c r="P880" s="6" t="s">
        <v>1213</v>
      </c>
      <c r="Q880" s="6" t="s">
        <v>65</v>
      </c>
      <c r="R880" s="6" t="s">
        <v>57</v>
      </c>
      <c r="S880" s="6" t="s">
        <v>1219</v>
      </c>
      <c r="T880" s="131">
        <v>4.9790000000000001</v>
      </c>
      <c r="U880" s="6" t="s">
        <v>1930</v>
      </c>
      <c r="V880" s="134">
        <v>2E-3</v>
      </c>
      <c r="W880" s="132">
        <v>2.6159999999999999E-2</v>
      </c>
      <c r="X880" s="3" t="s">
        <v>620</v>
      </c>
      <c r="Y880" s="3" t="s">
        <v>62</v>
      </c>
      <c r="Z880" s="131">
        <v>139000</v>
      </c>
      <c r="AA880" s="129">
        <v>1</v>
      </c>
      <c r="AB880" s="157">
        <v>104.05</v>
      </c>
      <c r="AC880" s="131">
        <v>0.32600000000000001</v>
      </c>
      <c r="AD880" s="131">
        <v>144.95500000000001</v>
      </c>
      <c r="AG880" s="6" t="s">
        <v>17</v>
      </c>
      <c r="AH880" s="132">
        <v>4.0000000000000003E-5</v>
      </c>
      <c r="AI880" s="132">
        <v>7.8408921642770194E-3</v>
      </c>
      <c r="AJ880" s="132">
        <v>1.6605374120697799E-3</v>
      </c>
    </row>
    <row r="881" spans="1:36" x14ac:dyDescent="0.2">
      <c r="A881" s="6">
        <v>559</v>
      </c>
      <c r="B881" s="6">
        <v>7206</v>
      </c>
      <c r="C881" s="6" t="s">
        <v>1910</v>
      </c>
      <c r="D881" s="6" t="s">
        <v>1911</v>
      </c>
      <c r="E881" s="3" t="s">
        <v>1477</v>
      </c>
      <c r="F881" s="6" t="s">
        <v>1931</v>
      </c>
      <c r="G881" s="6" t="s">
        <v>1932</v>
      </c>
      <c r="H881" s="6" t="s">
        <v>76</v>
      </c>
      <c r="I881" s="6" t="s">
        <v>229</v>
      </c>
      <c r="J881" s="6" t="s">
        <v>53</v>
      </c>
      <c r="K881" s="6" t="s">
        <v>53</v>
      </c>
      <c r="L881" s="6" t="s">
        <v>805</v>
      </c>
      <c r="M881" s="6" t="s">
        <v>311</v>
      </c>
      <c r="N881" s="6" t="s">
        <v>256</v>
      </c>
      <c r="O881" s="6" t="s">
        <v>62</v>
      </c>
      <c r="P881" s="6" t="s">
        <v>1213</v>
      </c>
      <c r="Q881" s="6" t="s">
        <v>65</v>
      </c>
      <c r="R881" s="6" t="s">
        <v>57</v>
      </c>
      <c r="S881" s="6" t="s">
        <v>1219</v>
      </c>
      <c r="T881" s="131">
        <v>3.2730000000000001</v>
      </c>
      <c r="U881" s="6" t="s">
        <v>1933</v>
      </c>
      <c r="V881" s="134">
        <v>1.6400000000000001E-2</v>
      </c>
      <c r="W881" s="132">
        <v>2.6179999999999998E-2</v>
      </c>
      <c r="X881" s="3" t="s">
        <v>620</v>
      </c>
      <c r="Y881" s="3" t="s">
        <v>62</v>
      </c>
      <c r="Z881" s="131">
        <v>117000.34</v>
      </c>
      <c r="AA881" s="129">
        <v>1</v>
      </c>
      <c r="AB881" s="157">
        <v>106.26</v>
      </c>
      <c r="AD881" s="131">
        <v>124.325</v>
      </c>
      <c r="AG881" s="6" t="s">
        <v>17</v>
      </c>
      <c r="AH881" s="132">
        <v>1.2400000000000001E-4</v>
      </c>
      <c r="AI881" s="132">
        <v>6.7249436077376299E-3</v>
      </c>
      <c r="AJ881" s="132">
        <v>1.4242027846760399E-3</v>
      </c>
    </row>
    <row r="882" spans="1:36" x14ac:dyDescent="0.2">
      <c r="A882" s="6">
        <v>559</v>
      </c>
      <c r="B882" s="6">
        <v>7206</v>
      </c>
      <c r="C882" s="6" t="s">
        <v>1910</v>
      </c>
      <c r="D882" s="6" t="s">
        <v>1911</v>
      </c>
      <c r="E882" s="3" t="s">
        <v>1477</v>
      </c>
      <c r="F882" s="6" t="s">
        <v>1934</v>
      </c>
      <c r="G882" s="6" t="s">
        <v>1935</v>
      </c>
      <c r="H882" s="6" t="s">
        <v>76</v>
      </c>
      <c r="I882" s="6" t="s">
        <v>229</v>
      </c>
      <c r="J882" s="6" t="s">
        <v>53</v>
      </c>
      <c r="K882" s="6" t="s">
        <v>53</v>
      </c>
      <c r="L882" s="6" t="s">
        <v>805</v>
      </c>
      <c r="M882" s="6" t="s">
        <v>311</v>
      </c>
      <c r="N882" s="6" t="s">
        <v>256</v>
      </c>
      <c r="O882" s="6" t="s">
        <v>62</v>
      </c>
      <c r="P882" s="6" t="s">
        <v>1213</v>
      </c>
      <c r="Q882" s="6" t="s">
        <v>65</v>
      </c>
      <c r="R882" s="6" t="s">
        <v>57</v>
      </c>
      <c r="S882" s="6" t="s">
        <v>1219</v>
      </c>
      <c r="T882" s="131">
        <v>0.97499999999999998</v>
      </c>
      <c r="U882" s="6" t="s">
        <v>1936</v>
      </c>
      <c r="V882" s="134">
        <v>3.8E-3</v>
      </c>
      <c r="W882" s="132">
        <v>2.5610000000000001E-2</v>
      </c>
      <c r="X882" s="3" t="s">
        <v>620</v>
      </c>
      <c r="Y882" s="3" t="s">
        <v>62</v>
      </c>
      <c r="Z882" s="131">
        <v>380000</v>
      </c>
      <c r="AA882" s="129">
        <v>1</v>
      </c>
      <c r="AB882" s="157">
        <v>112.93</v>
      </c>
      <c r="AD882" s="131">
        <v>429.13400000000001</v>
      </c>
      <c r="AG882" s="6" t="s">
        <v>17</v>
      </c>
      <c r="AH882" s="132">
        <v>1.27E-4</v>
      </c>
      <c r="AI882" s="132">
        <v>2.3212645356298401E-2</v>
      </c>
      <c r="AJ882" s="132">
        <v>4.9159541082396101E-3</v>
      </c>
    </row>
    <row r="883" spans="1:36" x14ac:dyDescent="0.2">
      <c r="A883" s="6">
        <v>559</v>
      </c>
      <c r="B883" s="6">
        <v>7206</v>
      </c>
      <c r="C883" s="6" t="s">
        <v>1910</v>
      </c>
      <c r="D883" s="6" t="s">
        <v>1911</v>
      </c>
      <c r="E883" s="3" t="s">
        <v>1477</v>
      </c>
      <c r="F883" s="6" t="s">
        <v>1937</v>
      </c>
      <c r="G883" s="6" t="s">
        <v>1938</v>
      </c>
      <c r="H883" s="6" t="s">
        <v>76</v>
      </c>
      <c r="I883" s="6" t="s">
        <v>229</v>
      </c>
      <c r="J883" s="6" t="s">
        <v>53</v>
      </c>
      <c r="K883" s="6" t="s">
        <v>53</v>
      </c>
      <c r="L883" s="6" t="s">
        <v>805</v>
      </c>
      <c r="M883" s="6" t="s">
        <v>311</v>
      </c>
      <c r="N883" s="6" t="s">
        <v>256</v>
      </c>
      <c r="O883" s="6" t="s">
        <v>62</v>
      </c>
      <c r="P883" s="6" t="s">
        <v>1213</v>
      </c>
      <c r="Q883" s="6" t="s">
        <v>65</v>
      </c>
      <c r="R883" s="6" t="s">
        <v>57</v>
      </c>
      <c r="S883" s="6" t="s">
        <v>1219</v>
      </c>
      <c r="T883" s="131">
        <v>3.2029999999999998</v>
      </c>
      <c r="U883" s="6" t="s">
        <v>1939</v>
      </c>
      <c r="V883" s="134">
        <v>1E-3</v>
      </c>
      <c r="W883" s="132">
        <v>2.5860000000000001E-2</v>
      </c>
      <c r="X883" s="3" t="s">
        <v>620</v>
      </c>
      <c r="Y883" s="3" t="s">
        <v>62</v>
      </c>
      <c r="Z883" s="131">
        <v>421723.55</v>
      </c>
      <c r="AA883" s="129">
        <v>1</v>
      </c>
      <c r="AB883" s="157">
        <v>104.36</v>
      </c>
      <c r="AD883" s="131">
        <v>440.11099999999999</v>
      </c>
      <c r="AG883" s="6" t="s">
        <v>17</v>
      </c>
      <c r="AH883" s="132">
        <v>1.8900000000000001E-4</v>
      </c>
      <c r="AI883" s="132">
        <v>2.3806395023157199E-2</v>
      </c>
      <c r="AJ883" s="132">
        <v>5.0416979030229198E-3</v>
      </c>
    </row>
    <row r="884" spans="1:36" x14ac:dyDescent="0.2">
      <c r="A884" s="6">
        <v>559</v>
      </c>
      <c r="B884" s="6">
        <v>7206</v>
      </c>
      <c r="C884" s="6" t="s">
        <v>1940</v>
      </c>
      <c r="D884" s="6" t="s">
        <v>1941</v>
      </c>
      <c r="E884" s="3" t="s">
        <v>1477</v>
      </c>
      <c r="F884" s="6" t="s">
        <v>1942</v>
      </c>
      <c r="G884" s="6" t="s">
        <v>1943</v>
      </c>
      <c r="H884" s="6" t="s">
        <v>76</v>
      </c>
      <c r="I884" s="6" t="s">
        <v>229</v>
      </c>
      <c r="J884" s="6" t="s">
        <v>53</v>
      </c>
      <c r="K884" s="6" t="s">
        <v>53</v>
      </c>
      <c r="L884" s="6" t="s">
        <v>805</v>
      </c>
      <c r="M884" s="6" t="s">
        <v>311</v>
      </c>
      <c r="N884" s="6" t="s">
        <v>633</v>
      </c>
      <c r="O884" s="6" t="s">
        <v>62</v>
      </c>
      <c r="P884" s="6" t="s">
        <v>1521</v>
      </c>
      <c r="Q884" s="6" t="s">
        <v>70</v>
      </c>
      <c r="R884" s="6" t="s">
        <v>57</v>
      </c>
      <c r="S884" s="6" t="s">
        <v>1219</v>
      </c>
      <c r="T884" s="131">
        <v>0.499</v>
      </c>
      <c r="U884" s="6" t="s">
        <v>1499</v>
      </c>
      <c r="V884" s="134">
        <v>1.8499999999999999E-2</v>
      </c>
      <c r="W884" s="132">
        <v>2.7910000000000001E-2</v>
      </c>
      <c r="X884" s="3" t="s">
        <v>620</v>
      </c>
      <c r="Y884" s="3" t="s">
        <v>62</v>
      </c>
      <c r="Z884" s="131">
        <v>44571.43</v>
      </c>
      <c r="AA884" s="129">
        <v>1</v>
      </c>
      <c r="AB884" s="157">
        <v>116.51</v>
      </c>
      <c r="AD884" s="131">
        <v>51.93</v>
      </c>
      <c r="AG884" s="6" t="s">
        <v>17</v>
      </c>
      <c r="AH884" s="132">
        <v>3.0200000000000002E-4</v>
      </c>
      <c r="AI884" s="132">
        <v>2.8089983345505102E-3</v>
      </c>
      <c r="AJ884" s="132">
        <v>5.9488725609745997E-4</v>
      </c>
    </row>
    <row r="885" spans="1:36" x14ac:dyDescent="0.2">
      <c r="A885" s="6">
        <v>559</v>
      </c>
      <c r="B885" s="6">
        <v>7206</v>
      </c>
      <c r="C885" s="6" t="s">
        <v>1940</v>
      </c>
      <c r="D885" s="6" t="s">
        <v>1941</v>
      </c>
      <c r="E885" s="3" t="s">
        <v>1477</v>
      </c>
      <c r="F885" s="6" t="s">
        <v>1944</v>
      </c>
      <c r="G885" s="6" t="s">
        <v>1945</v>
      </c>
      <c r="H885" s="6" t="s">
        <v>76</v>
      </c>
      <c r="I885" s="6" t="s">
        <v>229</v>
      </c>
      <c r="J885" s="6" t="s">
        <v>53</v>
      </c>
      <c r="K885" s="6" t="s">
        <v>53</v>
      </c>
      <c r="L885" s="6" t="s">
        <v>805</v>
      </c>
      <c r="M885" s="6" t="s">
        <v>311</v>
      </c>
      <c r="N885" s="6" t="s">
        <v>633</v>
      </c>
      <c r="O885" s="6" t="s">
        <v>62</v>
      </c>
      <c r="P885" s="6" t="s">
        <v>1521</v>
      </c>
      <c r="Q885" s="6" t="s">
        <v>70</v>
      </c>
      <c r="R885" s="6" t="s">
        <v>57</v>
      </c>
      <c r="S885" s="6" t="s">
        <v>1219</v>
      </c>
      <c r="T885" s="131">
        <v>0.17899999999999999</v>
      </c>
      <c r="U885" s="6" t="s">
        <v>1946</v>
      </c>
      <c r="V885" s="134">
        <v>0.01</v>
      </c>
      <c r="W885" s="132">
        <v>3.569E-2</v>
      </c>
      <c r="X885" s="3" t="s">
        <v>620</v>
      </c>
      <c r="Y885" s="3" t="s">
        <v>62</v>
      </c>
      <c r="Z885" s="131">
        <v>50000.68</v>
      </c>
      <c r="AA885" s="129">
        <v>1</v>
      </c>
      <c r="AB885" s="157">
        <v>115.84</v>
      </c>
      <c r="AD885" s="131">
        <v>57.920999999999999</v>
      </c>
      <c r="AG885" s="6" t="s">
        <v>17</v>
      </c>
      <c r="AH885" s="132">
        <v>2.9599999999999998E-4</v>
      </c>
      <c r="AI885" s="132">
        <v>3.1330416697723899E-3</v>
      </c>
      <c r="AJ885" s="132">
        <v>6.6351287547777795E-4</v>
      </c>
    </row>
    <row r="886" spans="1:36" x14ac:dyDescent="0.2">
      <c r="A886" s="6">
        <v>559</v>
      </c>
      <c r="B886" s="6">
        <v>7206</v>
      </c>
      <c r="C886" s="6" t="s">
        <v>1947</v>
      </c>
      <c r="D886" s="6" t="s">
        <v>1948</v>
      </c>
      <c r="E886" s="3" t="s">
        <v>1477</v>
      </c>
      <c r="F886" s="6" t="s">
        <v>1949</v>
      </c>
      <c r="G886" s="6" t="s">
        <v>1950</v>
      </c>
      <c r="H886" s="6" t="s">
        <v>76</v>
      </c>
      <c r="I886" s="6" t="s">
        <v>229</v>
      </c>
      <c r="J886" s="6" t="s">
        <v>53</v>
      </c>
      <c r="K886" s="6" t="s">
        <v>53</v>
      </c>
      <c r="L886" s="6" t="s">
        <v>805</v>
      </c>
      <c r="M886" s="6" t="s">
        <v>311</v>
      </c>
      <c r="N886" s="6" t="s">
        <v>635</v>
      </c>
      <c r="O886" s="6" t="s">
        <v>62</v>
      </c>
      <c r="P886" s="6" t="s">
        <v>1533</v>
      </c>
      <c r="Q886" s="6" t="s">
        <v>65</v>
      </c>
      <c r="R886" s="6" t="s">
        <v>57</v>
      </c>
      <c r="S886" s="6" t="s">
        <v>1219</v>
      </c>
      <c r="T886" s="131">
        <v>3.7440000000000002</v>
      </c>
      <c r="U886" s="6" t="s">
        <v>1549</v>
      </c>
      <c r="V886" s="134">
        <v>1.43E-2</v>
      </c>
      <c r="W886" s="132">
        <v>2.81E-2</v>
      </c>
      <c r="X886" s="3" t="s">
        <v>620</v>
      </c>
      <c r="Y886" s="3" t="s">
        <v>62</v>
      </c>
      <c r="Z886" s="131">
        <v>59340.66</v>
      </c>
      <c r="AA886" s="129">
        <v>1</v>
      </c>
      <c r="AB886" s="157">
        <v>111.28</v>
      </c>
      <c r="AC886" s="131">
        <v>1.274</v>
      </c>
      <c r="AD886" s="131">
        <v>67.308000000000007</v>
      </c>
      <c r="AG886" s="6" t="s">
        <v>17</v>
      </c>
      <c r="AH886" s="132">
        <v>3.1000000000000001E-5</v>
      </c>
      <c r="AI886" s="132">
        <v>3.6408162577403298E-3</v>
      </c>
      <c r="AJ886" s="132">
        <v>7.7104894185305603E-4</v>
      </c>
    </row>
    <row r="887" spans="1:36" x14ac:dyDescent="0.2">
      <c r="A887" s="6">
        <v>559</v>
      </c>
      <c r="B887" s="6">
        <v>7206</v>
      </c>
      <c r="C887" s="6" t="s">
        <v>1947</v>
      </c>
      <c r="D887" s="6" t="s">
        <v>1948</v>
      </c>
      <c r="E887" s="3" t="s">
        <v>1477</v>
      </c>
      <c r="F887" s="6" t="s">
        <v>1951</v>
      </c>
      <c r="G887" s="6" t="s">
        <v>1952</v>
      </c>
      <c r="H887" s="6" t="s">
        <v>76</v>
      </c>
      <c r="I887" s="6" t="s">
        <v>229</v>
      </c>
      <c r="J887" s="6" t="s">
        <v>53</v>
      </c>
      <c r="K887" s="6" t="s">
        <v>53</v>
      </c>
      <c r="L887" s="6" t="s">
        <v>805</v>
      </c>
      <c r="M887" s="6" t="s">
        <v>311</v>
      </c>
      <c r="N887" s="6" t="s">
        <v>635</v>
      </c>
      <c r="O887" s="6" t="s">
        <v>62</v>
      </c>
      <c r="P887" s="6" t="s">
        <v>1533</v>
      </c>
      <c r="Q887" s="6" t="s">
        <v>65</v>
      </c>
      <c r="R887" s="6" t="s">
        <v>57</v>
      </c>
      <c r="S887" s="6" t="s">
        <v>1219</v>
      </c>
      <c r="T887" s="131">
        <v>2.1999999999999999E-2</v>
      </c>
      <c r="U887" s="6" t="s">
        <v>1953</v>
      </c>
      <c r="V887" s="134">
        <v>1.7600000000000001E-2</v>
      </c>
      <c r="W887" s="132">
        <v>9.2439999999999994E-2</v>
      </c>
      <c r="X887" s="3" t="s">
        <v>620</v>
      </c>
      <c r="Y887" s="3" t="s">
        <v>62</v>
      </c>
      <c r="Z887" s="131">
        <v>185707.31</v>
      </c>
      <c r="AA887" s="129">
        <v>1</v>
      </c>
      <c r="AB887" s="157">
        <v>119.74</v>
      </c>
      <c r="AD887" s="131">
        <v>222.36600000000001</v>
      </c>
      <c r="AG887" s="6" t="s">
        <v>17</v>
      </c>
      <c r="AH887" s="132">
        <v>6.8900000000000005E-4</v>
      </c>
      <c r="AI887" s="132">
        <v>1.20281812718455E-2</v>
      </c>
      <c r="AJ887" s="132">
        <v>2.54731790497697E-3</v>
      </c>
    </row>
    <row r="888" spans="1:36" x14ac:dyDescent="0.2">
      <c r="A888" s="6">
        <v>559</v>
      </c>
      <c r="B888" s="6">
        <v>7206</v>
      </c>
      <c r="C888" s="6" t="s">
        <v>1947</v>
      </c>
      <c r="D888" s="6" t="s">
        <v>1948</v>
      </c>
      <c r="E888" s="3" t="s">
        <v>1477</v>
      </c>
      <c r="F888" s="6" t="s">
        <v>1954</v>
      </c>
      <c r="G888" s="6" t="s">
        <v>1955</v>
      </c>
      <c r="H888" s="6" t="s">
        <v>76</v>
      </c>
      <c r="I888" s="6" t="s">
        <v>229</v>
      </c>
      <c r="J888" s="6" t="s">
        <v>53</v>
      </c>
      <c r="K888" s="6" t="s">
        <v>53</v>
      </c>
      <c r="L888" s="6" t="s">
        <v>805</v>
      </c>
      <c r="M888" s="6" t="s">
        <v>311</v>
      </c>
      <c r="N888" s="6" t="s">
        <v>635</v>
      </c>
      <c r="O888" s="6" t="s">
        <v>62</v>
      </c>
      <c r="P888" s="6" t="s">
        <v>1533</v>
      </c>
      <c r="Q888" s="6" t="s">
        <v>65</v>
      </c>
      <c r="R888" s="6" t="s">
        <v>57</v>
      </c>
      <c r="S888" s="6" t="s">
        <v>1219</v>
      </c>
      <c r="T888" s="131">
        <v>2.1999999999999999E-2</v>
      </c>
      <c r="U888" s="6" t="s">
        <v>1953</v>
      </c>
      <c r="V888" s="134">
        <v>2.3E-2</v>
      </c>
      <c r="W888" s="132">
        <v>4.793E-2</v>
      </c>
      <c r="X888" s="3" t="s">
        <v>620</v>
      </c>
      <c r="Y888" s="3" t="s">
        <v>62</v>
      </c>
      <c r="Z888" s="131">
        <v>69000.240000000005</v>
      </c>
      <c r="AA888" s="129">
        <v>1</v>
      </c>
      <c r="AB888" s="157">
        <v>120.17</v>
      </c>
      <c r="AD888" s="131">
        <v>82.918000000000006</v>
      </c>
      <c r="AG888" s="6" t="s">
        <v>17</v>
      </c>
      <c r="AH888" s="132">
        <v>8.7000000000000001E-5</v>
      </c>
      <c r="AI888" s="132">
        <v>4.4851644789609402E-3</v>
      </c>
      <c r="AJ888" s="132">
        <v>9.4986428336983099E-4</v>
      </c>
    </row>
    <row r="889" spans="1:36" x14ac:dyDescent="0.2">
      <c r="A889" s="6">
        <v>559</v>
      </c>
      <c r="B889" s="6">
        <v>7206</v>
      </c>
      <c r="C889" s="6" t="s">
        <v>1947</v>
      </c>
      <c r="D889" s="6" t="s">
        <v>1948</v>
      </c>
      <c r="E889" s="3" t="s">
        <v>1477</v>
      </c>
      <c r="F889" s="6" t="s">
        <v>1956</v>
      </c>
      <c r="G889" s="6" t="s">
        <v>1957</v>
      </c>
      <c r="H889" s="6" t="s">
        <v>76</v>
      </c>
      <c r="I889" s="6" t="s">
        <v>229</v>
      </c>
      <c r="J889" s="6" t="s">
        <v>53</v>
      </c>
      <c r="K889" s="6" t="s">
        <v>53</v>
      </c>
      <c r="L889" s="6" t="s">
        <v>805</v>
      </c>
      <c r="M889" s="6" t="s">
        <v>311</v>
      </c>
      <c r="N889" s="6" t="s">
        <v>635</v>
      </c>
      <c r="O889" s="6" t="s">
        <v>62</v>
      </c>
      <c r="P889" s="6" t="s">
        <v>1533</v>
      </c>
      <c r="Q889" s="6" t="s">
        <v>65</v>
      </c>
      <c r="R889" s="6" t="s">
        <v>57</v>
      </c>
      <c r="S889" s="6" t="s">
        <v>1219</v>
      </c>
      <c r="T889" s="131">
        <v>0.80800000000000005</v>
      </c>
      <c r="U889" s="6" t="s">
        <v>1958</v>
      </c>
      <c r="V889" s="134">
        <v>2.1499999999999998E-2</v>
      </c>
      <c r="W889" s="132">
        <v>3.1850000000000003E-2</v>
      </c>
      <c r="X889" s="3" t="s">
        <v>620</v>
      </c>
      <c r="Y889" s="3" t="s">
        <v>62</v>
      </c>
      <c r="Z889" s="131">
        <v>164000.74</v>
      </c>
      <c r="AA889" s="129">
        <v>1</v>
      </c>
      <c r="AB889" s="157">
        <v>118.67</v>
      </c>
      <c r="AD889" s="131">
        <v>194.62</v>
      </c>
      <c r="AG889" s="6" t="s">
        <v>17</v>
      </c>
      <c r="AH889" s="132">
        <v>1.4100000000000001E-4</v>
      </c>
      <c r="AI889" s="132">
        <v>1.05273354440305E-2</v>
      </c>
      <c r="AJ889" s="132">
        <v>2.22947006386138E-3</v>
      </c>
    </row>
    <row r="890" spans="1:36" x14ac:dyDescent="0.2">
      <c r="A890" s="6">
        <v>559</v>
      </c>
      <c r="B890" s="6">
        <v>7206</v>
      </c>
      <c r="C890" s="6" t="s">
        <v>1947</v>
      </c>
      <c r="D890" s="6" t="s">
        <v>1948</v>
      </c>
      <c r="E890" s="3" t="s">
        <v>1477</v>
      </c>
      <c r="F890" s="6" t="s">
        <v>1959</v>
      </c>
      <c r="G890" s="6" t="s">
        <v>1960</v>
      </c>
      <c r="H890" s="6" t="s">
        <v>76</v>
      </c>
      <c r="I890" s="6" t="s">
        <v>229</v>
      </c>
      <c r="J890" s="6" t="s">
        <v>53</v>
      </c>
      <c r="K890" s="6" t="s">
        <v>53</v>
      </c>
      <c r="L890" s="6" t="s">
        <v>805</v>
      </c>
      <c r="M890" s="6" t="s">
        <v>311</v>
      </c>
      <c r="N890" s="6" t="s">
        <v>635</v>
      </c>
      <c r="O890" s="6" t="s">
        <v>62</v>
      </c>
      <c r="P890" s="6" t="s">
        <v>1533</v>
      </c>
      <c r="Q890" s="6" t="s">
        <v>65</v>
      </c>
      <c r="R890" s="6" t="s">
        <v>57</v>
      </c>
      <c r="S890" s="6" t="s">
        <v>1219</v>
      </c>
      <c r="T890" s="131">
        <v>1.6779999999999999</v>
      </c>
      <c r="U890" s="6" t="s">
        <v>1663</v>
      </c>
      <c r="V890" s="134">
        <v>2.35E-2</v>
      </c>
      <c r="W890" s="132">
        <v>2.7459999999999998E-2</v>
      </c>
      <c r="X890" s="3" t="s">
        <v>620</v>
      </c>
      <c r="Y890" s="3" t="s">
        <v>62</v>
      </c>
      <c r="Z890" s="131">
        <v>105727.05</v>
      </c>
      <c r="AA890" s="129">
        <v>1</v>
      </c>
      <c r="AB890" s="157">
        <v>118.4</v>
      </c>
      <c r="AD890" s="131">
        <v>125.181</v>
      </c>
      <c r="AG890" s="6" t="s">
        <v>17</v>
      </c>
      <c r="AH890" s="132">
        <v>1.15E-4</v>
      </c>
      <c r="AI890" s="132">
        <v>6.7712606020536104E-3</v>
      </c>
      <c r="AJ890" s="132">
        <v>1.4340117579746E-3</v>
      </c>
    </row>
    <row r="891" spans="1:36" x14ac:dyDescent="0.2">
      <c r="A891" s="6">
        <v>559</v>
      </c>
      <c r="B891" s="6">
        <v>7206</v>
      </c>
      <c r="C891" s="6" t="s">
        <v>1961</v>
      </c>
      <c r="D891" s="6" t="s">
        <v>1962</v>
      </c>
      <c r="E891" s="3" t="s">
        <v>1477</v>
      </c>
      <c r="F891" s="6" t="s">
        <v>1963</v>
      </c>
      <c r="G891" s="6" t="s">
        <v>1964</v>
      </c>
      <c r="H891" s="6" t="s">
        <v>76</v>
      </c>
      <c r="I891" s="6" t="s">
        <v>229</v>
      </c>
      <c r="J891" s="6" t="s">
        <v>53</v>
      </c>
      <c r="K891" s="6" t="s">
        <v>53</v>
      </c>
      <c r="L891" s="6" t="s">
        <v>805</v>
      </c>
      <c r="M891" s="6" t="s">
        <v>311</v>
      </c>
      <c r="N891" s="6" t="s">
        <v>635</v>
      </c>
      <c r="O891" s="6" t="s">
        <v>62</v>
      </c>
      <c r="P891" s="6" t="s">
        <v>1965</v>
      </c>
      <c r="Q891" s="6" t="s">
        <v>70</v>
      </c>
      <c r="R891" s="6" t="s">
        <v>57</v>
      </c>
      <c r="S891" s="6" t="s">
        <v>1219</v>
      </c>
      <c r="T891" s="131">
        <v>2.2509999999999999</v>
      </c>
      <c r="U891" s="6" t="s">
        <v>1605</v>
      </c>
      <c r="V891" s="134">
        <v>2.75E-2</v>
      </c>
      <c r="W891" s="132">
        <v>2.869E-2</v>
      </c>
      <c r="X891" s="3" t="s">
        <v>620</v>
      </c>
      <c r="Y891" s="3" t="s">
        <v>62</v>
      </c>
      <c r="Z891" s="131">
        <v>89412.38</v>
      </c>
      <c r="AA891" s="129">
        <v>1</v>
      </c>
      <c r="AB891" s="157">
        <v>116.1</v>
      </c>
      <c r="AD891" s="131">
        <v>103.80800000000001</v>
      </c>
      <c r="AG891" s="6" t="s">
        <v>17</v>
      </c>
      <c r="AH891" s="132">
        <v>1.6000000000000001E-4</v>
      </c>
      <c r="AI891" s="132">
        <v>5.6151528987551796E-3</v>
      </c>
      <c r="AJ891" s="132">
        <v>1.18917226095212E-3</v>
      </c>
    </row>
    <row r="892" spans="1:36" x14ac:dyDescent="0.2">
      <c r="A892" s="6">
        <v>559</v>
      </c>
      <c r="B892" s="6">
        <v>7206</v>
      </c>
      <c r="C892" s="6" t="s">
        <v>1961</v>
      </c>
      <c r="D892" s="6" t="s">
        <v>1962</v>
      </c>
      <c r="E892" s="3" t="s">
        <v>1477</v>
      </c>
      <c r="F892" s="6" t="s">
        <v>2366</v>
      </c>
      <c r="G892" s="6" t="s">
        <v>2367</v>
      </c>
      <c r="H892" s="6" t="s">
        <v>76</v>
      </c>
      <c r="I892" s="6" t="s">
        <v>229</v>
      </c>
      <c r="J892" s="6" t="s">
        <v>53</v>
      </c>
      <c r="K892" s="6" t="s">
        <v>53</v>
      </c>
      <c r="L892" s="6" t="s">
        <v>805</v>
      </c>
      <c r="M892" s="6" t="s">
        <v>311</v>
      </c>
      <c r="N892" s="6" t="s">
        <v>635</v>
      </c>
      <c r="O892" s="6" t="s">
        <v>62</v>
      </c>
      <c r="P892" s="6" t="s">
        <v>1965</v>
      </c>
      <c r="Q892" s="6" t="s">
        <v>70</v>
      </c>
      <c r="R892" s="6" t="s">
        <v>57</v>
      </c>
      <c r="S892" s="6" t="s">
        <v>1219</v>
      </c>
      <c r="T892" s="131">
        <v>3.7210000000000001</v>
      </c>
      <c r="U892" s="6" t="s">
        <v>1649</v>
      </c>
      <c r="V892" s="134">
        <v>8.5000000000000006E-3</v>
      </c>
      <c r="W892" s="132">
        <v>2.8299999999999999E-2</v>
      </c>
      <c r="X892" s="3" t="s">
        <v>620</v>
      </c>
      <c r="Y892" s="3" t="s">
        <v>62</v>
      </c>
      <c r="Z892" s="131">
        <v>92000</v>
      </c>
      <c r="AA892" s="129">
        <v>1</v>
      </c>
      <c r="AB892" s="157">
        <v>107.79</v>
      </c>
      <c r="AD892" s="131">
        <v>99.167000000000002</v>
      </c>
      <c r="AG892" s="6" t="s">
        <v>17</v>
      </c>
      <c r="AH892" s="132">
        <v>1.47E-4</v>
      </c>
      <c r="AI892" s="132">
        <v>5.3641141450432098E-3</v>
      </c>
      <c r="AJ892" s="132">
        <v>1.1360074891781501E-3</v>
      </c>
    </row>
    <row r="893" spans="1:36" x14ac:dyDescent="0.2">
      <c r="A893" s="6">
        <v>559</v>
      </c>
      <c r="B893" s="6">
        <v>7206</v>
      </c>
      <c r="C893" s="6" t="s">
        <v>1966</v>
      </c>
      <c r="D893" s="6" t="s">
        <v>1967</v>
      </c>
      <c r="E893" s="3" t="s">
        <v>1477</v>
      </c>
      <c r="F893" s="6" t="s">
        <v>1968</v>
      </c>
      <c r="G893" s="6" t="s">
        <v>1969</v>
      </c>
      <c r="H893" s="6" t="s">
        <v>76</v>
      </c>
      <c r="I893" s="6" t="s">
        <v>228</v>
      </c>
      <c r="J893" s="6" t="s">
        <v>53</v>
      </c>
      <c r="K893" s="6" t="s">
        <v>53</v>
      </c>
      <c r="L893" s="6" t="s">
        <v>805</v>
      </c>
      <c r="M893" s="6" t="s">
        <v>311</v>
      </c>
      <c r="N893" s="6" t="s">
        <v>633</v>
      </c>
      <c r="O893" s="6" t="s">
        <v>62</v>
      </c>
      <c r="P893" s="6" t="s">
        <v>1604</v>
      </c>
      <c r="Q893" s="6" t="s">
        <v>70</v>
      </c>
      <c r="R893" s="6" t="s">
        <v>57</v>
      </c>
      <c r="S893" s="6" t="s">
        <v>1219</v>
      </c>
      <c r="T893" s="131">
        <v>0.73099999999999998</v>
      </c>
      <c r="U893" s="6" t="s">
        <v>1578</v>
      </c>
      <c r="V893" s="134">
        <v>0.114</v>
      </c>
      <c r="W893" s="132">
        <v>5.91E-2</v>
      </c>
      <c r="X893" s="3" t="s">
        <v>620</v>
      </c>
      <c r="Y893" s="3" t="s">
        <v>62</v>
      </c>
      <c r="Z893" s="131">
        <v>24000</v>
      </c>
      <c r="AA893" s="129">
        <v>1</v>
      </c>
      <c r="AB893" s="157">
        <v>102.52</v>
      </c>
      <c r="AD893" s="131">
        <v>24.605</v>
      </c>
      <c r="AG893" s="6" t="s">
        <v>17</v>
      </c>
      <c r="AH893" s="132">
        <v>9.8999999999999994E-5</v>
      </c>
      <c r="AI893" s="132">
        <v>1.33091877237099E-3</v>
      </c>
      <c r="AJ893" s="132">
        <v>2.8186083517599199E-4</v>
      </c>
    </row>
    <row r="894" spans="1:36" x14ac:dyDescent="0.2">
      <c r="A894" s="6">
        <v>559</v>
      </c>
      <c r="B894" s="6">
        <v>7206</v>
      </c>
      <c r="C894" s="6" t="s">
        <v>1970</v>
      </c>
      <c r="D894" s="6" t="s">
        <v>1971</v>
      </c>
      <c r="E894" s="3" t="s">
        <v>1477</v>
      </c>
      <c r="F894" s="6" t="s">
        <v>1972</v>
      </c>
      <c r="G894" s="6" t="s">
        <v>1973</v>
      </c>
      <c r="H894" s="6" t="s">
        <v>76</v>
      </c>
      <c r="I894" s="6" t="s">
        <v>229</v>
      </c>
      <c r="J894" s="6" t="s">
        <v>53</v>
      </c>
      <c r="K894" s="6" t="s">
        <v>53</v>
      </c>
      <c r="L894" s="6" t="s">
        <v>805</v>
      </c>
      <c r="M894" s="6" t="s">
        <v>311</v>
      </c>
      <c r="N894" s="6" t="s">
        <v>258</v>
      </c>
      <c r="O894" s="6" t="s">
        <v>62</v>
      </c>
      <c r="P894" s="6" t="s">
        <v>1213</v>
      </c>
      <c r="Q894" s="6" t="s">
        <v>65</v>
      </c>
      <c r="R894" s="6" t="s">
        <v>57</v>
      </c>
      <c r="S894" s="6" t="s">
        <v>1219</v>
      </c>
      <c r="T894" s="131">
        <v>1.4810000000000001</v>
      </c>
      <c r="U894" s="6" t="s">
        <v>1605</v>
      </c>
      <c r="V894" s="134">
        <v>1E-3</v>
      </c>
      <c r="W894" s="132">
        <v>2.6009999999999998E-2</v>
      </c>
      <c r="X894" s="3" t="s">
        <v>620</v>
      </c>
      <c r="Y894" s="3" t="s">
        <v>62</v>
      </c>
      <c r="Z894" s="131">
        <v>334000</v>
      </c>
      <c r="AA894" s="129">
        <v>1</v>
      </c>
      <c r="AB894" s="157">
        <v>111.15</v>
      </c>
      <c r="AD894" s="131">
        <v>371.24099999999999</v>
      </c>
      <c r="AG894" s="6" t="s">
        <v>17</v>
      </c>
      <c r="AH894" s="132">
        <v>5.1999999999999995E-4</v>
      </c>
      <c r="AI894" s="132">
        <v>2.0081106774847899E-2</v>
      </c>
      <c r="AJ894" s="132">
        <v>4.2527595555164202E-3</v>
      </c>
    </row>
    <row r="895" spans="1:36" x14ac:dyDescent="0.2">
      <c r="A895" s="6">
        <v>559</v>
      </c>
      <c r="B895" s="6">
        <v>7206</v>
      </c>
      <c r="C895" s="6" t="s">
        <v>1970</v>
      </c>
      <c r="D895" s="6" t="s">
        <v>1971</v>
      </c>
      <c r="E895" s="3" t="s">
        <v>1477</v>
      </c>
      <c r="F895" s="6" t="s">
        <v>1974</v>
      </c>
      <c r="G895" s="6" t="s">
        <v>1975</v>
      </c>
      <c r="H895" s="6" t="s">
        <v>76</v>
      </c>
      <c r="I895" s="6" t="s">
        <v>229</v>
      </c>
      <c r="J895" s="6" t="s">
        <v>53</v>
      </c>
      <c r="K895" s="6" t="s">
        <v>53</v>
      </c>
      <c r="L895" s="6" t="s">
        <v>805</v>
      </c>
      <c r="M895" s="6" t="s">
        <v>311</v>
      </c>
      <c r="N895" s="6" t="s">
        <v>258</v>
      </c>
      <c r="O895" s="6" t="s">
        <v>62</v>
      </c>
      <c r="P895" s="6" t="s">
        <v>1213</v>
      </c>
      <c r="Q895" s="6" t="s">
        <v>65</v>
      </c>
      <c r="R895" s="6" t="s">
        <v>57</v>
      </c>
      <c r="S895" s="6" t="s">
        <v>1219</v>
      </c>
      <c r="T895" s="131">
        <v>11.726000000000001</v>
      </c>
      <c r="U895" s="6" t="s">
        <v>1976</v>
      </c>
      <c r="V895" s="134">
        <v>2.07E-2</v>
      </c>
      <c r="W895" s="132">
        <v>2.776E-2</v>
      </c>
      <c r="X895" s="3" t="s">
        <v>620</v>
      </c>
      <c r="Y895" s="3" t="s">
        <v>62</v>
      </c>
      <c r="Z895" s="131">
        <v>211780.49</v>
      </c>
      <c r="AA895" s="129">
        <v>1</v>
      </c>
      <c r="AB895" s="157">
        <v>106.32</v>
      </c>
      <c r="AD895" s="131">
        <v>225.16499999999999</v>
      </c>
      <c r="AG895" s="6" t="s">
        <v>17</v>
      </c>
      <c r="AH895" s="132">
        <v>3.8999999999999999E-5</v>
      </c>
      <c r="AI895" s="132">
        <v>1.21795888592447E-2</v>
      </c>
      <c r="AJ895" s="132">
        <v>2.5793828738708202E-3</v>
      </c>
    </row>
    <row r="896" spans="1:36" x14ac:dyDescent="0.2">
      <c r="A896" s="6">
        <v>559</v>
      </c>
      <c r="B896" s="6">
        <v>7206</v>
      </c>
      <c r="C896" s="6" t="s">
        <v>1977</v>
      </c>
      <c r="D896" s="6" t="s">
        <v>1978</v>
      </c>
      <c r="E896" s="3" t="s">
        <v>1477</v>
      </c>
      <c r="F896" s="6" t="s">
        <v>1979</v>
      </c>
      <c r="G896" s="6" t="s">
        <v>1980</v>
      </c>
      <c r="H896" s="6" t="s">
        <v>76</v>
      </c>
      <c r="I896" s="6" t="s">
        <v>229</v>
      </c>
      <c r="J896" s="6" t="s">
        <v>53</v>
      </c>
      <c r="K896" s="6" t="s">
        <v>53</v>
      </c>
      <c r="L896" s="6" t="s">
        <v>805</v>
      </c>
      <c r="M896" s="6" t="s">
        <v>311</v>
      </c>
      <c r="N896" s="6" t="s">
        <v>256</v>
      </c>
      <c r="O896" s="6" t="s">
        <v>62</v>
      </c>
      <c r="P896" s="6" t="s">
        <v>1213</v>
      </c>
      <c r="Q896" s="6" t="s">
        <v>65</v>
      </c>
      <c r="R896" s="6" t="s">
        <v>57</v>
      </c>
      <c r="S896" s="6" t="s">
        <v>1219</v>
      </c>
      <c r="T896" s="131">
        <v>2.5089999999999999</v>
      </c>
      <c r="U896" s="6" t="s">
        <v>1981</v>
      </c>
      <c r="V896" s="134">
        <v>1.4999999999999999E-2</v>
      </c>
      <c r="W896" s="132">
        <v>2.5399999999999999E-2</v>
      </c>
      <c r="X896" s="3" t="s">
        <v>620</v>
      </c>
      <c r="Y896" s="3" t="s">
        <v>62</v>
      </c>
      <c r="Z896" s="131">
        <v>92936.94</v>
      </c>
      <c r="AA896" s="129">
        <v>1</v>
      </c>
      <c r="AB896" s="157">
        <v>114.77</v>
      </c>
      <c r="AD896" s="131">
        <v>106.664</v>
      </c>
      <c r="AG896" s="6" t="s">
        <v>17</v>
      </c>
      <c r="AH896" s="132">
        <v>3.9899999999999999E-4</v>
      </c>
      <c r="AI896" s="132">
        <v>5.7696366284225101E-3</v>
      </c>
      <c r="AJ896" s="132">
        <v>1.22188869261501E-3</v>
      </c>
    </row>
    <row r="897" spans="1:36" x14ac:dyDescent="0.2">
      <c r="A897" s="6">
        <v>559</v>
      </c>
      <c r="B897" s="6">
        <v>7206</v>
      </c>
      <c r="C897" s="6" t="s">
        <v>1982</v>
      </c>
      <c r="D897" s="6" t="s">
        <v>1983</v>
      </c>
      <c r="E897" s="3" t="s">
        <v>1477</v>
      </c>
      <c r="F897" s="6" t="s">
        <v>1984</v>
      </c>
      <c r="G897" s="6" t="s">
        <v>1985</v>
      </c>
      <c r="H897" s="6" t="s">
        <v>76</v>
      </c>
      <c r="I897" s="6" t="s">
        <v>229</v>
      </c>
      <c r="J897" s="6" t="s">
        <v>53</v>
      </c>
      <c r="K897" s="6" t="s">
        <v>53</v>
      </c>
      <c r="L897" s="6" t="s">
        <v>805</v>
      </c>
      <c r="M897" s="6" t="s">
        <v>311</v>
      </c>
      <c r="N897" s="6" t="s">
        <v>156</v>
      </c>
      <c r="O897" s="6" t="s">
        <v>62</v>
      </c>
      <c r="P897" s="6" t="s">
        <v>298</v>
      </c>
      <c r="Q897" s="6" t="s">
        <v>298</v>
      </c>
      <c r="R897" s="6" t="s">
        <v>298</v>
      </c>
      <c r="S897" s="6" t="s">
        <v>1219</v>
      </c>
      <c r="T897" s="131">
        <v>0.72399999999999998</v>
      </c>
      <c r="U897" s="6" t="s">
        <v>1718</v>
      </c>
      <c r="V897" s="134">
        <v>1.6400000000000001E-2</v>
      </c>
      <c r="W897" s="132">
        <v>2.809E-2</v>
      </c>
      <c r="X897" s="3" t="s">
        <v>620</v>
      </c>
      <c r="Y897" s="3" t="s">
        <v>62</v>
      </c>
      <c r="Z897" s="131">
        <v>48938.43</v>
      </c>
      <c r="AA897" s="129">
        <v>1</v>
      </c>
      <c r="AB897" s="157">
        <v>116.68</v>
      </c>
      <c r="AD897" s="131">
        <v>57.100999999999999</v>
      </c>
      <c r="AG897" s="6" t="s">
        <v>17</v>
      </c>
      <c r="AH897" s="132">
        <v>2.0599999999999999E-4</v>
      </c>
      <c r="AI897" s="132">
        <v>3.0887173282021299E-3</v>
      </c>
      <c r="AJ897" s="132">
        <v>6.5412590446724695E-4</v>
      </c>
    </row>
    <row r="898" spans="1:36" x14ac:dyDescent="0.2">
      <c r="A898" s="6">
        <v>559</v>
      </c>
      <c r="B898" s="6">
        <v>7206</v>
      </c>
      <c r="C898" s="6" t="s">
        <v>1986</v>
      </c>
      <c r="D898" s="6" t="s">
        <v>1987</v>
      </c>
      <c r="E898" s="3" t="s">
        <v>1477</v>
      </c>
      <c r="F898" s="6" t="s">
        <v>1988</v>
      </c>
      <c r="G898" s="6" t="s">
        <v>1989</v>
      </c>
      <c r="H898" s="6" t="s">
        <v>76</v>
      </c>
      <c r="I898" s="6" t="s">
        <v>228</v>
      </c>
      <c r="J898" s="6" t="s">
        <v>53</v>
      </c>
      <c r="K898" s="6" t="s">
        <v>53</v>
      </c>
      <c r="L898" s="6" t="s">
        <v>805</v>
      </c>
      <c r="M898" s="6" t="s">
        <v>311</v>
      </c>
      <c r="N898" s="6" t="s">
        <v>633</v>
      </c>
      <c r="O898" s="6" t="s">
        <v>62</v>
      </c>
      <c r="P898" s="6" t="s">
        <v>1628</v>
      </c>
      <c r="Q898" s="6" t="s">
        <v>65</v>
      </c>
      <c r="R898" s="6" t="s">
        <v>57</v>
      </c>
      <c r="S898" s="6" t="s">
        <v>1219</v>
      </c>
      <c r="T898" s="131">
        <v>6.29</v>
      </c>
      <c r="U898" s="6" t="s">
        <v>1797</v>
      </c>
      <c r="V898" s="134">
        <v>1.55E-2</v>
      </c>
      <c r="W898" s="132">
        <v>5.4399999999999997E-2</v>
      </c>
      <c r="X898" s="3" t="s">
        <v>620</v>
      </c>
      <c r="Y898" s="3" t="s">
        <v>62</v>
      </c>
      <c r="Z898" s="131">
        <v>24000</v>
      </c>
      <c r="AA898" s="129">
        <v>1</v>
      </c>
      <c r="AB898" s="157">
        <v>98.94</v>
      </c>
      <c r="AD898" s="131">
        <v>23.745999999999999</v>
      </c>
      <c r="AG898" s="6" t="s">
        <v>17</v>
      </c>
      <c r="AH898" s="132">
        <v>7.4200000000000004E-4</v>
      </c>
      <c r="AI898" s="132">
        <v>1.2844430680685299E-3</v>
      </c>
      <c r="AJ898" s="132">
        <v>2.7201825041272599E-4</v>
      </c>
    </row>
    <row r="899" spans="1:36" x14ac:dyDescent="0.2">
      <c r="A899" s="6">
        <v>559</v>
      </c>
      <c r="B899" s="6">
        <v>7206</v>
      </c>
      <c r="C899" s="6" t="s">
        <v>1990</v>
      </c>
      <c r="D899" s="6" t="s">
        <v>1991</v>
      </c>
      <c r="E899" s="3" t="s">
        <v>432</v>
      </c>
      <c r="F899" s="6" t="s">
        <v>1992</v>
      </c>
      <c r="G899" s="6" t="s">
        <v>1993</v>
      </c>
      <c r="H899" s="6" t="s">
        <v>76</v>
      </c>
      <c r="I899" s="6" t="s">
        <v>228</v>
      </c>
      <c r="J899" s="6" t="s">
        <v>53</v>
      </c>
      <c r="K899" s="6" t="s">
        <v>53</v>
      </c>
      <c r="L899" s="6" t="s">
        <v>805</v>
      </c>
      <c r="M899" s="6" t="s">
        <v>102</v>
      </c>
      <c r="N899" s="6" t="s">
        <v>267</v>
      </c>
      <c r="O899" s="6" t="s">
        <v>62</v>
      </c>
      <c r="P899" s="6" t="s">
        <v>1994</v>
      </c>
      <c r="Q899" s="6" t="s">
        <v>65</v>
      </c>
      <c r="R899" s="6" t="s">
        <v>57</v>
      </c>
      <c r="S899" s="6" t="s">
        <v>1219</v>
      </c>
      <c r="T899" s="131">
        <v>3.9449999999999998</v>
      </c>
      <c r="U899" s="6" t="s">
        <v>1713</v>
      </c>
      <c r="V899" s="134">
        <v>0.06</v>
      </c>
      <c r="W899" s="132">
        <v>6.25E-2</v>
      </c>
      <c r="X899" s="3" t="s">
        <v>620</v>
      </c>
      <c r="Y899" s="3" t="s">
        <v>62</v>
      </c>
      <c r="Z899" s="131">
        <v>55000</v>
      </c>
      <c r="AA899" s="129">
        <v>1</v>
      </c>
      <c r="AB899" s="157">
        <v>100.526</v>
      </c>
      <c r="AD899" s="131">
        <v>55.289000000000001</v>
      </c>
      <c r="AG899" s="6" t="s">
        <v>17</v>
      </c>
      <c r="AH899" s="132">
        <v>0</v>
      </c>
      <c r="AI899" s="132">
        <v>2.9907007102499099E-3</v>
      </c>
      <c r="AJ899" s="132">
        <v>6.3336802925302897E-4</v>
      </c>
    </row>
    <row r="900" spans="1:36" x14ac:dyDescent="0.2">
      <c r="A900" s="6">
        <v>559</v>
      </c>
      <c r="B900" s="6">
        <v>7206</v>
      </c>
      <c r="C900" s="6" t="s">
        <v>1990</v>
      </c>
      <c r="D900" s="6" t="s">
        <v>1991</v>
      </c>
      <c r="E900" s="3" t="s">
        <v>432</v>
      </c>
      <c r="F900" s="6" t="s">
        <v>1995</v>
      </c>
      <c r="G900" s="6" t="s">
        <v>1996</v>
      </c>
      <c r="H900" s="6" t="s">
        <v>76</v>
      </c>
      <c r="I900" s="6" t="s">
        <v>228</v>
      </c>
      <c r="J900" s="6" t="s">
        <v>53</v>
      </c>
      <c r="K900" s="6" t="s">
        <v>53</v>
      </c>
      <c r="L900" s="6" t="s">
        <v>805</v>
      </c>
      <c r="M900" s="6" t="s">
        <v>1227</v>
      </c>
      <c r="N900" s="6" t="s">
        <v>267</v>
      </c>
      <c r="O900" s="6" t="s">
        <v>62</v>
      </c>
      <c r="P900" s="6" t="s">
        <v>1515</v>
      </c>
      <c r="Q900" s="6" t="s">
        <v>65</v>
      </c>
      <c r="R900" s="6" t="s">
        <v>57</v>
      </c>
      <c r="S900" s="6" t="s">
        <v>1219</v>
      </c>
      <c r="T900" s="131">
        <v>3.129</v>
      </c>
      <c r="U900" s="6" t="s">
        <v>1997</v>
      </c>
      <c r="V900" s="134">
        <v>6.7000000000000004E-2</v>
      </c>
      <c r="W900" s="132">
        <v>5.1139999999999998E-2</v>
      </c>
      <c r="X900" s="3" t="s">
        <v>620</v>
      </c>
      <c r="Y900" s="3" t="s">
        <v>62</v>
      </c>
      <c r="Z900" s="131">
        <v>28000</v>
      </c>
      <c r="AA900" s="129">
        <v>1</v>
      </c>
      <c r="AB900" s="157">
        <v>106.88</v>
      </c>
      <c r="AD900" s="131">
        <v>29.925999999999998</v>
      </c>
      <c r="AG900" s="6" t="s">
        <v>17</v>
      </c>
      <c r="AH900" s="132">
        <v>3.1000000000000001E-5</v>
      </c>
      <c r="AI900" s="132">
        <v>1.61877387946592E-3</v>
      </c>
      <c r="AJ900" s="132">
        <v>3.4282254266691E-4</v>
      </c>
    </row>
    <row r="901" spans="1:36" x14ac:dyDescent="0.2">
      <c r="A901" s="6">
        <v>559</v>
      </c>
      <c r="B901" s="6">
        <v>7206</v>
      </c>
      <c r="C901" s="6" t="s">
        <v>1998</v>
      </c>
      <c r="D901" s="6" t="s">
        <v>1999</v>
      </c>
      <c r="E901" s="3" t="s">
        <v>1477</v>
      </c>
      <c r="F901" s="6" t="s">
        <v>2000</v>
      </c>
      <c r="G901" s="6" t="s">
        <v>2001</v>
      </c>
      <c r="H901" s="6" t="s">
        <v>76</v>
      </c>
      <c r="I901" s="6" t="s">
        <v>607</v>
      </c>
      <c r="J901" s="6" t="s">
        <v>53</v>
      </c>
      <c r="K901" s="6" t="s">
        <v>53</v>
      </c>
      <c r="L901" s="6" t="s">
        <v>805</v>
      </c>
      <c r="M901" s="6" t="s">
        <v>311</v>
      </c>
      <c r="N901" s="6" t="s">
        <v>631</v>
      </c>
      <c r="O901" s="6" t="s">
        <v>62</v>
      </c>
      <c r="P901" s="6" t="s">
        <v>1604</v>
      </c>
      <c r="Q901" s="6" t="s">
        <v>70</v>
      </c>
      <c r="R901" s="6" t="s">
        <v>57</v>
      </c>
      <c r="S901" s="6" t="s">
        <v>1219</v>
      </c>
      <c r="T901" s="131">
        <v>3.26</v>
      </c>
      <c r="U901" s="6" t="s">
        <v>1509</v>
      </c>
      <c r="V901" s="134">
        <v>0.05</v>
      </c>
      <c r="W901" s="132">
        <v>3.0509999999999999E-2</v>
      </c>
      <c r="X901" s="3" t="s">
        <v>620</v>
      </c>
      <c r="Y901" s="3" t="s">
        <v>62</v>
      </c>
      <c r="Z901" s="131">
        <v>78000</v>
      </c>
      <c r="AA901" s="129">
        <v>1</v>
      </c>
      <c r="AB901" s="157">
        <v>106.5</v>
      </c>
      <c r="AD901" s="131">
        <v>83.07</v>
      </c>
      <c r="AG901" s="6" t="s">
        <v>17</v>
      </c>
      <c r="AH901" s="132">
        <v>1.56E-4</v>
      </c>
      <c r="AI901" s="132">
        <v>4.4934087015890299E-3</v>
      </c>
      <c r="AJ901" s="132">
        <v>9.5161023776131604E-4</v>
      </c>
    </row>
    <row r="902" spans="1:36" x14ac:dyDescent="0.2">
      <c r="A902" s="6">
        <v>559</v>
      </c>
      <c r="B902" s="6">
        <v>7206</v>
      </c>
      <c r="C902" s="6" t="s">
        <v>2002</v>
      </c>
      <c r="D902" s="6" t="s">
        <v>2003</v>
      </c>
      <c r="E902" s="3" t="s">
        <v>1477</v>
      </c>
      <c r="F902" s="6" t="s">
        <v>2004</v>
      </c>
      <c r="G902" s="6" t="s">
        <v>2005</v>
      </c>
      <c r="H902" s="6" t="s">
        <v>76</v>
      </c>
      <c r="I902" s="6" t="s">
        <v>229</v>
      </c>
      <c r="J902" s="6" t="s">
        <v>53</v>
      </c>
      <c r="K902" s="6" t="s">
        <v>53</v>
      </c>
      <c r="L902" s="6" t="s">
        <v>805</v>
      </c>
      <c r="M902" s="6" t="s">
        <v>311</v>
      </c>
      <c r="N902" s="6" t="s">
        <v>635</v>
      </c>
      <c r="O902" s="6" t="s">
        <v>62</v>
      </c>
      <c r="P902" s="6" t="s">
        <v>1213</v>
      </c>
      <c r="Q902" s="6" t="s">
        <v>65</v>
      </c>
      <c r="R902" s="6" t="s">
        <v>57</v>
      </c>
      <c r="S902" s="6" t="s">
        <v>1219</v>
      </c>
      <c r="T902" s="131">
        <v>4.3220000000000001</v>
      </c>
      <c r="U902" s="6" t="s">
        <v>2006</v>
      </c>
      <c r="V902" s="134">
        <v>1.6500000000000001E-2</v>
      </c>
      <c r="W902" s="132">
        <v>2.512E-2</v>
      </c>
      <c r="X902" s="3" t="s">
        <v>620</v>
      </c>
      <c r="Y902" s="3" t="s">
        <v>62</v>
      </c>
      <c r="Z902" s="131">
        <v>90000</v>
      </c>
      <c r="AA902" s="129">
        <v>1</v>
      </c>
      <c r="AB902" s="157">
        <v>113.88</v>
      </c>
      <c r="AD902" s="131">
        <v>102.492</v>
      </c>
      <c r="AG902" s="6" t="s">
        <v>17</v>
      </c>
      <c r="AH902" s="132">
        <v>4.3000000000000002E-5</v>
      </c>
      <c r="AI902" s="132">
        <v>5.5439803135098496E-3</v>
      </c>
      <c r="AJ902" s="132">
        <v>1.1740993919421301E-3</v>
      </c>
    </row>
    <row r="903" spans="1:36" x14ac:dyDescent="0.2">
      <c r="A903" s="6">
        <v>559</v>
      </c>
      <c r="B903" s="6">
        <v>7206</v>
      </c>
      <c r="C903" s="6" t="s">
        <v>2002</v>
      </c>
      <c r="D903" s="6" t="s">
        <v>2003</v>
      </c>
      <c r="E903" s="3" t="s">
        <v>1477</v>
      </c>
      <c r="F903" s="6" t="s">
        <v>2007</v>
      </c>
      <c r="G903" s="6" t="s">
        <v>2008</v>
      </c>
      <c r="H903" s="6" t="s">
        <v>76</v>
      </c>
      <c r="I903" s="6" t="s">
        <v>229</v>
      </c>
      <c r="J903" s="6" t="s">
        <v>53</v>
      </c>
      <c r="K903" s="6" t="s">
        <v>53</v>
      </c>
      <c r="L903" s="6" t="s">
        <v>805</v>
      </c>
      <c r="M903" s="6" t="s">
        <v>311</v>
      </c>
      <c r="N903" s="6" t="s">
        <v>635</v>
      </c>
      <c r="O903" s="6" t="s">
        <v>62</v>
      </c>
      <c r="P903" s="6" t="s">
        <v>1213</v>
      </c>
      <c r="Q903" s="6" t="s">
        <v>65</v>
      </c>
      <c r="R903" s="6" t="s">
        <v>57</v>
      </c>
      <c r="S903" s="6" t="s">
        <v>1219</v>
      </c>
      <c r="T903" s="131">
        <v>12.792</v>
      </c>
      <c r="U903" s="6" t="s">
        <v>2009</v>
      </c>
      <c r="V903" s="134">
        <v>9.5999999999999992E-3</v>
      </c>
      <c r="W903" s="132">
        <v>2.7550000000000002E-2</v>
      </c>
      <c r="X903" s="3" t="s">
        <v>620</v>
      </c>
      <c r="Y903" s="3" t="s">
        <v>62</v>
      </c>
      <c r="Z903" s="131">
        <v>135000</v>
      </c>
      <c r="AA903" s="129">
        <v>1</v>
      </c>
      <c r="AB903" s="157">
        <v>92.47</v>
      </c>
      <c r="AD903" s="131">
        <v>124.83499999999999</v>
      </c>
      <c r="AG903" s="6" t="s">
        <v>17</v>
      </c>
      <c r="AH903" s="132">
        <v>1.2400000000000001E-4</v>
      </c>
      <c r="AI903" s="132">
        <v>6.7525271284280299E-3</v>
      </c>
      <c r="AJ903" s="132">
        <v>1.4300443990106499E-3</v>
      </c>
    </row>
    <row r="904" spans="1:36" x14ac:dyDescent="0.2">
      <c r="A904" s="6">
        <v>559</v>
      </c>
      <c r="B904" s="6">
        <v>7206</v>
      </c>
      <c r="C904" s="6" t="s">
        <v>2010</v>
      </c>
      <c r="D904" s="6" t="s">
        <v>2011</v>
      </c>
      <c r="E904" s="3" t="s">
        <v>1477</v>
      </c>
      <c r="F904" s="6" t="s">
        <v>2012</v>
      </c>
      <c r="G904" s="6" t="s">
        <v>2013</v>
      </c>
      <c r="H904" s="6" t="s">
        <v>76</v>
      </c>
      <c r="I904" s="6" t="s">
        <v>229</v>
      </c>
      <c r="J904" s="6" t="s">
        <v>53</v>
      </c>
      <c r="K904" s="6" t="s">
        <v>53</v>
      </c>
      <c r="L904" s="6" t="s">
        <v>805</v>
      </c>
      <c r="M904" s="6" t="s">
        <v>311</v>
      </c>
      <c r="N904" s="6" t="s">
        <v>258</v>
      </c>
      <c r="O904" s="6" t="s">
        <v>62</v>
      </c>
      <c r="P904" s="6" t="s">
        <v>1339</v>
      </c>
      <c r="Q904" s="6" t="s">
        <v>65</v>
      </c>
      <c r="R904" s="6" t="s">
        <v>57</v>
      </c>
      <c r="S904" s="6" t="s">
        <v>1219</v>
      </c>
      <c r="T904" s="131">
        <v>5.0430000000000001</v>
      </c>
      <c r="U904" s="6" t="s">
        <v>1788</v>
      </c>
      <c r="V904" s="134">
        <v>2.6499999999999999E-2</v>
      </c>
      <c r="W904" s="132">
        <v>2.5250000000000002E-2</v>
      </c>
      <c r="X904" s="3" t="s">
        <v>620</v>
      </c>
      <c r="Y904" s="3" t="s">
        <v>62</v>
      </c>
      <c r="Z904" s="131">
        <v>160454.29</v>
      </c>
      <c r="AA904" s="129">
        <v>1</v>
      </c>
      <c r="AB904" s="157">
        <v>118.55</v>
      </c>
      <c r="AD904" s="131">
        <v>190.21899999999999</v>
      </c>
      <c r="AG904" s="6" t="s">
        <v>17</v>
      </c>
      <c r="AH904" s="132">
        <v>1.13E-4</v>
      </c>
      <c r="AI904" s="132">
        <v>1.0289270931503501E-2</v>
      </c>
      <c r="AJ904" s="132">
        <v>2.1790529657487101E-3</v>
      </c>
    </row>
    <row r="905" spans="1:36" x14ac:dyDescent="0.2">
      <c r="A905" s="6">
        <v>559</v>
      </c>
      <c r="B905" s="6">
        <v>7206</v>
      </c>
      <c r="C905" s="6" t="s">
        <v>2014</v>
      </c>
      <c r="D905" s="6" t="s">
        <v>2015</v>
      </c>
      <c r="E905" s="3" t="s">
        <v>1477</v>
      </c>
      <c r="F905" s="6" t="s">
        <v>2370</v>
      </c>
      <c r="G905" s="6" t="s">
        <v>2371</v>
      </c>
      <c r="H905" s="6" t="s">
        <v>76</v>
      </c>
      <c r="I905" s="6" t="s">
        <v>228</v>
      </c>
      <c r="J905" s="6" t="s">
        <v>53</v>
      </c>
      <c r="K905" s="6" t="s">
        <v>53</v>
      </c>
      <c r="L905" s="6" t="s">
        <v>805</v>
      </c>
      <c r="M905" s="6" t="s">
        <v>311</v>
      </c>
      <c r="N905" s="6" t="s">
        <v>140</v>
      </c>
      <c r="O905" s="6" t="s">
        <v>62</v>
      </c>
      <c r="P905" s="6" t="s">
        <v>298</v>
      </c>
      <c r="Q905" s="6" t="s">
        <v>298</v>
      </c>
      <c r="R905" s="6" t="s">
        <v>298</v>
      </c>
      <c r="S905" s="6" t="s">
        <v>1219</v>
      </c>
      <c r="T905" s="131">
        <v>1.8109999999999999</v>
      </c>
      <c r="U905" s="6" t="s">
        <v>2372</v>
      </c>
      <c r="V905" s="134">
        <v>4.4999999999999998E-2</v>
      </c>
      <c r="W905" s="132">
        <v>6.4119999999999996E-2</v>
      </c>
      <c r="X905" s="3" t="s">
        <v>620</v>
      </c>
      <c r="Y905" s="3" t="s">
        <v>62</v>
      </c>
      <c r="Z905" s="131">
        <v>11666.66</v>
      </c>
      <c r="AA905" s="129">
        <v>1</v>
      </c>
      <c r="AB905" s="157">
        <v>97.21</v>
      </c>
      <c r="AD905" s="131">
        <v>11.340999999999999</v>
      </c>
      <c r="AG905" s="6" t="s">
        <v>17</v>
      </c>
      <c r="AH905" s="132">
        <v>8.2999999999999998E-5</v>
      </c>
      <c r="AI905" s="132">
        <v>6.1346416113985198E-4</v>
      </c>
      <c r="AJ905" s="132">
        <v>1.2991891345959599E-4</v>
      </c>
    </row>
    <row r="906" spans="1:36" x14ac:dyDescent="0.2">
      <c r="A906" s="6">
        <v>559</v>
      </c>
      <c r="B906" s="6">
        <v>7206</v>
      </c>
      <c r="C906" s="6" t="s">
        <v>2014</v>
      </c>
      <c r="D906" s="6" t="s">
        <v>2015</v>
      </c>
      <c r="E906" s="3" t="s">
        <v>1477</v>
      </c>
      <c r="F906" s="6" t="s">
        <v>2016</v>
      </c>
      <c r="G906" s="6" t="s">
        <v>2017</v>
      </c>
      <c r="H906" s="6" t="s">
        <v>76</v>
      </c>
      <c r="I906" s="6" t="s">
        <v>228</v>
      </c>
      <c r="J906" s="6" t="s">
        <v>53</v>
      </c>
      <c r="K906" s="6" t="s">
        <v>53</v>
      </c>
      <c r="L906" s="6" t="s">
        <v>805</v>
      </c>
      <c r="M906" s="6" t="s">
        <v>311</v>
      </c>
      <c r="N906" s="6" t="s">
        <v>140</v>
      </c>
      <c r="O906" s="6" t="s">
        <v>62</v>
      </c>
      <c r="P906" s="6" t="s">
        <v>298</v>
      </c>
      <c r="Q906" s="6" t="s">
        <v>298</v>
      </c>
      <c r="R906" s="6" t="s">
        <v>298</v>
      </c>
      <c r="S906" s="6" t="s">
        <v>1219</v>
      </c>
      <c r="T906" s="131">
        <v>2.7589999999999999</v>
      </c>
      <c r="U906" s="6" t="s">
        <v>1549</v>
      </c>
      <c r="V906" s="134">
        <v>6.5000000000000002E-2</v>
      </c>
      <c r="W906" s="132">
        <v>6.5180000000000002E-2</v>
      </c>
      <c r="X906" s="3" t="s">
        <v>620</v>
      </c>
      <c r="Y906" s="3" t="s">
        <v>62</v>
      </c>
      <c r="Z906" s="131">
        <v>20000</v>
      </c>
      <c r="AA906" s="129">
        <v>1</v>
      </c>
      <c r="AB906" s="157">
        <v>100.24</v>
      </c>
      <c r="AD906" s="131">
        <v>20.047999999999998</v>
      </c>
      <c r="AG906" s="6" t="s">
        <v>17</v>
      </c>
      <c r="AH906" s="132">
        <v>1.08E-4</v>
      </c>
      <c r="AI906" s="132">
        <v>1.0844331003907199E-3</v>
      </c>
      <c r="AJ906" s="132">
        <v>2.29660311142878E-4</v>
      </c>
    </row>
    <row r="907" spans="1:36" x14ac:dyDescent="0.2">
      <c r="A907" s="6">
        <v>559</v>
      </c>
      <c r="B907" s="6">
        <v>7206</v>
      </c>
      <c r="C907" s="6" t="s">
        <v>2014</v>
      </c>
      <c r="D907" s="6" t="s">
        <v>2015</v>
      </c>
      <c r="E907" s="3" t="s">
        <v>1477</v>
      </c>
      <c r="F907" s="6" t="s">
        <v>2018</v>
      </c>
      <c r="G907" s="6" t="s">
        <v>2019</v>
      </c>
      <c r="H907" s="6" t="s">
        <v>76</v>
      </c>
      <c r="I907" s="6" t="s">
        <v>228</v>
      </c>
      <c r="J907" s="6" t="s">
        <v>53</v>
      </c>
      <c r="K907" s="6" t="s">
        <v>53</v>
      </c>
      <c r="L907" s="6" t="s">
        <v>805</v>
      </c>
      <c r="M907" s="6" t="s">
        <v>1227</v>
      </c>
      <c r="N907" s="6" t="s">
        <v>140</v>
      </c>
      <c r="O907" s="6" t="s">
        <v>62</v>
      </c>
      <c r="P907" s="6" t="s">
        <v>298</v>
      </c>
      <c r="Q907" s="6" t="s">
        <v>298</v>
      </c>
      <c r="R907" s="6" t="s">
        <v>298</v>
      </c>
      <c r="S907" s="6" t="s">
        <v>1219</v>
      </c>
      <c r="T907" s="131">
        <v>3.5529999999999999</v>
      </c>
      <c r="U907" s="6" t="s">
        <v>1564</v>
      </c>
      <c r="V907" s="134">
        <v>6.5000000000000002E-2</v>
      </c>
      <c r="W907" s="132">
        <v>6.8769999999999998E-2</v>
      </c>
      <c r="X907" s="3" t="s">
        <v>620</v>
      </c>
      <c r="Y907" s="3" t="s">
        <v>62</v>
      </c>
      <c r="Z907" s="131">
        <v>37000</v>
      </c>
      <c r="AA907" s="129">
        <v>1</v>
      </c>
      <c r="AB907" s="157">
        <v>101.5</v>
      </c>
      <c r="AD907" s="131">
        <v>37.555</v>
      </c>
      <c r="AG907" s="6" t="s">
        <v>17</v>
      </c>
      <c r="AH907" s="132">
        <v>1.85E-4</v>
      </c>
      <c r="AI907" s="132">
        <v>2.0314188490210198E-3</v>
      </c>
      <c r="AJ907" s="132">
        <v>4.3021214011227001E-4</v>
      </c>
    </row>
    <row r="908" spans="1:36" x14ac:dyDescent="0.2">
      <c r="A908" s="6">
        <v>559</v>
      </c>
      <c r="B908" s="6">
        <v>7206</v>
      </c>
      <c r="C908" s="6" t="s">
        <v>2020</v>
      </c>
      <c r="D908" s="6" t="s">
        <v>2021</v>
      </c>
      <c r="E908" s="3" t="s">
        <v>1477</v>
      </c>
      <c r="F908" s="6" t="s">
        <v>2022</v>
      </c>
      <c r="G908" s="6" t="s">
        <v>2023</v>
      </c>
      <c r="H908" s="6" t="s">
        <v>76</v>
      </c>
      <c r="I908" s="6" t="s">
        <v>228</v>
      </c>
      <c r="J908" s="6" t="s">
        <v>53</v>
      </c>
      <c r="K908" s="6" t="s">
        <v>317</v>
      </c>
      <c r="L908" s="6" t="s">
        <v>805</v>
      </c>
      <c r="M908" s="6" t="s">
        <v>311</v>
      </c>
      <c r="N908" s="6" t="s">
        <v>636</v>
      </c>
      <c r="O908" s="6" t="s">
        <v>62</v>
      </c>
      <c r="P908" s="6" t="s">
        <v>2024</v>
      </c>
      <c r="Q908" s="6" t="s">
        <v>70</v>
      </c>
      <c r="R908" s="6" t="s">
        <v>57</v>
      </c>
      <c r="S908" s="6" t="s">
        <v>1219</v>
      </c>
      <c r="T908" s="131">
        <v>1.421</v>
      </c>
      <c r="U908" s="6" t="s">
        <v>1516</v>
      </c>
      <c r="V908" s="134">
        <v>2.75E-2</v>
      </c>
      <c r="W908" s="132">
        <v>5.0349999999999999E-2</v>
      </c>
      <c r="X908" s="3" t="s">
        <v>620</v>
      </c>
      <c r="Y908" s="3" t="s">
        <v>62</v>
      </c>
      <c r="Z908" s="131">
        <v>53959.7</v>
      </c>
      <c r="AA908" s="129">
        <v>1</v>
      </c>
      <c r="AB908" s="157">
        <v>96.95</v>
      </c>
      <c r="AD908" s="131">
        <v>52.314</v>
      </c>
      <c r="AG908" s="6" t="s">
        <v>17</v>
      </c>
      <c r="AH908" s="132">
        <v>7.2800000000000002E-4</v>
      </c>
      <c r="AI908" s="132">
        <v>2.8297564037188202E-3</v>
      </c>
      <c r="AJ908" s="132">
        <v>5.9928338216757096E-4</v>
      </c>
    </row>
    <row r="909" spans="1:36" x14ac:dyDescent="0.2">
      <c r="A909" s="6">
        <v>559</v>
      </c>
      <c r="B909" s="6">
        <v>7206</v>
      </c>
      <c r="C909" s="6" t="s">
        <v>2025</v>
      </c>
      <c r="D909" s="6" t="s">
        <v>2026</v>
      </c>
      <c r="E909" s="3" t="s">
        <v>1477</v>
      </c>
      <c r="F909" s="6" t="s">
        <v>2027</v>
      </c>
      <c r="G909" s="6" t="s">
        <v>2028</v>
      </c>
      <c r="H909" s="6" t="s">
        <v>76</v>
      </c>
      <c r="I909" s="6" t="s">
        <v>229</v>
      </c>
      <c r="J909" s="6" t="s">
        <v>53</v>
      </c>
      <c r="K909" s="6" t="s">
        <v>53</v>
      </c>
      <c r="L909" s="6" t="s">
        <v>805</v>
      </c>
      <c r="M909" s="6" t="s">
        <v>102</v>
      </c>
      <c r="N909" s="6" t="s">
        <v>631</v>
      </c>
      <c r="O909" s="6" t="s">
        <v>62</v>
      </c>
      <c r="P909" s="6" t="s">
        <v>298</v>
      </c>
      <c r="Q909" s="6" t="s">
        <v>298</v>
      </c>
      <c r="R909" s="6" t="s">
        <v>298</v>
      </c>
      <c r="S909" s="6" t="s">
        <v>1219</v>
      </c>
      <c r="T909" s="131">
        <v>3.996</v>
      </c>
      <c r="U909" s="6" t="s">
        <v>1713</v>
      </c>
      <c r="V909" s="134">
        <v>4.9000000000000002E-2</v>
      </c>
      <c r="W909" s="132">
        <v>4.4699999999999997E-2</v>
      </c>
      <c r="X909" s="3" t="s">
        <v>620</v>
      </c>
      <c r="Y909" s="3" t="s">
        <v>62</v>
      </c>
      <c r="Z909" s="131">
        <v>151000</v>
      </c>
      <c r="AA909" s="129">
        <v>1</v>
      </c>
      <c r="AB909" s="157">
        <v>103.5</v>
      </c>
      <c r="AD909" s="131">
        <v>156.285</v>
      </c>
      <c r="AG909" s="6" t="s">
        <v>17</v>
      </c>
      <c r="AH909" s="132">
        <v>3.3199999999999999E-4</v>
      </c>
      <c r="AI909" s="132">
        <v>8.4537423730328895E-3</v>
      </c>
      <c r="AJ909" s="132">
        <v>1.7903263032205E-3</v>
      </c>
    </row>
    <row r="910" spans="1:36" x14ac:dyDescent="0.2">
      <c r="A910" s="6">
        <v>559</v>
      </c>
      <c r="B910" s="6">
        <v>7206</v>
      </c>
      <c r="C910" s="6" t="s">
        <v>2029</v>
      </c>
      <c r="D910" s="6" t="s">
        <v>2030</v>
      </c>
      <c r="E910" s="3" t="s">
        <v>78</v>
      </c>
      <c r="F910" s="6" t="s">
        <v>2031</v>
      </c>
      <c r="G910" s="6" t="s">
        <v>2032</v>
      </c>
      <c r="H910" s="6" t="s">
        <v>76</v>
      </c>
      <c r="I910" s="6" t="s">
        <v>230</v>
      </c>
      <c r="J910" s="6" t="s">
        <v>53</v>
      </c>
      <c r="K910" s="6" t="s">
        <v>314</v>
      </c>
      <c r="L910" s="6" t="s">
        <v>805</v>
      </c>
      <c r="M910" s="6" t="s">
        <v>311</v>
      </c>
      <c r="N910" s="6" t="s">
        <v>633</v>
      </c>
      <c r="O910" s="6" t="s">
        <v>62</v>
      </c>
      <c r="P910" s="6" t="s">
        <v>1521</v>
      </c>
      <c r="Q910" s="6" t="s">
        <v>70</v>
      </c>
      <c r="R910" s="6" t="s">
        <v>57</v>
      </c>
      <c r="S910" s="6" t="s">
        <v>1219</v>
      </c>
      <c r="T910" s="131">
        <v>1.1160000000000001</v>
      </c>
      <c r="U910" s="6" t="s">
        <v>2033</v>
      </c>
      <c r="V910" s="134">
        <v>7.9135999999999998E-2</v>
      </c>
      <c r="W910" s="132">
        <v>5.5309999999999998E-2</v>
      </c>
      <c r="X910" s="3" t="s">
        <v>620</v>
      </c>
      <c r="Y910" s="3" t="s">
        <v>62</v>
      </c>
      <c r="Z910" s="131">
        <v>22000</v>
      </c>
      <c r="AA910" s="129">
        <v>1</v>
      </c>
      <c r="AB910" s="157">
        <v>95.62</v>
      </c>
      <c r="AD910" s="131">
        <v>21.036000000000001</v>
      </c>
      <c r="AG910" s="6" t="s">
        <v>17</v>
      </c>
      <c r="AH910" s="132">
        <v>5.1999999999999997E-5</v>
      </c>
      <c r="AI910" s="132">
        <v>1.1378974697256201E-3</v>
      </c>
      <c r="AJ910" s="132">
        <v>2.40982949387771E-4</v>
      </c>
    </row>
    <row r="911" spans="1:36" x14ac:dyDescent="0.2">
      <c r="A911" s="6">
        <v>559</v>
      </c>
      <c r="B911" s="6">
        <v>7206</v>
      </c>
      <c r="C911" s="6" t="s">
        <v>2034</v>
      </c>
      <c r="D911" s="6" t="s">
        <v>2035</v>
      </c>
      <c r="E911" s="3" t="s">
        <v>1477</v>
      </c>
      <c r="F911" s="6" t="s">
        <v>2036</v>
      </c>
      <c r="G911" s="6" t="s">
        <v>2037</v>
      </c>
      <c r="H911" s="6" t="s">
        <v>76</v>
      </c>
      <c r="I911" s="6" t="s">
        <v>229</v>
      </c>
      <c r="J911" s="6" t="s">
        <v>53</v>
      </c>
      <c r="K911" s="6" t="s">
        <v>53</v>
      </c>
      <c r="L911" s="6" t="s">
        <v>805</v>
      </c>
      <c r="M911" s="6" t="s">
        <v>311</v>
      </c>
      <c r="N911" s="6" t="s">
        <v>635</v>
      </c>
      <c r="O911" s="6" t="s">
        <v>62</v>
      </c>
      <c r="P911" s="6" t="s">
        <v>1965</v>
      </c>
      <c r="Q911" s="6" t="s">
        <v>70</v>
      </c>
      <c r="R911" s="6" t="s">
        <v>57</v>
      </c>
      <c r="S911" s="6" t="s">
        <v>1219</v>
      </c>
      <c r="T911" s="131">
        <v>2.21</v>
      </c>
      <c r="U911" s="6" t="s">
        <v>2038</v>
      </c>
      <c r="V911" s="134">
        <v>1.9599999999999999E-2</v>
      </c>
      <c r="W911" s="132">
        <v>2.9499999999999998E-2</v>
      </c>
      <c r="X911" s="3" t="s">
        <v>620</v>
      </c>
      <c r="Y911" s="3" t="s">
        <v>62</v>
      </c>
      <c r="Z911" s="131">
        <v>182000.82</v>
      </c>
      <c r="AA911" s="129">
        <v>1</v>
      </c>
      <c r="AB911" s="157">
        <v>115.75</v>
      </c>
      <c r="AD911" s="131">
        <v>210.666</v>
      </c>
      <c r="AG911" s="6" t="s">
        <v>17</v>
      </c>
      <c r="AH911" s="132">
        <v>1.5899999999999999E-4</v>
      </c>
      <c r="AI911" s="132">
        <v>1.13953076807406E-2</v>
      </c>
      <c r="AJ911" s="132">
        <v>2.4132884791000899E-3</v>
      </c>
    </row>
    <row r="912" spans="1:36" x14ac:dyDescent="0.2">
      <c r="A912" s="6">
        <v>559</v>
      </c>
      <c r="B912" s="6">
        <v>7206</v>
      </c>
      <c r="C912" s="6" t="s">
        <v>2034</v>
      </c>
      <c r="D912" s="6" t="s">
        <v>2035</v>
      </c>
      <c r="E912" s="3" t="s">
        <v>1477</v>
      </c>
      <c r="F912" s="6" t="s">
        <v>2039</v>
      </c>
      <c r="G912" s="6" t="s">
        <v>2040</v>
      </c>
      <c r="H912" s="6" t="s">
        <v>76</v>
      </c>
      <c r="I912" s="6" t="s">
        <v>229</v>
      </c>
      <c r="J912" s="6" t="s">
        <v>53</v>
      </c>
      <c r="K912" s="6" t="s">
        <v>53</v>
      </c>
      <c r="L912" s="6" t="s">
        <v>805</v>
      </c>
      <c r="M912" s="6" t="s">
        <v>311</v>
      </c>
      <c r="N912" s="6" t="s">
        <v>635</v>
      </c>
      <c r="O912" s="6" t="s">
        <v>62</v>
      </c>
      <c r="P912" s="6" t="s">
        <v>1965</v>
      </c>
      <c r="Q912" s="6" t="s">
        <v>70</v>
      </c>
      <c r="R912" s="6" t="s">
        <v>57</v>
      </c>
      <c r="S912" s="6" t="s">
        <v>1219</v>
      </c>
      <c r="T912" s="131">
        <v>5.9009999999999998</v>
      </c>
      <c r="U912" s="6" t="s">
        <v>2041</v>
      </c>
      <c r="V912" s="134">
        <v>1.5800000000000002E-2</v>
      </c>
      <c r="W912" s="132">
        <v>3.0099999999999998E-2</v>
      </c>
      <c r="X912" s="3" t="s">
        <v>620</v>
      </c>
      <c r="Y912" s="3" t="s">
        <v>62</v>
      </c>
      <c r="Z912" s="131">
        <v>90000.87</v>
      </c>
      <c r="AA912" s="129">
        <v>1</v>
      </c>
      <c r="AB912" s="157">
        <v>108.34</v>
      </c>
      <c r="AD912" s="131">
        <v>97.507000000000005</v>
      </c>
      <c r="AG912" s="6" t="s">
        <v>17</v>
      </c>
      <c r="AH912" s="132">
        <v>8.2000000000000001E-5</v>
      </c>
      <c r="AI912" s="132">
        <v>5.2743294108036501E-3</v>
      </c>
      <c r="AJ912" s="132">
        <v>1.1169929552305E-3</v>
      </c>
    </row>
    <row r="913" spans="1:36" x14ac:dyDescent="0.2">
      <c r="A913" s="6">
        <v>559</v>
      </c>
      <c r="B913" s="6">
        <v>7206</v>
      </c>
      <c r="C913" s="6" t="s">
        <v>2034</v>
      </c>
      <c r="D913" s="6" t="s">
        <v>2035</v>
      </c>
      <c r="E913" s="3" t="s">
        <v>1477</v>
      </c>
      <c r="F913" s="6" t="s">
        <v>2042</v>
      </c>
      <c r="G913" s="6" t="s">
        <v>2043</v>
      </c>
      <c r="H913" s="6" t="s">
        <v>76</v>
      </c>
      <c r="I913" s="6" t="s">
        <v>229</v>
      </c>
      <c r="J913" s="6" t="s">
        <v>53</v>
      </c>
      <c r="K913" s="6" t="s">
        <v>53</v>
      </c>
      <c r="L913" s="6" t="s">
        <v>805</v>
      </c>
      <c r="M913" s="6" t="s">
        <v>1227</v>
      </c>
      <c r="N913" s="6" t="s">
        <v>635</v>
      </c>
      <c r="O913" s="6" t="s">
        <v>62</v>
      </c>
      <c r="P913" s="6" t="s">
        <v>1533</v>
      </c>
      <c r="Q913" s="6" t="s">
        <v>65</v>
      </c>
      <c r="R913" s="6" t="s">
        <v>57</v>
      </c>
      <c r="S913" s="6" t="s">
        <v>1219</v>
      </c>
      <c r="T913" s="131">
        <v>7.1980000000000004</v>
      </c>
      <c r="U913" s="6" t="s">
        <v>2044</v>
      </c>
      <c r="V913" s="134">
        <v>0.03</v>
      </c>
      <c r="W913" s="132">
        <v>3.1690000000000003E-2</v>
      </c>
      <c r="X913" s="3" t="s">
        <v>620</v>
      </c>
      <c r="Y913" s="3" t="s">
        <v>62</v>
      </c>
      <c r="Z913" s="131">
        <v>37000</v>
      </c>
      <c r="AA913" s="129">
        <v>1</v>
      </c>
      <c r="AB913" s="157">
        <v>104.37</v>
      </c>
      <c r="AD913" s="131">
        <v>38.616999999999997</v>
      </c>
      <c r="AG913" s="6" t="s">
        <v>17</v>
      </c>
      <c r="AH913" s="132">
        <v>8.3999999999999995E-5</v>
      </c>
      <c r="AI913" s="132">
        <v>2.0888589682002399E-3</v>
      </c>
      <c r="AJ913" s="132">
        <v>4.4237675924647902E-4</v>
      </c>
    </row>
    <row r="914" spans="1:36" x14ac:dyDescent="0.2">
      <c r="A914" s="6">
        <v>559</v>
      </c>
      <c r="B914" s="6">
        <v>7206</v>
      </c>
      <c r="C914" s="6" t="s">
        <v>2045</v>
      </c>
      <c r="D914" s="6" t="s">
        <v>2046</v>
      </c>
      <c r="E914" s="3" t="s">
        <v>1477</v>
      </c>
      <c r="F914" s="6" t="s">
        <v>2047</v>
      </c>
      <c r="G914" s="6" t="s">
        <v>2048</v>
      </c>
      <c r="H914" s="6" t="s">
        <v>76</v>
      </c>
      <c r="I914" s="6" t="s">
        <v>228</v>
      </c>
      <c r="J914" s="6" t="s">
        <v>53</v>
      </c>
      <c r="K914" s="6" t="s">
        <v>53</v>
      </c>
      <c r="L914" s="6" t="s">
        <v>805</v>
      </c>
      <c r="M914" s="6" t="s">
        <v>311</v>
      </c>
      <c r="N914" s="6" t="s">
        <v>260</v>
      </c>
      <c r="O914" s="6" t="s">
        <v>62</v>
      </c>
      <c r="P914" s="6" t="s">
        <v>1493</v>
      </c>
      <c r="Q914" s="6" t="s">
        <v>65</v>
      </c>
      <c r="R914" s="6" t="s">
        <v>57</v>
      </c>
      <c r="S914" s="6" t="s">
        <v>1219</v>
      </c>
      <c r="T914" s="131">
        <v>1.0999999999999999E-2</v>
      </c>
      <c r="U914" s="6" t="s">
        <v>2049</v>
      </c>
      <c r="V914" s="134">
        <v>4.1399999999999999E-2</v>
      </c>
      <c r="W914" s="132">
        <v>0.11332</v>
      </c>
      <c r="X914" s="3" t="s">
        <v>620</v>
      </c>
      <c r="Y914" s="3" t="s">
        <v>62</v>
      </c>
      <c r="Z914" s="131">
        <v>43000</v>
      </c>
      <c r="AA914" s="129">
        <v>1</v>
      </c>
      <c r="AB914" s="157">
        <v>101.95</v>
      </c>
      <c r="AD914" s="131">
        <v>43.838999999999999</v>
      </c>
      <c r="AG914" s="6" t="s">
        <v>17</v>
      </c>
      <c r="AH914" s="132">
        <v>3.8200000000000002E-4</v>
      </c>
      <c r="AI914" s="132">
        <v>2.3713048918335201E-3</v>
      </c>
      <c r="AJ914" s="132">
        <v>5.0219291450703601E-4</v>
      </c>
    </row>
    <row r="915" spans="1:36" x14ac:dyDescent="0.2">
      <c r="A915" s="6">
        <v>559</v>
      </c>
      <c r="B915" s="6">
        <v>7206</v>
      </c>
      <c r="C915" s="6" t="s">
        <v>2050</v>
      </c>
      <c r="D915" s="6" t="s">
        <v>2051</v>
      </c>
      <c r="E915" s="3" t="s">
        <v>767</v>
      </c>
      <c r="F915" s="6" t="s">
        <v>2052</v>
      </c>
      <c r="G915" s="6" t="s">
        <v>2053</v>
      </c>
      <c r="H915" s="6" t="s">
        <v>76</v>
      </c>
      <c r="I915" s="6" t="s">
        <v>228</v>
      </c>
      <c r="J915" s="6" t="s">
        <v>53</v>
      </c>
      <c r="K915" s="6" t="s">
        <v>53</v>
      </c>
      <c r="L915" s="6" t="s">
        <v>805</v>
      </c>
      <c r="M915" s="6" t="s">
        <v>1227</v>
      </c>
      <c r="N915" s="6" t="s">
        <v>636</v>
      </c>
      <c r="O915" s="6" t="s">
        <v>62</v>
      </c>
      <c r="P915" s="6" t="s">
        <v>1493</v>
      </c>
      <c r="Q915" s="6" t="s">
        <v>65</v>
      </c>
      <c r="R915" s="6" t="s">
        <v>57</v>
      </c>
      <c r="S915" s="6" t="s">
        <v>1219</v>
      </c>
      <c r="T915" s="131">
        <v>2.948</v>
      </c>
      <c r="U915" s="6" t="s">
        <v>2054</v>
      </c>
      <c r="V915" s="134">
        <v>6.3899999999999998E-2</v>
      </c>
      <c r="W915" s="132">
        <v>5.4820000000000001E-2</v>
      </c>
      <c r="X915" s="3" t="s">
        <v>620</v>
      </c>
      <c r="Y915" s="3" t="s">
        <v>62</v>
      </c>
      <c r="Z915" s="131">
        <v>37000</v>
      </c>
      <c r="AA915" s="129">
        <v>1</v>
      </c>
      <c r="AB915" s="157">
        <v>104.47</v>
      </c>
      <c r="AD915" s="131">
        <v>38.654000000000003</v>
      </c>
      <c r="AG915" s="6" t="s">
        <v>17</v>
      </c>
      <c r="AH915" s="132">
        <v>9.0000000000000006E-5</v>
      </c>
      <c r="AI915" s="132">
        <v>2.09086036608104E-3</v>
      </c>
      <c r="AJ915" s="132">
        <v>4.4280061357171202E-4</v>
      </c>
    </row>
    <row r="916" spans="1:36" x14ac:dyDescent="0.2">
      <c r="A916" s="6">
        <v>559</v>
      </c>
      <c r="B916" s="6">
        <v>7206</v>
      </c>
      <c r="C916" s="6" t="s">
        <v>2050</v>
      </c>
      <c r="D916" s="6" t="s">
        <v>2051</v>
      </c>
      <c r="E916" s="3" t="s">
        <v>767</v>
      </c>
      <c r="F916" s="6" t="s">
        <v>2055</v>
      </c>
      <c r="G916" s="6" t="s">
        <v>2056</v>
      </c>
      <c r="H916" s="6" t="s">
        <v>76</v>
      </c>
      <c r="I916" s="6" t="s">
        <v>228</v>
      </c>
      <c r="J916" s="6" t="s">
        <v>53</v>
      </c>
      <c r="K916" s="6" t="s">
        <v>314</v>
      </c>
      <c r="L916" s="6" t="s">
        <v>805</v>
      </c>
      <c r="M916" s="6" t="s">
        <v>102</v>
      </c>
      <c r="N916" s="6" t="s">
        <v>636</v>
      </c>
      <c r="O916" s="6" t="s">
        <v>62</v>
      </c>
      <c r="P916" s="6" t="s">
        <v>1493</v>
      </c>
      <c r="Q916" s="6" t="s">
        <v>65</v>
      </c>
      <c r="R916" s="6" t="s">
        <v>57</v>
      </c>
      <c r="S916" s="6" t="s">
        <v>1219</v>
      </c>
      <c r="T916" s="131">
        <v>2.097</v>
      </c>
      <c r="U916" s="6" t="s">
        <v>1280</v>
      </c>
      <c r="V916" s="134">
        <v>6.4399999999999999E-2</v>
      </c>
      <c r="W916" s="132">
        <v>5.6160000000000002E-2</v>
      </c>
      <c r="X916" s="3" t="s">
        <v>620</v>
      </c>
      <c r="Y916" s="3" t="s">
        <v>62</v>
      </c>
      <c r="Z916" s="131">
        <v>28208.67</v>
      </c>
      <c r="AA916" s="129">
        <v>1</v>
      </c>
      <c r="AB916" s="157">
        <v>103.5</v>
      </c>
      <c r="AD916" s="131">
        <v>29.196000000000002</v>
      </c>
      <c r="AG916" s="6" t="s">
        <v>17</v>
      </c>
      <c r="AH916" s="132">
        <v>6.3E-5</v>
      </c>
      <c r="AI916" s="132">
        <v>1.5792637673238501E-3</v>
      </c>
      <c r="AJ916" s="132">
        <v>3.3445512503223299E-4</v>
      </c>
    </row>
    <row r="917" spans="1:36" x14ac:dyDescent="0.2">
      <c r="A917" s="6">
        <v>559</v>
      </c>
      <c r="B917" s="6">
        <v>7206</v>
      </c>
      <c r="C917" s="6" t="s">
        <v>2057</v>
      </c>
      <c r="D917" s="6" t="s">
        <v>2058</v>
      </c>
      <c r="E917" s="3" t="s">
        <v>1477</v>
      </c>
      <c r="F917" s="6" t="s">
        <v>2059</v>
      </c>
      <c r="G917" s="6" t="s">
        <v>2060</v>
      </c>
      <c r="H917" s="6" t="s">
        <v>76</v>
      </c>
      <c r="I917" s="6" t="s">
        <v>229</v>
      </c>
      <c r="J917" s="6" t="s">
        <v>53</v>
      </c>
      <c r="K917" s="6" t="s">
        <v>53</v>
      </c>
      <c r="L917" s="6" t="s">
        <v>805</v>
      </c>
      <c r="M917" s="6" t="s">
        <v>311</v>
      </c>
      <c r="N917" s="6" t="s">
        <v>635</v>
      </c>
      <c r="O917" s="6" t="s">
        <v>62</v>
      </c>
      <c r="P917" s="6" t="s">
        <v>1339</v>
      </c>
      <c r="Q917" s="6" t="s">
        <v>65</v>
      </c>
      <c r="R917" s="6" t="s">
        <v>57</v>
      </c>
      <c r="S917" s="6" t="s">
        <v>1219</v>
      </c>
      <c r="T917" s="131">
        <v>2.6779999999999999</v>
      </c>
      <c r="U917" s="6" t="s">
        <v>2061</v>
      </c>
      <c r="V917" s="134">
        <v>1.34E-2</v>
      </c>
      <c r="W917" s="132">
        <v>2.8029999999999999E-2</v>
      </c>
      <c r="X917" s="3" t="s">
        <v>620</v>
      </c>
      <c r="Y917" s="3" t="s">
        <v>62</v>
      </c>
      <c r="Z917" s="131">
        <v>119091.28</v>
      </c>
      <c r="AA917" s="129">
        <v>1</v>
      </c>
      <c r="AB917" s="157">
        <v>114.07</v>
      </c>
      <c r="AC917" s="131">
        <v>15.161</v>
      </c>
      <c r="AD917" s="131">
        <v>151.00800000000001</v>
      </c>
      <c r="AG917" s="6" t="s">
        <v>17</v>
      </c>
      <c r="AH917" s="132">
        <v>5.3999999999999998E-5</v>
      </c>
      <c r="AI917" s="132">
        <v>8.1683037156586001E-3</v>
      </c>
      <c r="AJ917" s="132">
        <v>1.7298763493771799E-3</v>
      </c>
    </row>
    <row r="918" spans="1:36" x14ac:dyDescent="0.2">
      <c r="A918" s="6">
        <v>559</v>
      </c>
      <c r="B918" s="6">
        <v>7206</v>
      </c>
      <c r="C918" s="6" t="s">
        <v>2057</v>
      </c>
      <c r="D918" s="6" t="s">
        <v>2058</v>
      </c>
      <c r="E918" s="3" t="s">
        <v>1477</v>
      </c>
      <c r="F918" s="6" t="s">
        <v>2062</v>
      </c>
      <c r="G918" s="6" t="s">
        <v>2063</v>
      </c>
      <c r="H918" s="6" t="s">
        <v>76</v>
      </c>
      <c r="I918" s="6" t="s">
        <v>229</v>
      </c>
      <c r="J918" s="6" t="s">
        <v>53</v>
      </c>
      <c r="K918" s="6" t="s">
        <v>53</v>
      </c>
      <c r="L918" s="6" t="s">
        <v>805</v>
      </c>
      <c r="M918" s="6" t="s">
        <v>311</v>
      </c>
      <c r="N918" s="6" t="s">
        <v>635</v>
      </c>
      <c r="O918" s="6" t="s">
        <v>62</v>
      </c>
      <c r="P918" s="6" t="s">
        <v>2024</v>
      </c>
      <c r="Q918" s="6" t="s">
        <v>70</v>
      </c>
      <c r="R918" s="6" t="s">
        <v>57</v>
      </c>
      <c r="S918" s="6" t="s">
        <v>1219</v>
      </c>
      <c r="T918" s="131">
        <v>1.9570000000000001</v>
      </c>
      <c r="U918" s="6" t="s">
        <v>1544</v>
      </c>
      <c r="V918" s="134">
        <v>1.77E-2</v>
      </c>
      <c r="W918" s="132">
        <v>2.8219999999999999E-2</v>
      </c>
      <c r="X918" s="3" t="s">
        <v>620</v>
      </c>
      <c r="Y918" s="3" t="s">
        <v>62</v>
      </c>
      <c r="Z918" s="131">
        <v>187500.71</v>
      </c>
      <c r="AA918" s="129">
        <v>1</v>
      </c>
      <c r="AB918" s="157">
        <v>114.73</v>
      </c>
      <c r="AD918" s="131">
        <v>215.12</v>
      </c>
      <c r="AG918" s="6" t="s">
        <v>17</v>
      </c>
      <c r="AH918" s="132">
        <v>7.7000000000000001E-5</v>
      </c>
      <c r="AI918" s="132">
        <v>1.1636211910187801E-2</v>
      </c>
      <c r="AJ918" s="132">
        <v>2.4643069700245501E-3</v>
      </c>
    </row>
    <row r="919" spans="1:36" x14ac:dyDescent="0.2">
      <c r="A919" s="6">
        <v>559</v>
      </c>
      <c r="B919" s="6">
        <v>7206</v>
      </c>
      <c r="C919" s="6" t="s">
        <v>2064</v>
      </c>
      <c r="D919" s="6" t="s">
        <v>2065</v>
      </c>
      <c r="E919" s="3" t="s">
        <v>1477</v>
      </c>
      <c r="F919" s="6" t="s">
        <v>2066</v>
      </c>
      <c r="G919" s="6" t="s">
        <v>2067</v>
      </c>
      <c r="H919" s="6" t="s">
        <v>76</v>
      </c>
      <c r="I919" s="6" t="s">
        <v>228</v>
      </c>
      <c r="J919" s="6" t="s">
        <v>53</v>
      </c>
      <c r="K919" s="6" t="s">
        <v>53</v>
      </c>
      <c r="L919" s="6" t="s">
        <v>805</v>
      </c>
      <c r="M919" s="6" t="s">
        <v>311</v>
      </c>
      <c r="N919" s="6" t="s">
        <v>635</v>
      </c>
      <c r="O919" s="6" t="s">
        <v>62</v>
      </c>
      <c r="P919" s="6" t="s">
        <v>1213</v>
      </c>
      <c r="Q919" s="6" t="s">
        <v>65</v>
      </c>
      <c r="R919" s="6" t="s">
        <v>57</v>
      </c>
      <c r="S919" s="6" t="s">
        <v>1219</v>
      </c>
      <c r="T919" s="131">
        <v>1.4550000000000001</v>
      </c>
      <c r="U919" s="6" t="s">
        <v>1733</v>
      </c>
      <c r="V919" s="134">
        <v>1.44E-2</v>
      </c>
      <c r="W919" s="132">
        <v>4.3180000000000003E-2</v>
      </c>
      <c r="X919" s="3" t="s">
        <v>620</v>
      </c>
      <c r="Y919" s="3" t="s">
        <v>62</v>
      </c>
      <c r="Z919" s="131">
        <v>223000.03</v>
      </c>
      <c r="AA919" s="129">
        <v>1</v>
      </c>
      <c r="AB919" s="157">
        <v>96.34</v>
      </c>
      <c r="AD919" s="131">
        <v>214.83799999999999</v>
      </c>
      <c r="AG919" s="6" t="s">
        <v>17</v>
      </c>
      <c r="AH919" s="132">
        <v>7.4299999999999995E-4</v>
      </c>
      <c r="AI919" s="132">
        <v>1.1620993947059399E-2</v>
      </c>
      <c r="AJ919" s="132">
        <v>2.4610841228560501E-3</v>
      </c>
    </row>
    <row r="920" spans="1:36" x14ac:dyDescent="0.2">
      <c r="A920" s="6">
        <v>559</v>
      </c>
      <c r="B920" s="6">
        <v>7206</v>
      </c>
      <c r="C920" s="6" t="s">
        <v>2068</v>
      </c>
      <c r="D920" s="6" t="s">
        <v>2069</v>
      </c>
      <c r="E920" s="3" t="s">
        <v>1477</v>
      </c>
      <c r="F920" s="6" t="s">
        <v>2070</v>
      </c>
      <c r="G920" s="6" t="s">
        <v>2071</v>
      </c>
      <c r="H920" s="6" t="s">
        <v>76</v>
      </c>
      <c r="I920" s="6" t="s">
        <v>228</v>
      </c>
      <c r="J920" s="6" t="s">
        <v>53</v>
      </c>
      <c r="K920" s="6" t="s">
        <v>53</v>
      </c>
      <c r="L920" s="6" t="s">
        <v>805</v>
      </c>
      <c r="M920" s="6" t="s">
        <v>311</v>
      </c>
      <c r="N920" s="6" t="s">
        <v>140</v>
      </c>
      <c r="O920" s="6" t="s">
        <v>62</v>
      </c>
      <c r="P920" s="6" t="s">
        <v>1604</v>
      </c>
      <c r="Q920" s="6" t="s">
        <v>70</v>
      </c>
      <c r="R920" s="6" t="s">
        <v>57</v>
      </c>
      <c r="S920" s="6" t="s">
        <v>1219</v>
      </c>
      <c r="T920" s="131">
        <v>1.5840000000000001</v>
      </c>
      <c r="U920" s="6" t="s">
        <v>1605</v>
      </c>
      <c r="V920" s="134">
        <v>7.3999999999999996E-2</v>
      </c>
      <c r="W920" s="132">
        <v>5.2659999999999998E-2</v>
      </c>
      <c r="X920" s="3" t="s">
        <v>620</v>
      </c>
      <c r="Y920" s="3" t="s">
        <v>62</v>
      </c>
      <c r="Z920" s="131">
        <v>7000</v>
      </c>
      <c r="AA920" s="129">
        <v>1</v>
      </c>
      <c r="AB920" s="157">
        <v>103.44</v>
      </c>
      <c r="AD920" s="131">
        <v>7.2409999999999997</v>
      </c>
      <c r="AG920" s="6" t="s">
        <v>17</v>
      </c>
      <c r="AH920" s="132">
        <v>6.7000000000000002E-5</v>
      </c>
      <c r="AI920" s="132">
        <v>3.9166815609083797E-4</v>
      </c>
      <c r="AJ920" s="132">
        <v>8.29471458960171E-5</v>
      </c>
    </row>
    <row r="921" spans="1:36" x14ac:dyDescent="0.2">
      <c r="A921" s="6">
        <v>559</v>
      </c>
      <c r="B921" s="6">
        <v>7206</v>
      </c>
      <c r="C921" s="6" t="s">
        <v>2072</v>
      </c>
      <c r="D921" s="6" t="s">
        <v>2073</v>
      </c>
      <c r="E921" s="3" t="s">
        <v>1477</v>
      </c>
      <c r="F921" s="6" t="s">
        <v>2074</v>
      </c>
      <c r="G921" s="6" t="s">
        <v>2075</v>
      </c>
      <c r="H921" s="6" t="s">
        <v>76</v>
      </c>
      <c r="I921" s="6" t="s">
        <v>228</v>
      </c>
      <c r="J921" s="6" t="s">
        <v>53</v>
      </c>
      <c r="K921" s="6" t="s">
        <v>53</v>
      </c>
      <c r="L921" s="6" t="s">
        <v>805</v>
      </c>
      <c r="M921" s="6" t="s">
        <v>102</v>
      </c>
      <c r="N921" s="6" t="s">
        <v>256</v>
      </c>
      <c r="O921" s="6" t="s">
        <v>62</v>
      </c>
      <c r="P921" s="6" t="s">
        <v>1213</v>
      </c>
      <c r="Q921" s="6" t="s">
        <v>65</v>
      </c>
      <c r="R921" s="6" t="s">
        <v>57</v>
      </c>
      <c r="S921" s="6" t="s">
        <v>1219</v>
      </c>
      <c r="T921" s="131">
        <v>4.7919999999999998</v>
      </c>
      <c r="U921" s="6" t="s">
        <v>2076</v>
      </c>
      <c r="V921" s="134">
        <v>4.8800000000000003E-2</v>
      </c>
      <c r="W921" s="132">
        <v>4.4699999999999997E-2</v>
      </c>
      <c r="X921" s="3" t="s">
        <v>620</v>
      </c>
      <c r="Y921" s="3" t="s">
        <v>62</v>
      </c>
      <c r="Z921" s="131">
        <v>160000</v>
      </c>
      <c r="AA921" s="129">
        <v>1</v>
      </c>
      <c r="AB921" s="157">
        <v>102.07</v>
      </c>
      <c r="AD921" s="131">
        <v>163.31200000000001</v>
      </c>
      <c r="AG921" s="6" t="s">
        <v>17</v>
      </c>
      <c r="AH921" s="132">
        <v>1.02E-4</v>
      </c>
      <c r="AI921" s="132">
        <v>8.8338456948827294E-3</v>
      </c>
      <c r="AJ921" s="132">
        <v>1.8708242584480101E-3</v>
      </c>
    </row>
    <row r="922" spans="1:36" x14ac:dyDescent="0.2">
      <c r="A922" s="6">
        <v>559</v>
      </c>
      <c r="B922" s="6">
        <v>7206</v>
      </c>
      <c r="C922" s="6" t="s">
        <v>2072</v>
      </c>
      <c r="D922" s="6" t="s">
        <v>2073</v>
      </c>
      <c r="E922" s="3" t="s">
        <v>1477</v>
      </c>
      <c r="F922" s="6" t="s">
        <v>2077</v>
      </c>
      <c r="G922" s="6" t="s">
        <v>2078</v>
      </c>
      <c r="H922" s="6" t="s">
        <v>76</v>
      </c>
      <c r="I922" s="6" t="s">
        <v>229</v>
      </c>
      <c r="J922" s="6" t="s">
        <v>53</v>
      </c>
      <c r="K922" s="6" t="s">
        <v>53</v>
      </c>
      <c r="L922" s="6" t="s">
        <v>805</v>
      </c>
      <c r="M922" s="6" t="s">
        <v>311</v>
      </c>
      <c r="N922" s="6" t="s">
        <v>256</v>
      </c>
      <c r="O922" s="6" t="s">
        <v>62</v>
      </c>
      <c r="P922" s="6" t="s">
        <v>1213</v>
      </c>
      <c r="Q922" s="6" t="s">
        <v>65</v>
      </c>
      <c r="R922" s="6" t="s">
        <v>57</v>
      </c>
      <c r="S922" s="6" t="s">
        <v>1219</v>
      </c>
      <c r="T922" s="131">
        <v>3.335</v>
      </c>
      <c r="U922" s="6" t="s">
        <v>2079</v>
      </c>
      <c r="V922" s="134">
        <v>1E-3</v>
      </c>
      <c r="W922" s="132">
        <v>2.5729999999999999E-2</v>
      </c>
      <c r="X922" s="3" t="s">
        <v>620</v>
      </c>
      <c r="Y922" s="3" t="s">
        <v>62</v>
      </c>
      <c r="Z922" s="131">
        <v>94111.11</v>
      </c>
      <c r="AA922" s="129">
        <v>1</v>
      </c>
      <c r="AB922" s="157">
        <v>105.19</v>
      </c>
      <c r="AD922" s="131">
        <v>98.995000000000005</v>
      </c>
      <c r="AG922" s="6" t="s">
        <v>17</v>
      </c>
      <c r="AH922" s="132">
        <v>9.6000000000000002E-5</v>
      </c>
      <c r="AI922" s="132">
        <v>5.3548469485113102E-3</v>
      </c>
      <c r="AJ922" s="132">
        <v>1.13404489025142E-3</v>
      </c>
    </row>
    <row r="923" spans="1:36" x14ac:dyDescent="0.2">
      <c r="A923" s="6">
        <v>559</v>
      </c>
      <c r="B923" s="6">
        <v>7206</v>
      </c>
      <c r="C923" s="6" t="s">
        <v>2072</v>
      </c>
      <c r="D923" s="6" t="s">
        <v>2073</v>
      </c>
      <c r="E923" s="3" t="s">
        <v>1477</v>
      </c>
      <c r="F923" s="6" t="s">
        <v>2080</v>
      </c>
      <c r="G923" s="6" t="s">
        <v>2081</v>
      </c>
      <c r="H923" s="6" t="s">
        <v>76</v>
      </c>
      <c r="I923" s="6" t="s">
        <v>229</v>
      </c>
      <c r="J923" s="6" t="s">
        <v>53</v>
      </c>
      <c r="K923" s="6" t="s">
        <v>53</v>
      </c>
      <c r="L923" s="6" t="s">
        <v>805</v>
      </c>
      <c r="M923" s="6" t="s">
        <v>311</v>
      </c>
      <c r="N923" s="6" t="s">
        <v>256</v>
      </c>
      <c r="O923" s="6" t="s">
        <v>62</v>
      </c>
      <c r="P923" s="6" t="s">
        <v>1213</v>
      </c>
      <c r="Q923" s="6" t="s">
        <v>65</v>
      </c>
      <c r="R923" s="6" t="s">
        <v>57</v>
      </c>
      <c r="S923" s="6" t="s">
        <v>1219</v>
      </c>
      <c r="T923" s="131">
        <v>3.7149999999999999</v>
      </c>
      <c r="U923" s="6" t="s">
        <v>2082</v>
      </c>
      <c r="V923" s="134">
        <v>1.3899999999999999E-2</v>
      </c>
      <c r="W923" s="132">
        <v>2.511E-2</v>
      </c>
      <c r="X923" s="3" t="s">
        <v>620</v>
      </c>
      <c r="Y923" s="3" t="s">
        <v>62</v>
      </c>
      <c r="Z923" s="131">
        <v>208000.11</v>
      </c>
      <c r="AA923" s="129">
        <v>1</v>
      </c>
      <c r="AB923" s="157">
        <v>105.13</v>
      </c>
      <c r="AD923" s="131">
        <v>218.67099999999999</v>
      </c>
      <c r="AG923" s="6" t="s">
        <v>17</v>
      </c>
      <c r="AH923" s="132">
        <v>1.2999999999999999E-4</v>
      </c>
      <c r="AI923" s="132">
        <v>1.1828289367656401E-2</v>
      </c>
      <c r="AJ923" s="132">
        <v>2.50498496909143E-3</v>
      </c>
    </row>
    <row r="924" spans="1:36" x14ac:dyDescent="0.2">
      <c r="A924" s="6">
        <v>559</v>
      </c>
      <c r="B924" s="6">
        <v>7206</v>
      </c>
      <c r="C924" s="6" t="s">
        <v>2072</v>
      </c>
      <c r="D924" s="6" t="s">
        <v>2073</v>
      </c>
      <c r="E924" s="3" t="s">
        <v>1477</v>
      </c>
      <c r="F924" s="6" t="s">
        <v>2083</v>
      </c>
      <c r="G924" s="6" t="s">
        <v>2084</v>
      </c>
      <c r="H924" s="6" t="s">
        <v>76</v>
      </c>
      <c r="I924" s="6" t="s">
        <v>229</v>
      </c>
      <c r="J924" s="6" t="s">
        <v>53</v>
      </c>
      <c r="K924" s="6" t="s">
        <v>53</v>
      </c>
      <c r="L924" s="6" t="s">
        <v>805</v>
      </c>
      <c r="M924" s="6" t="s">
        <v>311</v>
      </c>
      <c r="N924" s="6" t="s">
        <v>256</v>
      </c>
      <c r="O924" s="6" t="s">
        <v>62</v>
      </c>
      <c r="P924" s="6" t="s">
        <v>1213</v>
      </c>
      <c r="Q924" s="6" t="s">
        <v>65</v>
      </c>
      <c r="R924" s="6" t="s">
        <v>57</v>
      </c>
      <c r="S924" s="6" t="s">
        <v>1219</v>
      </c>
      <c r="T924" s="131">
        <v>1.806</v>
      </c>
      <c r="U924" s="6" t="s">
        <v>2085</v>
      </c>
      <c r="V924" s="134">
        <v>6.0000000000000001E-3</v>
      </c>
      <c r="W924" s="132">
        <v>2.4760000000000001E-2</v>
      </c>
      <c r="X924" s="3" t="s">
        <v>620</v>
      </c>
      <c r="Y924" s="3" t="s">
        <v>62</v>
      </c>
      <c r="Z924" s="131">
        <v>276000.21999999997</v>
      </c>
      <c r="AA924" s="129">
        <v>1</v>
      </c>
      <c r="AB924" s="157">
        <v>114.32</v>
      </c>
      <c r="AD924" s="131">
        <v>315.52300000000002</v>
      </c>
      <c r="AG924" s="6" t="s">
        <v>17</v>
      </c>
      <c r="AH924" s="132">
        <v>4.1399999999999998E-4</v>
      </c>
      <c r="AI924" s="132">
        <v>1.70672423563679E-2</v>
      </c>
      <c r="AJ924" s="132">
        <v>3.6144859360177301E-3</v>
      </c>
    </row>
    <row r="925" spans="1:36" x14ac:dyDescent="0.2">
      <c r="A925" s="6">
        <v>559</v>
      </c>
      <c r="B925" s="6">
        <v>7206</v>
      </c>
      <c r="C925" s="6" t="s">
        <v>2072</v>
      </c>
      <c r="D925" s="6" t="s">
        <v>2073</v>
      </c>
      <c r="E925" s="3" t="s">
        <v>1477</v>
      </c>
      <c r="F925" s="6" t="s">
        <v>2086</v>
      </c>
      <c r="G925" s="6" t="s">
        <v>2087</v>
      </c>
      <c r="H925" s="6" t="s">
        <v>76</v>
      </c>
      <c r="I925" s="6" t="s">
        <v>229</v>
      </c>
      <c r="J925" s="6" t="s">
        <v>53</v>
      </c>
      <c r="K925" s="6" t="s">
        <v>53</v>
      </c>
      <c r="L925" s="6" t="s">
        <v>805</v>
      </c>
      <c r="M925" s="6" t="s">
        <v>311</v>
      </c>
      <c r="N925" s="6" t="s">
        <v>256</v>
      </c>
      <c r="O925" s="6" t="s">
        <v>62</v>
      </c>
      <c r="P925" s="6" t="s">
        <v>1213</v>
      </c>
      <c r="Q925" s="6" t="s">
        <v>65</v>
      </c>
      <c r="R925" s="6" t="s">
        <v>57</v>
      </c>
      <c r="S925" s="6" t="s">
        <v>1219</v>
      </c>
      <c r="T925" s="131">
        <v>2.8039999999999998</v>
      </c>
      <c r="U925" s="6" t="s">
        <v>2088</v>
      </c>
      <c r="V925" s="134">
        <v>1.7500000000000002E-2</v>
      </c>
      <c r="W925" s="132">
        <v>2.4469999999999999E-2</v>
      </c>
      <c r="X925" s="3" t="s">
        <v>620</v>
      </c>
      <c r="Y925" s="3" t="s">
        <v>62</v>
      </c>
      <c r="Z925" s="131">
        <v>458000.14</v>
      </c>
      <c r="AA925" s="129">
        <v>1</v>
      </c>
      <c r="AB925" s="157">
        <v>115.29</v>
      </c>
      <c r="AD925" s="131">
        <v>528.02800000000002</v>
      </c>
      <c r="AG925" s="6" t="s">
        <v>17</v>
      </c>
      <c r="AH925" s="132">
        <v>2.05E-4</v>
      </c>
      <c r="AI925" s="132">
        <v>2.8562022797971799E-2</v>
      </c>
      <c r="AJ925" s="132">
        <v>6.0488406710278303E-3</v>
      </c>
    </row>
    <row r="926" spans="1:36" x14ac:dyDescent="0.2">
      <c r="A926" s="6">
        <v>559</v>
      </c>
      <c r="B926" s="6">
        <v>7206</v>
      </c>
      <c r="C926" s="6" t="s">
        <v>2089</v>
      </c>
      <c r="D926" s="6" t="s">
        <v>2090</v>
      </c>
      <c r="E926" s="3" t="s">
        <v>1477</v>
      </c>
      <c r="F926" s="6" t="s">
        <v>2091</v>
      </c>
      <c r="G926" s="6" t="s">
        <v>2092</v>
      </c>
      <c r="H926" s="6" t="s">
        <v>76</v>
      </c>
      <c r="I926" s="6" t="s">
        <v>228</v>
      </c>
      <c r="J926" s="6" t="s">
        <v>53</v>
      </c>
      <c r="K926" s="6" t="s">
        <v>53</v>
      </c>
      <c r="L926" s="6" t="s">
        <v>805</v>
      </c>
      <c r="M926" s="6" t="s">
        <v>311</v>
      </c>
      <c r="N926" s="6" t="s">
        <v>252</v>
      </c>
      <c r="O926" s="6" t="s">
        <v>62</v>
      </c>
      <c r="P926" s="6" t="s">
        <v>1577</v>
      </c>
      <c r="Q926" s="6" t="s">
        <v>65</v>
      </c>
      <c r="R926" s="6" t="s">
        <v>57</v>
      </c>
      <c r="S926" s="6" t="s">
        <v>1219</v>
      </c>
      <c r="T926" s="131">
        <v>0.90200000000000002</v>
      </c>
      <c r="U926" s="6" t="s">
        <v>2093</v>
      </c>
      <c r="V926" s="134">
        <v>2.29E-2</v>
      </c>
      <c r="W926" s="132">
        <v>4.7030000000000002E-2</v>
      </c>
      <c r="X926" s="3" t="s">
        <v>620</v>
      </c>
      <c r="Y926" s="3" t="s">
        <v>62</v>
      </c>
      <c r="Z926" s="131">
        <v>124000.22</v>
      </c>
      <c r="AA926" s="129">
        <v>1</v>
      </c>
      <c r="AB926" s="157">
        <v>98.11</v>
      </c>
      <c r="AD926" s="131">
        <v>121.657</v>
      </c>
      <c r="AG926" s="6" t="s">
        <v>17</v>
      </c>
      <c r="AH926" s="132">
        <v>3.7399999999999998E-4</v>
      </c>
      <c r="AI926" s="132">
        <v>6.5806295441232397E-3</v>
      </c>
      <c r="AJ926" s="132">
        <v>1.3936400761603799E-3</v>
      </c>
    </row>
    <row r="927" spans="1:36" x14ac:dyDescent="0.2">
      <c r="A927" s="6">
        <v>559</v>
      </c>
      <c r="B927" s="6">
        <v>7206</v>
      </c>
      <c r="C927" s="6" t="s">
        <v>2094</v>
      </c>
      <c r="D927" s="6" t="s">
        <v>2095</v>
      </c>
      <c r="E927" s="3" t="s">
        <v>1477</v>
      </c>
      <c r="F927" s="6" t="s">
        <v>2373</v>
      </c>
      <c r="G927" s="6" t="s">
        <v>2374</v>
      </c>
      <c r="H927" s="6" t="s">
        <v>76</v>
      </c>
      <c r="I927" s="6" t="s">
        <v>228</v>
      </c>
      <c r="J927" s="6" t="s">
        <v>53</v>
      </c>
      <c r="K927" s="6" t="s">
        <v>53</v>
      </c>
      <c r="L927" s="6" t="s">
        <v>805</v>
      </c>
      <c r="M927" s="6" t="s">
        <v>311</v>
      </c>
      <c r="N927" s="6" t="s">
        <v>156</v>
      </c>
      <c r="O927" s="6" t="s">
        <v>62</v>
      </c>
      <c r="P927" s="6" t="s">
        <v>298</v>
      </c>
      <c r="Q927" s="6" t="s">
        <v>298</v>
      </c>
      <c r="R927" s="6" t="s">
        <v>298</v>
      </c>
      <c r="S927" s="6" t="s">
        <v>1219</v>
      </c>
      <c r="T927" s="131">
        <v>1.827</v>
      </c>
      <c r="U927" s="6" t="s">
        <v>2375</v>
      </c>
      <c r="V927" s="134">
        <v>7.4999999999999997E-2</v>
      </c>
      <c r="W927" s="132">
        <v>5.4579999999999997E-2</v>
      </c>
      <c r="X927" s="3" t="s">
        <v>620</v>
      </c>
      <c r="Y927" s="3" t="s">
        <v>62</v>
      </c>
      <c r="Z927" s="131">
        <v>6280.86</v>
      </c>
      <c r="AA927" s="129">
        <v>1</v>
      </c>
      <c r="AB927" s="157">
        <v>122.27</v>
      </c>
      <c r="AD927" s="131">
        <v>7.68</v>
      </c>
      <c r="AG927" s="6" t="s">
        <v>17</v>
      </c>
      <c r="AH927" s="132">
        <v>5.8E-5</v>
      </c>
      <c r="AI927" s="132">
        <v>4.1540405999931901E-4</v>
      </c>
      <c r="AJ927" s="132">
        <v>8.7973915251282199E-5</v>
      </c>
    </row>
    <row r="928" spans="1:36" x14ac:dyDescent="0.2">
      <c r="A928" s="6">
        <v>559</v>
      </c>
      <c r="B928" s="6">
        <v>7206</v>
      </c>
      <c r="C928" s="6" t="s">
        <v>2094</v>
      </c>
      <c r="D928" s="6" t="s">
        <v>2095</v>
      </c>
      <c r="E928" s="3" t="s">
        <v>1477</v>
      </c>
      <c r="F928" s="6" t="s">
        <v>2096</v>
      </c>
      <c r="G928" s="6" t="s">
        <v>2097</v>
      </c>
      <c r="H928" s="6" t="s">
        <v>76</v>
      </c>
      <c r="I928" s="6" t="s">
        <v>228</v>
      </c>
      <c r="J928" s="6" t="s">
        <v>53</v>
      </c>
      <c r="K928" s="6" t="s">
        <v>53</v>
      </c>
      <c r="L928" s="6" t="s">
        <v>805</v>
      </c>
      <c r="M928" s="6" t="s">
        <v>311</v>
      </c>
      <c r="N928" s="6" t="s">
        <v>156</v>
      </c>
      <c r="O928" s="6" t="s">
        <v>62</v>
      </c>
      <c r="P928" s="6" t="s">
        <v>298</v>
      </c>
      <c r="Q928" s="6" t="s">
        <v>298</v>
      </c>
      <c r="R928" s="6" t="s">
        <v>298</v>
      </c>
      <c r="S928" s="6" t="s">
        <v>1219</v>
      </c>
      <c r="T928" s="131">
        <v>2.0819999999999999</v>
      </c>
      <c r="U928" s="6" t="s">
        <v>1634</v>
      </c>
      <c r="V928" s="134">
        <v>0.10539999999999999</v>
      </c>
      <c r="W928" s="132">
        <v>4.4450000000000003E-2</v>
      </c>
      <c r="X928" s="3" t="s">
        <v>620</v>
      </c>
      <c r="Y928" s="3" t="s">
        <v>62</v>
      </c>
      <c r="Z928" s="131">
        <v>10000</v>
      </c>
      <c r="AA928" s="129">
        <v>1</v>
      </c>
      <c r="AB928" s="157">
        <v>138.33000000000001</v>
      </c>
      <c r="AD928" s="131">
        <v>13.833</v>
      </c>
      <c r="AG928" s="6" t="s">
        <v>17</v>
      </c>
      <c r="AH928" s="132">
        <v>4.8000000000000001E-5</v>
      </c>
      <c r="AI928" s="132">
        <v>7.4825234824944201E-4</v>
      </c>
      <c r="AJ928" s="132">
        <v>1.5846424002590901E-4</v>
      </c>
    </row>
    <row r="929" spans="1:36" x14ac:dyDescent="0.2">
      <c r="A929" s="6">
        <v>559</v>
      </c>
      <c r="B929" s="6">
        <v>7206</v>
      </c>
      <c r="C929" s="6" t="s">
        <v>2376</v>
      </c>
      <c r="D929" s="6" t="s">
        <v>2377</v>
      </c>
      <c r="E929" s="3" t="s">
        <v>767</v>
      </c>
      <c r="F929" s="6" t="s">
        <v>2378</v>
      </c>
      <c r="G929" s="6" t="s">
        <v>2379</v>
      </c>
      <c r="H929" s="6" t="s">
        <v>76</v>
      </c>
      <c r="I929" s="6" t="s">
        <v>229</v>
      </c>
      <c r="J929" s="6" t="s">
        <v>53</v>
      </c>
      <c r="K929" s="6" t="s">
        <v>53</v>
      </c>
      <c r="L929" s="6" t="s">
        <v>805</v>
      </c>
      <c r="M929" s="6" t="s">
        <v>311</v>
      </c>
      <c r="N929" s="6" t="s">
        <v>140</v>
      </c>
      <c r="O929" s="6" t="s">
        <v>62</v>
      </c>
      <c r="P929" s="6" t="s">
        <v>298</v>
      </c>
      <c r="Q929" s="6" t="s">
        <v>298</v>
      </c>
      <c r="R929" s="6" t="s">
        <v>298</v>
      </c>
      <c r="S929" s="6" t="s">
        <v>1219</v>
      </c>
      <c r="T929" s="131">
        <v>3.1139999999999999</v>
      </c>
      <c r="U929" s="6" t="s">
        <v>2380</v>
      </c>
      <c r="V929" s="134">
        <v>0.06</v>
      </c>
      <c r="W929" s="132">
        <v>1E-4</v>
      </c>
      <c r="X929" s="3" t="s">
        <v>620</v>
      </c>
      <c r="Y929" s="3" t="s">
        <v>55</v>
      </c>
      <c r="Z929" s="131">
        <v>82762.17</v>
      </c>
      <c r="AA929" s="129">
        <v>1</v>
      </c>
      <c r="AB929" s="157">
        <v>9.77</v>
      </c>
      <c r="AD929" s="131">
        <v>8.0860000000000003</v>
      </c>
      <c r="AG929" s="6" t="s">
        <v>17</v>
      </c>
      <c r="AH929" s="132">
        <v>7.0299999999999996E-4</v>
      </c>
      <c r="AI929" s="132">
        <v>4.3737921870598502E-4</v>
      </c>
      <c r="AJ929" s="132">
        <v>9.2627795499099E-5</v>
      </c>
    </row>
    <row r="930" spans="1:36" x14ac:dyDescent="0.2">
      <c r="A930" s="6">
        <v>559</v>
      </c>
      <c r="B930" s="6">
        <v>7206</v>
      </c>
      <c r="C930" s="6" t="s">
        <v>2376</v>
      </c>
      <c r="D930" s="6" t="s">
        <v>2377</v>
      </c>
      <c r="E930" s="3" t="s">
        <v>767</v>
      </c>
      <c r="F930" s="6" t="s">
        <v>2381</v>
      </c>
      <c r="G930" s="6" t="s">
        <v>2382</v>
      </c>
      <c r="H930" s="6" t="s">
        <v>76</v>
      </c>
      <c r="I930" s="6" t="s">
        <v>229</v>
      </c>
      <c r="J930" s="6" t="s">
        <v>53</v>
      </c>
      <c r="K930" s="6" t="s">
        <v>53</v>
      </c>
      <c r="L930" s="6" t="s">
        <v>805</v>
      </c>
      <c r="M930" s="6" t="s">
        <v>311</v>
      </c>
      <c r="N930" s="6" t="s">
        <v>140</v>
      </c>
      <c r="O930" s="6" t="s">
        <v>62</v>
      </c>
      <c r="P930" s="6" t="s">
        <v>298</v>
      </c>
      <c r="Q930" s="6" t="s">
        <v>298</v>
      </c>
      <c r="R930" s="6" t="s">
        <v>298</v>
      </c>
      <c r="S930" s="6" t="s">
        <v>1219</v>
      </c>
      <c r="T930" s="131">
        <v>2.9289999999999998</v>
      </c>
      <c r="U930" s="6" t="s">
        <v>2380</v>
      </c>
      <c r="V930" s="134">
        <v>6.9000000000000006E-2</v>
      </c>
      <c r="W930" s="132">
        <v>1E-4</v>
      </c>
      <c r="X930" s="3" t="s">
        <v>620</v>
      </c>
      <c r="Y930" s="3" t="s">
        <v>55</v>
      </c>
      <c r="Z930" s="131">
        <v>54939.83</v>
      </c>
      <c r="AA930" s="129">
        <v>1</v>
      </c>
      <c r="AB930" s="157">
        <v>10.5</v>
      </c>
      <c r="AD930" s="131">
        <v>5.7690000000000001</v>
      </c>
      <c r="AG930" s="6" t="s">
        <v>17</v>
      </c>
      <c r="AH930" s="132">
        <v>3.1799999999999998E-4</v>
      </c>
      <c r="AI930" s="132">
        <v>3.12038600812704E-4</v>
      </c>
      <c r="AJ930" s="132">
        <v>6.6083267031791994E-5</v>
      </c>
    </row>
    <row r="931" spans="1:36" x14ac:dyDescent="0.2">
      <c r="A931" s="6">
        <v>559</v>
      </c>
      <c r="B931" s="6">
        <v>7206</v>
      </c>
      <c r="C931" s="6" t="s">
        <v>2098</v>
      </c>
      <c r="D931" s="6" t="s">
        <v>2099</v>
      </c>
      <c r="E931" s="3" t="s">
        <v>1477</v>
      </c>
      <c r="F931" s="6" t="s">
        <v>2100</v>
      </c>
      <c r="G931" s="6" t="s">
        <v>2101</v>
      </c>
      <c r="H931" s="6" t="s">
        <v>76</v>
      </c>
      <c r="I931" s="6" t="s">
        <v>228</v>
      </c>
      <c r="J931" s="6" t="s">
        <v>53</v>
      </c>
      <c r="K931" s="6" t="s">
        <v>53</v>
      </c>
      <c r="L931" s="6" t="s">
        <v>805</v>
      </c>
      <c r="M931" s="6" t="s">
        <v>311</v>
      </c>
      <c r="N931" s="6" t="s">
        <v>269</v>
      </c>
      <c r="O931" s="6" t="s">
        <v>62</v>
      </c>
      <c r="P931" s="6" t="s">
        <v>1533</v>
      </c>
      <c r="Q931" s="6" t="s">
        <v>65</v>
      </c>
      <c r="R931" s="6" t="s">
        <v>57</v>
      </c>
      <c r="S931" s="6" t="s">
        <v>1219</v>
      </c>
      <c r="T931" s="131">
        <v>7.9000000000000001E-2</v>
      </c>
      <c r="U931" s="6" t="s">
        <v>2102</v>
      </c>
      <c r="V931" s="134">
        <v>3.61E-2</v>
      </c>
      <c r="W931" s="132">
        <v>5.4059999999999997E-2</v>
      </c>
      <c r="X931" s="3" t="s">
        <v>620</v>
      </c>
      <c r="Y931" s="3" t="s">
        <v>62</v>
      </c>
      <c r="Z931" s="131">
        <v>111000</v>
      </c>
      <c r="AA931" s="129">
        <v>1</v>
      </c>
      <c r="AB931" s="157">
        <v>101.38</v>
      </c>
      <c r="AD931" s="131">
        <v>112.532</v>
      </c>
      <c r="AG931" s="6" t="s">
        <v>17</v>
      </c>
      <c r="AH931" s="132">
        <v>1.45E-4</v>
      </c>
      <c r="AI931" s="132">
        <v>6.0870515146921496E-3</v>
      </c>
      <c r="AJ931" s="132">
        <v>1.28911054476597E-3</v>
      </c>
    </row>
    <row r="932" spans="1:36" x14ac:dyDescent="0.2">
      <c r="A932" s="6">
        <v>559</v>
      </c>
      <c r="B932" s="6">
        <v>7206</v>
      </c>
      <c r="C932" s="6" t="s">
        <v>2103</v>
      </c>
      <c r="D932" s="6" t="s">
        <v>2104</v>
      </c>
      <c r="E932" s="3" t="s">
        <v>1477</v>
      </c>
      <c r="F932" s="6" t="s">
        <v>2105</v>
      </c>
      <c r="G932" s="6" t="s">
        <v>2106</v>
      </c>
      <c r="H932" s="6" t="s">
        <v>76</v>
      </c>
      <c r="I932" s="6" t="s">
        <v>228</v>
      </c>
      <c r="J932" s="6" t="s">
        <v>53</v>
      </c>
      <c r="K932" s="6" t="s">
        <v>317</v>
      </c>
      <c r="L932" s="6" t="s">
        <v>805</v>
      </c>
      <c r="M932" s="6" t="s">
        <v>311</v>
      </c>
      <c r="N932" s="6" t="s">
        <v>254</v>
      </c>
      <c r="O932" s="6" t="s">
        <v>62</v>
      </c>
      <c r="P932" s="6" t="s">
        <v>298</v>
      </c>
      <c r="Q932" s="6" t="s">
        <v>298</v>
      </c>
      <c r="R932" s="6" t="s">
        <v>298</v>
      </c>
      <c r="S932" s="6" t="s">
        <v>1219</v>
      </c>
      <c r="T932" s="131">
        <v>0.499</v>
      </c>
      <c r="U932" s="6" t="s">
        <v>1499</v>
      </c>
      <c r="V932" s="134">
        <v>1.9900000000000001E-2</v>
      </c>
      <c r="W932" s="132">
        <v>5.1869999999999999E-2</v>
      </c>
      <c r="X932" s="3" t="s">
        <v>620</v>
      </c>
      <c r="Y932" s="3" t="s">
        <v>62</v>
      </c>
      <c r="Z932" s="131">
        <v>30000</v>
      </c>
      <c r="AA932" s="129">
        <v>1</v>
      </c>
      <c r="AB932" s="157">
        <v>98.48</v>
      </c>
      <c r="AD932" s="131">
        <v>29.544</v>
      </c>
      <c r="AG932" s="6" t="s">
        <v>17</v>
      </c>
      <c r="AH932" s="132">
        <v>2.0000000000000001E-4</v>
      </c>
      <c r="AI932" s="132">
        <v>1.5980891619085901E-3</v>
      </c>
      <c r="AJ932" s="132">
        <v>3.3844195093800801E-4</v>
      </c>
    </row>
    <row r="933" spans="1:36" x14ac:dyDescent="0.2">
      <c r="A933" s="6">
        <v>559</v>
      </c>
      <c r="B933" s="6">
        <v>7206</v>
      </c>
      <c r="C933" s="6" t="s">
        <v>2107</v>
      </c>
      <c r="D933" s="6" t="s">
        <v>2108</v>
      </c>
      <c r="E933" s="3" t="s">
        <v>1477</v>
      </c>
      <c r="F933" s="6" t="s">
        <v>2109</v>
      </c>
      <c r="G933" s="6" t="s">
        <v>2110</v>
      </c>
      <c r="H933" s="6" t="s">
        <v>76</v>
      </c>
      <c r="I933" s="6" t="s">
        <v>607</v>
      </c>
      <c r="J933" s="6" t="s">
        <v>53</v>
      </c>
      <c r="K933" s="6" t="s">
        <v>53</v>
      </c>
      <c r="L933" s="6" t="s">
        <v>805</v>
      </c>
      <c r="M933" s="6" t="s">
        <v>311</v>
      </c>
      <c r="N933" s="6" t="s">
        <v>631</v>
      </c>
      <c r="O933" s="6" t="s">
        <v>62</v>
      </c>
      <c r="P933" s="6" t="s">
        <v>298</v>
      </c>
      <c r="Q933" s="6" t="s">
        <v>298</v>
      </c>
      <c r="R933" s="6" t="s">
        <v>298</v>
      </c>
      <c r="S933" s="6" t="s">
        <v>1219</v>
      </c>
      <c r="T933" s="131">
        <v>0.98699999999999999</v>
      </c>
      <c r="U933" s="6" t="s">
        <v>1595</v>
      </c>
      <c r="V933" s="134">
        <v>0.03</v>
      </c>
      <c r="W933" s="132">
        <v>5.7160000000000002E-2</v>
      </c>
      <c r="X933" s="3" t="s">
        <v>620</v>
      </c>
      <c r="Y933" s="3" t="s">
        <v>62</v>
      </c>
      <c r="Z933" s="131">
        <v>4500</v>
      </c>
      <c r="AA933" s="129">
        <v>1</v>
      </c>
      <c r="AB933" s="157">
        <v>97.5</v>
      </c>
      <c r="AD933" s="131">
        <v>4.3879999999999999</v>
      </c>
      <c r="AG933" s="6" t="s">
        <v>17</v>
      </c>
      <c r="AH933" s="132">
        <v>1.5799999999999999E-4</v>
      </c>
      <c r="AI933" s="132">
        <v>2.37327924379703E-4</v>
      </c>
      <c r="AJ933" s="132">
        <v>5.0261104107111799E-5</v>
      </c>
    </row>
    <row r="934" spans="1:36" x14ac:dyDescent="0.2">
      <c r="A934" s="6">
        <v>559</v>
      </c>
      <c r="B934" s="6">
        <v>7206</v>
      </c>
      <c r="C934" s="6" t="s">
        <v>2107</v>
      </c>
      <c r="D934" s="6" t="s">
        <v>2108</v>
      </c>
      <c r="E934" s="3" t="s">
        <v>1477</v>
      </c>
      <c r="F934" s="6" t="s">
        <v>2383</v>
      </c>
      <c r="G934" s="6" t="s">
        <v>2384</v>
      </c>
      <c r="H934" s="6" t="s">
        <v>76</v>
      </c>
      <c r="I934" s="6" t="s">
        <v>229</v>
      </c>
      <c r="J934" s="6" t="s">
        <v>53</v>
      </c>
      <c r="K934" s="6" t="s">
        <v>53</v>
      </c>
      <c r="L934" s="6" t="s">
        <v>805</v>
      </c>
      <c r="M934" s="6" t="s">
        <v>311</v>
      </c>
      <c r="N934" s="6" t="s">
        <v>631</v>
      </c>
      <c r="O934" s="6" t="s">
        <v>62</v>
      </c>
      <c r="P934" s="6" t="s">
        <v>298</v>
      </c>
      <c r="Q934" s="6" t="s">
        <v>298</v>
      </c>
      <c r="R934" s="6" t="s">
        <v>298</v>
      </c>
      <c r="S934" s="6" t="s">
        <v>1219</v>
      </c>
      <c r="T934" s="131">
        <v>2.06</v>
      </c>
      <c r="U934" s="6" t="s">
        <v>1544</v>
      </c>
      <c r="V934" s="134">
        <v>0.04</v>
      </c>
      <c r="W934" s="132">
        <v>3.6859999999999997E-2</v>
      </c>
      <c r="X934" s="3" t="s">
        <v>620</v>
      </c>
      <c r="Y934" s="3" t="s">
        <v>62</v>
      </c>
      <c r="Z934" s="131">
        <v>18200</v>
      </c>
      <c r="AA934" s="129">
        <v>1</v>
      </c>
      <c r="AB934" s="157">
        <v>114.78</v>
      </c>
      <c r="AD934" s="131">
        <v>20.89</v>
      </c>
      <c r="AG934" s="6" t="s">
        <v>17</v>
      </c>
      <c r="AH934" s="132">
        <v>2.7999999999999998E-4</v>
      </c>
      <c r="AI934" s="132">
        <v>1.1299762614643901E-3</v>
      </c>
      <c r="AJ934" s="132">
        <v>2.3930540270163E-4</v>
      </c>
    </row>
    <row r="935" spans="1:36" x14ac:dyDescent="0.2">
      <c r="A935" s="6">
        <v>559</v>
      </c>
      <c r="B935" s="6">
        <v>7206</v>
      </c>
      <c r="C935" s="6" t="s">
        <v>2111</v>
      </c>
      <c r="D935" s="6" t="s">
        <v>2112</v>
      </c>
      <c r="E935" s="3" t="s">
        <v>1477</v>
      </c>
      <c r="F935" s="6" t="s">
        <v>2113</v>
      </c>
      <c r="G935" s="6" t="s">
        <v>2114</v>
      </c>
      <c r="H935" s="6" t="s">
        <v>76</v>
      </c>
      <c r="I935" s="6" t="s">
        <v>228</v>
      </c>
      <c r="J935" s="6" t="s">
        <v>53</v>
      </c>
      <c r="K935" s="6" t="s">
        <v>53</v>
      </c>
      <c r="L935" s="6" t="s">
        <v>805</v>
      </c>
      <c r="M935" s="6" t="s">
        <v>1227</v>
      </c>
      <c r="N935" s="6" t="s">
        <v>140</v>
      </c>
      <c r="O935" s="6" t="s">
        <v>62</v>
      </c>
      <c r="P935" s="6" t="s">
        <v>1527</v>
      </c>
      <c r="Q935" s="6" t="s">
        <v>70</v>
      </c>
      <c r="R935" s="6" t="s">
        <v>57</v>
      </c>
      <c r="S935" s="6" t="s">
        <v>1219</v>
      </c>
      <c r="T935" s="131">
        <v>4.7699999999999996</v>
      </c>
      <c r="U935" s="6" t="s">
        <v>2006</v>
      </c>
      <c r="V935" s="134">
        <v>5.8799999999999998E-2</v>
      </c>
      <c r="W935" s="132">
        <v>5.3900000000000003E-2</v>
      </c>
      <c r="X935" s="3" t="s">
        <v>620</v>
      </c>
      <c r="Y935" s="3" t="s">
        <v>62</v>
      </c>
      <c r="Z935" s="131">
        <v>16000</v>
      </c>
      <c r="AA935" s="129">
        <v>1</v>
      </c>
      <c r="AB935" s="157">
        <v>102.87</v>
      </c>
      <c r="AD935" s="131">
        <v>16.459</v>
      </c>
      <c r="AG935" s="6" t="s">
        <v>17</v>
      </c>
      <c r="AH935" s="132">
        <v>5.3000000000000001E-5</v>
      </c>
      <c r="AI935" s="132">
        <v>8.9030832431918005E-4</v>
      </c>
      <c r="AJ935" s="132">
        <v>1.8854873269966399E-4</v>
      </c>
    </row>
    <row r="936" spans="1:36" x14ac:dyDescent="0.2">
      <c r="A936" s="6">
        <v>559</v>
      </c>
      <c r="B936" s="6">
        <v>7206</v>
      </c>
      <c r="C936" s="6" t="s">
        <v>2115</v>
      </c>
      <c r="D936" s="6" t="s">
        <v>2116</v>
      </c>
      <c r="E936" s="3" t="s">
        <v>1477</v>
      </c>
      <c r="F936" s="6" t="s">
        <v>2117</v>
      </c>
      <c r="G936" s="6" t="s">
        <v>2118</v>
      </c>
      <c r="H936" s="6" t="s">
        <v>76</v>
      </c>
      <c r="I936" s="6" t="s">
        <v>228</v>
      </c>
      <c r="J936" s="6" t="s">
        <v>53</v>
      </c>
      <c r="K936" s="6" t="s">
        <v>53</v>
      </c>
      <c r="L936" s="6" t="s">
        <v>805</v>
      </c>
      <c r="M936" s="6" t="s">
        <v>311</v>
      </c>
      <c r="N936" s="6" t="s">
        <v>636</v>
      </c>
      <c r="O936" s="6" t="s">
        <v>62</v>
      </c>
      <c r="P936" s="6" t="s">
        <v>1527</v>
      </c>
      <c r="Q936" s="6" t="s">
        <v>70</v>
      </c>
      <c r="R936" s="6" t="s">
        <v>57</v>
      </c>
      <c r="S936" s="6" t="s">
        <v>1219</v>
      </c>
      <c r="T936" s="131">
        <v>0.121</v>
      </c>
      <c r="U936" s="6" t="s">
        <v>2119</v>
      </c>
      <c r="V936" s="134">
        <v>3.5000000000000003E-2</v>
      </c>
      <c r="W936" s="132">
        <v>2.7310000000000001E-2</v>
      </c>
      <c r="X936" s="3" t="s">
        <v>620</v>
      </c>
      <c r="Y936" s="3" t="s">
        <v>62</v>
      </c>
      <c r="Z936" s="131">
        <v>3000</v>
      </c>
      <c r="AA936" s="129">
        <v>1</v>
      </c>
      <c r="AB936" s="157">
        <v>101.42</v>
      </c>
      <c r="AD936" s="131">
        <v>3.0430000000000001</v>
      </c>
      <c r="AG936" s="6" t="s">
        <v>17</v>
      </c>
      <c r="AH936" s="132">
        <v>6.3E-5</v>
      </c>
      <c r="AI936" s="132">
        <v>1.6457981600403001E-4</v>
      </c>
      <c r="AJ936" s="132">
        <v>3.4854572160979703E-5</v>
      </c>
    </row>
    <row r="937" spans="1:36" x14ac:dyDescent="0.2">
      <c r="A937" s="6">
        <v>559</v>
      </c>
      <c r="B937" s="6">
        <v>7206</v>
      </c>
      <c r="C937" s="6" t="s">
        <v>2115</v>
      </c>
      <c r="D937" s="6" t="s">
        <v>2116</v>
      </c>
      <c r="E937" s="3" t="s">
        <v>1477</v>
      </c>
      <c r="F937" s="6" t="s">
        <v>2120</v>
      </c>
      <c r="G937" s="6" t="s">
        <v>2121</v>
      </c>
      <c r="H937" s="6" t="s">
        <v>76</v>
      </c>
      <c r="I937" s="6" t="s">
        <v>228</v>
      </c>
      <c r="J937" s="6" t="s">
        <v>53</v>
      </c>
      <c r="K937" s="6" t="s">
        <v>53</v>
      </c>
      <c r="L937" s="6" t="s">
        <v>805</v>
      </c>
      <c r="M937" s="6" t="s">
        <v>311</v>
      </c>
      <c r="N937" s="6" t="s">
        <v>636</v>
      </c>
      <c r="O937" s="6" t="s">
        <v>62</v>
      </c>
      <c r="P937" s="6" t="s">
        <v>1527</v>
      </c>
      <c r="Q937" s="6" t="s">
        <v>70</v>
      </c>
      <c r="R937" s="6" t="s">
        <v>57</v>
      </c>
      <c r="S937" s="6" t="s">
        <v>1219</v>
      </c>
      <c r="T937" s="131">
        <v>1.014</v>
      </c>
      <c r="U937" s="6" t="s">
        <v>1578</v>
      </c>
      <c r="V937" s="134">
        <v>4.99E-2</v>
      </c>
      <c r="W937" s="132">
        <v>4.6120000000000001E-2</v>
      </c>
      <c r="X937" s="3" t="s">
        <v>620</v>
      </c>
      <c r="Y937" s="3" t="s">
        <v>62</v>
      </c>
      <c r="Z937" s="131">
        <v>118000.77</v>
      </c>
      <c r="AA937" s="129">
        <v>1</v>
      </c>
      <c r="AB937" s="157">
        <v>101.69</v>
      </c>
      <c r="AD937" s="131">
        <v>119.995</v>
      </c>
      <c r="AG937" s="6" t="s">
        <v>17</v>
      </c>
      <c r="AH937" s="132">
        <v>4.7699999999999999E-4</v>
      </c>
      <c r="AI937" s="132">
        <v>6.4907487759436897E-3</v>
      </c>
      <c r="AJ937" s="132">
        <v>1.37460520422735E-3</v>
      </c>
    </row>
    <row r="938" spans="1:36" x14ac:dyDescent="0.2">
      <c r="A938" s="6">
        <v>559</v>
      </c>
      <c r="B938" s="6">
        <v>7206</v>
      </c>
      <c r="C938" s="6" t="s">
        <v>2122</v>
      </c>
      <c r="D938" s="6" t="s">
        <v>2123</v>
      </c>
      <c r="E938" s="3" t="s">
        <v>1477</v>
      </c>
      <c r="F938" s="6" t="s">
        <v>2124</v>
      </c>
      <c r="G938" s="6" t="s">
        <v>2125</v>
      </c>
      <c r="H938" s="6" t="s">
        <v>76</v>
      </c>
      <c r="I938" s="6" t="s">
        <v>228</v>
      </c>
      <c r="J938" s="6" t="s">
        <v>53</v>
      </c>
      <c r="K938" s="6" t="s">
        <v>53</v>
      </c>
      <c r="L938" s="6" t="s">
        <v>805</v>
      </c>
      <c r="M938" s="6" t="s">
        <v>311</v>
      </c>
      <c r="N938" s="6" t="s">
        <v>259</v>
      </c>
      <c r="O938" s="6" t="s">
        <v>62</v>
      </c>
      <c r="P938" s="6" t="s">
        <v>1527</v>
      </c>
      <c r="Q938" s="6" t="s">
        <v>70</v>
      </c>
      <c r="R938" s="6" t="s">
        <v>57</v>
      </c>
      <c r="S938" s="6" t="s">
        <v>1219</v>
      </c>
      <c r="T938" s="131">
        <v>0.98399999999999999</v>
      </c>
      <c r="U938" s="6" t="s">
        <v>1516</v>
      </c>
      <c r="V938" s="134">
        <v>3.2500000000000001E-2</v>
      </c>
      <c r="W938" s="132">
        <v>4.8820000000000002E-2</v>
      </c>
      <c r="X938" s="3" t="s">
        <v>620</v>
      </c>
      <c r="Y938" s="3" t="s">
        <v>62</v>
      </c>
      <c r="Z938" s="131">
        <v>17879.72</v>
      </c>
      <c r="AA938" s="129">
        <v>1</v>
      </c>
      <c r="AB938" s="157">
        <v>98.5</v>
      </c>
      <c r="AD938" s="131">
        <v>17.611999999999998</v>
      </c>
      <c r="AG938" s="6" t="s">
        <v>17</v>
      </c>
      <c r="AH938" s="132">
        <v>1.13E-4</v>
      </c>
      <c r="AI938" s="132">
        <v>9.5263965437011996E-4</v>
      </c>
      <c r="AJ938" s="132">
        <v>2.0174920827375901E-4</v>
      </c>
    </row>
    <row r="939" spans="1:36" x14ac:dyDescent="0.2">
      <c r="A939" s="6">
        <v>559</v>
      </c>
      <c r="B939" s="6">
        <v>7206</v>
      </c>
      <c r="C939" s="6" t="s">
        <v>2126</v>
      </c>
      <c r="D939" s="6" t="s">
        <v>2127</v>
      </c>
      <c r="E939" s="3" t="s">
        <v>1477</v>
      </c>
      <c r="F939" s="6" t="s">
        <v>2128</v>
      </c>
      <c r="G939" s="6" t="s">
        <v>2129</v>
      </c>
      <c r="H939" s="6" t="s">
        <v>76</v>
      </c>
      <c r="I939" s="6" t="s">
        <v>229</v>
      </c>
      <c r="J939" s="6" t="s">
        <v>53</v>
      </c>
      <c r="K939" s="6" t="s">
        <v>53</v>
      </c>
      <c r="L939" s="6" t="s">
        <v>805</v>
      </c>
      <c r="M939" s="6" t="s">
        <v>311</v>
      </c>
      <c r="N939" s="6" t="s">
        <v>140</v>
      </c>
      <c r="O939" s="6" t="s">
        <v>62</v>
      </c>
      <c r="P939" s="6" t="s">
        <v>298</v>
      </c>
      <c r="Q939" s="6" t="s">
        <v>298</v>
      </c>
      <c r="R939" s="6" t="s">
        <v>298</v>
      </c>
      <c r="S939" s="6" t="s">
        <v>1219</v>
      </c>
      <c r="T939" s="131">
        <v>0.93500000000000005</v>
      </c>
      <c r="U939" s="6" t="s">
        <v>1629</v>
      </c>
      <c r="V939" s="134">
        <v>2.8500000000000001E-2</v>
      </c>
      <c r="W939" s="132">
        <v>1E-4</v>
      </c>
      <c r="X939" s="3" t="s">
        <v>620</v>
      </c>
      <c r="Y939" s="3" t="s">
        <v>62</v>
      </c>
      <c r="Z939" s="131">
        <v>61954.99</v>
      </c>
      <c r="AA939" s="129">
        <v>1</v>
      </c>
      <c r="AB939" s="157">
        <v>122.1</v>
      </c>
      <c r="AD939" s="131">
        <v>75.647000000000006</v>
      </c>
      <c r="AG939" s="6" t="s">
        <v>17</v>
      </c>
      <c r="AH939" s="132">
        <v>5.0299999999999997E-4</v>
      </c>
      <c r="AI939" s="132">
        <v>4.0918873278206801E-3</v>
      </c>
      <c r="AJ939" s="132">
        <v>8.6657638588338002E-4</v>
      </c>
    </row>
    <row r="940" spans="1:36" x14ac:dyDescent="0.2">
      <c r="A940" s="6">
        <v>559</v>
      </c>
      <c r="B940" s="6">
        <v>7206</v>
      </c>
      <c r="C940" s="6" t="s">
        <v>2126</v>
      </c>
      <c r="D940" s="6" t="s">
        <v>2127</v>
      </c>
      <c r="E940" s="3" t="s">
        <v>1477</v>
      </c>
      <c r="F940" s="6" t="s">
        <v>2385</v>
      </c>
      <c r="G940" s="6" t="s">
        <v>2386</v>
      </c>
      <c r="H940" s="6" t="s">
        <v>76</v>
      </c>
      <c r="I940" s="6" t="s">
        <v>229</v>
      </c>
      <c r="J940" s="6" t="s">
        <v>53</v>
      </c>
      <c r="K940" s="6" t="s">
        <v>53</v>
      </c>
      <c r="L940" s="6" t="s">
        <v>805</v>
      </c>
      <c r="M940" s="6" t="s">
        <v>311</v>
      </c>
      <c r="N940" s="6" t="s">
        <v>140</v>
      </c>
      <c r="O940" s="6" t="s">
        <v>62</v>
      </c>
      <c r="P940" s="6" t="s">
        <v>298</v>
      </c>
      <c r="Q940" s="6" t="s">
        <v>298</v>
      </c>
      <c r="R940" s="6" t="s">
        <v>298</v>
      </c>
      <c r="S940" s="6" t="s">
        <v>1219</v>
      </c>
      <c r="T940" s="131">
        <v>2.7589999999999999</v>
      </c>
      <c r="U940" s="6" t="s">
        <v>2144</v>
      </c>
      <c r="V940" s="134">
        <v>3.7900000000000003E-2</v>
      </c>
      <c r="W940" s="132">
        <v>2.7040000000000002E-2</v>
      </c>
      <c r="X940" s="3" t="s">
        <v>620</v>
      </c>
      <c r="Y940" s="3" t="s">
        <v>62</v>
      </c>
      <c r="Z940" s="131">
        <v>17451.8</v>
      </c>
      <c r="AA940" s="129">
        <v>1</v>
      </c>
      <c r="AB940" s="157">
        <v>114.2</v>
      </c>
      <c r="AD940" s="131">
        <v>19.93</v>
      </c>
      <c r="AG940" s="6" t="s">
        <v>17</v>
      </c>
      <c r="AH940" s="132">
        <v>1.4799999999999999E-4</v>
      </c>
      <c r="AI940" s="132">
        <v>1.0780478622285201E-3</v>
      </c>
      <c r="AJ940" s="132">
        <v>2.2830805088586099E-4</v>
      </c>
    </row>
    <row r="941" spans="1:36" x14ac:dyDescent="0.2">
      <c r="A941" s="6">
        <v>559</v>
      </c>
      <c r="B941" s="6">
        <v>7206</v>
      </c>
      <c r="C941" s="6" t="s">
        <v>2130</v>
      </c>
      <c r="D941" s="6" t="s">
        <v>2131</v>
      </c>
      <c r="E941" s="3" t="s">
        <v>1477</v>
      </c>
      <c r="F941" s="6" t="s">
        <v>2132</v>
      </c>
      <c r="G941" s="6" t="s">
        <v>2133</v>
      </c>
      <c r="H941" s="6" t="s">
        <v>76</v>
      </c>
      <c r="I941" s="6" t="s">
        <v>228</v>
      </c>
      <c r="J941" s="6" t="s">
        <v>53</v>
      </c>
      <c r="K941" s="6" t="s">
        <v>53</v>
      </c>
      <c r="L941" s="6" t="s">
        <v>805</v>
      </c>
      <c r="M941" s="6" t="s">
        <v>311</v>
      </c>
      <c r="N941" s="6" t="s">
        <v>140</v>
      </c>
      <c r="O941" s="6" t="s">
        <v>62</v>
      </c>
      <c r="P941" s="6" t="s">
        <v>1515</v>
      </c>
      <c r="Q941" s="6" t="s">
        <v>65</v>
      </c>
      <c r="R941" s="6" t="s">
        <v>57</v>
      </c>
      <c r="S941" s="6" t="s">
        <v>1219</v>
      </c>
      <c r="T941" s="131">
        <v>0.499</v>
      </c>
      <c r="U941" s="6" t="s">
        <v>1499</v>
      </c>
      <c r="V941" s="134">
        <v>4.9500000000000002E-2</v>
      </c>
      <c r="W941" s="132">
        <v>6.0859999999999997E-2</v>
      </c>
      <c r="X941" s="3" t="s">
        <v>620</v>
      </c>
      <c r="Y941" s="3" t="s">
        <v>62</v>
      </c>
      <c r="Z941" s="131">
        <v>3300</v>
      </c>
      <c r="AA941" s="129">
        <v>1</v>
      </c>
      <c r="AB941" s="157">
        <v>99.5</v>
      </c>
      <c r="AD941" s="131">
        <v>3.2839999999999998</v>
      </c>
      <c r="AG941" s="6" t="s">
        <v>17</v>
      </c>
      <c r="AH941" s="132">
        <v>1.4999999999999999E-4</v>
      </c>
      <c r="AI941" s="132">
        <v>1.77610538963135E-4</v>
      </c>
      <c r="AJ941" s="132">
        <v>3.7614207483920598E-5</v>
      </c>
    </row>
    <row r="942" spans="1:36" x14ac:dyDescent="0.2">
      <c r="A942" s="6">
        <v>559</v>
      </c>
      <c r="B942" s="6">
        <v>7206</v>
      </c>
      <c r="C942" s="6" t="s">
        <v>2134</v>
      </c>
      <c r="D942" s="6" t="s">
        <v>2135</v>
      </c>
      <c r="E942" s="3" t="s">
        <v>1477</v>
      </c>
      <c r="F942" s="6" t="s">
        <v>2136</v>
      </c>
      <c r="G942" s="6" t="s">
        <v>2137</v>
      </c>
      <c r="H942" s="6" t="s">
        <v>76</v>
      </c>
      <c r="I942" s="6" t="s">
        <v>228</v>
      </c>
      <c r="J942" s="6" t="s">
        <v>53</v>
      </c>
      <c r="K942" s="6" t="s">
        <v>53</v>
      </c>
      <c r="L942" s="6" t="s">
        <v>805</v>
      </c>
      <c r="M942" s="6" t="s">
        <v>102</v>
      </c>
      <c r="N942" s="6" t="s">
        <v>692</v>
      </c>
      <c r="O942" s="6" t="s">
        <v>62</v>
      </c>
      <c r="P942" s="6" t="s">
        <v>1493</v>
      </c>
      <c r="Q942" s="6" t="s">
        <v>65</v>
      </c>
      <c r="R942" s="6" t="s">
        <v>57</v>
      </c>
      <c r="S942" s="6" t="s">
        <v>1219</v>
      </c>
      <c r="T942" s="131">
        <v>4.9429999999999996</v>
      </c>
      <c r="U942" s="6" t="s">
        <v>1522</v>
      </c>
      <c r="V942" s="134">
        <v>5.8799999999999998E-2</v>
      </c>
      <c r="W942" s="132">
        <v>5.5820000000000002E-2</v>
      </c>
      <c r="X942" s="3" t="s">
        <v>620</v>
      </c>
      <c r="Y942" s="3" t="s">
        <v>62</v>
      </c>
      <c r="Z942" s="131">
        <v>45000</v>
      </c>
      <c r="AA942" s="129">
        <v>1</v>
      </c>
      <c r="AB942" s="157">
        <v>103.90900000000001</v>
      </c>
      <c r="AD942" s="131">
        <v>46.759</v>
      </c>
      <c r="AG942" s="6" t="s">
        <v>17</v>
      </c>
      <c r="AH942" s="132">
        <v>0</v>
      </c>
      <c r="AI942" s="132">
        <v>2.5292842803488601E-3</v>
      </c>
      <c r="AJ942" s="132">
        <v>5.3564965380014902E-4</v>
      </c>
    </row>
    <row r="943" spans="1:36" x14ac:dyDescent="0.2">
      <c r="A943" s="6">
        <v>559</v>
      </c>
      <c r="B943" s="6">
        <v>7206</v>
      </c>
      <c r="C943" s="6" t="s">
        <v>2138</v>
      </c>
      <c r="D943" s="6" t="s">
        <v>2139</v>
      </c>
      <c r="E943" s="3" t="s">
        <v>1477</v>
      </c>
      <c r="F943" s="6" t="s">
        <v>2140</v>
      </c>
      <c r="G943" s="6" t="s">
        <v>2141</v>
      </c>
      <c r="H943" s="6" t="s">
        <v>76</v>
      </c>
      <c r="I943" s="6" t="s">
        <v>228</v>
      </c>
      <c r="J943" s="6" t="s">
        <v>53</v>
      </c>
      <c r="K943" s="6" t="s">
        <v>53</v>
      </c>
      <c r="L943" s="6" t="s">
        <v>805</v>
      </c>
      <c r="M943" s="6" t="s">
        <v>311</v>
      </c>
      <c r="N943" s="6" t="s">
        <v>75</v>
      </c>
      <c r="O943" s="6" t="s">
        <v>62</v>
      </c>
      <c r="P943" s="6" t="s">
        <v>1577</v>
      </c>
      <c r="Q943" s="6" t="s">
        <v>65</v>
      </c>
      <c r="R943" s="6" t="s">
        <v>57</v>
      </c>
      <c r="S943" s="6" t="s">
        <v>1219</v>
      </c>
      <c r="T943" s="131">
        <v>0.65700000000000003</v>
      </c>
      <c r="U943" s="6" t="s">
        <v>1621</v>
      </c>
      <c r="V943" s="134">
        <v>2.75E-2</v>
      </c>
      <c r="W943" s="132">
        <v>5.0619999999999998E-2</v>
      </c>
      <c r="X943" s="3" t="s">
        <v>620</v>
      </c>
      <c r="Y943" s="3" t="s">
        <v>62</v>
      </c>
      <c r="Z943" s="131">
        <v>66292.179999999993</v>
      </c>
      <c r="AA943" s="129">
        <v>1</v>
      </c>
      <c r="AB943" s="157">
        <v>99.46</v>
      </c>
      <c r="AD943" s="131">
        <v>65.933999999999997</v>
      </c>
      <c r="AG943" s="6" t="s">
        <v>17</v>
      </c>
      <c r="AH943" s="132">
        <v>4.8899999999999996E-4</v>
      </c>
      <c r="AI943" s="132">
        <v>3.5665019624849699E-3</v>
      </c>
      <c r="AJ943" s="132">
        <v>7.5531072419393001E-4</v>
      </c>
    </row>
    <row r="944" spans="1:36" x14ac:dyDescent="0.2">
      <c r="A944" s="6">
        <v>559</v>
      </c>
      <c r="B944" s="6">
        <v>7206</v>
      </c>
      <c r="C944" s="6" t="s">
        <v>2138</v>
      </c>
      <c r="D944" s="6" t="s">
        <v>2139</v>
      </c>
      <c r="E944" s="3" t="s">
        <v>1477</v>
      </c>
      <c r="F944" s="6" t="s">
        <v>2142</v>
      </c>
      <c r="G944" s="6" t="s">
        <v>2143</v>
      </c>
      <c r="H944" s="6" t="s">
        <v>76</v>
      </c>
      <c r="I944" s="6" t="s">
        <v>228</v>
      </c>
      <c r="J944" s="6" t="s">
        <v>53</v>
      </c>
      <c r="K944" s="6" t="s">
        <v>53</v>
      </c>
      <c r="L944" s="6" t="s">
        <v>805</v>
      </c>
      <c r="M944" s="6" t="s">
        <v>311</v>
      </c>
      <c r="N944" s="6" t="s">
        <v>75</v>
      </c>
      <c r="O944" s="6" t="s">
        <v>62</v>
      </c>
      <c r="P944" s="6" t="s">
        <v>1577</v>
      </c>
      <c r="Q944" s="6" t="s">
        <v>65</v>
      </c>
      <c r="R944" s="6" t="s">
        <v>57</v>
      </c>
      <c r="S944" s="6" t="s">
        <v>1219</v>
      </c>
      <c r="T944" s="131">
        <v>1.694</v>
      </c>
      <c r="U944" s="6" t="s">
        <v>2144</v>
      </c>
      <c r="V944" s="134">
        <v>2.1499999999999998E-2</v>
      </c>
      <c r="W944" s="132">
        <v>4.9500000000000002E-2</v>
      </c>
      <c r="X944" s="3" t="s">
        <v>620</v>
      </c>
      <c r="Y944" s="3" t="s">
        <v>62</v>
      </c>
      <c r="Z944" s="131">
        <v>46656.29</v>
      </c>
      <c r="AA944" s="129">
        <v>1</v>
      </c>
      <c r="AB944" s="157">
        <v>95.52</v>
      </c>
      <c r="AC944" s="131">
        <v>3.851</v>
      </c>
      <c r="AD944" s="131">
        <v>48.417000000000002</v>
      </c>
      <c r="AG944" s="6" t="s">
        <v>17</v>
      </c>
      <c r="AH944" s="132">
        <v>6.6000000000000005E-5</v>
      </c>
      <c r="AI944" s="132">
        <v>2.6189523594887902E-3</v>
      </c>
      <c r="AJ944" s="132">
        <v>5.54639482630935E-4</v>
      </c>
    </row>
    <row r="945" spans="1:36" x14ac:dyDescent="0.2">
      <c r="A945" s="6">
        <v>559</v>
      </c>
      <c r="B945" s="6">
        <v>7206</v>
      </c>
      <c r="C945" s="6" t="s">
        <v>2145</v>
      </c>
      <c r="D945" s="6" t="s">
        <v>2146</v>
      </c>
      <c r="E945" s="3" t="s">
        <v>1477</v>
      </c>
      <c r="F945" s="6" t="s">
        <v>2147</v>
      </c>
      <c r="G945" s="6" t="s">
        <v>2148</v>
      </c>
      <c r="H945" s="6" t="s">
        <v>76</v>
      </c>
      <c r="I945" s="6" t="s">
        <v>229</v>
      </c>
      <c r="J945" s="6" t="s">
        <v>53</v>
      </c>
      <c r="K945" s="6" t="s">
        <v>53</v>
      </c>
      <c r="L945" s="6" t="s">
        <v>805</v>
      </c>
      <c r="M945" s="6" t="s">
        <v>311</v>
      </c>
      <c r="N945" s="6" t="s">
        <v>635</v>
      </c>
      <c r="O945" s="6" t="s">
        <v>62</v>
      </c>
      <c r="P945" s="6" t="s">
        <v>1533</v>
      </c>
      <c r="Q945" s="6" t="s">
        <v>65</v>
      </c>
      <c r="R945" s="6" t="s">
        <v>57</v>
      </c>
      <c r="S945" s="6" t="s">
        <v>1219</v>
      </c>
      <c r="T945" s="131">
        <v>0.91700000000000004</v>
      </c>
      <c r="U945" s="6" t="s">
        <v>2149</v>
      </c>
      <c r="V945" s="134">
        <v>1.6E-2</v>
      </c>
      <c r="W945" s="132">
        <v>2.7320000000000001E-2</v>
      </c>
      <c r="X945" s="3" t="s">
        <v>620</v>
      </c>
      <c r="Y945" s="3" t="s">
        <v>62</v>
      </c>
      <c r="Z945" s="131">
        <v>120921.94</v>
      </c>
      <c r="AA945" s="129">
        <v>1</v>
      </c>
      <c r="AB945" s="157">
        <v>117.65</v>
      </c>
      <c r="AD945" s="131">
        <v>142.26499999999999</v>
      </c>
      <c r="AG945" s="6" t="s">
        <v>17</v>
      </c>
      <c r="AH945" s="132">
        <v>4.26E-4</v>
      </c>
      <c r="AI945" s="132">
        <v>7.6953565908477297E-3</v>
      </c>
      <c r="AJ945" s="132">
        <v>1.62971601325404E-3</v>
      </c>
    </row>
    <row r="946" spans="1:36" x14ac:dyDescent="0.2">
      <c r="A946" s="6">
        <v>559</v>
      </c>
      <c r="B946" s="6">
        <v>7206</v>
      </c>
      <c r="C946" s="6" t="s">
        <v>2145</v>
      </c>
      <c r="D946" s="6" t="s">
        <v>2146</v>
      </c>
      <c r="E946" s="3" t="s">
        <v>1477</v>
      </c>
      <c r="F946" s="6" t="s">
        <v>2150</v>
      </c>
      <c r="G946" s="6" t="s">
        <v>2151</v>
      </c>
      <c r="H946" s="6" t="s">
        <v>76</v>
      </c>
      <c r="I946" s="6" t="s">
        <v>229</v>
      </c>
      <c r="J946" s="6" t="s">
        <v>53</v>
      </c>
      <c r="K946" s="6" t="s">
        <v>53</v>
      </c>
      <c r="L946" s="6" t="s">
        <v>805</v>
      </c>
      <c r="M946" s="6" t="s">
        <v>311</v>
      </c>
      <c r="N946" s="6" t="s">
        <v>635</v>
      </c>
      <c r="O946" s="6" t="s">
        <v>62</v>
      </c>
      <c r="P946" s="6" t="s">
        <v>1533</v>
      </c>
      <c r="Q946" s="6" t="s">
        <v>65</v>
      </c>
      <c r="R946" s="6" t="s">
        <v>57</v>
      </c>
      <c r="S946" s="6" t="s">
        <v>1219</v>
      </c>
      <c r="T946" s="131">
        <v>2.0529999999999999</v>
      </c>
      <c r="U946" s="6" t="s">
        <v>1311</v>
      </c>
      <c r="V946" s="134">
        <v>1.4200000000000001E-2</v>
      </c>
      <c r="W946" s="132">
        <v>2.8410000000000001E-2</v>
      </c>
      <c r="X946" s="3" t="s">
        <v>620</v>
      </c>
      <c r="Y946" s="3" t="s">
        <v>62</v>
      </c>
      <c r="Z946" s="131">
        <v>122780.94</v>
      </c>
      <c r="AA946" s="129">
        <v>1</v>
      </c>
      <c r="AB946" s="157">
        <v>114.01</v>
      </c>
      <c r="AD946" s="131">
        <v>139.983</v>
      </c>
      <c r="AG946" s="6" t="s">
        <v>17</v>
      </c>
      <c r="AH946" s="132">
        <v>1.21E-4</v>
      </c>
      <c r="AI946" s="132">
        <v>7.5719129272377398E-3</v>
      </c>
      <c r="AJ946" s="132">
        <v>1.6035732201365399E-3</v>
      </c>
    </row>
    <row r="947" spans="1:36" x14ac:dyDescent="0.2">
      <c r="A947" s="6">
        <v>559</v>
      </c>
      <c r="B947" s="6">
        <v>7206</v>
      </c>
      <c r="C947" s="6" t="s">
        <v>2152</v>
      </c>
      <c r="D947" s="6" t="s">
        <v>2153</v>
      </c>
      <c r="E947" s="3" t="s">
        <v>1477</v>
      </c>
      <c r="F947" s="6" t="s">
        <v>2154</v>
      </c>
      <c r="G947" s="6" t="s">
        <v>2155</v>
      </c>
      <c r="H947" s="6" t="s">
        <v>76</v>
      </c>
      <c r="I947" s="6" t="s">
        <v>228</v>
      </c>
      <c r="J947" s="6" t="s">
        <v>53</v>
      </c>
      <c r="K947" s="6" t="s">
        <v>53</v>
      </c>
      <c r="L947" s="6" t="s">
        <v>805</v>
      </c>
      <c r="M947" s="6" t="s">
        <v>311</v>
      </c>
      <c r="N947" s="6" t="s">
        <v>140</v>
      </c>
      <c r="O947" s="6" t="s">
        <v>62</v>
      </c>
      <c r="P947" s="6" t="s">
        <v>1604</v>
      </c>
      <c r="Q947" s="6" t="s">
        <v>70</v>
      </c>
      <c r="R947" s="6" t="s">
        <v>57</v>
      </c>
      <c r="S947" s="6" t="s">
        <v>1219</v>
      </c>
      <c r="T947" s="131">
        <v>3.3000000000000002E-2</v>
      </c>
      <c r="U947" s="6" t="s">
        <v>2156</v>
      </c>
      <c r="V947" s="134">
        <v>4.3499999999999997E-2</v>
      </c>
      <c r="W947" s="132">
        <v>9.1929999999999998E-2</v>
      </c>
      <c r="X947" s="3" t="s">
        <v>620</v>
      </c>
      <c r="Y947" s="3" t="s">
        <v>62</v>
      </c>
      <c r="Z947" s="131">
        <v>3333.33</v>
      </c>
      <c r="AA947" s="129">
        <v>1</v>
      </c>
      <c r="AB947" s="157">
        <v>101.88</v>
      </c>
      <c r="AD947" s="131">
        <v>3.3959999999999999</v>
      </c>
      <c r="AG947" s="6" t="s">
        <v>17</v>
      </c>
      <c r="AH947" s="132">
        <v>1.3899999999999999E-4</v>
      </c>
      <c r="AI947" s="132">
        <v>1.8369568666161599E-4</v>
      </c>
      <c r="AJ947" s="132">
        <v>3.8902914840123498E-5</v>
      </c>
    </row>
    <row r="948" spans="1:36" x14ac:dyDescent="0.2">
      <c r="A948" s="6">
        <v>559</v>
      </c>
      <c r="B948" s="6">
        <v>7206</v>
      </c>
      <c r="C948" s="6" t="s">
        <v>2157</v>
      </c>
      <c r="D948" s="6" t="s">
        <v>2158</v>
      </c>
      <c r="E948" s="3" t="s">
        <v>1477</v>
      </c>
      <c r="F948" s="6" t="s">
        <v>2159</v>
      </c>
      <c r="G948" s="6" t="s">
        <v>2160</v>
      </c>
      <c r="H948" s="6" t="s">
        <v>76</v>
      </c>
      <c r="I948" s="6" t="s">
        <v>229</v>
      </c>
      <c r="J948" s="6" t="s">
        <v>53</v>
      </c>
      <c r="K948" s="6" t="s">
        <v>53</v>
      </c>
      <c r="L948" s="6" t="s">
        <v>805</v>
      </c>
      <c r="M948" s="6" t="s">
        <v>311</v>
      </c>
      <c r="N948" s="6" t="s">
        <v>635</v>
      </c>
      <c r="O948" s="6" t="s">
        <v>62</v>
      </c>
      <c r="P948" s="6" t="s">
        <v>1533</v>
      </c>
      <c r="Q948" s="6" t="s">
        <v>65</v>
      </c>
      <c r="R948" s="6" t="s">
        <v>57</v>
      </c>
      <c r="S948" s="6" t="s">
        <v>1219</v>
      </c>
      <c r="T948" s="131">
        <v>3.0139999999999998</v>
      </c>
      <c r="U948" s="6" t="s">
        <v>2161</v>
      </c>
      <c r="V948" s="134">
        <v>3.5000000000000003E-2</v>
      </c>
      <c r="W948" s="132">
        <v>2.8129999999999999E-2</v>
      </c>
      <c r="X948" s="3" t="s">
        <v>620</v>
      </c>
      <c r="Y948" s="3" t="s">
        <v>62</v>
      </c>
      <c r="Z948" s="131">
        <v>188000.12</v>
      </c>
      <c r="AA948" s="129">
        <v>1</v>
      </c>
      <c r="AB948" s="157">
        <v>122.62</v>
      </c>
      <c r="AD948" s="131">
        <v>230.52600000000001</v>
      </c>
      <c r="AG948" s="6" t="s">
        <v>17</v>
      </c>
      <c r="AH948" s="132">
        <v>2.3499999999999999E-4</v>
      </c>
      <c r="AI948" s="132">
        <v>1.24695605893483E-2</v>
      </c>
      <c r="AJ948" s="132">
        <v>2.6407928379656499E-3</v>
      </c>
    </row>
    <row r="949" spans="1:36" x14ac:dyDescent="0.2">
      <c r="A949" s="6">
        <v>559</v>
      </c>
      <c r="B949" s="6">
        <v>7206</v>
      </c>
      <c r="C949" s="6" t="s">
        <v>2157</v>
      </c>
      <c r="D949" s="6" t="s">
        <v>2158</v>
      </c>
      <c r="E949" s="3" t="s">
        <v>1477</v>
      </c>
      <c r="F949" s="6" t="s">
        <v>2162</v>
      </c>
      <c r="G949" s="6" t="s">
        <v>2163</v>
      </c>
      <c r="H949" s="6" t="s">
        <v>76</v>
      </c>
      <c r="I949" s="6" t="s">
        <v>229</v>
      </c>
      <c r="J949" s="6" t="s">
        <v>53</v>
      </c>
      <c r="K949" s="6" t="s">
        <v>53</v>
      </c>
      <c r="L949" s="6" t="s">
        <v>805</v>
      </c>
      <c r="M949" s="6" t="s">
        <v>311</v>
      </c>
      <c r="N949" s="6" t="s">
        <v>635</v>
      </c>
      <c r="O949" s="6" t="s">
        <v>62</v>
      </c>
      <c r="P949" s="6" t="s">
        <v>1533</v>
      </c>
      <c r="Q949" s="6" t="s">
        <v>65</v>
      </c>
      <c r="R949" s="6" t="s">
        <v>57</v>
      </c>
      <c r="S949" s="6" t="s">
        <v>1219</v>
      </c>
      <c r="T949" s="131">
        <v>1.6539999999999999</v>
      </c>
      <c r="U949" s="6" t="s">
        <v>2164</v>
      </c>
      <c r="V949" s="134">
        <v>0.04</v>
      </c>
      <c r="W949" s="132">
        <v>2.929E-2</v>
      </c>
      <c r="X949" s="3" t="s">
        <v>620</v>
      </c>
      <c r="Y949" s="3" t="s">
        <v>62</v>
      </c>
      <c r="Z949" s="131">
        <v>78861.91</v>
      </c>
      <c r="AA949" s="129">
        <v>1</v>
      </c>
      <c r="AB949" s="157">
        <v>121.17</v>
      </c>
      <c r="AD949" s="131">
        <v>95.557000000000002</v>
      </c>
      <c r="AG949" s="6" t="s">
        <v>17</v>
      </c>
      <c r="AH949" s="132">
        <v>9.3999999999999994E-5</v>
      </c>
      <c r="AI949" s="132">
        <v>5.1688521610105597E-3</v>
      </c>
      <c r="AJ949" s="132">
        <v>1.0946550738090901E-3</v>
      </c>
    </row>
    <row r="950" spans="1:36" x14ac:dyDescent="0.2">
      <c r="A950" s="6">
        <v>559</v>
      </c>
      <c r="B950" s="6">
        <v>7206</v>
      </c>
      <c r="C950" s="6" t="s">
        <v>2165</v>
      </c>
      <c r="D950" s="6" t="s">
        <v>2166</v>
      </c>
      <c r="E950" s="3" t="s">
        <v>1477</v>
      </c>
      <c r="F950" s="6" t="s">
        <v>2167</v>
      </c>
      <c r="G950" s="6" t="s">
        <v>2168</v>
      </c>
      <c r="H950" s="6" t="s">
        <v>76</v>
      </c>
      <c r="I950" s="6" t="s">
        <v>228</v>
      </c>
      <c r="J950" s="6" t="s">
        <v>53</v>
      </c>
      <c r="K950" s="6" t="s">
        <v>53</v>
      </c>
      <c r="L950" s="6" t="s">
        <v>805</v>
      </c>
      <c r="M950" s="6" t="s">
        <v>102</v>
      </c>
      <c r="N950" s="6" t="s">
        <v>635</v>
      </c>
      <c r="O950" s="6" t="s">
        <v>62</v>
      </c>
      <c r="P950" s="6" t="s">
        <v>298</v>
      </c>
      <c r="Q950" s="6" t="s">
        <v>298</v>
      </c>
      <c r="R950" s="6" t="s">
        <v>298</v>
      </c>
      <c r="S950" s="6" t="s">
        <v>1219</v>
      </c>
      <c r="T950" s="131">
        <v>3.1549999999999998</v>
      </c>
      <c r="U950" s="6" t="s">
        <v>1713</v>
      </c>
      <c r="V950" s="134">
        <v>6.3500000000000001E-2</v>
      </c>
      <c r="W950" s="132">
        <v>6.0040000000000003E-2</v>
      </c>
      <c r="X950" s="3" t="s">
        <v>620</v>
      </c>
      <c r="Y950" s="3" t="s">
        <v>62</v>
      </c>
      <c r="Z950" s="131">
        <v>40000</v>
      </c>
      <c r="AA950" s="129">
        <v>1</v>
      </c>
      <c r="AB950" s="157">
        <v>101.72</v>
      </c>
      <c r="AD950" s="131">
        <v>40.688000000000002</v>
      </c>
      <c r="AG950" s="6" t="s">
        <v>17</v>
      </c>
      <c r="AH950" s="132">
        <v>2.05E-4</v>
      </c>
      <c r="AI950" s="132">
        <v>2.2008885668743801E-3</v>
      </c>
      <c r="AJ950" s="132">
        <v>4.6610229148949598E-4</v>
      </c>
    </row>
    <row r="951" spans="1:36" x14ac:dyDescent="0.2">
      <c r="A951" s="6">
        <v>559</v>
      </c>
      <c r="B951" s="6">
        <v>7206</v>
      </c>
      <c r="C951" s="6" t="s">
        <v>2169</v>
      </c>
      <c r="D951" s="6" t="s">
        <v>2170</v>
      </c>
      <c r="E951" s="3" t="s">
        <v>1477</v>
      </c>
      <c r="F951" s="6" t="s">
        <v>2171</v>
      </c>
      <c r="G951" s="6" t="s">
        <v>2172</v>
      </c>
      <c r="H951" s="6" t="s">
        <v>76</v>
      </c>
      <c r="I951" s="6" t="s">
        <v>229</v>
      </c>
      <c r="J951" s="6" t="s">
        <v>53</v>
      </c>
      <c r="K951" s="6" t="s">
        <v>53</v>
      </c>
      <c r="L951" s="6" t="s">
        <v>805</v>
      </c>
      <c r="M951" s="6" t="s">
        <v>311</v>
      </c>
      <c r="N951" s="6" t="s">
        <v>258</v>
      </c>
      <c r="O951" s="6" t="s">
        <v>62</v>
      </c>
      <c r="P951" s="6" t="s">
        <v>1213</v>
      </c>
      <c r="Q951" s="6" t="s">
        <v>65</v>
      </c>
      <c r="R951" s="6" t="s">
        <v>57</v>
      </c>
      <c r="S951" s="6" t="s">
        <v>1219</v>
      </c>
      <c r="T951" s="131">
        <v>3.4020000000000001</v>
      </c>
      <c r="U951" s="6" t="s">
        <v>2173</v>
      </c>
      <c r="V951" s="134">
        <v>7.0000000000000001E-3</v>
      </c>
      <c r="W951" s="132">
        <v>2.5940000000000001E-2</v>
      </c>
      <c r="X951" s="3" t="s">
        <v>620</v>
      </c>
      <c r="Y951" s="3" t="s">
        <v>62</v>
      </c>
      <c r="Z951" s="131">
        <v>54256.66</v>
      </c>
      <c r="AA951" s="129">
        <v>1</v>
      </c>
      <c r="AB951" s="157">
        <v>108.28</v>
      </c>
      <c r="AD951" s="131">
        <v>58.749000000000002</v>
      </c>
      <c r="AG951" s="6" t="s">
        <v>17</v>
      </c>
      <c r="AH951" s="132">
        <v>9.0399999999999996E-4</v>
      </c>
      <c r="AI951" s="132">
        <v>3.17784722030898E-3</v>
      </c>
      <c r="AJ951" s="132">
        <v>6.7300175651014002E-4</v>
      </c>
    </row>
    <row r="952" spans="1:36" x14ac:dyDescent="0.2">
      <c r="A952" s="6">
        <v>559</v>
      </c>
      <c r="B952" s="6">
        <v>7206</v>
      </c>
      <c r="C952" s="6" t="s">
        <v>2391</v>
      </c>
      <c r="D952" s="6" t="s">
        <v>2392</v>
      </c>
      <c r="E952" s="3" t="s">
        <v>1477</v>
      </c>
      <c r="F952" s="6" t="s">
        <v>2393</v>
      </c>
      <c r="G952" s="6" t="s">
        <v>2394</v>
      </c>
      <c r="H952" s="6" t="s">
        <v>76</v>
      </c>
      <c r="I952" s="6" t="s">
        <v>230</v>
      </c>
      <c r="J952" s="6" t="s">
        <v>53</v>
      </c>
      <c r="K952" s="6" t="s">
        <v>53</v>
      </c>
      <c r="L952" s="6" t="s">
        <v>805</v>
      </c>
      <c r="M952" s="6" t="s">
        <v>311</v>
      </c>
      <c r="N952" s="6" t="s">
        <v>267</v>
      </c>
      <c r="O952" s="6" t="s">
        <v>62</v>
      </c>
      <c r="P952" s="6" t="s">
        <v>298</v>
      </c>
      <c r="Q952" s="6" t="s">
        <v>298</v>
      </c>
      <c r="R952" s="6" t="s">
        <v>298</v>
      </c>
      <c r="S952" s="6" t="s">
        <v>1219</v>
      </c>
      <c r="T952" s="131">
        <v>2.3260000000000001</v>
      </c>
      <c r="U952" s="6" t="s">
        <v>2395</v>
      </c>
      <c r="V952" s="134">
        <v>5.7000000000000002E-2</v>
      </c>
      <c r="W952" s="132">
        <v>6.6570000000000004E-2</v>
      </c>
      <c r="X952" s="3" t="s">
        <v>620</v>
      </c>
      <c r="Y952" s="3" t="s">
        <v>62</v>
      </c>
      <c r="Z952" s="131">
        <v>2280</v>
      </c>
      <c r="AA952" s="129">
        <v>1</v>
      </c>
      <c r="AB952" s="157">
        <v>102.58</v>
      </c>
      <c r="AD952" s="131">
        <v>2.339</v>
      </c>
      <c r="AG952" s="6" t="s">
        <v>17</v>
      </c>
      <c r="AH952" s="132">
        <v>6.9999999999999999E-6</v>
      </c>
      <c r="AI952" s="132">
        <v>1.26511281004999E-4</v>
      </c>
      <c r="AJ952" s="132">
        <v>2.6792450496230601E-5</v>
      </c>
    </row>
    <row r="953" spans="1:36" x14ac:dyDescent="0.2">
      <c r="A953" s="6">
        <v>559</v>
      </c>
      <c r="B953" s="6">
        <v>7206</v>
      </c>
      <c r="C953" s="6" t="s">
        <v>2174</v>
      </c>
      <c r="D953" s="6" t="s">
        <v>2175</v>
      </c>
      <c r="E953" s="3" t="s">
        <v>1477</v>
      </c>
      <c r="F953" s="6" t="s">
        <v>2176</v>
      </c>
      <c r="G953" s="6" t="s">
        <v>2177</v>
      </c>
      <c r="H953" s="6" t="s">
        <v>76</v>
      </c>
      <c r="I953" s="6" t="s">
        <v>228</v>
      </c>
      <c r="J953" s="6" t="s">
        <v>53</v>
      </c>
      <c r="K953" s="6" t="s">
        <v>53</v>
      </c>
      <c r="L953" s="6" t="s">
        <v>805</v>
      </c>
      <c r="M953" s="6" t="s">
        <v>311</v>
      </c>
      <c r="N953" s="6" t="s">
        <v>261</v>
      </c>
      <c r="O953" s="6" t="s">
        <v>62</v>
      </c>
      <c r="P953" s="6" t="s">
        <v>1339</v>
      </c>
      <c r="Q953" s="6" t="s">
        <v>65</v>
      </c>
      <c r="R953" s="6" t="s">
        <v>57</v>
      </c>
      <c r="S953" s="6" t="s">
        <v>1219</v>
      </c>
      <c r="T953" s="131">
        <v>1.468</v>
      </c>
      <c r="U953" s="6" t="s">
        <v>1644</v>
      </c>
      <c r="V953" s="134">
        <v>2.6100000000000002E-2</v>
      </c>
      <c r="W953" s="132">
        <v>4.471E-2</v>
      </c>
      <c r="X953" s="3" t="s">
        <v>620</v>
      </c>
      <c r="Y953" s="3" t="s">
        <v>62</v>
      </c>
      <c r="Z953" s="131">
        <v>78000.210000000006</v>
      </c>
      <c r="AA953" s="129">
        <v>1</v>
      </c>
      <c r="AB953" s="157">
        <v>97.43</v>
      </c>
      <c r="AD953" s="131">
        <v>75.995999999999995</v>
      </c>
      <c r="AG953" s="6" t="s">
        <v>17</v>
      </c>
      <c r="AH953" s="132">
        <v>3.2299999999999999E-4</v>
      </c>
      <c r="AI953" s="132">
        <v>4.1107416757630898E-3</v>
      </c>
      <c r="AJ953" s="132">
        <v>8.7056934350638996E-4</v>
      </c>
    </row>
    <row r="954" spans="1:36" x14ac:dyDescent="0.2">
      <c r="A954" s="6">
        <v>559</v>
      </c>
      <c r="B954" s="6">
        <v>7206</v>
      </c>
      <c r="C954" s="6" t="s">
        <v>2174</v>
      </c>
      <c r="D954" s="6" t="s">
        <v>2175</v>
      </c>
      <c r="E954" s="3" t="s">
        <v>1477</v>
      </c>
      <c r="F954" s="6" t="s">
        <v>2178</v>
      </c>
      <c r="G954" s="6" t="s">
        <v>2179</v>
      </c>
      <c r="H954" s="6" t="s">
        <v>76</v>
      </c>
      <c r="I954" s="6" t="s">
        <v>228</v>
      </c>
      <c r="J954" s="6" t="s">
        <v>53</v>
      </c>
      <c r="K954" s="6" t="s">
        <v>53</v>
      </c>
      <c r="L954" s="6" t="s">
        <v>805</v>
      </c>
      <c r="M954" s="6" t="s">
        <v>311</v>
      </c>
      <c r="N954" s="6" t="s">
        <v>261</v>
      </c>
      <c r="O954" s="6" t="s">
        <v>62</v>
      </c>
      <c r="P954" s="6" t="s">
        <v>1339</v>
      </c>
      <c r="Q954" s="6" t="s">
        <v>65</v>
      </c>
      <c r="R954" s="6" t="s">
        <v>57</v>
      </c>
      <c r="S954" s="6" t="s">
        <v>1219</v>
      </c>
      <c r="T954" s="131">
        <v>6.056</v>
      </c>
      <c r="U954" s="6" t="s">
        <v>2180</v>
      </c>
      <c r="V954" s="134">
        <v>1.9E-2</v>
      </c>
      <c r="W954" s="132">
        <v>4.6149999999999997E-2</v>
      </c>
      <c r="X954" s="3" t="s">
        <v>620</v>
      </c>
      <c r="Y954" s="3" t="s">
        <v>62</v>
      </c>
      <c r="Z954" s="131">
        <v>37894.74</v>
      </c>
      <c r="AA954" s="129">
        <v>1</v>
      </c>
      <c r="AB954" s="157">
        <v>85</v>
      </c>
      <c r="AD954" s="131">
        <v>32.210999999999999</v>
      </c>
      <c r="AG954" s="6" t="s">
        <v>17</v>
      </c>
      <c r="AH954" s="132">
        <v>2.5999999999999998E-5</v>
      </c>
      <c r="AI954" s="132">
        <v>1.74232660757657E-3</v>
      </c>
      <c r="AJ954" s="132">
        <v>3.68988433370745E-4</v>
      </c>
    </row>
    <row r="955" spans="1:36" x14ac:dyDescent="0.2">
      <c r="A955" s="6">
        <v>559</v>
      </c>
      <c r="B955" s="6">
        <v>7206</v>
      </c>
      <c r="C955" s="6" t="s">
        <v>2181</v>
      </c>
      <c r="D955" s="6" t="s">
        <v>2182</v>
      </c>
      <c r="E955" s="3" t="s">
        <v>1477</v>
      </c>
      <c r="F955" s="6" t="s">
        <v>2183</v>
      </c>
      <c r="G955" s="6" t="s">
        <v>2184</v>
      </c>
      <c r="H955" s="6" t="s">
        <v>76</v>
      </c>
      <c r="I955" s="6" t="s">
        <v>228</v>
      </c>
      <c r="J955" s="6" t="s">
        <v>53</v>
      </c>
      <c r="K955" s="6" t="s">
        <v>53</v>
      </c>
      <c r="L955" s="6" t="s">
        <v>805</v>
      </c>
      <c r="M955" s="6" t="s">
        <v>311</v>
      </c>
      <c r="N955" s="6" t="s">
        <v>258</v>
      </c>
      <c r="O955" s="6" t="s">
        <v>62</v>
      </c>
      <c r="P955" s="6" t="s">
        <v>1533</v>
      </c>
      <c r="Q955" s="6" t="s">
        <v>65</v>
      </c>
      <c r="R955" s="6" t="s">
        <v>57</v>
      </c>
      <c r="S955" s="6" t="s">
        <v>1219</v>
      </c>
      <c r="T955" s="131">
        <v>0.58899999999999997</v>
      </c>
      <c r="U955" s="6" t="s">
        <v>2185</v>
      </c>
      <c r="V955" s="134">
        <v>2.7E-2</v>
      </c>
      <c r="W955" s="132">
        <v>4.5679999999999998E-2</v>
      </c>
      <c r="X955" s="3" t="s">
        <v>620</v>
      </c>
      <c r="Y955" s="3" t="s">
        <v>62</v>
      </c>
      <c r="Z955" s="131">
        <v>96643.67</v>
      </c>
      <c r="AA955" s="129">
        <v>1</v>
      </c>
      <c r="AB955" s="157">
        <v>99.04</v>
      </c>
      <c r="AD955" s="131">
        <v>95.715999999999994</v>
      </c>
      <c r="AG955" s="6" t="s">
        <v>17</v>
      </c>
      <c r="AH955" s="132">
        <v>1.5460000000000001E-3</v>
      </c>
      <c r="AI955" s="132">
        <v>5.1774481335894601E-3</v>
      </c>
      <c r="AJ955" s="132">
        <v>1.0964755215032199E-3</v>
      </c>
    </row>
    <row r="956" spans="1:36" x14ac:dyDescent="0.2">
      <c r="A956" s="6">
        <v>559</v>
      </c>
      <c r="B956" s="6">
        <v>7206</v>
      </c>
      <c r="C956" s="6" t="s">
        <v>2181</v>
      </c>
      <c r="D956" s="6" t="s">
        <v>2182</v>
      </c>
      <c r="E956" s="3" t="s">
        <v>1477</v>
      </c>
      <c r="F956" s="6" t="s">
        <v>2186</v>
      </c>
      <c r="G956" s="6" t="s">
        <v>2187</v>
      </c>
      <c r="H956" s="6" t="s">
        <v>76</v>
      </c>
      <c r="I956" s="6" t="s">
        <v>229</v>
      </c>
      <c r="J956" s="6" t="s">
        <v>53</v>
      </c>
      <c r="K956" s="6" t="s">
        <v>53</v>
      </c>
      <c r="L956" s="6" t="s">
        <v>805</v>
      </c>
      <c r="M956" s="6" t="s">
        <v>311</v>
      </c>
      <c r="N956" s="6" t="s">
        <v>258</v>
      </c>
      <c r="O956" s="6" t="s">
        <v>62</v>
      </c>
      <c r="P956" s="6" t="s">
        <v>1533</v>
      </c>
      <c r="Q956" s="6" t="s">
        <v>65</v>
      </c>
      <c r="R956" s="6" t="s">
        <v>57</v>
      </c>
      <c r="S956" s="6" t="s">
        <v>1219</v>
      </c>
      <c r="T956" s="131">
        <v>0.59099999999999997</v>
      </c>
      <c r="U956" s="6" t="s">
        <v>2185</v>
      </c>
      <c r="V956" s="134">
        <v>1.7999999999999999E-2</v>
      </c>
      <c r="W956" s="132">
        <v>2.9579999999999999E-2</v>
      </c>
      <c r="X956" s="3" t="s">
        <v>620</v>
      </c>
      <c r="Y956" s="3" t="s">
        <v>62</v>
      </c>
      <c r="Z956" s="131">
        <v>19799.48</v>
      </c>
      <c r="AA956" s="129">
        <v>1</v>
      </c>
      <c r="AB956" s="157">
        <v>116.91</v>
      </c>
      <c r="AD956" s="131">
        <v>23.148</v>
      </c>
      <c r="AG956" s="6" t="s">
        <v>17</v>
      </c>
      <c r="AH956" s="132">
        <v>6.0999999999999999E-5</v>
      </c>
      <c r="AI956" s="132">
        <v>1.2520946400747599E-3</v>
      </c>
      <c r="AJ956" s="132">
        <v>2.6516752809951498E-4</v>
      </c>
    </row>
    <row r="957" spans="1:36" x14ac:dyDescent="0.2">
      <c r="A957" s="6">
        <v>559</v>
      </c>
      <c r="B957" s="6">
        <v>7206</v>
      </c>
      <c r="C957" s="6" t="s">
        <v>2188</v>
      </c>
      <c r="D957" s="6" t="s">
        <v>2189</v>
      </c>
      <c r="E957" s="3" t="s">
        <v>767</v>
      </c>
      <c r="F957" s="6" t="s">
        <v>2190</v>
      </c>
      <c r="G957" s="6" t="s">
        <v>2191</v>
      </c>
      <c r="H957" s="6" t="s">
        <v>76</v>
      </c>
      <c r="I957" s="6" t="s">
        <v>230</v>
      </c>
      <c r="J957" s="6" t="s">
        <v>53</v>
      </c>
      <c r="K957" s="6" t="s">
        <v>315</v>
      </c>
      <c r="L957" s="6" t="s">
        <v>805</v>
      </c>
      <c r="M957" s="6" t="s">
        <v>311</v>
      </c>
      <c r="N957" s="6" t="s">
        <v>636</v>
      </c>
      <c r="O957" s="6" t="s">
        <v>62</v>
      </c>
      <c r="P957" s="6" t="s">
        <v>1965</v>
      </c>
      <c r="Q957" s="6" t="s">
        <v>70</v>
      </c>
      <c r="R957" s="6" t="s">
        <v>57</v>
      </c>
      <c r="S957" s="6" t="s">
        <v>1219</v>
      </c>
      <c r="T957" s="131">
        <v>2.456</v>
      </c>
      <c r="U957" s="6" t="s">
        <v>2192</v>
      </c>
      <c r="V957" s="134">
        <v>4.2999999999999997E-2</v>
      </c>
      <c r="W957" s="132">
        <v>7.0510000000000003E-2</v>
      </c>
      <c r="X957" s="3" t="s">
        <v>620</v>
      </c>
      <c r="Y957" s="3" t="s">
        <v>62</v>
      </c>
      <c r="Z957" s="131">
        <v>48591.62</v>
      </c>
      <c r="AA957" s="129">
        <v>1</v>
      </c>
      <c r="AB957" s="157">
        <v>91.8</v>
      </c>
      <c r="AD957" s="131">
        <v>44.606999999999999</v>
      </c>
      <c r="AG957" s="6" t="s">
        <v>17</v>
      </c>
      <c r="AH957" s="132">
        <v>4.5000000000000003E-5</v>
      </c>
      <c r="AI957" s="132">
        <v>2.4128802632172701E-3</v>
      </c>
      <c r="AJ957" s="132">
        <v>5.1099771097113398E-4</v>
      </c>
    </row>
    <row r="958" spans="1:36" x14ac:dyDescent="0.2">
      <c r="A958" s="6">
        <v>559</v>
      </c>
      <c r="B958" s="6">
        <v>7206</v>
      </c>
      <c r="C958" s="6" t="s">
        <v>2193</v>
      </c>
      <c r="D958" s="6" t="s">
        <v>2194</v>
      </c>
      <c r="E958" s="3" t="s">
        <v>1477</v>
      </c>
      <c r="F958" s="6" t="s">
        <v>2195</v>
      </c>
      <c r="G958" s="6" t="s">
        <v>2196</v>
      </c>
      <c r="H958" s="6" t="s">
        <v>76</v>
      </c>
      <c r="I958" s="6" t="s">
        <v>228</v>
      </c>
      <c r="J958" s="6" t="s">
        <v>53</v>
      </c>
      <c r="K958" s="6" t="s">
        <v>53</v>
      </c>
      <c r="L958" s="6" t="s">
        <v>805</v>
      </c>
      <c r="M958" s="6" t="s">
        <v>311</v>
      </c>
      <c r="N958" s="6" t="s">
        <v>263</v>
      </c>
      <c r="O958" s="6" t="s">
        <v>62</v>
      </c>
      <c r="P958" s="6" t="s">
        <v>1493</v>
      </c>
      <c r="Q958" s="6" t="s">
        <v>65</v>
      </c>
      <c r="R958" s="6" t="s">
        <v>57</v>
      </c>
      <c r="S958" s="6" t="s">
        <v>1219</v>
      </c>
      <c r="T958" s="131">
        <v>0.255</v>
      </c>
      <c r="U958" s="6" t="s">
        <v>2197</v>
      </c>
      <c r="V958" s="134">
        <v>3.3500000000000002E-2</v>
      </c>
      <c r="W958" s="132">
        <v>5.5300000000000002E-2</v>
      </c>
      <c r="X958" s="3" t="s">
        <v>620</v>
      </c>
      <c r="Y958" s="3" t="s">
        <v>62</v>
      </c>
      <c r="Z958" s="131">
        <v>56000</v>
      </c>
      <c r="AA958" s="129">
        <v>1</v>
      </c>
      <c r="AB958" s="157">
        <v>100.29</v>
      </c>
      <c r="AD958" s="131">
        <v>56.161999999999999</v>
      </c>
      <c r="AG958" s="6" t="s">
        <v>17</v>
      </c>
      <c r="AH958" s="132">
        <v>8.1499999999999997E-4</v>
      </c>
      <c r="AI958" s="132">
        <v>3.0379272524632701E-3</v>
      </c>
      <c r="AJ958" s="132">
        <v>6.4336962582455903E-4</v>
      </c>
    </row>
    <row r="959" spans="1:36" x14ac:dyDescent="0.2">
      <c r="A959" s="6">
        <v>559</v>
      </c>
      <c r="B959" s="6">
        <v>7206</v>
      </c>
      <c r="C959" s="6" t="s">
        <v>2198</v>
      </c>
      <c r="D959" s="6" t="s">
        <v>2199</v>
      </c>
      <c r="E959" s="3" t="s">
        <v>1477</v>
      </c>
      <c r="F959" s="6" t="s">
        <v>2200</v>
      </c>
      <c r="G959" s="6" t="s">
        <v>2201</v>
      </c>
      <c r="H959" s="6" t="s">
        <v>76</v>
      </c>
      <c r="I959" s="6" t="s">
        <v>230</v>
      </c>
      <c r="J959" s="6" t="s">
        <v>53</v>
      </c>
      <c r="K959" s="6" t="s">
        <v>53</v>
      </c>
      <c r="L959" s="6" t="s">
        <v>805</v>
      </c>
      <c r="M959" s="6" t="s">
        <v>311</v>
      </c>
      <c r="N959" s="6" t="s">
        <v>267</v>
      </c>
      <c r="O959" s="6" t="s">
        <v>62</v>
      </c>
      <c r="P959" s="6" t="s">
        <v>1965</v>
      </c>
      <c r="Q959" s="6" t="s">
        <v>70</v>
      </c>
      <c r="R959" s="6" t="s">
        <v>57</v>
      </c>
      <c r="S959" s="6" t="s">
        <v>1219</v>
      </c>
      <c r="T959" s="131">
        <v>2.2320000000000002</v>
      </c>
      <c r="U959" s="6" t="s">
        <v>2202</v>
      </c>
      <c r="V959" s="134">
        <v>5.4800000000000001E-2</v>
      </c>
      <c r="W959" s="132">
        <v>5.919E-2</v>
      </c>
      <c r="X959" s="3" t="s">
        <v>620</v>
      </c>
      <c r="Y959" s="3" t="s">
        <v>62</v>
      </c>
      <c r="Z959" s="131">
        <v>71013.429999999993</v>
      </c>
      <c r="AA959" s="129">
        <v>1</v>
      </c>
      <c r="AB959" s="157">
        <v>95.79</v>
      </c>
      <c r="AD959" s="131">
        <v>68.024000000000001</v>
      </c>
      <c r="AG959" s="6" t="s">
        <v>17</v>
      </c>
      <c r="AH959" s="132">
        <v>2.6400000000000002E-4</v>
      </c>
      <c r="AI959" s="132">
        <v>3.67953022456969E-3</v>
      </c>
      <c r="AJ959" s="132">
        <v>7.79247752516805E-4</v>
      </c>
    </row>
    <row r="960" spans="1:36" x14ac:dyDescent="0.2">
      <c r="A960" s="6">
        <v>559</v>
      </c>
      <c r="B960" s="6">
        <v>7206</v>
      </c>
      <c r="C960" s="6" t="s">
        <v>2203</v>
      </c>
      <c r="D960" s="6" t="s">
        <v>2204</v>
      </c>
      <c r="E960" s="3" t="s">
        <v>1477</v>
      </c>
      <c r="F960" s="6" t="s">
        <v>2205</v>
      </c>
      <c r="G960" s="6" t="s">
        <v>2206</v>
      </c>
      <c r="H960" s="6" t="s">
        <v>76</v>
      </c>
      <c r="I960" s="6" t="s">
        <v>230</v>
      </c>
      <c r="J960" s="6" t="s">
        <v>53</v>
      </c>
      <c r="K960" s="6" t="s">
        <v>53</v>
      </c>
      <c r="L960" s="6" t="s">
        <v>805</v>
      </c>
      <c r="M960" s="6" t="s">
        <v>311</v>
      </c>
      <c r="N960" s="6" t="s">
        <v>267</v>
      </c>
      <c r="O960" s="6" t="s">
        <v>62</v>
      </c>
      <c r="P960" s="6" t="s">
        <v>1521</v>
      </c>
      <c r="Q960" s="6" t="s">
        <v>70</v>
      </c>
      <c r="R960" s="6" t="s">
        <v>57</v>
      </c>
      <c r="S960" s="6" t="s">
        <v>1219</v>
      </c>
      <c r="T960" s="131">
        <v>2.4249999999999998</v>
      </c>
      <c r="U960" s="6" t="s">
        <v>2202</v>
      </c>
      <c r="V960" s="134">
        <v>4.6899999999999997E-2</v>
      </c>
      <c r="W960" s="132">
        <v>6.2420000000000003E-2</v>
      </c>
      <c r="X960" s="3" t="s">
        <v>620</v>
      </c>
      <c r="Y960" s="3" t="s">
        <v>62</v>
      </c>
      <c r="Z960" s="131">
        <v>77399.69</v>
      </c>
      <c r="AA960" s="129">
        <v>1</v>
      </c>
      <c r="AB960" s="157">
        <v>94.12</v>
      </c>
      <c r="AD960" s="131">
        <v>72.849000000000004</v>
      </c>
      <c r="AG960" s="6" t="s">
        <v>17</v>
      </c>
      <c r="AH960" s="132">
        <v>5.7000000000000003E-5</v>
      </c>
      <c r="AI960" s="132">
        <v>3.9405137864713096E-3</v>
      </c>
      <c r="AJ960" s="132">
        <v>8.3451862723273496E-4</v>
      </c>
    </row>
    <row r="961" spans="1:36" x14ac:dyDescent="0.2">
      <c r="A961" s="6">
        <v>559</v>
      </c>
      <c r="B961" s="6">
        <v>7206</v>
      </c>
      <c r="C961" s="6" t="s">
        <v>2207</v>
      </c>
      <c r="D961" s="6" t="s">
        <v>2208</v>
      </c>
      <c r="E961" s="3" t="s">
        <v>1477</v>
      </c>
      <c r="F961" s="6" t="s">
        <v>2209</v>
      </c>
      <c r="G961" s="6" t="s">
        <v>2210</v>
      </c>
      <c r="H961" s="6" t="s">
        <v>76</v>
      </c>
      <c r="I961" s="6" t="s">
        <v>228</v>
      </c>
      <c r="J961" s="6" t="s">
        <v>53</v>
      </c>
      <c r="K961" s="6" t="s">
        <v>53</v>
      </c>
      <c r="L961" s="6" t="s">
        <v>805</v>
      </c>
      <c r="M961" s="6" t="s">
        <v>311</v>
      </c>
      <c r="N961" s="6" t="s">
        <v>638</v>
      </c>
      <c r="O961" s="6" t="s">
        <v>62</v>
      </c>
      <c r="P961" s="6" t="s">
        <v>1213</v>
      </c>
      <c r="Q961" s="6" t="s">
        <v>65</v>
      </c>
      <c r="R961" s="6" t="s">
        <v>57</v>
      </c>
      <c r="S961" s="6" t="s">
        <v>1219</v>
      </c>
      <c r="T961" s="131">
        <v>0.41599999999999998</v>
      </c>
      <c r="U961" s="6" t="s">
        <v>1685</v>
      </c>
      <c r="V961" s="134">
        <v>5.45E-2</v>
      </c>
      <c r="W961" s="132">
        <v>4.4229999999999998E-2</v>
      </c>
      <c r="X961" s="3" t="s">
        <v>620</v>
      </c>
      <c r="Y961" s="3" t="s">
        <v>62</v>
      </c>
      <c r="Z961" s="131">
        <v>43667.34</v>
      </c>
      <c r="AA961" s="129">
        <v>1</v>
      </c>
      <c r="AB961" s="157">
        <v>100.89</v>
      </c>
      <c r="AD961" s="131">
        <v>44.055999999999997</v>
      </c>
      <c r="AG961" s="6" t="s">
        <v>17</v>
      </c>
      <c r="AH961" s="132">
        <v>2.8299999999999999E-4</v>
      </c>
      <c r="AI961" s="132">
        <v>2.38306874756801E-3</v>
      </c>
      <c r="AJ961" s="132">
        <v>5.0468425377660404E-4</v>
      </c>
    </row>
    <row r="962" spans="1:36" x14ac:dyDescent="0.2">
      <c r="A962" s="6">
        <v>559</v>
      </c>
      <c r="B962" s="6">
        <v>7206</v>
      </c>
      <c r="C962" s="6" t="s">
        <v>2211</v>
      </c>
      <c r="D962" s="6" t="s">
        <v>2212</v>
      </c>
      <c r="E962" s="3" t="s">
        <v>430</v>
      </c>
      <c r="F962" s="6" t="s">
        <v>2213</v>
      </c>
      <c r="G962" s="6" t="s">
        <v>2214</v>
      </c>
      <c r="H962" s="6" t="s">
        <v>76</v>
      </c>
      <c r="I962" s="6" t="s">
        <v>230</v>
      </c>
      <c r="J962" s="6" t="s">
        <v>61</v>
      </c>
      <c r="K962" s="6" t="s">
        <v>315</v>
      </c>
      <c r="L962" s="6" t="s">
        <v>805</v>
      </c>
      <c r="M962" s="6" t="s">
        <v>102</v>
      </c>
      <c r="N962" s="6" t="s">
        <v>2215</v>
      </c>
      <c r="O962" s="6" t="s">
        <v>62</v>
      </c>
      <c r="P962" s="6" t="s">
        <v>2216</v>
      </c>
      <c r="Q962" s="6" t="s">
        <v>84</v>
      </c>
      <c r="R962" s="6" t="s">
        <v>57</v>
      </c>
      <c r="S962" s="6" t="s">
        <v>1217</v>
      </c>
      <c r="T962" s="131">
        <v>2.9129999999999998</v>
      </c>
      <c r="U962" s="6" t="s">
        <v>2217</v>
      </c>
      <c r="V962" s="134">
        <v>8.1250000000000003E-2</v>
      </c>
      <c r="W962" s="132">
        <v>7.3950000000000002E-2</v>
      </c>
      <c r="X962" s="3" t="s">
        <v>620</v>
      </c>
      <c r="Y962" s="3" t="s">
        <v>62</v>
      </c>
      <c r="Z962" s="131">
        <v>15000</v>
      </c>
      <c r="AA962" s="129">
        <v>3.3719999999999999</v>
      </c>
      <c r="AB962" s="157">
        <v>103.986</v>
      </c>
      <c r="AD962" s="131">
        <v>52.595999999999997</v>
      </c>
      <c r="AG962" s="6" t="s">
        <v>17</v>
      </c>
      <c r="AH962" s="132">
        <v>2.0000000000000002E-5</v>
      </c>
      <c r="AI962" s="132">
        <v>2.8450125888190799E-3</v>
      </c>
      <c r="AJ962" s="132">
        <v>6.0251432395246897E-4</v>
      </c>
    </row>
    <row r="963" spans="1:36" x14ac:dyDescent="0.2">
      <c r="A963" s="6">
        <v>559</v>
      </c>
      <c r="B963" s="6">
        <v>7206</v>
      </c>
      <c r="C963" s="6" t="s">
        <v>2218</v>
      </c>
      <c r="D963" s="6" t="s">
        <v>2219</v>
      </c>
      <c r="E963" s="3" t="s">
        <v>430</v>
      </c>
      <c r="F963" s="6" t="s">
        <v>2220</v>
      </c>
      <c r="G963" s="6" t="s">
        <v>2221</v>
      </c>
      <c r="H963" s="6" t="s">
        <v>76</v>
      </c>
      <c r="I963" s="6" t="s">
        <v>230</v>
      </c>
      <c r="J963" s="6" t="s">
        <v>61</v>
      </c>
      <c r="K963" s="6" t="s">
        <v>314</v>
      </c>
      <c r="L963" s="6" t="s">
        <v>805</v>
      </c>
      <c r="M963" s="6" t="s">
        <v>102</v>
      </c>
      <c r="N963" s="6" t="s">
        <v>2222</v>
      </c>
      <c r="O963" s="6" t="s">
        <v>62</v>
      </c>
      <c r="P963" s="6" t="s">
        <v>2223</v>
      </c>
      <c r="Q963" s="6" t="s">
        <v>96</v>
      </c>
      <c r="R963" s="6" t="s">
        <v>57</v>
      </c>
      <c r="S963" s="6" t="s">
        <v>1217</v>
      </c>
      <c r="T963" s="131">
        <v>2.6230000000000002</v>
      </c>
      <c r="U963" s="6" t="s">
        <v>2224</v>
      </c>
      <c r="V963" s="134">
        <v>7.9500000000000001E-2</v>
      </c>
      <c r="W963" s="132">
        <v>5.6099999999999997E-2</v>
      </c>
      <c r="X963" s="3" t="s">
        <v>620</v>
      </c>
      <c r="Y963" s="3" t="s">
        <v>62</v>
      </c>
      <c r="Z963" s="131">
        <v>8000</v>
      </c>
      <c r="AA963" s="129">
        <v>3.3719999999999999</v>
      </c>
      <c r="AB963" s="157">
        <v>106.99299999999999</v>
      </c>
      <c r="AD963" s="131">
        <v>28.863</v>
      </c>
      <c r="AG963" s="6" t="s">
        <v>17</v>
      </c>
      <c r="AH963" s="132">
        <v>1.2E-5</v>
      </c>
      <c r="AI963" s="132">
        <v>1.56122795490562E-3</v>
      </c>
      <c r="AJ963" s="132">
        <v>3.3063551615991702E-4</v>
      </c>
    </row>
    <row r="964" spans="1:36" x14ac:dyDescent="0.2">
      <c r="A964" s="6">
        <v>559</v>
      </c>
      <c r="B964" s="6">
        <v>7206</v>
      </c>
      <c r="C964" s="6" t="s">
        <v>2218</v>
      </c>
      <c r="D964" s="6" t="s">
        <v>2219</v>
      </c>
      <c r="E964" s="3" t="s">
        <v>430</v>
      </c>
      <c r="F964" s="6" t="s">
        <v>2225</v>
      </c>
      <c r="G964" s="6" t="s">
        <v>2226</v>
      </c>
      <c r="H964" s="6" t="s">
        <v>76</v>
      </c>
      <c r="I964" s="6" t="s">
        <v>230</v>
      </c>
      <c r="J964" s="6" t="s">
        <v>61</v>
      </c>
      <c r="K964" s="6" t="s">
        <v>314</v>
      </c>
      <c r="L964" s="6" t="s">
        <v>805</v>
      </c>
      <c r="M964" s="6" t="s">
        <v>102</v>
      </c>
      <c r="N964" s="6" t="s">
        <v>2222</v>
      </c>
      <c r="O964" s="6" t="s">
        <v>62</v>
      </c>
      <c r="P964" s="6" t="s">
        <v>2223</v>
      </c>
      <c r="Q964" s="6" t="s">
        <v>96</v>
      </c>
      <c r="R964" s="6" t="s">
        <v>57</v>
      </c>
      <c r="S964" s="6" t="s">
        <v>1217</v>
      </c>
      <c r="T964" s="131">
        <v>4.649</v>
      </c>
      <c r="U964" s="6" t="s">
        <v>2227</v>
      </c>
      <c r="V964" s="134">
        <v>6.6500000000000004E-2</v>
      </c>
      <c r="W964" s="132">
        <v>6.1460000000000001E-2</v>
      </c>
      <c r="X964" s="3" t="s">
        <v>620</v>
      </c>
      <c r="Y964" s="3" t="s">
        <v>62</v>
      </c>
      <c r="Z964" s="131">
        <v>5000</v>
      </c>
      <c r="AA964" s="129">
        <v>3.3719999999999999</v>
      </c>
      <c r="AB964" s="157">
        <v>112.43300000000001</v>
      </c>
      <c r="AD964" s="131">
        <v>18.956</v>
      </c>
      <c r="AG964" s="6" t="s">
        <v>17</v>
      </c>
      <c r="AH964" s="132">
        <v>6.9999999999999999E-6</v>
      </c>
      <c r="AI964" s="132">
        <v>1.0253757679463799E-3</v>
      </c>
      <c r="AJ964" s="132">
        <v>2.1715319997156699E-4</v>
      </c>
    </row>
    <row r="965" spans="1:36" x14ac:dyDescent="0.2">
      <c r="A965" s="6">
        <v>559</v>
      </c>
      <c r="B965" s="6">
        <v>7206</v>
      </c>
      <c r="C965" s="6" t="s">
        <v>2228</v>
      </c>
      <c r="D965" s="6" t="s">
        <v>2229</v>
      </c>
      <c r="E965" s="3" t="s">
        <v>430</v>
      </c>
      <c r="F965" s="6" t="s">
        <v>2230</v>
      </c>
      <c r="G965" s="6" t="s">
        <v>2231</v>
      </c>
      <c r="H965" s="6" t="s">
        <v>76</v>
      </c>
      <c r="I965" s="6" t="s">
        <v>230</v>
      </c>
      <c r="J965" s="6" t="s">
        <v>61</v>
      </c>
      <c r="K965" s="6" t="s">
        <v>313</v>
      </c>
      <c r="L965" s="6" t="s">
        <v>805</v>
      </c>
      <c r="M965" s="6" t="s">
        <v>476</v>
      </c>
      <c r="N965" s="6" t="s">
        <v>865</v>
      </c>
      <c r="O965" s="6" t="s">
        <v>62</v>
      </c>
      <c r="P965" s="6" t="s">
        <v>1778</v>
      </c>
      <c r="Q965" s="6" t="s">
        <v>96</v>
      </c>
      <c r="R965" s="6" t="s">
        <v>57</v>
      </c>
      <c r="S965" s="6" t="s">
        <v>1217</v>
      </c>
      <c r="T965" s="131">
        <v>5.7140000000000004</v>
      </c>
      <c r="U965" s="6" t="s">
        <v>2232</v>
      </c>
      <c r="V965" s="134">
        <v>7.3779999999999998E-2</v>
      </c>
      <c r="W965" s="132">
        <v>5.4050000000000001E-2</v>
      </c>
      <c r="X965" s="3" t="s">
        <v>620</v>
      </c>
      <c r="Y965" s="3" t="s">
        <v>62</v>
      </c>
      <c r="Z965" s="131">
        <v>10000</v>
      </c>
      <c r="AA965" s="129">
        <v>3.3719999999999999</v>
      </c>
      <c r="AB965" s="157">
        <v>111.904</v>
      </c>
      <c r="AD965" s="131">
        <v>37.734000000000002</v>
      </c>
      <c r="AG965" s="6" t="s">
        <v>17</v>
      </c>
      <c r="AH965" s="132">
        <v>1.7E-5</v>
      </c>
      <c r="AI965" s="132">
        <v>2.0410981758819499E-3</v>
      </c>
      <c r="AJ965" s="132">
        <v>4.3226201964631598E-4</v>
      </c>
    </row>
    <row r="966" spans="1:36" x14ac:dyDescent="0.2">
      <c r="A966" s="6">
        <v>559</v>
      </c>
      <c r="B966" s="6">
        <v>7206</v>
      </c>
      <c r="C966" s="6" t="s">
        <v>2233</v>
      </c>
      <c r="D966" s="6" t="s">
        <v>2234</v>
      </c>
      <c r="E966" s="3" t="s">
        <v>430</v>
      </c>
      <c r="F966" s="6" t="s">
        <v>2235</v>
      </c>
      <c r="G966" s="6" t="s">
        <v>2236</v>
      </c>
      <c r="H966" s="6" t="s">
        <v>76</v>
      </c>
      <c r="I966" s="6" t="s">
        <v>230</v>
      </c>
      <c r="J966" s="6" t="s">
        <v>61</v>
      </c>
      <c r="K966" s="6" t="s">
        <v>314</v>
      </c>
      <c r="L966" s="6" t="s">
        <v>805</v>
      </c>
      <c r="M966" s="6" t="s">
        <v>102</v>
      </c>
      <c r="N966" s="6" t="s">
        <v>903</v>
      </c>
      <c r="O966" s="6" t="s">
        <v>62</v>
      </c>
      <c r="P966" s="6" t="s">
        <v>1577</v>
      </c>
      <c r="Q966" s="6" t="s">
        <v>96</v>
      </c>
      <c r="R966" s="6" t="s">
        <v>57</v>
      </c>
      <c r="S966" s="6" t="s">
        <v>1217</v>
      </c>
      <c r="T966" s="131">
        <v>2.641</v>
      </c>
      <c r="U966" s="6" t="s">
        <v>2237</v>
      </c>
      <c r="V966" s="134">
        <v>4.5999999999999999E-2</v>
      </c>
      <c r="W966" s="132">
        <v>3.9879999999999999E-2</v>
      </c>
      <c r="X966" s="3" t="s">
        <v>620</v>
      </c>
      <c r="Y966" s="3" t="s">
        <v>62</v>
      </c>
      <c r="Z966" s="131">
        <v>5000</v>
      </c>
      <c r="AA966" s="129">
        <v>3.3719999999999999</v>
      </c>
      <c r="AB966" s="157">
        <v>102.379</v>
      </c>
      <c r="AD966" s="131">
        <v>17.260999999999999</v>
      </c>
      <c r="AG966" s="6" t="s">
        <v>17</v>
      </c>
      <c r="AH966" s="132">
        <v>3.0000000000000001E-6</v>
      </c>
      <c r="AI966" s="132">
        <v>9.3368250942891899E-4</v>
      </c>
      <c r="AJ966" s="132">
        <v>1.97734480390584E-4</v>
      </c>
    </row>
    <row r="967" spans="1:36" x14ac:dyDescent="0.2">
      <c r="A967" s="6">
        <v>559</v>
      </c>
      <c r="B967" s="6">
        <v>7206</v>
      </c>
      <c r="C967" s="6" t="s">
        <v>2238</v>
      </c>
      <c r="D967" s="6" t="s">
        <v>2239</v>
      </c>
      <c r="E967" s="3" t="s">
        <v>430</v>
      </c>
      <c r="F967" s="6" t="s">
        <v>2240</v>
      </c>
      <c r="G967" s="6" t="s">
        <v>2241</v>
      </c>
      <c r="H967" s="6" t="s">
        <v>76</v>
      </c>
      <c r="I967" s="6" t="s">
        <v>230</v>
      </c>
      <c r="J967" s="6" t="s">
        <v>61</v>
      </c>
      <c r="K967" s="6" t="s">
        <v>314</v>
      </c>
      <c r="L967" s="6" t="s">
        <v>805</v>
      </c>
      <c r="M967" s="6" t="s">
        <v>102</v>
      </c>
      <c r="N967" s="6" t="s">
        <v>882</v>
      </c>
      <c r="O967" s="6" t="s">
        <v>62</v>
      </c>
      <c r="P967" s="6" t="s">
        <v>1521</v>
      </c>
      <c r="Q967" s="6" t="s">
        <v>84</v>
      </c>
      <c r="R967" s="6" t="s">
        <v>57</v>
      </c>
      <c r="S967" s="6" t="s">
        <v>1217</v>
      </c>
      <c r="T967" s="131">
        <v>2.2320000000000002</v>
      </c>
      <c r="U967" s="6" t="s">
        <v>2242</v>
      </c>
      <c r="V967" s="134">
        <v>4.5499999999999999E-2</v>
      </c>
      <c r="W967" s="132">
        <v>4.027E-2</v>
      </c>
      <c r="X967" s="3" t="s">
        <v>620</v>
      </c>
      <c r="Y967" s="3" t="s">
        <v>62</v>
      </c>
      <c r="Z967" s="131">
        <v>10000</v>
      </c>
      <c r="AA967" s="129">
        <v>3.3719999999999999</v>
      </c>
      <c r="AB967" s="157">
        <v>101.29600000000001</v>
      </c>
      <c r="AD967" s="131">
        <v>34.156999999999996</v>
      </c>
      <c r="AG967" s="6" t="s">
        <v>17</v>
      </c>
      <c r="AH967" s="132">
        <v>5.0000000000000004E-6</v>
      </c>
      <c r="AI967" s="132">
        <v>1.8476154008228501E-3</v>
      </c>
      <c r="AJ967" s="132">
        <v>3.9128640362643498E-4</v>
      </c>
    </row>
    <row r="968" spans="1:36" x14ac:dyDescent="0.2">
      <c r="A968" s="6">
        <v>559</v>
      </c>
      <c r="B968" s="6">
        <v>7206</v>
      </c>
      <c r="C968" s="6" t="s">
        <v>2243</v>
      </c>
      <c r="D968" s="6" t="s">
        <v>2244</v>
      </c>
      <c r="E968" s="3" t="s">
        <v>430</v>
      </c>
      <c r="F968" s="6" t="s">
        <v>2245</v>
      </c>
      <c r="G968" s="6" t="s">
        <v>2246</v>
      </c>
      <c r="H968" s="6" t="s">
        <v>76</v>
      </c>
      <c r="I968" s="6" t="s">
        <v>230</v>
      </c>
      <c r="J968" s="6" t="s">
        <v>61</v>
      </c>
      <c r="K968" s="6" t="s">
        <v>314</v>
      </c>
      <c r="L968" s="6" t="s">
        <v>805</v>
      </c>
      <c r="M968" s="6" t="s">
        <v>102</v>
      </c>
      <c r="N968" s="6" t="s">
        <v>1141</v>
      </c>
      <c r="O968" s="6" t="s">
        <v>62</v>
      </c>
      <c r="P968" s="6" t="s">
        <v>2223</v>
      </c>
      <c r="Q968" s="6" t="s">
        <v>96</v>
      </c>
      <c r="R968" s="6" t="s">
        <v>57</v>
      </c>
      <c r="S968" s="6" t="s">
        <v>1217</v>
      </c>
      <c r="T968" s="131">
        <v>3.2919999999999998</v>
      </c>
      <c r="U968" s="6" t="s">
        <v>2038</v>
      </c>
      <c r="V968" s="134">
        <v>6.9000000000000006E-2</v>
      </c>
      <c r="W968" s="132">
        <v>5.6759999999999998E-2</v>
      </c>
      <c r="X968" s="3" t="s">
        <v>620</v>
      </c>
      <c r="Y968" s="3" t="s">
        <v>62</v>
      </c>
      <c r="Z968" s="131">
        <v>20000</v>
      </c>
      <c r="AA968" s="129">
        <v>3.3719999999999999</v>
      </c>
      <c r="AB968" s="157">
        <v>105.711</v>
      </c>
      <c r="AD968" s="131">
        <v>71.292000000000002</v>
      </c>
      <c r="AG968" s="6" t="s">
        <v>17</v>
      </c>
      <c r="AH968" s="132">
        <v>2.0000000000000002E-5</v>
      </c>
      <c r="AI968" s="132">
        <v>3.8563034265740401E-3</v>
      </c>
      <c r="AJ968" s="132">
        <v>8.1668462949834898E-4</v>
      </c>
    </row>
    <row r="969" spans="1:36" x14ac:dyDescent="0.2">
      <c r="A969" s="6">
        <v>559</v>
      </c>
      <c r="B969" s="6">
        <v>7206</v>
      </c>
      <c r="C969" s="6" t="s">
        <v>2247</v>
      </c>
      <c r="D969" s="6" t="s">
        <v>2248</v>
      </c>
      <c r="E969" s="3" t="s">
        <v>430</v>
      </c>
      <c r="F969" s="6" t="s">
        <v>2249</v>
      </c>
      <c r="G969" s="6" t="s">
        <v>2250</v>
      </c>
      <c r="H969" s="6" t="s">
        <v>76</v>
      </c>
      <c r="I969" s="6" t="s">
        <v>230</v>
      </c>
      <c r="J969" s="6" t="s">
        <v>61</v>
      </c>
      <c r="K969" s="6" t="s">
        <v>314</v>
      </c>
      <c r="L969" s="6" t="s">
        <v>805</v>
      </c>
      <c r="M969" s="6" t="s">
        <v>102</v>
      </c>
      <c r="N969" s="6" t="s">
        <v>2251</v>
      </c>
      <c r="O969" s="6" t="s">
        <v>62</v>
      </c>
      <c r="P969" s="6" t="s">
        <v>2223</v>
      </c>
      <c r="Q969" s="6" t="s">
        <v>96</v>
      </c>
      <c r="R969" s="6" t="s">
        <v>57</v>
      </c>
      <c r="S969" s="6" t="s">
        <v>1217</v>
      </c>
      <c r="T969" s="131">
        <v>6.7709999999999999</v>
      </c>
      <c r="U969" s="6" t="s">
        <v>2252</v>
      </c>
      <c r="V969" s="134">
        <v>5.8749999999999997E-2</v>
      </c>
      <c r="W969" s="132">
        <v>5.4800000000000001E-2</v>
      </c>
      <c r="X969" s="3" t="s">
        <v>620</v>
      </c>
      <c r="Y969" s="3" t="s">
        <v>62</v>
      </c>
      <c r="Z969" s="131">
        <v>20000</v>
      </c>
      <c r="AA969" s="129">
        <v>3.3719999999999999</v>
      </c>
      <c r="AB969" s="157">
        <v>104.32899999999999</v>
      </c>
      <c r="AD969" s="131">
        <v>70.358999999999995</v>
      </c>
      <c r="AG969" s="6" t="s">
        <v>17</v>
      </c>
      <c r="AH969" s="132">
        <v>4.0000000000000003E-5</v>
      </c>
      <c r="AI969" s="132">
        <v>3.80585701088693E-3</v>
      </c>
      <c r="AJ969" s="132">
        <v>8.0600113088643004E-4</v>
      </c>
    </row>
    <row r="970" spans="1:36" x14ac:dyDescent="0.2">
      <c r="A970" s="6">
        <v>559</v>
      </c>
      <c r="B970" s="6">
        <v>7206</v>
      </c>
      <c r="C970" s="6" t="s">
        <v>2396</v>
      </c>
      <c r="D970" s="6" t="s">
        <v>2397</v>
      </c>
      <c r="E970" s="3" t="s">
        <v>430</v>
      </c>
      <c r="F970" s="6" t="s">
        <v>2398</v>
      </c>
      <c r="G970" s="6" t="s">
        <v>2399</v>
      </c>
      <c r="H970" s="6" t="s">
        <v>76</v>
      </c>
      <c r="I970" s="6" t="s">
        <v>230</v>
      </c>
      <c r="J970" s="6" t="s">
        <v>61</v>
      </c>
      <c r="K970" s="6" t="s">
        <v>196</v>
      </c>
      <c r="L970" s="6" t="s">
        <v>805</v>
      </c>
      <c r="M970" s="6" t="s">
        <v>476</v>
      </c>
      <c r="N970" s="6" t="s">
        <v>915</v>
      </c>
      <c r="O970" s="6" t="s">
        <v>62</v>
      </c>
      <c r="P970" s="6" t="s">
        <v>2400</v>
      </c>
      <c r="Q970" s="6" t="s">
        <v>84</v>
      </c>
      <c r="R970" s="6" t="s">
        <v>57</v>
      </c>
      <c r="S970" s="6" t="s">
        <v>1215</v>
      </c>
      <c r="T970" s="131">
        <v>2.097</v>
      </c>
      <c r="U970" s="6" t="s">
        <v>2401</v>
      </c>
      <c r="V970" s="134">
        <v>2.6249999999999999E-2</v>
      </c>
      <c r="W970" s="132">
        <v>7.1129999999999999E-2</v>
      </c>
      <c r="X970" s="3" t="s">
        <v>620</v>
      </c>
      <c r="Y970" s="3" t="s">
        <v>62</v>
      </c>
      <c r="Z970" s="131">
        <v>5000</v>
      </c>
      <c r="AA970" s="129">
        <v>3.9552</v>
      </c>
      <c r="AB970" s="157">
        <v>93.527000000000001</v>
      </c>
      <c r="AD970" s="131">
        <v>18.495999999999999</v>
      </c>
      <c r="AG970" s="6" t="s">
        <v>17</v>
      </c>
      <c r="AH970" s="132">
        <v>2.0999999999999999E-5</v>
      </c>
      <c r="AI970" s="132">
        <v>1.00047551194385E-3</v>
      </c>
      <c r="AJ970" s="132">
        <v>2.1187984512928399E-4</v>
      </c>
    </row>
    <row r="971" spans="1:36" x14ac:dyDescent="0.2">
      <c r="A971" s="6">
        <v>559</v>
      </c>
      <c r="B971" s="6">
        <v>7206</v>
      </c>
      <c r="C971" s="6" t="s">
        <v>2402</v>
      </c>
      <c r="D971" s="6" t="s">
        <v>2403</v>
      </c>
      <c r="E971" s="3" t="s">
        <v>430</v>
      </c>
      <c r="F971" s="6" t="s">
        <v>2404</v>
      </c>
      <c r="G971" s="6" t="s">
        <v>2405</v>
      </c>
      <c r="H971" s="6" t="s">
        <v>76</v>
      </c>
      <c r="I971" s="6" t="s">
        <v>230</v>
      </c>
      <c r="J971" s="6" t="s">
        <v>61</v>
      </c>
      <c r="K971" s="6" t="s">
        <v>314</v>
      </c>
      <c r="L971" s="6" t="s">
        <v>805</v>
      </c>
      <c r="M971" s="6" t="s">
        <v>102</v>
      </c>
      <c r="N971" s="6" t="s">
        <v>202</v>
      </c>
      <c r="O971" s="6" t="s">
        <v>62</v>
      </c>
      <c r="P971" s="6" t="s">
        <v>1778</v>
      </c>
      <c r="Q971" s="6" t="s">
        <v>96</v>
      </c>
      <c r="R971" s="6" t="s">
        <v>57</v>
      </c>
      <c r="S971" s="6" t="s">
        <v>1217</v>
      </c>
      <c r="T971" s="131">
        <v>5.21</v>
      </c>
      <c r="U971" s="6" t="s">
        <v>2406</v>
      </c>
      <c r="V971" s="134">
        <v>2.4500000000000001E-2</v>
      </c>
      <c r="W971" s="132">
        <v>4.6370000000000001E-2</v>
      </c>
      <c r="X971" s="3" t="s">
        <v>620</v>
      </c>
      <c r="Y971" s="3" t="s">
        <v>62</v>
      </c>
      <c r="Z971" s="131">
        <v>2000</v>
      </c>
      <c r="AA971" s="129">
        <v>3.3719999999999999</v>
      </c>
      <c r="AB971" s="157">
        <v>90.284000000000006</v>
      </c>
      <c r="AD971" s="131">
        <v>6.0890000000000004</v>
      </c>
      <c r="AG971" s="6" t="s">
        <v>17</v>
      </c>
      <c r="AH971" s="132">
        <v>9.9999999999999995E-7</v>
      </c>
      <c r="AI971" s="132">
        <v>3.2935019479354898E-4</v>
      </c>
      <c r="AJ971" s="132">
        <v>6.9749501545094395E-5</v>
      </c>
    </row>
    <row r="972" spans="1:36" x14ac:dyDescent="0.2">
      <c r="A972" s="6">
        <v>559</v>
      </c>
      <c r="B972" s="6">
        <v>7206</v>
      </c>
      <c r="C972" s="6" t="s">
        <v>1220</v>
      </c>
      <c r="D972" s="6" t="s">
        <v>1483</v>
      </c>
      <c r="E972" s="3" t="s">
        <v>1477</v>
      </c>
      <c r="F972" s="6" t="s">
        <v>2407</v>
      </c>
      <c r="G972" s="6" t="s">
        <v>2408</v>
      </c>
      <c r="H972" s="6" t="s">
        <v>76</v>
      </c>
      <c r="I972" s="6" t="s">
        <v>230</v>
      </c>
      <c r="J972" s="6" t="s">
        <v>61</v>
      </c>
      <c r="K972" s="6" t="s">
        <v>53</v>
      </c>
      <c r="L972" s="6" t="s">
        <v>805</v>
      </c>
      <c r="M972" s="6" t="s">
        <v>102</v>
      </c>
      <c r="N972" s="6" t="s">
        <v>195</v>
      </c>
      <c r="O972" s="6" t="s">
        <v>62</v>
      </c>
      <c r="P972" s="6" t="s">
        <v>1515</v>
      </c>
      <c r="Q972" s="6" t="s">
        <v>96</v>
      </c>
      <c r="R972" s="6" t="s">
        <v>57</v>
      </c>
      <c r="S972" s="6" t="s">
        <v>1217</v>
      </c>
      <c r="T972" s="131">
        <v>1.8759999999999999</v>
      </c>
      <c r="U972" s="6" t="s">
        <v>2409</v>
      </c>
      <c r="V972" s="134">
        <v>5.1249999999999997E-2</v>
      </c>
      <c r="W972" s="132">
        <v>4.6589999999999999E-2</v>
      </c>
      <c r="X972" s="3" t="s">
        <v>620</v>
      </c>
      <c r="Y972" s="3" t="s">
        <v>62</v>
      </c>
      <c r="Z972" s="131">
        <v>30000</v>
      </c>
      <c r="AA972" s="129">
        <v>3.3719999999999999</v>
      </c>
      <c r="AB972" s="157">
        <v>102.059</v>
      </c>
      <c r="AD972" s="131">
        <v>103.24299999999999</v>
      </c>
      <c r="AG972" s="6" t="s">
        <v>17</v>
      </c>
      <c r="AH972" s="132">
        <v>6.0000000000000002E-5</v>
      </c>
      <c r="AI972" s="132">
        <v>5.5846150127006298E-3</v>
      </c>
      <c r="AJ972" s="132">
        <v>1.18270497365666E-3</v>
      </c>
    </row>
    <row r="973" spans="1:36" x14ac:dyDescent="0.2">
      <c r="A973" s="6">
        <v>559</v>
      </c>
      <c r="B973" s="6">
        <v>7206</v>
      </c>
      <c r="C973" s="6" t="s">
        <v>2253</v>
      </c>
      <c r="D973" s="6" t="s">
        <v>2254</v>
      </c>
      <c r="E973" s="3" t="s">
        <v>430</v>
      </c>
      <c r="F973" s="6" t="s">
        <v>2255</v>
      </c>
      <c r="G973" s="6" t="s">
        <v>2256</v>
      </c>
      <c r="H973" s="6" t="s">
        <v>76</v>
      </c>
      <c r="I973" s="6" t="s">
        <v>230</v>
      </c>
      <c r="J973" s="6" t="s">
        <v>61</v>
      </c>
      <c r="K973" s="6" t="s">
        <v>153</v>
      </c>
      <c r="L973" s="6" t="s">
        <v>805</v>
      </c>
      <c r="M973" s="6" t="s">
        <v>102</v>
      </c>
      <c r="N973" s="6" t="s">
        <v>894</v>
      </c>
      <c r="O973" s="6" t="s">
        <v>62</v>
      </c>
      <c r="P973" s="6" t="s">
        <v>1778</v>
      </c>
      <c r="Q973" s="6" t="s">
        <v>96</v>
      </c>
      <c r="R973" s="6" t="s">
        <v>57</v>
      </c>
      <c r="S973" s="6" t="s">
        <v>1217</v>
      </c>
      <c r="T973" s="131">
        <v>3.2370000000000001</v>
      </c>
      <c r="U973" s="6" t="s">
        <v>2257</v>
      </c>
      <c r="V973" s="134">
        <v>4.3749999999999997E-2</v>
      </c>
      <c r="W973" s="132">
        <v>4.7140000000000001E-2</v>
      </c>
      <c r="X973" s="3" t="s">
        <v>620</v>
      </c>
      <c r="Y973" s="3" t="s">
        <v>62</v>
      </c>
      <c r="Z973" s="131">
        <v>15000</v>
      </c>
      <c r="AA973" s="129">
        <v>3.3719999999999999</v>
      </c>
      <c r="AB973" s="157">
        <v>98.981999999999999</v>
      </c>
      <c r="AD973" s="131">
        <v>50.064999999999998</v>
      </c>
      <c r="AG973" s="6" t="s">
        <v>17</v>
      </c>
      <c r="AH973" s="132">
        <v>3.9999999999999998E-6</v>
      </c>
      <c r="AI973" s="132">
        <v>2.7081208602700701E-3</v>
      </c>
      <c r="AJ973" s="132">
        <v>5.7352351118575696E-4</v>
      </c>
    </row>
    <row r="974" spans="1:36" x14ac:dyDescent="0.2">
      <c r="A974" s="6">
        <v>559</v>
      </c>
      <c r="B974" s="6">
        <v>7206</v>
      </c>
      <c r="C974" s="6" t="s">
        <v>2410</v>
      </c>
      <c r="D974" s="6" t="s">
        <v>2411</v>
      </c>
      <c r="E974" s="3" t="s">
        <v>430</v>
      </c>
      <c r="F974" s="6" t="s">
        <v>2412</v>
      </c>
      <c r="G974" s="6" t="s">
        <v>2413</v>
      </c>
      <c r="H974" s="6" t="s">
        <v>76</v>
      </c>
      <c r="I974" s="6" t="s">
        <v>230</v>
      </c>
      <c r="J974" s="6" t="s">
        <v>61</v>
      </c>
      <c r="K974" s="6" t="s">
        <v>198</v>
      </c>
      <c r="L974" s="6" t="s">
        <v>805</v>
      </c>
      <c r="M974" s="6" t="s">
        <v>486</v>
      </c>
      <c r="N974" s="6" t="s">
        <v>915</v>
      </c>
      <c r="O974" s="6" t="s">
        <v>62</v>
      </c>
      <c r="P974" s="6" t="s">
        <v>2223</v>
      </c>
      <c r="Q974" s="6" t="s">
        <v>96</v>
      </c>
      <c r="R974" s="6" t="s">
        <v>57</v>
      </c>
      <c r="S974" s="6" t="s">
        <v>1215</v>
      </c>
      <c r="T974" s="131">
        <v>2.6440000000000001</v>
      </c>
      <c r="U974" s="6" t="s">
        <v>2414</v>
      </c>
      <c r="V974" s="134">
        <v>1.6250000000000001E-2</v>
      </c>
      <c r="W974" s="132">
        <v>4.0410000000000001E-2</v>
      </c>
      <c r="X974" s="3" t="s">
        <v>620</v>
      </c>
      <c r="Y974" s="3" t="s">
        <v>62</v>
      </c>
      <c r="Z974" s="131">
        <v>5000</v>
      </c>
      <c r="AA974" s="129">
        <v>3.9552</v>
      </c>
      <c r="AB974" s="157">
        <v>94.441000000000003</v>
      </c>
      <c r="AD974" s="131">
        <v>18.677</v>
      </c>
      <c r="AG974" s="6" t="s">
        <v>17</v>
      </c>
      <c r="AH974" s="132">
        <v>1.4E-5</v>
      </c>
      <c r="AI974" s="132">
        <v>1.01025144879467E-3</v>
      </c>
      <c r="AJ974" s="132">
        <v>2.13950184644062E-4</v>
      </c>
    </row>
    <row r="975" spans="1:36" x14ac:dyDescent="0.2">
      <c r="A975" s="6">
        <v>559</v>
      </c>
      <c r="B975" s="6">
        <v>7206</v>
      </c>
      <c r="C975" s="6" t="s">
        <v>2258</v>
      </c>
      <c r="D975" s="6" t="s">
        <v>2259</v>
      </c>
      <c r="E975" s="3" t="s">
        <v>430</v>
      </c>
      <c r="F975" s="6" t="s">
        <v>2260</v>
      </c>
      <c r="G975" s="6" t="s">
        <v>2261</v>
      </c>
      <c r="H975" s="6" t="s">
        <v>76</v>
      </c>
      <c r="I975" s="6" t="s">
        <v>230</v>
      </c>
      <c r="J975" s="6" t="s">
        <v>61</v>
      </c>
      <c r="K975" s="6" t="s">
        <v>314</v>
      </c>
      <c r="L975" s="6" t="s">
        <v>805</v>
      </c>
      <c r="M975" s="6" t="s">
        <v>476</v>
      </c>
      <c r="N975" s="6" t="s">
        <v>2262</v>
      </c>
      <c r="O975" s="6" t="s">
        <v>62</v>
      </c>
      <c r="P975" s="6" t="s">
        <v>2263</v>
      </c>
      <c r="Q975" s="6" t="s">
        <v>84</v>
      </c>
      <c r="R975" s="6" t="s">
        <v>57</v>
      </c>
      <c r="S975" s="6" t="s">
        <v>1217</v>
      </c>
      <c r="T975" s="131">
        <v>2.6880000000000002</v>
      </c>
      <c r="U975" s="6" t="s">
        <v>2264</v>
      </c>
      <c r="V975" s="134">
        <v>5.1999999999999998E-2</v>
      </c>
      <c r="W975" s="132">
        <v>4.5629999999999997E-2</v>
      </c>
      <c r="X975" s="3" t="s">
        <v>620</v>
      </c>
      <c r="Y975" s="3" t="s">
        <v>62</v>
      </c>
      <c r="Z975" s="131">
        <v>10000</v>
      </c>
      <c r="AA975" s="129">
        <v>3.3719999999999999</v>
      </c>
      <c r="AB975" s="157">
        <v>104.39400000000001</v>
      </c>
      <c r="AD975" s="131">
        <v>35.201999999999998</v>
      </c>
      <c r="AG975" s="6" t="s">
        <v>17</v>
      </c>
      <c r="AH975" s="132">
        <v>2.0000000000000002E-5</v>
      </c>
      <c r="AI975" s="132">
        <v>1.9041181486226699E-3</v>
      </c>
      <c r="AJ975" s="132">
        <v>4.03252507054538E-4</v>
      </c>
    </row>
    <row r="976" spans="1:36" x14ac:dyDescent="0.2">
      <c r="A976" s="6">
        <v>559</v>
      </c>
      <c r="B976" s="6">
        <v>7206</v>
      </c>
      <c r="C976" s="6" t="s">
        <v>2258</v>
      </c>
      <c r="D976" s="6" t="s">
        <v>2259</v>
      </c>
      <c r="E976" s="3" t="s">
        <v>430</v>
      </c>
      <c r="F976" s="6" t="s">
        <v>2265</v>
      </c>
      <c r="G976" s="6" t="s">
        <v>2266</v>
      </c>
      <c r="H976" s="6" t="s">
        <v>76</v>
      </c>
      <c r="I976" s="6" t="s">
        <v>230</v>
      </c>
      <c r="J976" s="6" t="s">
        <v>61</v>
      </c>
      <c r="K976" s="6" t="s">
        <v>314</v>
      </c>
      <c r="L976" s="6" t="s">
        <v>805</v>
      </c>
      <c r="M976" s="6" t="s">
        <v>476</v>
      </c>
      <c r="N976" s="6" t="s">
        <v>2262</v>
      </c>
      <c r="O976" s="6" t="s">
        <v>62</v>
      </c>
      <c r="P976" s="6" t="s">
        <v>2263</v>
      </c>
      <c r="Q976" s="6" t="s">
        <v>84</v>
      </c>
      <c r="R976" s="6" t="s">
        <v>57</v>
      </c>
      <c r="S976" s="6" t="s">
        <v>1217</v>
      </c>
      <c r="T976" s="131">
        <v>6.2809999999999997</v>
      </c>
      <c r="U976" s="6" t="s">
        <v>2267</v>
      </c>
      <c r="V976" s="134">
        <v>5.45E-2</v>
      </c>
      <c r="W976" s="132">
        <v>5.203E-2</v>
      </c>
      <c r="X976" s="3" t="s">
        <v>620</v>
      </c>
      <c r="Y976" s="3" t="s">
        <v>62</v>
      </c>
      <c r="Z976" s="131">
        <v>10000</v>
      </c>
      <c r="AA976" s="129">
        <v>3.3719999999999999</v>
      </c>
      <c r="AB976" s="157">
        <v>104.78100000000001</v>
      </c>
      <c r="AD976" s="131">
        <v>35.332000000000001</v>
      </c>
      <c r="AG976" s="6" t="s">
        <v>17</v>
      </c>
      <c r="AH976" s="132">
        <v>1.0000000000000001E-5</v>
      </c>
      <c r="AI976" s="132">
        <v>1.91118656890629E-3</v>
      </c>
      <c r="AJ976" s="132">
        <v>4.0474945103479901E-4</v>
      </c>
    </row>
    <row r="977" spans="1:36" x14ac:dyDescent="0.2">
      <c r="A977" s="6">
        <v>559</v>
      </c>
      <c r="B977" s="6">
        <v>7206</v>
      </c>
      <c r="C977" s="6" t="s">
        <v>2419</v>
      </c>
      <c r="D977" s="6" t="s">
        <v>2420</v>
      </c>
      <c r="E977" s="3" t="s">
        <v>78</v>
      </c>
      <c r="F977" s="6" t="s">
        <v>2421</v>
      </c>
      <c r="G977" s="6" t="s">
        <v>2422</v>
      </c>
      <c r="H977" s="6" t="s">
        <v>76</v>
      </c>
      <c r="I977" s="6" t="s">
        <v>230</v>
      </c>
      <c r="J977" s="6" t="s">
        <v>61</v>
      </c>
      <c r="K977" s="6" t="s">
        <v>314</v>
      </c>
      <c r="L977" s="6" t="s">
        <v>805</v>
      </c>
      <c r="M977" s="6" t="s">
        <v>102</v>
      </c>
      <c r="N977" s="6" t="s">
        <v>862</v>
      </c>
      <c r="O977" s="6" t="s">
        <v>62</v>
      </c>
      <c r="P977" s="6" t="s">
        <v>2223</v>
      </c>
      <c r="Q977" s="6" t="s">
        <v>96</v>
      </c>
      <c r="R977" s="6" t="s">
        <v>57</v>
      </c>
      <c r="S977" s="6" t="s">
        <v>1217</v>
      </c>
      <c r="T977" s="131">
        <v>4.6710000000000003</v>
      </c>
      <c r="U977" s="6" t="s">
        <v>2423</v>
      </c>
      <c r="V977" s="134">
        <v>4.4999999999999998E-2</v>
      </c>
      <c r="W977" s="132">
        <v>5.287E-2</v>
      </c>
      <c r="X977" s="3" t="s">
        <v>620</v>
      </c>
      <c r="Y977" s="3" t="s">
        <v>62</v>
      </c>
      <c r="Z977" s="131">
        <v>2000</v>
      </c>
      <c r="AA977" s="129">
        <v>3.3719999999999999</v>
      </c>
      <c r="AB977" s="157">
        <v>98.24</v>
      </c>
      <c r="AD977" s="131">
        <v>6.625</v>
      </c>
      <c r="AG977" s="6" t="s">
        <v>17</v>
      </c>
      <c r="AH977" s="132">
        <v>4.8190000000000004E-3</v>
      </c>
      <c r="AI977" s="132">
        <v>3.5837493479868302E-4</v>
      </c>
      <c r="AJ977" s="132">
        <v>7.5896336069066801E-5</v>
      </c>
    </row>
    <row r="978" spans="1:36" x14ac:dyDescent="0.2">
      <c r="A978" s="6">
        <v>559</v>
      </c>
      <c r="B978" s="6">
        <v>7206</v>
      </c>
      <c r="C978" s="6" t="s">
        <v>2424</v>
      </c>
      <c r="D978" s="6" t="s">
        <v>2425</v>
      </c>
      <c r="E978" s="3" t="s">
        <v>430</v>
      </c>
      <c r="F978" s="6" t="s">
        <v>2426</v>
      </c>
      <c r="G978" s="6" t="s">
        <v>2427</v>
      </c>
      <c r="H978" s="6" t="s">
        <v>76</v>
      </c>
      <c r="I978" s="6" t="s">
        <v>230</v>
      </c>
      <c r="J978" s="6" t="s">
        <v>61</v>
      </c>
      <c r="K978" s="6" t="s">
        <v>314</v>
      </c>
      <c r="L978" s="6" t="s">
        <v>805</v>
      </c>
      <c r="M978" s="6" t="s">
        <v>476</v>
      </c>
      <c r="N978" s="6" t="s">
        <v>882</v>
      </c>
      <c r="O978" s="6" t="s">
        <v>62</v>
      </c>
      <c r="P978" s="6" t="s">
        <v>1778</v>
      </c>
      <c r="Q978" s="6" t="s">
        <v>96</v>
      </c>
      <c r="R978" s="6" t="s">
        <v>57</v>
      </c>
      <c r="S978" s="6" t="s">
        <v>1217</v>
      </c>
      <c r="T978" s="131">
        <v>5.8239999999999998</v>
      </c>
      <c r="U978" s="6" t="s">
        <v>2428</v>
      </c>
      <c r="V978" s="134">
        <v>3.15E-2</v>
      </c>
      <c r="W978" s="132">
        <v>5.11E-2</v>
      </c>
      <c r="X978" s="3" t="s">
        <v>620</v>
      </c>
      <c r="Y978" s="3" t="s">
        <v>62</v>
      </c>
      <c r="Z978" s="131">
        <v>5000</v>
      </c>
      <c r="AA978" s="129">
        <v>3.3719999999999999</v>
      </c>
      <c r="AB978" s="157">
        <v>90.897000000000006</v>
      </c>
      <c r="AD978" s="131">
        <v>15.324999999999999</v>
      </c>
      <c r="AG978" s="6" t="s">
        <v>17</v>
      </c>
      <c r="AH978" s="132">
        <v>6.9999999999999999E-6</v>
      </c>
      <c r="AI978" s="132">
        <v>8.2896775383403296E-4</v>
      </c>
      <c r="AJ978" s="132">
        <v>1.7555807933596201E-4</v>
      </c>
    </row>
    <row r="979" spans="1:36" x14ac:dyDescent="0.2">
      <c r="A979" s="6">
        <v>559</v>
      </c>
      <c r="B979" s="6">
        <v>7206</v>
      </c>
      <c r="C979" s="6" t="s">
        <v>2268</v>
      </c>
      <c r="D979" s="6" t="s">
        <v>2269</v>
      </c>
      <c r="E979" s="3" t="s">
        <v>430</v>
      </c>
      <c r="F979" s="6" t="s">
        <v>2270</v>
      </c>
      <c r="G979" s="6" t="s">
        <v>2271</v>
      </c>
      <c r="H979" s="6" t="s">
        <v>76</v>
      </c>
      <c r="I979" s="6" t="s">
        <v>230</v>
      </c>
      <c r="J979" s="6" t="s">
        <v>61</v>
      </c>
      <c r="K979" s="6" t="s">
        <v>314</v>
      </c>
      <c r="L979" s="6" t="s">
        <v>805</v>
      </c>
      <c r="M979" s="6" t="s">
        <v>102</v>
      </c>
      <c r="N979" s="6" t="s">
        <v>2272</v>
      </c>
      <c r="O979" s="6" t="s">
        <v>62</v>
      </c>
      <c r="P979" s="6" t="s">
        <v>2273</v>
      </c>
      <c r="Q979" s="6" t="s">
        <v>96</v>
      </c>
      <c r="R979" s="6" t="s">
        <v>57</v>
      </c>
      <c r="S979" s="6" t="s">
        <v>1217</v>
      </c>
      <c r="T979" s="131">
        <v>3.6320000000000001</v>
      </c>
      <c r="U979" s="6" t="s">
        <v>2274</v>
      </c>
      <c r="V979" s="134">
        <v>6.8750000000000006E-2</v>
      </c>
      <c r="W979" s="132">
        <v>6.2810000000000005E-2</v>
      </c>
      <c r="X979" s="3" t="s">
        <v>620</v>
      </c>
      <c r="Y979" s="3" t="s">
        <v>62</v>
      </c>
      <c r="Z979" s="131">
        <v>10000</v>
      </c>
      <c r="AA979" s="129">
        <v>3.3719999999999999</v>
      </c>
      <c r="AB979" s="157">
        <v>105.73699999999999</v>
      </c>
      <c r="AD979" s="131">
        <v>35.654000000000003</v>
      </c>
      <c r="AG979" s="6" t="s">
        <v>17</v>
      </c>
      <c r="AH979" s="132">
        <v>1.0000000000000001E-5</v>
      </c>
      <c r="AI979" s="132">
        <v>1.92861034309911E-3</v>
      </c>
      <c r="AJ979" s="132">
        <v>4.0843944297710001E-4</v>
      </c>
    </row>
    <row r="980" spans="1:36" x14ac:dyDescent="0.2">
      <c r="A980" s="6">
        <v>559</v>
      </c>
      <c r="B980" s="6">
        <v>7206</v>
      </c>
      <c r="C980" s="6" t="s">
        <v>2429</v>
      </c>
      <c r="D980" s="6" t="s">
        <v>2430</v>
      </c>
      <c r="E980" s="3" t="s">
        <v>430</v>
      </c>
      <c r="F980" s="6" t="s">
        <v>2431</v>
      </c>
      <c r="G980" s="6" t="s">
        <v>2432</v>
      </c>
      <c r="H980" s="6" t="s">
        <v>76</v>
      </c>
      <c r="I980" s="6" t="s">
        <v>230</v>
      </c>
      <c r="J980" s="6" t="s">
        <v>61</v>
      </c>
      <c r="K980" s="6" t="s">
        <v>314</v>
      </c>
      <c r="L980" s="6" t="s">
        <v>805</v>
      </c>
      <c r="M980" s="6" t="s">
        <v>476</v>
      </c>
      <c r="N980" s="6" t="s">
        <v>882</v>
      </c>
      <c r="O980" s="6" t="s">
        <v>62</v>
      </c>
      <c r="P980" s="6" t="s">
        <v>1994</v>
      </c>
      <c r="Q980" s="6" t="s">
        <v>96</v>
      </c>
      <c r="R980" s="6" t="s">
        <v>57</v>
      </c>
      <c r="S980" s="6" t="s">
        <v>1217</v>
      </c>
      <c r="T980" s="131">
        <v>4.3899999999999997</v>
      </c>
      <c r="U980" s="6" t="s">
        <v>2433</v>
      </c>
      <c r="V980" s="134">
        <v>2.7E-2</v>
      </c>
      <c r="W980" s="132">
        <v>4.5260000000000002E-2</v>
      </c>
      <c r="X980" s="3" t="s">
        <v>620</v>
      </c>
      <c r="Y980" s="3" t="s">
        <v>62</v>
      </c>
      <c r="Z980" s="131">
        <v>5000</v>
      </c>
      <c r="AA980" s="129">
        <v>3.3719999999999999</v>
      </c>
      <c r="AB980" s="157">
        <v>93.265000000000001</v>
      </c>
      <c r="AD980" s="131">
        <v>15.724</v>
      </c>
      <c r="AG980" s="6" t="s">
        <v>17</v>
      </c>
      <c r="AH980" s="132">
        <v>5.0000000000000004E-6</v>
      </c>
      <c r="AI980" s="132">
        <v>8.5056679300674E-4</v>
      </c>
      <c r="AJ980" s="132">
        <v>1.80132305311731E-4</v>
      </c>
    </row>
    <row r="981" spans="1:36" x14ac:dyDescent="0.2">
      <c r="A981" s="6">
        <v>559</v>
      </c>
      <c r="B981" s="6">
        <v>7206</v>
      </c>
      <c r="C981" s="6" t="s">
        <v>2275</v>
      </c>
      <c r="D981" s="6" t="s">
        <v>2276</v>
      </c>
      <c r="E981" s="3" t="s">
        <v>430</v>
      </c>
      <c r="F981" s="6" t="s">
        <v>2277</v>
      </c>
      <c r="G981" s="6" t="s">
        <v>2278</v>
      </c>
      <c r="H981" s="6" t="s">
        <v>76</v>
      </c>
      <c r="I981" s="6" t="s">
        <v>230</v>
      </c>
      <c r="J981" s="6" t="s">
        <v>61</v>
      </c>
      <c r="K981" s="6" t="s">
        <v>203</v>
      </c>
      <c r="L981" s="6" t="s">
        <v>805</v>
      </c>
      <c r="M981" s="6" t="s">
        <v>102</v>
      </c>
      <c r="N981" s="6" t="s">
        <v>908</v>
      </c>
      <c r="O981" s="6" t="s">
        <v>62</v>
      </c>
      <c r="P981" s="6" t="s">
        <v>1778</v>
      </c>
      <c r="Q981" s="6" t="s">
        <v>96</v>
      </c>
      <c r="R981" s="6" t="s">
        <v>57</v>
      </c>
      <c r="S981" s="6" t="s">
        <v>1217</v>
      </c>
      <c r="T981" s="131">
        <v>2.6280000000000001</v>
      </c>
      <c r="U981" s="6" t="s">
        <v>2279</v>
      </c>
      <c r="V981" s="134">
        <v>5.7000000000000002E-2</v>
      </c>
      <c r="W981" s="132">
        <v>4.5949999999999998E-2</v>
      </c>
      <c r="X981" s="3" t="s">
        <v>620</v>
      </c>
      <c r="Y981" s="3" t="s">
        <v>62</v>
      </c>
      <c r="Z981" s="131">
        <v>10000</v>
      </c>
      <c r="AA981" s="129">
        <v>3.3719999999999999</v>
      </c>
      <c r="AB981" s="157">
        <v>103.504</v>
      </c>
      <c r="AD981" s="131">
        <v>34.901000000000003</v>
      </c>
      <c r="AG981" s="6" t="s">
        <v>17</v>
      </c>
      <c r="AH981" s="132">
        <v>1.0000000000000001E-5</v>
      </c>
      <c r="AI981" s="132">
        <v>1.88788575950676E-3</v>
      </c>
      <c r="AJ981" s="132">
        <v>3.9981482562116097E-4</v>
      </c>
    </row>
    <row r="982" spans="1:36" x14ac:dyDescent="0.2">
      <c r="A982" s="6">
        <v>559</v>
      </c>
      <c r="B982" s="6">
        <v>7206</v>
      </c>
      <c r="C982" s="6" t="s">
        <v>2275</v>
      </c>
      <c r="D982" s="6" t="s">
        <v>2276</v>
      </c>
      <c r="E982" s="3" t="s">
        <v>430</v>
      </c>
      <c r="F982" s="6" t="s">
        <v>2280</v>
      </c>
      <c r="G982" s="6" t="s">
        <v>2281</v>
      </c>
      <c r="H982" s="6" t="s">
        <v>76</v>
      </c>
      <c r="I982" s="6" t="s">
        <v>230</v>
      </c>
      <c r="J982" s="6" t="s">
        <v>61</v>
      </c>
      <c r="K982" s="6" t="s">
        <v>314</v>
      </c>
      <c r="L982" s="6" t="s">
        <v>805</v>
      </c>
      <c r="M982" s="6" t="s">
        <v>102</v>
      </c>
      <c r="N982" s="6" t="s">
        <v>908</v>
      </c>
      <c r="O982" s="6" t="s">
        <v>62</v>
      </c>
      <c r="P982" s="6" t="s">
        <v>1778</v>
      </c>
      <c r="Q982" s="6" t="s">
        <v>96</v>
      </c>
      <c r="R982" s="6" t="s">
        <v>57</v>
      </c>
      <c r="S982" s="6" t="s">
        <v>1217</v>
      </c>
      <c r="T982" s="131">
        <v>2.6280000000000001</v>
      </c>
      <c r="U982" s="6" t="s">
        <v>2279</v>
      </c>
      <c r="V982" s="134">
        <v>5.7000000000000002E-2</v>
      </c>
      <c r="W982" s="132">
        <v>4.5949999999999998E-2</v>
      </c>
      <c r="X982" s="3" t="s">
        <v>620</v>
      </c>
      <c r="Y982" s="3" t="s">
        <v>62</v>
      </c>
      <c r="Z982" s="131">
        <v>10000</v>
      </c>
      <c r="AA982" s="129">
        <v>3.3719999999999999</v>
      </c>
      <c r="AB982" s="157">
        <v>103.47499999999999</v>
      </c>
      <c r="AD982" s="131">
        <v>34.892000000000003</v>
      </c>
      <c r="AG982" s="6" t="s">
        <v>17</v>
      </c>
      <c r="AH982" s="132">
        <v>1.0000000000000001E-5</v>
      </c>
      <c r="AI982" s="132">
        <v>1.8873568062744101E-3</v>
      </c>
      <c r="AJ982" s="132">
        <v>3.9970280435965802E-4</v>
      </c>
    </row>
    <row r="983" spans="1:36" x14ac:dyDescent="0.2">
      <c r="A983" s="6">
        <v>559</v>
      </c>
      <c r="B983" s="6">
        <v>7206</v>
      </c>
      <c r="C983" s="6" t="s">
        <v>2439</v>
      </c>
      <c r="D983" s="6" t="s">
        <v>2440</v>
      </c>
      <c r="E983" s="3" t="s">
        <v>430</v>
      </c>
      <c r="F983" s="6" t="s">
        <v>2441</v>
      </c>
      <c r="G983" s="6" t="s">
        <v>2442</v>
      </c>
      <c r="H983" s="6" t="s">
        <v>76</v>
      </c>
      <c r="I983" s="6" t="s">
        <v>230</v>
      </c>
      <c r="J983" s="6" t="s">
        <v>61</v>
      </c>
      <c r="K983" s="6" t="s">
        <v>314</v>
      </c>
      <c r="L983" s="6" t="s">
        <v>805</v>
      </c>
      <c r="M983" s="6" t="s">
        <v>476</v>
      </c>
      <c r="N983" s="6" t="s">
        <v>878</v>
      </c>
      <c r="O983" s="6" t="s">
        <v>62</v>
      </c>
      <c r="P983" s="6" t="s">
        <v>1778</v>
      </c>
      <c r="Q983" s="6" t="s">
        <v>96</v>
      </c>
      <c r="R983" s="6" t="s">
        <v>57</v>
      </c>
      <c r="S983" s="6" t="s">
        <v>1217</v>
      </c>
      <c r="T983" s="131">
        <v>4.4249999999999998</v>
      </c>
      <c r="U983" s="6" t="s">
        <v>2443</v>
      </c>
      <c r="V983" s="134">
        <v>4.2500000000000003E-2</v>
      </c>
      <c r="W983" s="132">
        <v>4.6059999999999997E-2</v>
      </c>
      <c r="X983" s="3" t="s">
        <v>620</v>
      </c>
      <c r="Y983" s="3" t="s">
        <v>62</v>
      </c>
      <c r="Z983" s="131">
        <v>5000</v>
      </c>
      <c r="AA983" s="129">
        <v>3.3719999999999999</v>
      </c>
      <c r="AB983" s="157">
        <v>99.468000000000004</v>
      </c>
      <c r="AD983" s="131">
        <v>16.77</v>
      </c>
      <c r="AG983" s="6" t="s">
        <v>17</v>
      </c>
      <c r="AH983" s="132">
        <v>1.5E-5</v>
      </c>
      <c r="AI983" s="132">
        <v>9.0713305167397203E-4</v>
      </c>
      <c r="AJ983" s="132">
        <v>1.9211185901681801E-4</v>
      </c>
    </row>
    <row r="984" spans="1:36" x14ac:dyDescent="0.2">
      <c r="A984" s="6">
        <v>559</v>
      </c>
      <c r="B984" s="6">
        <v>7206</v>
      </c>
      <c r="C984" s="6" t="s">
        <v>2444</v>
      </c>
      <c r="D984" s="6" t="s">
        <v>2445</v>
      </c>
      <c r="E984" s="3" t="s">
        <v>430</v>
      </c>
      <c r="F984" s="6" t="s">
        <v>2446</v>
      </c>
      <c r="G984" s="6" t="s">
        <v>2447</v>
      </c>
      <c r="H984" s="6" t="s">
        <v>76</v>
      </c>
      <c r="I984" s="6" t="s">
        <v>230</v>
      </c>
      <c r="J984" s="6" t="s">
        <v>61</v>
      </c>
      <c r="K984" s="6" t="s">
        <v>314</v>
      </c>
      <c r="L984" s="6" t="s">
        <v>805</v>
      </c>
      <c r="M984" s="6" t="s">
        <v>476</v>
      </c>
      <c r="N984" s="6" t="s">
        <v>2448</v>
      </c>
      <c r="O984" s="6" t="s">
        <v>62</v>
      </c>
      <c r="P984" s="6" t="s">
        <v>2263</v>
      </c>
      <c r="Q984" s="6" t="s">
        <v>84</v>
      </c>
      <c r="R984" s="6" t="s">
        <v>57</v>
      </c>
      <c r="S984" s="6" t="s">
        <v>1217</v>
      </c>
      <c r="T984" s="131">
        <v>3.1139999999999999</v>
      </c>
      <c r="U984" s="6" t="s">
        <v>2449</v>
      </c>
      <c r="V984" s="134">
        <v>3.125E-2</v>
      </c>
      <c r="W984" s="132">
        <v>6.0909999999999999E-2</v>
      </c>
      <c r="X984" s="3" t="s">
        <v>620</v>
      </c>
      <c r="Y984" s="3" t="s">
        <v>62</v>
      </c>
      <c r="Z984" s="131">
        <v>5000</v>
      </c>
      <c r="AA984" s="129">
        <v>3.3719999999999999</v>
      </c>
      <c r="AB984" s="157">
        <v>92.18</v>
      </c>
      <c r="AD984" s="131">
        <v>15.542</v>
      </c>
      <c r="AG984" s="6" t="s">
        <v>17</v>
      </c>
      <c r="AH984" s="132">
        <v>6.9999999999999999E-6</v>
      </c>
      <c r="AI984" s="132">
        <v>8.4067421845654595E-4</v>
      </c>
      <c r="AJ984" s="132">
        <v>1.7803726436509899E-4</v>
      </c>
    </row>
    <row r="985" spans="1:36" x14ac:dyDescent="0.2">
      <c r="A985" s="6">
        <v>559</v>
      </c>
      <c r="B985" s="6">
        <v>7206</v>
      </c>
      <c r="C985" s="6" t="s">
        <v>2282</v>
      </c>
      <c r="D985" s="6" t="s">
        <v>2283</v>
      </c>
      <c r="E985" s="3" t="s">
        <v>430</v>
      </c>
      <c r="F985" s="6" t="s">
        <v>2284</v>
      </c>
      <c r="G985" s="6" t="s">
        <v>2285</v>
      </c>
      <c r="H985" s="6" t="s">
        <v>76</v>
      </c>
      <c r="I985" s="6" t="s">
        <v>230</v>
      </c>
      <c r="J985" s="6" t="s">
        <v>61</v>
      </c>
      <c r="K985" s="6" t="s">
        <v>314</v>
      </c>
      <c r="L985" s="6" t="s">
        <v>805</v>
      </c>
      <c r="M985" s="6" t="s">
        <v>102</v>
      </c>
      <c r="N985" s="6" t="s">
        <v>1141</v>
      </c>
      <c r="O985" s="6" t="s">
        <v>62</v>
      </c>
      <c r="P985" s="6" t="s">
        <v>2223</v>
      </c>
      <c r="Q985" s="6" t="s">
        <v>96</v>
      </c>
      <c r="R985" s="6" t="s">
        <v>57</v>
      </c>
      <c r="S985" s="6" t="s">
        <v>1217</v>
      </c>
      <c r="T985" s="131">
        <v>3.722</v>
      </c>
      <c r="U985" s="6" t="s">
        <v>2286</v>
      </c>
      <c r="V985" s="134">
        <v>5.8000000000000003E-2</v>
      </c>
      <c r="W985" s="132">
        <v>5.8549999999999998E-2</v>
      </c>
      <c r="X985" s="3" t="s">
        <v>620</v>
      </c>
      <c r="Y985" s="3" t="s">
        <v>62</v>
      </c>
      <c r="Z985" s="131">
        <v>3000</v>
      </c>
      <c r="AA985" s="129">
        <v>3.3719999999999999</v>
      </c>
      <c r="AB985" s="157">
        <v>101.224</v>
      </c>
      <c r="AD985" s="131">
        <v>10.24</v>
      </c>
      <c r="AG985" s="6" t="s">
        <v>17</v>
      </c>
      <c r="AH985" s="132">
        <v>1.0204E-2</v>
      </c>
      <c r="AI985" s="132">
        <v>5.5389064128758903E-4</v>
      </c>
      <c r="AJ985" s="132">
        <v>1.17302484562122E-4</v>
      </c>
    </row>
    <row r="986" spans="1:36" x14ac:dyDescent="0.2">
      <c r="A986" s="6">
        <v>559</v>
      </c>
      <c r="B986" s="6">
        <v>7206</v>
      </c>
      <c r="C986" s="6" t="s">
        <v>2282</v>
      </c>
      <c r="D986" s="6" t="s">
        <v>2283</v>
      </c>
      <c r="E986" s="3" t="s">
        <v>430</v>
      </c>
      <c r="F986" s="6" t="s">
        <v>2287</v>
      </c>
      <c r="G986" s="6" t="s">
        <v>2288</v>
      </c>
      <c r="H986" s="6" t="s">
        <v>76</v>
      </c>
      <c r="I986" s="6" t="s">
        <v>230</v>
      </c>
      <c r="J986" s="6" t="s">
        <v>61</v>
      </c>
      <c r="K986" s="6" t="s">
        <v>314</v>
      </c>
      <c r="L986" s="6" t="s">
        <v>805</v>
      </c>
      <c r="M986" s="6" t="s">
        <v>102</v>
      </c>
      <c r="N986" s="6" t="s">
        <v>1141</v>
      </c>
      <c r="O986" s="6" t="s">
        <v>62</v>
      </c>
      <c r="P986" s="6" t="s">
        <v>2223</v>
      </c>
      <c r="Q986" s="6" t="s">
        <v>96</v>
      </c>
      <c r="R986" s="6" t="s">
        <v>57</v>
      </c>
      <c r="S986" s="6" t="s">
        <v>1217</v>
      </c>
      <c r="T986" s="131">
        <v>4.1929999999999996</v>
      </c>
      <c r="U986" s="6" t="s">
        <v>2289</v>
      </c>
      <c r="V986" s="134">
        <v>5.8749999999999997E-2</v>
      </c>
      <c r="W986" s="132">
        <v>6.5129999999999993E-2</v>
      </c>
      <c r="X986" s="3" t="s">
        <v>620</v>
      </c>
      <c r="Y986" s="3" t="s">
        <v>62</v>
      </c>
      <c r="Z986" s="131">
        <v>5000</v>
      </c>
      <c r="AA986" s="129">
        <v>3.3719999999999999</v>
      </c>
      <c r="AB986" s="157">
        <v>100.97499999999999</v>
      </c>
      <c r="AD986" s="131">
        <v>17.024000000000001</v>
      </c>
      <c r="AG986" s="6" t="s">
        <v>17</v>
      </c>
      <c r="AH986" s="132">
        <v>1.0000000000000001E-5</v>
      </c>
      <c r="AI986" s="132">
        <v>9.2088249783771098E-4</v>
      </c>
      <c r="AJ986" s="132">
        <v>1.9502370492309701E-4</v>
      </c>
    </row>
    <row r="987" spans="1:36" x14ac:dyDescent="0.2">
      <c r="A987" s="6">
        <v>559</v>
      </c>
      <c r="B987" s="6">
        <v>7206</v>
      </c>
      <c r="C987" s="6" t="s">
        <v>2290</v>
      </c>
      <c r="D987" s="6" t="s">
        <v>2291</v>
      </c>
      <c r="E987" s="3" t="s">
        <v>430</v>
      </c>
      <c r="F987" s="6" t="s">
        <v>2292</v>
      </c>
      <c r="G987" s="6" t="s">
        <v>2293</v>
      </c>
      <c r="H987" s="6" t="s">
        <v>76</v>
      </c>
      <c r="I987" s="6" t="s">
        <v>230</v>
      </c>
      <c r="J987" s="6" t="s">
        <v>61</v>
      </c>
      <c r="K987" s="6" t="s">
        <v>173</v>
      </c>
      <c r="L987" s="6" t="s">
        <v>805</v>
      </c>
      <c r="M987" s="6" t="s">
        <v>486</v>
      </c>
      <c r="N987" s="6" t="s">
        <v>915</v>
      </c>
      <c r="O987" s="6" t="s">
        <v>62</v>
      </c>
      <c r="P987" s="6" t="s">
        <v>1994</v>
      </c>
      <c r="Q987" s="6" t="s">
        <v>96</v>
      </c>
      <c r="R987" s="6" t="s">
        <v>57</v>
      </c>
      <c r="S987" s="6" t="s">
        <v>1215</v>
      </c>
      <c r="T987" s="131">
        <v>2.5249999999999999</v>
      </c>
      <c r="U987" s="6" t="s">
        <v>2294</v>
      </c>
      <c r="V987" s="134">
        <v>1.25E-3</v>
      </c>
      <c r="W987" s="132">
        <v>3.0190000000000002E-2</v>
      </c>
      <c r="X987" s="3" t="s">
        <v>620</v>
      </c>
      <c r="Y987" s="3" t="s">
        <v>62</v>
      </c>
      <c r="Z987" s="131">
        <v>15000</v>
      </c>
      <c r="AA987" s="129">
        <v>3.9552</v>
      </c>
      <c r="AB987" s="157">
        <v>93.034999999999997</v>
      </c>
      <c r="AD987" s="131">
        <v>55.195999999999998</v>
      </c>
      <c r="AG987" s="6" t="s">
        <v>17</v>
      </c>
      <c r="AH987" s="132">
        <v>1.5E-5</v>
      </c>
      <c r="AI987" s="132">
        <v>2.98564938352221E-3</v>
      </c>
      <c r="AJ987" s="132">
        <v>6.3229826361460399E-4</v>
      </c>
    </row>
    <row r="988" spans="1:36" x14ac:dyDescent="0.2">
      <c r="A988" s="6">
        <v>559</v>
      </c>
      <c r="B988" s="6">
        <v>7206</v>
      </c>
      <c r="C988" s="6" t="s">
        <v>2295</v>
      </c>
      <c r="D988" s="6" t="s">
        <v>2296</v>
      </c>
      <c r="E988" s="3" t="s">
        <v>1477</v>
      </c>
      <c r="F988" s="6" t="s">
        <v>2297</v>
      </c>
      <c r="G988" s="6" t="s">
        <v>2298</v>
      </c>
      <c r="H988" s="6" t="s">
        <v>76</v>
      </c>
      <c r="I988" s="6" t="s">
        <v>230</v>
      </c>
      <c r="J988" s="6" t="s">
        <v>53</v>
      </c>
      <c r="K988" s="6" t="s">
        <v>53</v>
      </c>
      <c r="L988" s="6" t="s">
        <v>805</v>
      </c>
      <c r="M988" s="6" t="s">
        <v>102</v>
      </c>
      <c r="N988" s="6" t="s">
        <v>195</v>
      </c>
      <c r="O988" s="6" t="s">
        <v>62</v>
      </c>
      <c r="P988" s="6" t="s">
        <v>1355</v>
      </c>
      <c r="Q988" s="6" t="s">
        <v>84</v>
      </c>
      <c r="R988" s="6" t="s">
        <v>57</v>
      </c>
      <c r="S988" s="6" t="s">
        <v>1217</v>
      </c>
      <c r="T988" s="131">
        <v>2.3769999999999998</v>
      </c>
      <c r="U988" s="6" t="s">
        <v>2299</v>
      </c>
      <c r="V988" s="134">
        <v>5.3749999999999999E-2</v>
      </c>
      <c r="W988" s="132">
        <v>5.4789999999999998E-2</v>
      </c>
      <c r="X988" s="3" t="s">
        <v>620</v>
      </c>
      <c r="Y988" s="3" t="s">
        <v>62</v>
      </c>
      <c r="Z988" s="131">
        <v>20000</v>
      </c>
      <c r="AA988" s="129">
        <v>3.3719999999999999</v>
      </c>
      <c r="AB988" s="157">
        <v>102.18</v>
      </c>
      <c r="AD988" s="131">
        <v>68.91</v>
      </c>
      <c r="AG988" s="6" t="s">
        <v>17</v>
      </c>
      <c r="AH988" s="132">
        <v>2.5000000000000001E-5</v>
      </c>
      <c r="AI988" s="132">
        <v>3.7274898535496698E-3</v>
      </c>
      <c r="AJ988" s="132">
        <v>7.8940460157450295E-4</v>
      </c>
    </row>
    <row r="989" spans="1:36" x14ac:dyDescent="0.2">
      <c r="A989" s="6">
        <v>559</v>
      </c>
      <c r="B989" s="6">
        <v>7206</v>
      </c>
      <c r="C989" s="6" t="s">
        <v>2300</v>
      </c>
      <c r="D989" s="6" t="s">
        <v>2301</v>
      </c>
      <c r="E989" s="3" t="s">
        <v>430</v>
      </c>
      <c r="F989" s="6" t="s">
        <v>2302</v>
      </c>
      <c r="G989" s="6" t="s">
        <v>2303</v>
      </c>
      <c r="H989" s="6" t="s">
        <v>76</v>
      </c>
      <c r="I989" s="6" t="s">
        <v>230</v>
      </c>
      <c r="J989" s="6" t="s">
        <v>61</v>
      </c>
      <c r="K989" s="6" t="s">
        <v>314</v>
      </c>
      <c r="L989" s="6" t="s">
        <v>805</v>
      </c>
      <c r="M989" s="6" t="s">
        <v>102</v>
      </c>
      <c r="N989" s="6" t="s">
        <v>202</v>
      </c>
      <c r="O989" s="6" t="s">
        <v>62</v>
      </c>
      <c r="P989" s="6" t="s">
        <v>1994</v>
      </c>
      <c r="Q989" s="6" t="s">
        <v>96</v>
      </c>
      <c r="R989" s="6" t="s">
        <v>57</v>
      </c>
      <c r="S989" s="6" t="s">
        <v>1217</v>
      </c>
      <c r="T989" s="131">
        <v>0.59599999999999997</v>
      </c>
      <c r="U989" s="6" t="s">
        <v>2304</v>
      </c>
      <c r="V989" s="134">
        <v>4.8750000000000002E-2</v>
      </c>
      <c r="W989" s="132">
        <v>4.7559999999999998E-2</v>
      </c>
      <c r="X989" s="3" t="s">
        <v>620</v>
      </c>
      <c r="Y989" s="3" t="s">
        <v>62</v>
      </c>
      <c r="Z989" s="131">
        <v>5000</v>
      </c>
      <c r="AA989" s="129">
        <v>3.3719999999999999</v>
      </c>
      <c r="AB989" s="157">
        <v>101.84</v>
      </c>
      <c r="AD989" s="131">
        <v>17.170000000000002</v>
      </c>
      <c r="AG989" s="6" t="s">
        <v>17</v>
      </c>
      <c r="AH989" s="132">
        <v>3.0000000000000001E-6</v>
      </c>
      <c r="AI989" s="132">
        <v>9.2876740303488004E-4</v>
      </c>
      <c r="AJ989" s="132">
        <v>1.9669356337749299E-4</v>
      </c>
    </row>
    <row r="990" spans="1:36" x14ac:dyDescent="0.2">
      <c r="A990" s="6">
        <v>559</v>
      </c>
      <c r="B990" s="6">
        <v>7206</v>
      </c>
      <c r="C990" s="6" t="s">
        <v>2305</v>
      </c>
      <c r="D990" s="6" t="s">
        <v>2306</v>
      </c>
      <c r="E990" s="3" t="s">
        <v>430</v>
      </c>
      <c r="F990" s="6" t="s">
        <v>2307</v>
      </c>
      <c r="G990" s="6" t="s">
        <v>2308</v>
      </c>
      <c r="H990" s="6" t="s">
        <v>76</v>
      </c>
      <c r="I990" s="6" t="s">
        <v>230</v>
      </c>
      <c r="J990" s="6" t="s">
        <v>61</v>
      </c>
      <c r="K990" s="6" t="s">
        <v>314</v>
      </c>
      <c r="L990" s="6" t="s">
        <v>805</v>
      </c>
      <c r="M990" s="6" t="s">
        <v>102</v>
      </c>
      <c r="N990" s="6" t="s">
        <v>890</v>
      </c>
      <c r="O990" s="6" t="s">
        <v>62</v>
      </c>
      <c r="P990" s="6" t="s">
        <v>2223</v>
      </c>
      <c r="Q990" s="6" t="s">
        <v>96</v>
      </c>
      <c r="R990" s="6" t="s">
        <v>57</v>
      </c>
      <c r="S990" s="6" t="s">
        <v>1217</v>
      </c>
      <c r="T990" s="131">
        <v>2.6070000000000002</v>
      </c>
      <c r="U990" s="6" t="s">
        <v>2237</v>
      </c>
      <c r="V990" s="134">
        <v>5.7000000000000002E-2</v>
      </c>
      <c r="W990" s="132">
        <v>4.8579999999999998E-2</v>
      </c>
      <c r="X990" s="3" t="s">
        <v>620</v>
      </c>
      <c r="Y990" s="3" t="s">
        <v>62</v>
      </c>
      <c r="Z990" s="131">
        <v>5000</v>
      </c>
      <c r="AA990" s="129">
        <v>3.3719999999999999</v>
      </c>
      <c r="AB990" s="157">
        <v>103.224</v>
      </c>
      <c r="AD990" s="131">
        <v>17.404</v>
      </c>
      <c r="AG990" s="6" t="s">
        <v>17</v>
      </c>
      <c r="AH990" s="132">
        <v>0.02</v>
      </c>
      <c r="AI990" s="132">
        <v>9.4139539538697602E-4</v>
      </c>
      <c r="AJ990" s="132">
        <v>1.99367908758179E-4</v>
      </c>
    </row>
    <row r="991" spans="1:36" x14ac:dyDescent="0.2">
      <c r="A991" s="6">
        <v>559</v>
      </c>
      <c r="B991" s="6">
        <v>7206</v>
      </c>
      <c r="C991" s="6" t="s">
        <v>2453</v>
      </c>
      <c r="D991" s="6" t="s">
        <v>2454</v>
      </c>
      <c r="E991" s="3" t="s">
        <v>430</v>
      </c>
      <c r="F991" s="6" t="s">
        <v>2455</v>
      </c>
      <c r="G991" s="6" t="s">
        <v>2456</v>
      </c>
      <c r="H991" s="6" t="s">
        <v>76</v>
      </c>
      <c r="I991" s="6" t="s">
        <v>230</v>
      </c>
      <c r="J991" s="6" t="s">
        <v>61</v>
      </c>
      <c r="K991" s="6" t="s">
        <v>314</v>
      </c>
      <c r="L991" s="6" t="s">
        <v>805</v>
      </c>
      <c r="M991" s="6" t="s">
        <v>102</v>
      </c>
      <c r="N991" s="6" t="s">
        <v>887</v>
      </c>
      <c r="O991" s="6" t="s">
        <v>62</v>
      </c>
      <c r="P991" s="6" t="s">
        <v>1778</v>
      </c>
      <c r="Q991" s="6" t="s">
        <v>96</v>
      </c>
      <c r="R991" s="6" t="s">
        <v>57</v>
      </c>
      <c r="S991" s="6" t="s">
        <v>1217</v>
      </c>
      <c r="T991" s="131">
        <v>4.3470000000000004</v>
      </c>
      <c r="U991" s="6" t="s">
        <v>2457</v>
      </c>
      <c r="V991" s="134">
        <v>3.7499999999999999E-2</v>
      </c>
      <c r="W991" s="132">
        <v>4.5789999999999997E-2</v>
      </c>
      <c r="X991" s="3" t="s">
        <v>620</v>
      </c>
      <c r="Y991" s="3" t="s">
        <v>62</v>
      </c>
      <c r="Z991" s="131">
        <v>5000</v>
      </c>
      <c r="AA991" s="129">
        <v>3.3719999999999999</v>
      </c>
      <c r="AB991" s="157">
        <v>97.596000000000004</v>
      </c>
      <c r="AD991" s="131">
        <v>16.454999999999998</v>
      </c>
      <c r="AG991" s="6" t="s">
        <v>17</v>
      </c>
      <c r="AH991" s="132">
        <v>6.9999999999999999E-6</v>
      </c>
      <c r="AI991" s="132">
        <v>8.9006489821118597E-4</v>
      </c>
      <c r="AJ991" s="132">
        <v>1.8849718012746501E-4</v>
      </c>
    </row>
    <row r="992" spans="1:36" x14ac:dyDescent="0.2">
      <c r="A992" s="6">
        <v>559</v>
      </c>
      <c r="B992" s="6">
        <v>7206</v>
      </c>
      <c r="C992" s="6" t="s">
        <v>2309</v>
      </c>
      <c r="D992" s="6" t="s">
        <v>2310</v>
      </c>
      <c r="E992" s="3" t="s">
        <v>1477</v>
      </c>
      <c r="F992" s="6" t="s">
        <v>2311</v>
      </c>
      <c r="G992" s="6" t="s">
        <v>2312</v>
      </c>
      <c r="H992" s="6" t="s">
        <v>76</v>
      </c>
      <c r="I992" s="6" t="s">
        <v>230</v>
      </c>
      <c r="J992" s="6" t="s">
        <v>61</v>
      </c>
      <c r="K992" s="6" t="s">
        <v>314</v>
      </c>
      <c r="L992" s="6" t="s">
        <v>805</v>
      </c>
      <c r="M992" s="6" t="s">
        <v>102</v>
      </c>
      <c r="N992" s="6" t="s">
        <v>2215</v>
      </c>
      <c r="O992" s="6" t="s">
        <v>62</v>
      </c>
      <c r="P992" s="6" t="s">
        <v>2273</v>
      </c>
      <c r="Q992" s="6" t="s">
        <v>96</v>
      </c>
      <c r="R992" s="6" t="s">
        <v>57</v>
      </c>
      <c r="S992" s="6" t="s">
        <v>1217</v>
      </c>
      <c r="T992" s="131">
        <v>0.13300000000000001</v>
      </c>
      <c r="U992" s="6" t="s">
        <v>2313</v>
      </c>
      <c r="V992" s="134">
        <v>6.1249999999999999E-2</v>
      </c>
      <c r="W992" s="132">
        <v>0.23773</v>
      </c>
      <c r="X992" s="3" t="s">
        <v>620</v>
      </c>
      <c r="Y992" s="3" t="s">
        <v>62</v>
      </c>
      <c r="Z992" s="131">
        <v>0</v>
      </c>
      <c r="AA992" s="129">
        <v>3.3719999999999999</v>
      </c>
      <c r="AB992" s="157">
        <v>0</v>
      </c>
      <c r="AC992" s="131">
        <v>3.3330000000000002</v>
      </c>
      <c r="AD992" s="131">
        <v>11.24</v>
      </c>
      <c r="AG992" s="6" t="s">
        <v>17</v>
      </c>
      <c r="AH992" s="132">
        <v>0</v>
      </c>
      <c r="AI992" s="132">
        <v>6.07993437073412E-4</v>
      </c>
      <c r="AJ992" s="132">
        <v>1.28760328212776E-4</v>
      </c>
    </row>
    <row r="993" spans="1:36" x14ac:dyDescent="0.2">
      <c r="A993" s="6">
        <v>559</v>
      </c>
      <c r="B993" s="6">
        <v>7206</v>
      </c>
      <c r="C993" s="6" t="s">
        <v>2458</v>
      </c>
      <c r="D993" s="6" t="s">
        <v>2459</v>
      </c>
      <c r="E993" s="3" t="s">
        <v>430</v>
      </c>
      <c r="F993" s="6" t="s">
        <v>2460</v>
      </c>
      <c r="G993" s="6" t="s">
        <v>2461</v>
      </c>
      <c r="H993" s="6" t="s">
        <v>76</v>
      </c>
      <c r="I993" s="6" t="s">
        <v>230</v>
      </c>
      <c r="J993" s="6" t="s">
        <v>61</v>
      </c>
      <c r="K993" s="6" t="s">
        <v>314</v>
      </c>
      <c r="L993" s="6" t="s">
        <v>805</v>
      </c>
      <c r="M993" s="6" t="s">
        <v>476</v>
      </c>
      <c r="N993" s="6" t="s">
        <v>884</v>
      </c>
      <c r="O993" s="6" t="s">
        <v>62</v>
      </c>
      <c r="P993" s="6" t="s">
        <v>1994</v>
      </c>
      <c r="Q993" s="6" t="s">
        <v>96</v>
      </c>
      <c r="R993" s="6" t="s">
        <v>57</v>
      </c>
      <c r="S993" s="6" t="s">
        <v>1217</v>
      </c>
      <c r="T993" s="131">
        <v>4.6130000000000004</v>
      </c>
      <c r="U993" s="6" t="s">
        <v>1930</v>
      </c>
      <c r="V993" s="134">
        <v>3.5999999999999997E-2</v>
      </c>
      <c r="W993" s="132">
        <v>4.3810000000000002E-2</v>
      </c>
      <c r="X993" s="3" t="s">
        <v>620</v>
      </c>
      <c r="Y993" s="3" t="s">
        <v>62</v>
      </c>
      <c r="Z993" s="131">
        <v>5000</v>
      </c>
      <c r="AA993" s="129">
        <v>3.3719999999999999</v>
      </c>
      <c r="AB993" s="157">
        <v>96.638999999999996</v>
      </c>
      <c r="AC993" s="131">
        <v>0.09</v>
      </c>
      <c r="AD993" s="131">
        <v>16.597000000000001</v>
      </c>
      <c r="AG993" s="6" t="s">
        <v>17</v>
      </c>
      <c r="AH993" s="132">
        <v>5.0000000000000004E-6</v>
      </c>
      <c r="AI993" s="132">
        <v>8.9775219377665697E-4</v>
      </c>
      <c r="AJ993" s="132">
        <v>1.9012518898368501E-4</v>
      </c>
    </row>
    <row r="994" spans="1:36" x14ac:dyDescent="0.2">
      <c r="A994" s="6">
        <v>559</v>
      </c>
      <c r="B994" s="6">
        <v>7206</v>
      </c>
      <c r="C994" s="6" t="s">
        <v>2462</v>
      </c>
      <c r="D994" s="6" t="s">
        <v>2463</v>
      </c>
      <c r="E994" s="3" t="s">
        <v>430</v>
      </c>
      <c r="F994" s="6" t="s">
        <v>2464</v>
      </c>
      <c r="G994" s="6" t="s">
        <v>2465</v>
      </c>
      <c r="H994" s="6" t="s">
        <v>76</v>
      </c>
      <c r="I994" s="6" t="s">
        <v>230</v>
      </c>
      <c r="J994" s="6" t="s">
        <v>61</v>
      </c>
      <c r="K994" s="6" t="s">
        <v>314</v>
      </c>
      <c r="L994" s="6" t="s">
        <v>805</v>
      </c>
      <c r="M994" s="6" t="s">
        <v>476</v>
      </c>
      <c r="N994" s="6" t="s">
        <v>901</v>
      </c>
      <c r="O994" s="6" t="s">
        <v>62</v>
      </c>
      <c r="P994" s="6" t="s">
        <v>1778</v>
      </c>
      <c r="Q994" s="6" t="s">
        <v>96</v>
      </c>
      <c r="R994" s="6" t="s">
        <v>57</v>
      </c>
      <c r="S994" s="6" t="s">
        <v>1217</v>
      </c>
      <c r="T994" s="131">
        <v>3.3809999999999998</v>
      </c>
      <c r="U994" s="6" t="s">
        <v>2466</v>
      </c>
      <c r="V994" s="134">
        <v>4.5999999999999999E-2</v>
      </c>
      <c r="W994" s="132">
        <v>4.5260000000000002E-2</v>
      </c>
      <c r="X994" s="3" t="s">
        <v>620</v>
      </c>
      <c r="Y994" s="3" t="s">
        <v>62</v>
      </c>
      <c r="Z994" s="131">
        <v>5000</v>
      </c>
      <c r="AA994" s="129">
        <v>3.3719999999999999</v>
      </c>
      <c r="AB994" s="157">
        <v>100.78700000000001</v>
      </c>
      <c r="AD994" s="131">
        <v>16.992999999999999</v>
      </c>
      <c r="AG994" s="6" t="s">
        <v>17</v>
      </c>
      <c r="AH994" s="132">
        <v>6.0000000000000002E-6</v>
      </c>
      <c r="AI994" s="132">
        <v>9.1916163057521795E-4</v>
      </c>
      <c r="AJ994" s="132">
        <v>1.94659261131408E-4</v>
      </c>
    </row>
    <row r="995" spans="1:36" x14ac:dyDescent="0.2">
      <c r="A995" s="6">
        <v>559</v>
      </c>
      <c r="B995" s="6">
        <v>7206</v>
      </c>
      <c r="C995" s="6" t="s">
        <v>2467</v>
      </c>
      <c r="D995" s="6" t="s">
        <v>2468</v>
      </c>
      <c r="E995" s="3" t="s">
        <v>430</v>
      </c>
      <c r="F995" s="6" t="s">
        <v>2469</v>
      </c>
      <c r="G995" s="6" t="s">
        <v>2470</v>
      </c>
      <c r="H995" s="6" t="s">
        <v>76</v>
      </c>
      <c r="I995" s="6" t="s">
        <v>230</v>
      </c>
      <c r="J995" s="6" t="s">
        <v>61</v>
      </c>
      <c r="K995" s="6" t="s">
        <v>314</v>
      </c>
      <c r="L995" s="6" t="s">
        <v>805</v>
      </c>
      <c r="M995" s="6" t="s">
        <v>476</v>
      </c>
      <c r="N995" s="6" t="s">
        <v>899</v>
      </c>
      <c r="O995" s="6" t="s">
        <v>62</v>
      </c>
      <c r="P995" s="6" t="s">
        <v>1778</v>
      </c>
      <c r="Q995" s="6" t="s">
        <v>96</v>
      </c>
      <c r="R995" s="6" t="s">
        <v>57</v>
      </c>
      <c r="S995" s="6" t="s">
        <v>1217</v>
      </c>
      <c r="T995" s="131">
        <v>2.2919999999999998</v>
      </c>
      <c r="U995" s="6" t="s">
        <v>2471</v>
      </c>
      <c r="V995" s="134">
        <v>3.2500000000000001E-2</v>
      </c>
      <c r="W995" s="132">
        <v>4.3729999999999998E-2</v>
      </c>
      <c r="X995" s="3" t="s">
        <v>620</v>
      </c>
      <c r="Y995" s="3" t="s">
        <v>62</v>
      </c>
      <c r="Z995" s="131">
        <v>5000</v>
      </c>
      <c r="AA995" s="129">
        <v>3.3719999999999999</v>
      </c>
      <c r="AB995" s="157">
        <v>98.055999999999997</v>
      </c>
      <c r="AD995" s="131">
        <v>16.532</v>
      </c>
      <c r="AG995" s="6" t="s">
        <v>17</v>
      </c>
      <c r="AH995" s="132">
        <v>1.9999999999999999E-6</v>
      </c>
      <c r="AI995" s="132">
        <v>8.9426378368885899E-4</v>
      </c>
      <c r="AJ995" s="132">
        <v>1.89386416489679E-4</v>
      </c>
    </row>
    <row r="996" spans="1:36" x14ac:dyDescent="0.2">
      <c r="A996" s="6">
        <v>559</v>
      </c>
      <c r="B996" s="6">
        <v>7206</v>
      </c>
      <c r="C996" s="6" t="s">
        <v>2314</v>
      </c>
      <c r="D996" s="6" t="s">
        <v>2315</v>
      </c>
      <c r="E996" s="3" t="s">
        <v>1477</v>
      </c>
      <c r="F996" s="6" t="s">
        <v>2316</v>
      </c>
      <c r="G996" s="6" t="s">
        <v>2317</v>
      </c>
      <c r="H996" s="6" t="s">
        <v>76</v>
      </c>
      <c r="I996" s="6" t="s">
        <v>307</v>
      </c>
      <c r="J996" s="6" t="s">
        <v>61</v>
      </c>
      <c r="K996" s="6" t="s">
        <v>314</v>
      </c>
      <c r="L996" s="6" t="s">
        <v>805</v>
      </c>
      <c r="M996" s="6" t="s">
        <v>102</v>
      </c>
      <c r="N996" s="6" t="s">
        <v>2318</v>
      </c>
      <c r="O996" s="6" t="s">
        <v>62</v>
      </c>
      <c r="P996" s="6" t="s">
        <v>298</v>
      </c>
      <c r="Q996" s="6" t="s">
        <v>298</v>
      </c>
      <c r="R996" s="6" t="s">
        <v>298</v>
      </c>
      <c r="S996" s="6" t="s">
        <v>1217</v>
      </c>
      <c r="T996" s="131">
        <v>0.159</v>
      </c>
      <c r="U996" s="6" t="s">
        <v>2319</v>
      </c>
      <c r="V996" s="134">
        <v>2.5000000000000001E-2</v>
      </c>
      <c r="W996" s="132">
        <v>-1.9959999999999999E-2</v>
      </c>
      <c r="X996" s="3" t="s">
        <v>620</v>
      </c>
      <c r="Y996" s="3" t="s">
        <v>62</v>
      </c>
      <c r="Z996" s="131">
        <v>25000</v>
      </c>
      <c r="AA996" s="129">
        <v>3.3719999999999999</v>
      </c>
      <c r="AB996" s="157">
        <v>112.158</v>
      </c>
      <c r="AD996" s="131">
        <v>94.549000000000007</v>
      </c>
      <c r="AG996" s="6" t="s">
        <v>17</v>
      </c>
      <c r="AH996" s="132">
        <v>5.8E-5</v>
      </c>
      <c r="AI996" s="132">
        <v>5.1143226391012504E-3</v>
      </c>
      <c r="AJ996" s="132">
        <v>1.0831068584662999E-3</v>
      </c>
    </row>
    <row r="997" spans="1:36" x14ac:dyDescent="0.2">
      <c r="A997" s="6">
        <v>559</v>
      </c>
      <c r="B997" s="6">
        <v>7206</v>
      </c>
      <c r="C997" s="6" t="s">
        <v>2320</v>
      </c>
      <c r="D997" s="6" t="s">
        <v>2321</v>
      </c>
      <c r="E997" s="3" t="s">
        <v>430</v>
      </c>
      <c r="F997" s="6" t="s">
        <v>2322</v>
      </c>
      <c r="G997" s="6" t="s">
        <v>2323</v>
      </c>
      <c r="H997" s="6" t="s">
        <v>76</v>
      </c>
      <c r="I997" s="6" t="s">
        <v>230</v>
      </c>
      <c r="J997" s="6" t="s">
        <v>61</v>
      </c>
      <c r="K997" s="6" t="s">
        <v>314</v>
      </c>
      <c r="L997" s="6" t="s">
        <v>805</v>
      </c>
      <c r="M997" s="6" t="s">
        <v>102</v>
      </c>
      <c r="N997" s="6" t="s">
        <v>2215</v>
      </c>
      <c r="O997" s="6" t="s">
        <v>62</v>
      </c>
      <c r="P997" s="6" t="s">
        <v>2223</v>
      </c>
      <c r="Q997" s="6" t="s">
        <v>96</v>
      </c>
      <c r="R997" s="6" t="s">
        <v>57</v>
      </c>
      <c r="S997" s="6" t="s">
        <v>1217</v>
      </c>
      <c r="T997" s="131">
        <v>3.7719999999999998</v>
      </c>
      <c r="U997" s="6" t="s">
        <v>2324</v>
      </c>
      <c r="V997" s="134">
        <v>5.0259999999999999E-2</v>
      </c>
      <c r="W997" s="132">
        <v>5.0189999999999999E-2</v>
      </c>
      <c r="X997" s="3" t="s">
        <v>620</v>
      </c>
      <c r="Y997" s="3" t="s">
        <v>62</v>
      </c>
      <c r="Z997" s="131">
        <v>5000</v>
      </c>
      <c r="AA997" s="129">
        <v>3.3719999999999999</v>
      </c>
      <c r="AB997" s="157">
        <v>101.46</v>
      </c>
      <c r="AD997" s="131">
        <v>17.106000000000002</v>
      </c>
      <c r="AG997" s="6" t="s">
        <v>17</v>
      </c>
      <c r="AH997" s="132">
        <v>5.0000000000000004E-6</v>
      </c>
      <c r="AI997" s="132">
        <v>9.2529914788921203E-4</v>
      </c>
      <c r="AJ997" s="132">
        <v>1.9595905927983099E-4</v>
      </c>
    </row>
    <row r="998" spans="1:36" x14ac:dyDescent="0.2">
      <c r="A998" s="6">
        <v>559</v>
      </c>
      <c r="B998" s="6">
        <v>7206</v>
      </c>
      <c r="C998" s="6" t="s">
        <v>2325</v>
      </c>
      <c r="D998" s="6" t="s">
        <v>2326</v>
      </c>
      <c r="E998" s="3" t="s">
        <v>1477</v>
      </c>
      <c r="F998" s="6" t="s">
        <v>2472</v>
      </c>
      <c r="G998" s="6" t="s">
        <v>2473</v>
      </c>
      <c r="H998" s="6" t="s">
        <v>76</v>
      </c>
      <c r="I998" s="6" t="s">
        <v>230</v>
      </c>
      <c r="J998" s="6" t="s">
        <v>53</v>
      </c>
      <c r="K998" s="6" t="s">
        <v>314</v>
      </c>
      <c r="L998" s="6" t="s">
        <v>805</v>
      </c>
      <c r="M998" s="6" t="s">
        <v>102</v>
      </c>
      <c r="N998" s="6" t="s">
        <v>894</v>
      </c>
      <c r="O998" s="6" t="s">
        <v>62</v>
      </c>
      <c r="P998" s="6" t="s">
        <v>2329</v>
      </c>
      <c r="Q998" s="6" t="s">
        <v>96</v>
      </c>
      <c r="R998" s="6" t="s">
        <v>57</v>
      </c>
      <c r="S998" s="6" t="s">
        <v>1215</v>
      </c>
      <c r="T998" s="131">
        <v>1.5620000000000001</v>
      </c>
      <c r="U998" s="6" t="s">
        <v>2474</v>
      </c>
      <c r="V998" s="134">
        <v>3.7499999999999999E-2</v>
      </c>
      <c r="W998" s="132">
        <v>3.6420000000000001E-2</v>
      </c>
      <c r="X998" s="3" t="s">
        <v>620</v>
      </c>
      <c r="Y998" s="3" t="s">
        <v>62</v>
      </c>
      <c r="Z998" s="131">
        <v>8000</v>
      </c>
      <c r="AA998" s="129">
        <v>3.9552</v>
      </c>
      <c r="AB998" s="157">
        <v>100.706</v>
      </c>
      <c r="AD998" s="131">
        <v>31.864999999999998</v>
      </c>
      <c r="AG998" s="6" t="s">
        <v>17</v>
      </c>
      <c r="AH998" s="132">
        <v>6.9999999999999999E-6</v>
      </c>
      <c r="AI998" s="132">
        <v>1.7236400315716099E-3</v>
      </c>
      <c r="AJ998" s="132">
        <v>3.6503100634463303E-4</v>
      </c>
    </row>
    <row r="999" spans="1:36" x14ac:dyDescent="0.2">
      <c r="A999" s="6">
        <v>559</v>
      </c>
      <c r="B999" s="6">
        <v>7206</v>
      </c>
      <c r="C999" s="6" t="s">
        <v>2325</v>
      </c>
      <c r="D999" s="6" t="s">
        <v>2326</v>
      </c>
      <c r="E999" s="3" t="s">
        <v>1477</v>
      </c>
      <c r="F999" s="6" t="s">
        <v>2475</v>
      </c>
      <c r="G999" s="6" t="s">
        <v>2476</v>
      </c>
      <c r="H999" s="6" t="s">
        <v>76</v>
      </c>
      <c r="I999" s="6" t="s">
        <v>230</v>
      </c>
      <c r="J999" s="6" t="s">
        <v>53</v>
      </c>
      <c r="K999" s="6" t="s">
        <v>314</v>
      </c>
      <c r="L999" s="6" t="s">
        <v>805</v>
      </c>
      <c r="M999" s="6" t="s">
        <v>476</v>
      </c>
      <c r="N999" s="6" t="s">
        <v>894</v>
      </c>
      <c r="O999" s="6" t="s">
        <v>62</v>
      </c>
      <c r="P999" s="6" t="s">
        <v>2329</v>
      </c>
      <c r="Q999" s="6" t="s">
        <v>96</v>
      </c>
      <c r="R999" s="6" t="s">
        <v>57</v>
      </c>
      <c r="S999" s="6" t="s">
        <v>1215</v>
      </c>
      <c r="T999" s="131">
        <v>4.2009999999999996</v>
      </c>
      <c r="U999" s="6" t="s">
        <v>2477</v>
      </c>
      <c r="V999" s="134">
        <v>4.3749999999999997E-2</v>
      </c>
      <c r="W999" s="132">
        <v>4.0820000000000002E-2</v>
      </c>
      <c r="X999" s="3" t="s">
        <v>620</v>
      </c>
      <c r="Y999" s="3" t="s">
        <v>62</v>
      </c>
      <c r="Z999" s="131">
        <v>5000</v>
      </c>
      <c r="AA999" s="129">
        <v>3.9552</v>
      </c>
      <c r="AB999" s="157">
        <v>102.01</v>
      </c>
      <c r="AD999" s="131">
        <v>20.173999999999999</v>
      </c>
      <c r="AG999" s="6" t="s">
        <v>17</v>
      </c>
      <c r="AH999" s="132">
        <v>3.0000000000000001E-6</v>
      </c>
      <c r="AI999" s="132">
        <v>1.09122457660863E-3</v>
      </c>
      <c r="AJ999" s="132">
        <v>2.3109860414662601E-4</v>
      </c>
    </row>
    <row r="1000" spans="1:36" x14ac:dyDescent="0.2">
      <c r="A1000" s="6">
        <v>559</v>
      </c>
      <c r="B1000" s="6">
        <v>7206</v>
      </c>
      <c r="C1000" s="6" t="s">
        <v>2325</v>
      </c>
      <c r="D1000" s="6" t="s">
        <v>2326</v>
      </c>
      <c r="E1000" s="3" t="s">
        <v>1477</v>
      </c>
      <c r="F1000" s="6" t="s">
        <v>2327</v>
      </c>
      <c r="G1000" s="6" t="s">
        <v>2328</v>
      </c>
      <c r="H1000" s="6" t="s">
        <v>76</v>
      </c>
      <c r="I1000" s="6" t="s">
        <v>230</v>
      </c>
      <c r="J1000" s="6" t="s">
        <v>53</v>
      </c>
      <c r="K1000" s="6" t="s">
        <v>314</v>
      </c>
      <c r="L1000" s="6" t="s">
        <v>805</v>
      </c>
      <c r="M1000" s="6" t="s">
        <v>102</v>
      </c>
      <c r="N1000" s="6" t="s">
        <v>894</v>
      </c>
      <c r="O1000" s="6" t="s">
        <v>62</v>
      </c>
      <c r="P1000" s="6" t="s">
        <v>2329</v>
      </c>
      <c r="Q1000" s="6" t="s">
        <v>96</v>
      </c>
      <c r="R1000" s="6" t="s">
        <v>57</v>
      </c>
      <c r="S1000" s="6" t="s">
        <v>1215</v>
      </c>
      <c r="T1000" s="131">
        <v>3.4660000000000002</v>
      </c>
      <c r="U1000" s="6" t="s">
        <v>2330</v>
      </c>
      <c r="V1000" s="134">
        <v>7.3749999999999996E-2</v>
      </c>
      <c r="W1000" s="132">
        <v>3.9849999999999997E-2</v>
      </c>
      <c r="X1000" s="3" t="s">
        <v>620</v>
      </c>
      <c r="Y1000" s="3" t="s">
        <v>62</v>
      </c>
      <c r="Z1000" s="131">
        <v>2000</v>
      </c>
      <c r="AA1000" s="129">
        <v>3.9552</v>
      </c>
      <c r="AB1000" s="157">
        <v>115.074</v>
      </c>
      <c r="AD1000" s="131">
        <v>9.1029999999999998</v>
      </c>
      <c r="AG1000" s="6" t="s">
        <v>17</v>
      </c>
      <c r="AH1000" s="132">
        <v>3.0000000000000001E-6</v>
      </c>
      <c r="AI1000" s="132">
        <v>4.9238806414366604E-4</v>
      </c>
      <c r="AJ1000" s="132">
        <v>1.0427752156728799E-4</v>
      </c>
    </row>
    <row r="1001" spans="1:36" x14ac:dyDescent="0.2">
      <c r="A1001" s="6">
        <v>559</v>
      </c>
      <c r="B1001" s="6">
        <v>7206</v>
      </c>
      <c r="C1001" s="6" t="s">
        <v>2325</v>
      </c>
      <c r="D1001" s="6" t="s">
        <v>2326</v>
      </c>
      <c r="E1001" s="3" t="s">
        <v>1477</v>
      </c>
      <c r="F1001" s="6" t="s">
        <v>2331</v>
      </c>
      <c r="G1001" s="6" t="s">
        <v>2332</v>
      </c>
      <c r="H1001" s="6" t="s">
        <v>76</v>
      </c>
      <c r="I1001" s="6" t="s">
        <v>230</v>
      </c>
      <c r="J1001" s="6" t="s">
        <v>53</v>
      </c>
      <c r="K1001" s="6" t="s">
        <v>314</v>
      </c>
      <c r="L1001" s="6" t="s">
        <v>805</v>
      </c>
      <c r="M1001" s="6" t="s">
        <v>102</v>
      </c>
      <c r="N1001" s="6" t="s">
        <v>894</v>
      </c>
      <c r="O1001" s="6" t="s">
        <v>62</v>
      </c>
      <c r="P1001" s="6" t="s">
        <v>2329</v>
      </c>
      <c r="Q1001" s="6" t="s">
        <v>96</v>
      </c>
      <c r="R1001" s="6" t="s">
        <v>57</v>
      </c>
      <c r="S1001" s="6" t="s">
        <v>1215</v>
      </c>
      <c r="T1001" s="131">
        <v>4.88</v>
      </c>
      <c r="U1001" s="6" t="s">
        <v>2333</v>
      </c>
      <c r="V1001" s="134">
        <v>7.8750000000000001E-2</v>
      </c>
      <c r="W1001" s="132">
        <v>4.3709999999999999E-2</v>
      </c>
      <c r="X1001" s="3" t="s">
        <v>620</v>
      </c>
      <c r="Y1001" s="3" t="s">
        <v>62</v>
      </c>
      <c r="Z1001" s="131">
        <v>2000</v>
      </c>
      <c r="AA1001" s="129">
        <v>3.9552</v>
      </c>
      <c r="AB1001" s="157">
        <v>121.43300000000001</v>
      </c>
      <c r="AD1001" s="131">
        <v>9.6059999999999999</v>
      </c>
      <c r="AG1001" s="6" t="s">
        <v>17</v>
      </c>
      <c r="AH1001" s="132">
        <v>3.9999999999999998E-6</v>
      </c>
      <c r="AI1001" s="132">
        <v>5.1959541128832802E-4</v>
      </c>
      <c r="AJ1001" s="132">
        <v>1.10039470191287E-4</v>
      </c>
    </row>
    <row r="1002" spans="1:36" x14ac:dyDescent="0.2">
      <c r="A1002" s="6">
        <v>559</v>
      </c>
      <c r="B1002" s="6">
        <v>7206</v>
      </c>
      <c r="C1002" s="6" t="s">
        <v>2481</v>
      </c>
      <c r="D1002" s="6" t="s">
        <v>2482</v>
      </c>
      <c r="E1002" s="3" t="s">
        <v>430</v>
      </c>
      <c r="F1002" s="6" t="s">
        <v>2483</v>
      </c>
      <c r="G1002" s="6" t="s">
        <v>2484</v>
      </c>
      <c r="H1002" s="6" t="s">
        <v>76</v>
      </c>
      <c r="I1002" s="6" t="s">
        <v>230</v>
      </c>
      <c r="J1002" s="6" t="s">
        <v>61</v>
      </c>
      <c r="K1002" s="6" t="s">
        <v>314</v>
      </c>
      <c r="L1002" s="6" t="s">
        <v>805</v>
      </c>
      <c r="M1002" s="6" t="s">
        <v>479</v>
      </c>
      <c r="N1002" s="6" t="s">
        <v>894</v>
      </c>
      <c r="O1002" s="6" t="s">
        <v>62</v>
      </c>
      <c r="P1002" s="6" t="s">
        <v>2223</v>
      </c>
      <c r="Q1002" s="6" t="s">
        <v>96</v>
      </c>
      <c r="R1002" s="6" t="s">
        <v>57</v>
      </c>
      <c r="S1002" s="6" t="s">
        <v>1217</v>
      </c>
      <c r="T1002" s="131">
        <v>1.94</v>
      </c>
      <c r="U1002" s="6" t="s">
        <v>2485</v>
      </c>
      <c r="V1002" s="134">
        <v>2.3E-2</v>
      </c>
      <c r="W1002" s="132">
        <v>4.9959999999999997E-2</v>
      </c>
      <c r="X1002" s="3" t="s">
        <v>620</v>
      </c>
      <c r="Y1002" s="3" t="s">
        <v>62</v>
      </c>
      <c r="Z1002" s="131">
        <v>5000</v>
      </c>
      <c r="AA1002" s="129">
        <v>3.3719999999999999</v>
      </c>
      <c r="AB1002" s="157">
        <v>95.15</v>
      </c>
      <c r="AD1002" s="131">
        <v>16.042000000000002</v>
      </c>
      <c r="AG1002" s="6" t="s">
        <v>17</v>
      </c>
      <c r="AH1002" s="132">
        <v>6.9999999999999999E-6</v>
      </c>
      <c r="AI1002" s="132">
        <v>8.6775791897616397E-4</v>
      </c>
      <c r="AJ1002" s="132">
        <v>1.8377302721298201E-4</v>
      </c>
    </row>
    <row r="1003" spans="1:36" x14ac:dyDescent="0.2">
      <c r="A1003" s="6">
        <v>559</v>
      </c>
      <c r="B1003" s="6">
        <v>7206</v>
      </c>
      <c r="C1003" s="6" t="s">
        <v>2500</v>
      </c>
      <c r="D1003" s="6" t="s">
        <v>2501</v>
      </c>
      <c r="E1003" s="3" t="s">
        <v>1477</v>
      </c>
      <c r="F1003" s="6" t="s">
        <v>2502</v>
      </c>
      <c r="G1003" s="6" t="s">
        <v>2503</v>
      </c>
      <c r="H1003" s="6" t="s">
        <v>76</v>
      </c>
      <c r="I1003" s="6" t="s">
        <v>607</v>
      </c>
      <c r="J1003" s="6" t="s">
        <v>53</v>
      </c>
      <c r="K1003" s="6" t="s">
        <v>53</v>
      </c>
      <c r="L1003" s="6" t="s">
        <v>805</v>
      </c>
      <c r="M1003" s="6" t="s">
        <v>311</v>
      </c>
      <c r="N1003" s="6" t="s">
        <v>257</v>
      </c>
      <c r="O1003" s="6" t="s">
        <v>62</v>
      </c>
      <c r="P1003" s="6" t="s">
        <v>1521</v>
      </c>
      <c r="Q1003" s="6" t="s">
        <v>70</v>
      </c>
      <c r="R1003" s="6" t="s">
        <v>57</v>
      </c>
      <c r="S1003" s="6" t="s">
        <v>1219</v>
      </c>
      <c r="T1003" s="131">
        <v>0.995</v>
      </c>
      <c r="U1003" s="6" t="s">
        <v>1595</v>
      </c>
      <c r="V1003" s="134">
        <v>1.4999999999999999E-2</v>
      </c>
      <c r="W1003" s="132">
        <v>1E-4</v>
      </c>
      <c r="X1003" s="3" t="s">
        <v>620</v>
      </c>
      <c r="Y1003" s="3" t="s">
        <v>62</v>
      </c>
      <c r="Z1003" s="131">
        <v>-666.66</v>
      </c>
      <c r="AA1003" s="129">
        <v>1</v>
      </c>
      <c r="AB1003" s="157">
        <v>188.1</v>
      </c>
      <c r="AD1003" s="131">
        <v>-1.254</v>
      </c>
      <c r="AG1003" s="6" t="s">
        <v>17</v>
      </c>
      <c r="AH1003" s="132">
        <v>-8.9599999999999999E-4</v>
      </c>
      <c r="AI1003" s="132">
        <v>-6.7830482297430298E-5</v>
      </c>
      <c r="AJ1003" s="132">
        <v>-1.43650813164838E-5</v>
      </c>
    </row>
    <row r="1004" spans="1:36" x14ac:dyDescent="0.2">
      <c r="A1004" s="6">
        <v>559</v>
      </c>
      <c r="B1004" s="6">
        <v>7206</v>
      </c>
      <c r="C1004" s="6" t="s">
        <v>2334</v>
      </c>
      <c r="D1004" s="6" t="s">
        <v>2335</v>
      </c>
      <c r="E1004" s="3" t="s">
        <v>767</v>
      </c>
      <c r="F1004" s="6" t="s">
        <v>2336</v>
      </c>
      <c r="G1004" s="6" t="s">
        <v>2337</v>
      </c>
      <c r="H1004" s="6" t="s">
        <v>76</v>
      </c>
      <c r="I1004" s="6" t="s">
        <v>230</v>
      </c>
      <c r="J1004" s="6" t="s">
        <v>53</v>
      </c>
      <c r="K1004" s="6" t="s">
        <v>53</v>
      </c>
      <c r="L1004" s="6" t="s">
        <v>805</v>
      </c>
      <c r="M1004" s="6" t="s">
        <v>311</v>
      </c>
      <c r="N1004" s="6" t="s">
        <v>253</v>
      </c>
      <c r="O1004" s="6" t="s">
        <v>62</v>
      </c>
      <c r="P1004" s="6" t="s">
        <v>1577</v>
      </c>
      <c r="Q1004" s="6" t="s">
        <v>65</v>
      </c>
      <c r="R1004" s="6" t="s">
        <v>57</v>
      </c>
      <c r="S1004" s="6" t="s">
        <v>1219</v>
      </c>
      <c r="T1004" s="131">
        <v>0.501</v>
      </c>
      <c r="U1004" s="6" t="s">
        <v>2338</v>
      </c>
      <c r="V1004" s="134">
        <v>3.3700000000000001E-2</v>
      </c>
      <c r="W1004" s="132">
        <v>5.8880000000000002E-2</v>
      </c>
      <c r="X1004" s="3" t="s">
        <v>620</v>
      </c>
      <c r="Y1004" s="3" t="s">
        <v>62</v>
      </c>
      <c r="Z1004" s="131">
        <v>77000</v>
      </c>
      <c r="AA1004" s="129">
        <v>1</v>
      </c>
      <c r="AB1004" s="157">
        <v>94.4</v>
      </c>
      <c r="AC1004" s="131">
        <v>1.2370000000000001</v>
      </c>
      <c r="AD1004" s="131">
        <v>73.924999999999997</v>
      </c>
      <c r="AG1004" s="6" t="s">
        <v>17</v>
      </c>
      <c r="AH1004" s="132">
        <v>1.1000000000000001E-3</v>
      </c>
      <c r="AI1004" s="132">
        <v>3.9987534788168896E-3</v>
      </c>
      <c r="AJ1004" s="132">
        <v>8.4685257928577705E-4</v>
      </c>
    </row>
    <row r="1005" spans="1:36" x14ac:dyDescent="0.2">
      <c r="A1005" s="6">
        <v>559</v>
      </c>
      <c r="B1005" s="6">
        <v>7206</v>
      </c>
      <c r="C1005" s="6" t="s">
        <v>2111</v>
      </c>
      <c r="D1005" s="6" t="s">
        <v>2112</v>
      </c>
      <c r="E1005" s="3" t="s">
        <v>1477</v>
      </c>
      <c r="F1005" s="6" t="s">
        <v>2339</v>
      </c>
      <c r="G1005" s="6" t="s">
        <v>2340</v>
      </c>
      <c r="H1005" s="6" t="s">
        <v>76</v>
      </c>
      <c r="I1005" s="6" t="s">
        <v>228</v>
      </c>
      <c r="J1005" s="6" t="s">
        <v>53</v>
      </c>
      <c r="K1005" s="6" t="s">
        <v>53</v>
      </c>
      <c r="L1005" s="6" t="s">
        <v>805</v>
      </c>
      <c r="M1005" s="6" t="s">
        <v>311</v>
      </c>
      <c r="N1005" s="6" t="s">
        <v>140</v>
      </c>
      <c r="O1005" s="6" t="s">
        <v>62</v>
      </c>
      <c r="P1005" s="6" t="s">
        <v>1527</v>
      </c>
      <c r="Q1005" s="6" t="s">
        <v>70</v>
      </c>
      <c r="R1005" s="6" t="s">
        <v>57</v>
      </c>
      <c r="S1005" s="6" t="s">
        <v>1219</v>
      </c>
      <c r="T1005" s="131">
        <v>0.99099999999999999</v>
      </c>
      <c r="U1005" s="6" t="s">
        <v>1516</v>
      </c>
      <c r="V1005" s="134">
        <v>0.02</v>
      </c>
      <c r="W1005" s="132">
        <v>4.9880000000000001E-2</v>
      </c>
      <c r="X1005" s="3" t="s">
        <v>620</v>
      </c>
      <c r="Y1005" s="3" t="s">
        <v>62</v>
      </c>
      <c r="Z1005" s="131">
        <v>69000</v>
      </c>
      <c r="AA1005" s="129">
        <v>1</v>
      </c>
      <c r="AB1005" s="157">
        <v>97.18</v>
      </c>
      <c r="AD1005" s="131">
        <v>67.054000000000002</v>
      </c>
      <c r="AG1005" s="6" t="s">
        <v>17</v>
      </c>
      <c r="AH1005" s="132">
        <v>2.9399999999999999E-4</v>
      </c>
      <c r="AI1005" s="132">
        <v>3.62708469673879E-3</v>
      </c>
      <c r="AJ1005" s="132">
        <v>7.6814088365107598E-4</v>
      </c>
    </row>
    <row r="1006" spans="1:36" x14ac:dyDescent="0.2">
      <c r="A1006" s="6">
        <v>559</v>
      </c>
      <c r="B1006" s="6">
        <v>7207</v>
      </c>
      <c r="C1006" s="6" t="s">
        <v>1495</v>
      </c>
      <c r="D1006" s="6" t="s">
        <v>1496</v>
      </c>
      <c r="E1006" s="3" t="s">
        <v>1477</v>
      </c>
      <c r="F1006" s="6" t="s">
        <v>1497</v>
      </c>
      <c r="G1006" s="6" t="s">
        <v>1498</v>
      </c>
      <c r="H1006" s="6" t="s">
        <v>76</v>
      </c>
      <c r="I1006" s="6" t="s">
        <v>230</v>
      </c>
      <c r="J1006" s="6" t="s">
        <v>53</v>
      </c>
      <c r="K1006" s="6" t="s">
        <v>53</v>
      </c>
      <c r="L1006" s="6" t="s">
        <v>805</v>
      </c>
      <c r="M1006" s="6" t="s">
        <v>311</v>
      </c>
      <c r="N1006" s="6" t="s">
        <v>266</v>
      </c>
      <c r="O1006" s="6" t="s">
        <v>62</v>
      </c>
      <c r="P1006" s="6" t="s">
        <v>1493</v>
      </c>
      <c r="Q1006" s="6" t="s">
        <v>65</v>
      </c>
      <c r="R1006" s="6" t="s">
        <v>57</v>
      </c>
      <c r="S1006" s="6" t="s">
        <v>1219</v>
      </c>
      <c r="T1006" s="131">
        <v>0.499</v>
      </c>
      <c r="U1006" s="6" t="s">
        <v>1499</v>
      </c>
      <c r="V1006" s="134">
        <v>3.9E-2</v>
      </c>
      <c r="W1006" s="132">
        <v>5.6660000000000002E-2</v>
      </c>
      <c r="X1006" s="3" t="s">
        <v>620</v>
      </c>
      <c r="Y1006" s="3" t="s">
        <v>62</v>
      </c>
      <c r="Z1006" s="131">
        <v>3000</v>
      </c>
      <c r="AA1006" s="129">
        <v>1</v>
      </c>
      <c r="AB1006" s="157">
        <v>91.65</v>
      </c>
      <c r="AD1006" s="131">
        <v>2.7490000000000001</v>
      </c>
      <c r="AG1006" s="6" t="s">
        <v>17</v>
      </c>
      <c r="AH1006" s="132">
        <v>7.6000000000000004E-5</v>
      </c>
      <c r="AI1006" s="132">
        <v>9.9071949375258503E-5</v>
      </c>
      <c r="AJ1006" s="132">
        <v>2.26225331095756E-5</v>
      </c>
    </row>
    <row r="1007" spans="1:36" x14ac:dyDescent="0.2">
      <c r="A1007" s="6">
        <v>559</v>
      </c>
      <c r="B1007" s="6">
        <v>7207</v>
      </c>
      <c r="C1007" s="6" t="s">
        <v>1500</v>
      </c>
      <c r="D1007" s="6" t="s">
        <v>1501</v>
      </c>
      <c r="E1007" s="3" t="s">
        <v>1477</v>
      </c>
      <c r="F1007" s="6" t="s">
        <v>1502</v>
      </c>
      <c r="G1007" s="6" t="s">
        <v>1503</v>
      </c>
      <c r="H1007" s="6" t="s">
        <v>76</v>
      </c>
      <c r="I1007" s="6" t="s">
        <v>229</v>
      </c>
      <c r="J1007" s="6" t="s">
        <v>53</v>
      </c>
      <c r="K1007" s="6" t="s">
        <v>53</v>
      </c>
      <c r="L1007" s="6" t="s">
        <v>805</v>
      </c>
      <c r="M1007" s="6" t="s">
        <v>102</v>
      </c>
      <c r="N1007" s="6" t="s">
        <v>635</v>
      </c>
      <c r="O1007" s="6" t="s">
        <v>62</v>
      </c>
      <c r="P1007" s="6" t="s">
        <v>298</v>
      </c>
      <c r="Q1007" s="6" t="s">
        <v>298</v>
      </c>
      <c r="R1007" s="6" t="s">
        <v>298</v>
      </c>
      <c r="S1007" s="6" t="s">
        <v>1219</v>
      </c>
      <c r="T1007" s="131">
        <v>2.9169999999999998</v>
      </c>
      <c r="U1007" s="6" t="s">
        <v>1504</v>
      </c>
      <c r="V1007" s="134">
        <v>3.7400000000000003E-2</v>
      </c>
      <c r="W1007" s="132">
        <v>3.1220000000000001E-2</v>
      </c>
      <c r="X1007" s="3" t="s">
        <v>620</v>
      </c>
      <c r="Y1007" s="3" t="s">
        <v>62</v>
      </c>
      <c r="Z1007" s="131">
        <v>69000</v>
      </c>
      <c r="AA1007" s="129">
        <v>1</v>
      </c>
      <c r="AB1007" s="157">
        <v>106.2</v>
      </c>
      <c r="AD1007" s="131">
        <v>73.278000000000006</v>
      </c>
      <c r="AG1007" s="6" t="s">
        <v>17</v>
      </c>
      <c r="AH1007" s="132">
        <v>3.4699999999999998E-4</v>
      </c>
      <c r="AI1007" s="132">
        <v>2.6404052759847999E-3</v>
      </c>
      <c r="AJ1007" s="132">
        <v>6.0292197897926199E-4</v>
      </c>
    </row>
    <row r="1008" spans="1:36" x14ac:dyDescent="0.2">
      <c r="A1008" s="6">
        <v>559</v>
      </c>
      <c r="B1008" s="6">
        <v>7207</v>
      </c>
      <c r="C1008" s="6" t="s">
        <v>2341</v>
      </c>
      <c r="D1008" s="6" t="s">
        <v>2342</v>
      </c>
      <c r="E1008" s="3" t="s">
        <v>767</v>
      </c>
      <c r="F1008" s="6" t="s">
        <v>2343</v>
      </c>
      <c r="G1008" s="6" t="s">
        <v>2344</v>
      </c>
      <c r="H1008" s="6" t="s">
        <v>76</v>
      </c>
      <c r="I1008" s="6" t="s">
        <v>228</v>
      </c>
      <c r="J1008" s="6" t="s">
        <v>53</v>
      </c>
      <c r="K1008" s="6" t="s">
        <v>314</v>
      </c>
      <c r="L1008" s="6" t="s">
        <v>69</v>
      </c>
      <c r="M1008" s="6" t="s">
        <v>311</v>
      </c>
      <c r="N1008" s="6" t="s">
        <v>636</v>
      </c>
      <c r="O1008" s="6" t="s">
        <v>62</v>
      </c>
      <c r="P1008" s="6" t="s">
        <v>1753</v>
      </c>
      <c r="Q1008" s="6" t="s">
        <v>70</v>
      </c>
      <c r="R1008" s="6" t="s">
        <v>57</v>
      </c>
      <c r="S1008" s="6" t="s">
        <v>1219</v>
      </c>
      <c r="T1008" s="131">
        <v>0</v>
      </c>
      <c r="U1008" s="6" t="s">
        <v>2345</v>
      </c>
      <c r="V1008" s="134">
        <v>7.0000000000000007E-2</v>
      </c>
      <c r="W1008" s="132">
        <v>0</v>
      </c>
      <c r="X1008" s="3" t="s">
        <v>620</v>
      </c>
      <c r="Y1008" s="3" t="s">
        <v>62</v>
      </c>
      <c r="Z1008" s="131">
        <v>19881.53</v>
      </c>
      <c r="AA1008" s="129">
        <v>1</v>
      </c>
      <c r="AB1008" s="157">
        <v>0</v>
      </c>
      <c r="AD1008" s="131">
        <v>0</v>
      </c>
      <c r="AG1008" s="6" t="s">
        <v>17</v>
      </c>
      <c r="AH1008" s="132">
        <v>0</v>
      </c>
      <c r="AI1008" s="132">
        <v>7.1638550051379694E-12</v>
      </c>
      <c r="AJ1008" s="132">
        <v>1.63582677102753E-12</v>
      </c>
    </row>
    <row r="1009" spans="1:36" x14ac:dyDescent="0.2">
      <c r="A1009" s="6">
        <v>559</v>
      </c>
      <c r="B1009" s="6">
        <v>7207</v>
      </c>
      <c r="C1009" s="6" t="s">
        <v>1505</v>
      </c>
      <c r="D1009" s="6" t="s">
        <v>1506</v>
      </c>
      <c r="E1009" s="3" t="s">
        <v>1477</v>
      </c>
      <c r="F1009" s="6" t="s">
        <v>1507</v>
      </c>
      <c r="G1009" s="6" t="s">
        <v>1508</v>
      </c>
      <c r="H1009" s="6" t="s">
        <v>76</v>
      </c>
      <c r="I1009" s="6" t="s">
        <v>228</v>
      </c>
      <c r="J1009" s="6" t="s">
        <v>53</v>
      </c>
      <c r="K1009" s="6" t="s">
        <v>53</v>
      </c>
      <c r="L1009" s="6" t="s">
        <v>805</v>
      </c>
      <c r="M1009" s="6" t="s">
        <v>102</v>
      </c>
      <c r="N1009" s="6" t="s">
        <v>140</v>
      </c>
      <c r="O1009" s="6" t="s">
        <v>62</v>
      </c>
      <c r="P1009" s="6" t="s">
        <v>1355</v>
      </c>
      <c r="Q1009" s="6" t="s">
        <v>70</v>
      </c>
      <c r="R1009" s="6" t="s">
        <v>57</v>
      </c>
      <c r="S1009" s="6" t="s">
        <v>1219</v>
      </c>
      <c r="T1009" s="131">
        <v>2.2349999999999999</v>
      </c>
      <c r="U1009" s="6" t="s">
        <v>1509</v>
      </c>
      <c r="V1009" s="134">
        <v>0.08</v>
      </c>
      <c r="W1009" s="132">
        <v>6.1850000000000002E-2</v>
      </c>
      <c r="X1009" s="3" t="s">
        <v>620</v>
      </c>
      <c r="Y1009" s="3" t="s">
        <v>62</v>
      </c>
      <c r="Z1009" s="131">
        <v>42631.58</v>
      </c>
      <c r="AA1009" s="129">
        <v>1</v>
      </c>
      <c r="AB1009" s="157">
        <v>104.13200000000001</v>
      </c>
      <c r="AC1009" s="131">
        <v>4.1680000000000001</v>
      </c>
      <c r="AD1009" s="131">
        <v>48.561</v>
      </c>
      <c r="AG1009" s="6" t="s">
        <v>17</v>
      </c>
      <c r="AH1009" s="132">
        <v>0</v>
      </c>
      <c r="AI1009" s="132">
        <v>1.7498006827788E-3</v>
      </c>
      <c r="AJ1009" s="132">
        <v>3.99557333139617E-4</v>
      </c>
    </row>
    <row r="1010" spans="1:36" x14ac:dyDescent="0.2">
      <c r="A1010" s="6">
        <v>559</v>
      </c>
      <c r="B1010" s="6">
        <v>7207</v>
      </c>
      <c r="C1010" s="6" t="s">
        <v>1505</v>
      </c>
      <c r="D1010" s="6" t="s">
        <v>1506</v>
      </c>
      <c r="E1010" s="3" t="s">
        <v>1477</v>
      </c>
      <c r="F1010" s="6" t="s">
        <v>1510</v>
      </c>
      <c r="G1010" s="6" t="s">
        <v>1508</v>
      </c>
      <c r="H1010" s="6" t="s">
        <v>76</v>
      </c>
      <c r="I1010" s="6" t="s">
        <v>228</v>
      </c>
      <c r="J1010" s="6" t="s">
        <v>53</v>
      </c>
      <c r="K1010" s="6" t="s">
        <v>53</v>
      </c>
      <c r="L1010" s="6" t="s">
        <v>54</v>
      </c>
      <c r="M1010" s="6" t="s">
        <v>1227</v>
      </c>
      <c r="N1010" s="6" t="s">
        <v>140</v>
      </c>
      <c r="O1010" s="6" t="s">
        <v>62</v>
      </c>
      <c r="P1010" s="6" t="s">
        <v>298</v>
      </c>
      <c r="Q1010" s="6" t="s">
        <v>298</v>
      </c>
      <c r="R1010" s="6" t="s">
        <v>298</v>
      </c>
      <c r="S1010" s="6" t="s">
        <v>1219</v>
      </c>
      <c r="T1010" s="131">
        <v>2.6429999999999998</v>
      </c>
      <c r="U1010" s="6" t="s">
        <v>1509</v>
      </c>
      <c r="V1010" s="134">
        <v>0.08</v>
      </c>
      <c r="W1010" s="132">
        <v>6.0499999999999998E-2</v>
      </c>
      <c r="X1010" s="3" t="s">
        <v>620</v>
      </c>
      <c r="Y1010" s="3" t="s">
        <v>62</v>
      </c>
      <c r="Z1010" s="131">
        <v>-2368.42</v>
      </c>
      <c r="AA1010" s="129">
        <v>1</v>
      </c>
      <c r="AB1010" s="157">
        <v>106.14</v>
      </c>
      <c r="AD1010" s="131">
        <v>-2.5139999999999998</v>
      </c>
      <c r="AG1010" s="6" t="s">
        <v>17</v>
      </c>
      <c r="AH1010" s="132">
        <v>0</v>
      </c>
      <c r="AI1010" s="132">
        <v>-9.0580515403013606E-5</v>
      </c>
      <c r="AJ1010" s="132">
        <v>-2.06835610049966E-5</v>
      </c>
    </row>
    <row r="1011" spans="1:36" x14ac:dyDescent="0.2">
      <c r="A1011" s="6">
        <v>559</v>
      </c>
      <c r="B1011" s="6">
        <v>7207</v>
      </c>
      <c r="C1011" s="6" t="s">
        <v>1511</v>
      </c>
      <c r="D1011" s="6" t="s">
        <v>1512</v>
      </c>
      <c r="E1011" s="3" t="s">
        <v>1477</v>
      </c>
      <c r="F1011" s="6" t="s">
        <v>1513</v>
      </c>
      <c r="G1011" s="6" t="s">
        <v>1514</v>
      </c>
      <c r="H1011" s="6" t="s">
        <v>76</v>
      </c>
      <c r="I1011" s="6" t="s">
        <v>228</v>
      </c>
      <c r="J1011" s="6" t="s">
        <v>53</v>
      </c>
      <c r="K1011" s="6" t="s">
        <v>53</v>
      </c>
      <c r="L1011" s="6" t="s">
        <v>805</v>
      </c>
      <c r="M1011" s="6" t="s">
        <v>311</v>
      </c>
      <c r="N1011" s="6" t="s">
        <v>258</v>
      </c>
      <c r="O1011" s="6" t="s">
        <v>62</v>
      </c>
      <c r="P1011" s="6" t="s">
        <v>1515</v>
      </c>
      <c r="Q1011" s="6" t="s">
        <v>65</v>
      </c>
      <c r="R1011" s="6" t="s">
        <v>57</v>
      </c>
      <c r="S1011" s="6" t="s">
        <v>1219</v>
      </c>
      <c r="T1011" s="131">
        <v>0.98099999999999998</v>
      </c>
      <c r="U1011" s="6" t="s">
        <v>1516</v>
      </c>
      <c r="V1011" s="134">
        <v>3.2500000000000001E-2</v>
      </c>
      <c r="W1011" s="132">
        <v>5.7090000000000002E-2</v>
      </c>
      <c r="X1011" s="3" t="s">
        <v>620</v>
      </c>
      <c r="Y1011" s="3" t="s">
        <v>62</v>
      </c>
      <c r="Z1011" s="131">
        <v>66500.66</v>
      </c>
      <c r="AA1011" s="129">
        <v>1</v>
      </c>
      <c r="AB1011" s="157">
        <v>97.74</v>
      </c>
      <c r="AD1011" s="131">
        <v>64.998000000000005</v>
      </c>
      <c r="AG1011" s="6" t="s">
        <v>17</v>
      </c>
      <c r="AH1011" s="132">
        <v>1.524E-3</v>
      </c>
      <c r="AI1011" s="132">
        <v>2.34204521202692E-3</v>
      </c>
      <c r="AJ1011" s="132">
        <v>5.3479310427733903E-4</v>
      </c>
    </row>
    <row r="1012" spans="1:36" x14ac:dyDescent="0.2">
      <c r="A1012" s="6">
        <v>559</v>
      </c>
      <c r="B1012" s="6">
        <v>7207</v>
      </c>
      <c r="C1012" s="6" t="s">
        <v>1517</v>
      </c>
      <c r="D1012" s="6" t="s">
        <v>1518</v>
      </c>
      <c r="E1012" s="3" t="s">
        <v>1477</v>
      </c>
      <c r="F1012" s="6" t="s">
        <v>1519</v>
      </c>
      <c r="G1012" s="6" t="s">
        <v>1520</v>
      </c>
      <c r="H1012" s="6" t="s">
        <v>76</v>
      </c>
      <c r="I1012" s="6" t="s">
        <v>228</v>
      </c>
      <c r="J1012" s="6" t="s">
        <v>53</v>
      </c>
      <c r="K1012" s="6" t="s">
        <v>53</v>
      </c>
      <c r="L1012" s="6" t="s">
        <v>805</v>
      </c>
      <c r="M1012" s="6" t="s">
        <v>102</v>
      </c>
      <c r="N1012" s="6" t="s">
        <v>140</v>
      </c>
      <c r="O1012" s="6" t="s">
        <v>62</v>
      </c>
      <c r="P1012" s="6" t="s">
        <v>1521</v>
      </c>
      <c r="Q1012" s="6" t="s">
        <v>70</v>
      </c>
      <c r="R1012" s="6" t="s">
        <v>57</v>
      </c>
      <c r="S1012" s="6" t="s">
        <v>1219</v>
      </c>
      <c r="T1012" s="131">
        <v>4.835</v>
      </c>
      <c r="U1012" s="6" t="s">
        <v>1522</v>
      </c>
      <c r="V1012" s="134">
        <v>5.7700000000000001E-2</v>
      </c>
      <c r="W1012" s="132">
        <v>5.321E-2</v>
      </c>
      <c r="X1012" s="3" t="s">
        <v>620</v>
      </c>
      <c r="Y1012" s="3" t="s">
        <v>62</v>
      </c>
      <c r="Z1012" s="131">
        <v>16000</v>
      </c>
      <c r="AA1012" s="129">
        <v>1</v>
      </c>
      <c r="AB1012" s="157">
        <v>102.7</v>
      </c>
      <c r="AD1012" s="131">
        <v>16.431999999999999</v>
      </c>
      <c r="AG1012" s="6" t="s">
        <v>17</v>
      </c>
      <c r="AH1012" s="132">
        <v>6.2000000000000003E-5</v>
      </c>
      <c r="AI1012" s="132">
        <v>5.9208956978877895E-4</v>
      </c>
      <c r="AJ1012" s="132">
        <v>1.35200387000017E-4</v>
      </c>
    </row>
    <row r="1013" spans="1:36" x14ac:dyDescent="0.2">
      <c r="A1013" s="6">
        <v>559</v>
      </c>
      <c r="B1013" s="6">
        <v>7207</v>
      </c>
      <c r="C1013" s="6" t="s">
        <v>1523</v>
      </c>
      <c r="D1013" s="6" t="s">
        <v>1524</v>
      </c>
      <c r="E1013" s="3" t="s">
        <v>1477</v>
      </c>
      <c r="F1013" s="6" t="s">
        <v>1525</v>
      </c>
      <c r="G1013" s="6" t="s">
        <v>1526</v>
      </c>
      <c r="H1013" s="6" t="s">
        <v>76</v>
      </c>
      <c r="I1013" s="6" t="s">
        <v>228</v>
      </c>
      <c r="J1013" s="6" t="s">
        <v>53</v>
      </c>
      <c r="K1013" s="6" t="s">
        <v>53</v>
      </c>
      <c r="L1013" s="6" t="s">
        <v>805</v>
      </c>
      <c r="M1013" s="6" t="s">
        <v>311</v>
      </c>
      <c r="N1013" s="6" t="s">
        <v>269</v>
      </c>
      <c r="O1013" s="6" t="s">
        <v>62</v>
      </c>
      <c r="P1013" s="6" t="s">
        <v>1527</v>
      </c>
      <c r="Q1013" s="6" t="s">
        <v>70</v>
      </c>
      <c r="R1013" s="6" t="s">
        <v>57</v>
      </c>
      <c r="S1013" s="6" t="s">
        <v>1219</v>
      </c>
      <c r="T1013" s="131">
        <v>0.375</v>
      </c>
      <c r="U1013" s="6" t="s">
        <v>1528</v>
      </c>
      <c r="V1013" s="134">
        <v>3.27E-2</v>
      </c>
      <c r="W1013" s="132">
        <v>5.1979999999999998E-2</v>
      </c>
      <c r="X1013" s="3" t="s">
        <v>620</v>
      </c>
      <c r="Y1013" s="3" t="s">
        <v>62</v>
      </c>
      <c r="Z1013" s="131">
        <v>179000</v>
      </c>
      <c r="AA1013" s="129">
        <v>1</v>
      </c>
      <c r="AB1013" s="157">
        <v>99.72</v>
      </c>
      <c r="AD1013" s="131">
        <v>178.499</v>
      </c>
      <c r="AG1013" s="6" t="s">
        <v>17</v>
      </c>
      <c r="AH1013" s="132">
        <v>5.6700000000000001E-4</v>
      </c>
      <c r="AI1013" s="132">
        <v>6.4317963546624496E-3</v>
      </c>
      <c r="AJ1013" s="132">
        <v>1.46866521659193E-3</v>
      </c>
    </row>
    <row r="1014" spans="1:36" x14ac:dyDescent="0.2">
      <c r="A1014" s="6">
        <v>559</v>
      </c>
      <c r="B1014" s="6">
        <v>7207</v>
      </c>
      <c r="C1014" s="6" t="s">
        <v>1529</v>
      </c>
      <c r="D1014" s="6" t="s">
        <v>1530</v>
      </c>
      <c r="E1014" s="3" t="s">
        <v>1477</v>
      </c>
      <c r="F1014" s="6" t="s">
        <v>1531</v>
      </c>
      <c r="G1014" s="6" t="s">
        <v>1532</v>
      </c>
      <c r="H1014" s="6" t="s">
        <v>76</v>
      </c>
      <c r="I1014" s="6" t="s">
        <v>228</v>
      </c>
      <c r="J1014" s="6" t="s">
        <v>53</v>
      </c>
      <c r="K1014" s="6" t="s">
        <v>53</v>
      </c>
      <c r="L1014" s="6" t="s">
        <v>805</v>
      </c>
      <c r="M1014" s="6" t="s">
        <v>311</v>
      </c>
      <c r="N1014" s="6" t="s">
        <v>265</v>
      </c>
      <c r="O1014" s="6" t="s">
        <v>62</v>
      </c>
      <c r="P1014" s="6" t="s">
        <v>1533</v>
      </c>
      <c r="Q1014" s="6" t="s">
        <v>65</v>
      </c>
      <c r="R1014" s="6" t="s">
        <v>57</v>
      </c>
      <c r="S1014" s="6" t="s">
        <v>1219</v>
      </c>
      <c r="T1014" s="131">
        <v>7.3310000000000004</v>
      </c>
      <c r="U1014" s="6" t="s">
        <v>1534</v>
      </c>
      <c r="V1014" s="134">
        <v>2.4E-2</v>
      </c>
      <c r="W1014" s="132">
        <v>4.6940000000000003E-2</v>
      </c>
      <c r="X1014" s="3" t="s">
        <v>620</v>
      </c>
      <c r="Y1014" s="3" t="s">
        <v>62</v>
      </c>
      <c r="Z1014" s="131">
        <v>54000</v>
      </c>
      <c r="AA1014" s="129">
        <v>1</v>
      </c>
      <c r="AB1014" s="157">
        <v>84.92</v>
      </c>
      <c r="AD1014" s="131">
        <v>45.856999999999999</v>
      </c>
      <c r="AG1014" s="6" t="s">
        <v>17</v>
      </c>
      <c r="AH1014" s="132">
        <v>3.4E-5</v>
      </c>
      <c r="AI1014" s="132">
        <v>1.6523449965853299E-3</v>
      </c>
      <c r="AJ1014" s="132">
        <v>3.7730386481148799E-4</v>
      </c>
    </row>
    <row r="1015" spans="1:36" x14ac:dyDescent="0.2">
      <c r="A1015" s="6">
        <v>559</v>
      </c>
      <c r="B1015" s="6">
        <v>7207</v>
      </c>
      <c r="C1015" s="6" t="s">
        <v>1535</v>
      </c>
      <c r="D1015" s="6" t="s">
        <v>1536</v>
      </c>
      <c r="E1015" s="3" t="s">
        <v>1477</v>
      </c>
      <c r="F1015" s="6" t="s">
        <v>1537</v>
      </c>
      <c r="G1015" s="6" t="s">
        <v>1538</v>
      </c>
      <c r="H1015" s="6" t="s">
        <v>76</v>
      </c>
      <c r="I1015" s="6" t="s">
        <v>229</v>
      </c>
      <c r="J1015" s="6" t="s">
        <v>53</v>
      </c>
      <c r="K1015" s="6" t="s">
        <v>53</v>
      </c>
      <c r="L1015" s="6" t="s">
        <v>805</v>
      </c>
      <c r="M1015" s="6" t="s">
        <v>311</v>
      </c>
      <c r="N1015" s="6" t="s">
        <v>635</v>
      </c>
      <c r="O1015" s="6" t="s">
        <v>62</v>
      </c>
      <c r="P1015" s="6" t="s">
        <v>1533</v>
      </c>
      <c r="Q1015" s="6" t="s">
        <v>65</v>
      </c>
      <c r="R1015" s="6" t="s">
        <v>57</v>
      </c>
      <c r="S1015" s="6" t="s">
        <v>1219</v>
      </c>
      <c r="T1015" s="131">
        <v>2.0139999999999998</v>
      </c>
      <c r="U1015" s="6" t="s">
        <v>1539</v>
      </c>
      <c r="V1015" s="134">
        <v>2.3400000000000001E-2</v>
      </c>
      <c r="W1015" s="132">
        <v>2.8719999999999999E-2</v>
      </c>
      <c r="X1015" s="3" t="s">
        <v>620</v>
      </c>
      <c r="Y1015" s="3" t="s">
        <v>62</v>
      </c>
      <c r="Z1015" s="131">
        <v>48000.82</v>
      </c>
      <c r="AA1015" s="129">
        <v>1</v>
      </c>
      <c r="AB1015" s="157">
        <v>116.49</v>
      </c>
      <c r="AD1015" s="131">
        <v>55.915999999999997</v>
      </c>
      <c r="AG1015" s="6" t="s">
        <v>17</v>
      </c>
      <c r="AH1015" s="132">
        <v>2.9E-5</v>
      </c>
      <c r="AI1015" s="132">
        <v>2.0148108743469001E-3</v>
      </c>
      <c r="AJ1015" s="132">
        <v>4.6007094845585501E-4</v>
      </c>
    </row>
    <row r="1016" spans="1:36" x14ac:dyDescent="0.2">
      <c r="A1016" s="6">
        <v>559</v>
      </c>
      <c r="B1016" s="6">
        <v>7207</v>
      </c>
      <c r="C1016" s="6" t="s">
        <v>1540</v>
      </c>
      <c r="D1016" s="6" t="s">
        <v>1541</v>
      </c>
      <c r="E1016" s="3" t="s">
        <v>1477</v>
      </c>
      <c r="F1016" s="6" t="s">
        <v>1542</v>
      </c>
      <c r="G1016" s="6" t="s">
        <v>1543</v>
      </c>
      <c r="H1016" s="6" t="s">
        <v>76</v>
      </c>
      <c r="I1016" s="6" t="s">
        <v>607</v>
      </c>
      <c r="J1016" s="6" t="s">
        <v>53</v>
      </c>
      <c r="K1016" s="6" t="s">
        <v>53</v>
      </c>
      <c r="L1016" s="6" t="s">
        <v>805</v>
      </c>
      <c r="M1016" s="6" t="s">
        <v>311</v>
      </c>
      <c r="N1016" s="6" t="s">
        <v>259</v>
      </c>
      <c r="O1016" s="6" t="s">
        <v>62</v>
      </c>
      <c r="P1016" s="6" t="s">
        <v>298</v>
      </c>
      <c r="Q1016" s="6" t="s">
        <v>298</v>
      </c>
      <c r="R1016" s="6" t="s">
        <v>298</v>
      </c>
      <c r="S1016" s="6" t="s">
        <v>1219</v>
      </c>
      <c r="T1016" s="131">
        <v>2.839</v>
      </c>
      <c r="U1016" s="6" t="s">
        <v>1544</v>
      </c>
      <c r="V1016" s="134">
        <v>4.8500000000000001E-2</v>
      </c>
      <c r="W1016" s="132">
        <v>1E-4</v>
      </c>
      <c r="X1016" s="3" t="s">
        <v>620</v>
      </c>
      <c r="Y1016" s="3" t="s">
        <v>62</v>
      </c>
      <c r="Z1016" s="131">
        <v>64000</v>
      </c>
      <c r="AA1016" s="129">
        <v>1</v>
      </c>
      <c r="AB1016" s="157">
        <v>115</v>
      </c>
      <c r="AD1016" s="131">
        <v>73.599999999999994</v>
      </c>
      <c r="AG1016" s="6" t="s">
        <v>17</v>
      </c>
      <c r="AH1016" s="132">
        <v>2.13E-4</v>
      </c>
      <c r="AI1016" s="132">
        <v>2.6520078101542198E-3</v>
      </c>
      <c r="AJ1016" s="132">
        <v>6.0557135365148695E-4</v>
      </c>
    </row>
    <row r="1017" spans="1:36" x14ac:dyDescent="0.2">
      <c r="A1017" s="6">
        <v>559</v>
      </c>
      <c r="B1017" s="6">
        <v>7207</v>
      </c>
      <c r="C1017" s="6" t="s">
        <v>1545</v>
      </c>
      <c r="D1017" s="6" t="s">
        <v>1546</v>
      </c>
      <c r="E1017" s="3" t="s">
        <v>1477</v>
      </c>
      <c r="F1017" s="6" t="s">
        <v>2346</v>
      </c>
      <c r="G1017" s="6" t="s">
        <v>2347</v>
      </c>
      <c r="H1017" s="6" t="s">
        <v>76</v>
      </c>
      <c r="I1017" s="6" t="s">
        <v>230</v>
      </c>
      <c r="J1017" s="6" t="s">
        <v>53</v>
      </c>
      <c r="K1017" s="6" t="s">
        <v>317</v>
      </c>
      <c r="L1017" s="6" t="s">
        <v>805</v>
      </c>
      <c r="M1017" s="6" t="s">
        <v>311</v>
      </c>
      <c r="N1017" s="6" t="s">
        <v>638</v>
      </c>
      <c r="O1017" s="6" t="s">
        <v>62</v>
      </c>
      <c r="P1017" s="6" t="s">
        <v>1339</v>
      </c>
      <c r="Q1017" s="6" t="s">
        <v>65</v>
      </c>
      <c r="R1017" s="6" t="s">
        <v>57</v>
      </c>
      <c r="S1017" s="6" t="s">
        <v>1219</v>
      </c>
      <c r="T1017" s="131">
        <v>4.867</v>
      </c>
      <c r="U1017" s="6" t="s">
        <v>2348</v>
      </c>
      <c r="V1017" s="134">
        <v>2.6700000000000002E-2</v>
      </c>
      <c r="W1017" s="132">
        <v>5.0970000000000001E-2</v>
      </c>
      <c r="X1017" s="3" t="s">
        <v>620</v>
      </c>
      <c r="Y1017" s="3" t="s">
        <v>62</v>
      </c>
      <c r="Z1017" s="131">
        <v>115977.08</v>
      </c>
      <c r="AA1017" s="129">
        <v>1</v>
      </c>
      <c r="AB1017" s="157">
        <v>92</v>
      </c>
      <c r="AD1017" s="131">
        <v>106.699</v>
      </c>
      <c r="AG1017" s="6" t="s">
        <v>17</v>
      </c>
      <c r="AH1017" s="132">
        <v>7.3800000000000005E-4</v>
      </c>
      <c r="AI1017" s="132">
        <v>3.8446515244860099E-3</v>
      </c>
      <c r="AJ1017" s="132">
        <v>8.7790496660183502E-4</v>
      </c>
    </row>
    <row r="1018" spans="1:36" x14ac:dyDescent="0.2">
      <c r="A1018" s="6">
        <v>559</v>
      </c>
      <c r="B1018" s="6">
        <v>7207</v>
      </c>
      <c r="C1018" s="6" t="s">
        <v>1545</v>
      </c>
      <c r="D1018" s="6" t="s">
        <v>1546</v>
      </c>
      <c r="E1018" s="3" t="s">
        <v>1477</v>
      </c>
      <c r="F1018" s="6" t="s">
        <v>1547</v>
      </c>
      <c r="G1018" s="6" t="s">
        <v>1548</v>
      </c>
      <c r="H1018" s="6" t="s">
        <v>76</v>
      </c>
      <c r="I1018" s="6" t="s">
        <v>228</v>
      </c>
      <c r="J1018" s="6" t="s">
        <v>53</v>
      </c>
      <c r="K1018" s="6" t="s">
        <v>317</v>
      </c>
      <c r="L1018" s="6" t="s">
        <v>805</v>
      </c>
      <c r="M1018" s="6" t="s">
        <v>311</v>
      </c>
      <c r="N1018" s="6" t="s">
        <v>638</v>
      </c>
      <c r="O1018" s="6" t="s">
        <v>62</v>
      </c>
      <c r="P1018" s="6" t="s">
        <v>1339</v>
      </c>
      <c r="Q1018" s="6" t="s">
        <v>65</v>
      </c>
      <c r="R1018" s="6" t="s">
        <v>57</v>
      </c>
      <c r="S1018" s="6" t="s">
        <v>1219</v>
      </c>
      <c r="T1018" s="131">
        <v>2.4220000000000002</v>
      </c>
      <c r="U1018" s="6" t="s">
        <v>1549</v>
      </c>
      <c r="V1018" s="134">
        <v>1.0800000000000001E-2</v>
      </c>
      <c r="W1018" s="132">
        <v>4.3990000000000001E-2</v>
      </c>
      <c r="X1018" s="3" t="s">
        <v>620</v>
      </c>
      <c r="Y1018" s="3" t="s">
        <v>62</v>
      </c>
      <c r="Z1018" s="131">
        <v>180000.3</v>
      </c>
      <c r="AA1018" s="129">
        <v>1</v>
      </c>
      <c r="AB1018" s="157">
        <v>92.42</v>
      </c>
      <c r="AD1018" s="131">
        <v>166.35599999999999</v>
      </c>
      <c r="AG1018" s="6" t="s">
        <v>17</v>
      </c>
      <c r="AH1018" s="132">
        <v>2.4000000000000001E-4</v>
      </c>
      <c r="AI1018" s="132">
        <v>5.9942682956752799E-3</v>
      </c>
      <c r="AJ1018" s="132">
        <v>1.36875809794511E-3</v>
      </c>
    </row>
    <row r="1019" spans="1:36" x14ac:dyDescent="0.2">
      <c r="A1019" s="6">
        <v>559</v>
      </c>
      <c r="B1019" s="6">
        <v>7207</v>
      </c>
      <c r="C1019" s="6" t="s">
        <v>1550</v>
      </c>
      <c r="D1019" s="6" t="s">
        <v>1551</v>
      </c>
      <c r="E1019" s="3" t="s">
        <v>1477</v>
      </c>
      <c r="F1019" s="6" t="s">
        <v>1552</v>
      </c>
      <c r="G1019" s="6" t="s">
        <v>1553</v>
      </c>
      <c r="H1019" s="6" t="s">
        <v>76</v>
      </c>
      <c r="I1019" s="6" t="s">
        <v>228</v>
      </c>
      <c r="J1019" s="6" t="s">
        <v>53</v>
      </c>
      <c r="K1019" s="6" t="s">
        <v>53</v>
      </c>
      <c r="L1019" s="6" t="s">
        <v>805</v>
      </c>
      <c r="M1019" s="6" t="s">
        <v>311</v>
      </c>
      <c r="N1019" s="6" t="s">
        <v>258</v>
      </c>
      <c r="O1019" s="6" t="s">
        <v>62</v>
      </c>
      <c r="P1019" s="6" t="s">
        <v>1493</v>
      </c>
      <c r="Q1019" s="6" t="s">
        <v>65</v>
      </c>
      <c r="R1019" s="6" t="s">
        <v>57</v>
      </c>
      <c r="S1019" s="6" t="s">
        <v>1219</v>
      </c>
      <c r="T1019" s="131">
        <v>0.76400000000000001</v>
      </c>
      <c r="U1019" s="6" t="s">
        <v>1554</v>
      </c>
      <c r="V1019" s="134">
        <v>3.2500000000000001E-2</v>
      </c>
      <c r="W1019" s="132">
        <v>5.1630000000000002E-2</v>
      </c>
      <c r="X1019" s="3" t="s">
        <v>620</v>
      </c>
      <c r="Y1019" s="3" t="s">
        <v>62</v>
      </c>
      <c r="Z1019" s="131">
        <v>264000.76</v>
      </c>
      <c r="AA1019" s="129">
        <v>1</v>
      </c>
      <c r="AB1019" s="157">
        <v>99.33</v>
      </c>
      <c r="AD1019" s="131">
        <v>262.23200000000003</v>
      </c>
      <c r="AG1019" s="6" t="s">
        <v>17</v>
      </c>
      <c r="AH1019" s="132">
        <v>9.2400000000000002E-4</v>
      </c>
      <c r="AI1019" s="132">
        <v>9.4489292457612204E-3</v>
      </c>
      <c r="AJ1019" s="132">
        <v>2.1576108682651298E-3</v>
      </c>
    </row>
    <row r="1020" spans="1:36" x14ac:dyDescent="0.2">
      <c r="A1020" s="6">
        <v>559</v>
      </c>
      <c r="B1020" s="6">
        <v>7207</v>
      </c>
      <c r="C1020" s="6" t="s">
        <v>1555</v>
      </c>
      <c r="D1020" s="6" t="s">
        <v>1556</v>
      </c>
      <c r="E1020" s="3" t="s">
        <v>1477</v>
      </c>
      <c r="F1020" s="6" t="s">
        <v>1557</v>
      </c>
      <c r="G1020" s="6" t="s">
        <v>1558</v>
      </c>
      <c r="H1020" s="6" t="s">
        <v>76</v>
      </c>
      <c r="I1020" s="6" t="s">
        <v>228</v>
      </c>
      <c r="J1020" s="6" t="s">
        <v>53</v>
      </c>
      <c r="K1020" s="6" t="s">
        <v>53</v>
      </c>
      <c r="L1020" s="6" t="s">
        <v>805</v>
      </c>
      <c r="M1020" s="6" t="s">
        <v>311</v>
      </c>
      <c r="N1020" s="6" t="s">
        <v>258</v>
      </c>
      <c r="O1020" s="6" t="s">
        <v>62</v>
      </c>
      <c r="P1020" s="6" t="s">
        <v>1493</v>
      </c>
      <c r="Q1020" s="6" t="s">
        <v>65</v>
      </c>
      <c r="R1020" s="6" t="s">
        <v>57</v>
      </c>
      <c r="S1020" s="6" t="s">
        <v>1219</v>
      </c>
      <c r="T1020" s="131">
        <v>0.97899999999999998</v>
      </c>
      <c r="U1020" s="6" t="s">
        <v>1559</v>
      </c>
      <c r="V1020" s="134">
        <v>2.8000000000000001E-2</v>
      </c>
      <c r="W1020" s="132">
        <v>4.9489999999999999E-2</v>
      </c>
      <c r="X1020" s="3" t="s">
        <v>620</v>
      </c>
      <c r="Y1020" s="3" t="s">
        <v>62</v>
      </c>
      <c r="Z1020" s="131">
        <v>22000</v>
      </c>
      <c r="AA1020" s="129">
        <v>1</v>
      </c>
      <c r="AB1020" s="157">
        <v>98.02</v>
      </c>
      <c r="AD1020" s="131">
        <v>21.564</v>
      </c>
      <c r="AG1020" s="6" t="s">
        <v>17</v>
      </c>
      <c r="AH1020" s="132">
        <v>1.27E-4</v>
      </c>
      <c r="AI1020" s="132">
        <v>7.7702387528926203E-4</v>
      </c>
      <c r="AJ1020" s="132">
        <v>1.77429115471225E-4</v>
      </c>
    </row>
    <row r="1021" spans="1:36" x14ac:dyDescent="0.2">
      <c r="A1021" s="6">
        <v>559</v>
      </c>
      <c r="B1021" s="6">
        <v>7207</v>
      </c>
      <c r="C1021" s="6" t="s">
        <v>1560</v>
      </c>
      <c r="D1021" s="6" t="s">
        <v>1561</v>
      </c>
      <c r="E1021" s="3" t="s">
        <v>1477</v>
      </c>
      <c r="F1021" s="6" t="s">
        <v>1562</v>
      </c>
      <c r="G1021" s="6" t="s">
        <v>1563</v>
      </c>
      <c r="H1021" s="6" t="s">
        <v>76</v>
      </c>
      <c r="I1021" s="6" t="s">
        <v>228</v>
      </c>
      <c r="J1021" s="6" t="s">
        <v>53</v>
      </c>
      <c r="K1021" s="6" t="s">
        <v>53</v>
      </c>
      <c r="L1021" s="6" t="s">
        <v>805</v>
      </c>
      <c r="M1021" s="6" t="s">
        <v>102</v>
      </c>
      <c r="N1021" s="6" t="s">
        <v>692</v>
      </c>
      <c r="O1021" s="6" t="s">
        <v>62</v>
      </c>
      <c r="P1021" s="6" t="s">
        <v>298</v>
      </c>
      <c r="Q1021" s="6" t="s">
        <v>298</v>
      </c>
      <c r="R1021" s="6" t="s">
        <v>298</v>
      </c>
      <c r="S1021" s="6" t="s">
        <v>1219</v>
      </c>
      <c r="T1021" s="131">
        <v>4.0350000000000001</v>
      </c>
      <c r="U1021" s="6" t="s">
        <v>1564</v>
      </c>
      <c r="V1021" s="134">
        <v>6.5600000000000006E-2</v>
      </c>
      <c r="W1021" s="132">
        <v>6.3450000000000006E-2</v>
      </c>
      <c r="X1021" s="3" t="s">
        <v>620</v>
      </c>
      <c r="Y1021" s="3" t="s">
        <v>62</v>
      </c>
      <c r="Z1021" s="131">
        <v>48000</v>
      </c>
      <c r="AA1021" s="129">
        <v>1</v>
      </c>
      <c r="AB1021" s="157">
        <v>102.91</v>
      </c>
      <c r="AD1021" s="131">
        <v>49.396999999999998</v>
      </c>
      <c r="AG1021" s="6" t="s">
        <v>17</v>
      </c>
      <c r="AH1021" s="132">
        <v>3.9500000000000001E-4</v>
      </c>
      <c r="AI1021" s="132">
        <v>1.77990080701937E-3</v>
      </c>
      <c r="AJ1021" s="132">
        <v>4.0643053046266001E-4</v>
      </c>
    </row>
    <row r="1022" spans="1:36" x14ac:dyDescent="0.2">
      <c r="A1022" s="6">
        <v>559</v>
      </c>
      <c r="B1022" s="6">
        <v>7207</v>
      </c>
      <c r="C1022" s="6" t="s">
        <v>1565</v>
      </c>
      <c r="D1022" s="6" t="s">
        <v>1566</v>
      </c>
      <c r="E1022" s="3" t="s">
        <v>1477</v>
      </c>
      <c r="F1022" s="6" t="s">
        <v>1567</v>
      </c>
      <c r="G1022" s="6" t="s">
        <v>1568</v>
      </c>
      <c r="H1022" s="6" t="s">
        <v>76</v>
      </c>
      <c r="I1022" s="6" t="s">
        <v>228</v>
      </c>
      <c r="J1022" s="6" t="s">
        <v>53</v>
      </c>
      <c r="K1022" s="6" t="s">
        <v>53</v>
      </c>
      <c r="L1022" s="6" t="s">
        <v>805</v>
      </c>
      <c r="M1022" s="6" t="s">
        <v>311</v>
      </c>
      <c r="N1022" s="6" t="s">
        <v>631</v>
      </c>
      <c r="O1022" s="6" t="s">
        <v>62</v>
      </c>
      <c r="P1022" s="6" t="s">
        <v>298</v>
      </c>
      <c r="Q1022" s="6" t="s">
        <v>298</v>
      </c>
      <c r="R1022" s="6" t="s">
        <v>298</v>
      </c>
      <c r="S1022" s="6" t="s">
        <v>1219</v>
      </c>
      <c r="T1022" s="131">
        <v>2.0779999999999998</v>
      </c>
      <c r="U1022" s="6" t="s">
        <v>1569</v>
      </c>
      <c r="V1022" s="134">
        <v>6.0499999999999998E-2</v>
      </c>
      <c r="W1022" s="132">
        <v>5.6259999999999998E-2</v>
      </c>
      <c r="X1022" s="3" t="s">
        <v>620</v>
      </c>
      <c r="Y1022" s="3" t="s">
        <v>62</v>
      </c>
      <c r="Z1022" s="131">
        <v>51000</v>
      </c>
      <c r="AA1022" s="129">
        <v>1</v>
      </c>
      <c r="AB1022" s="157">
        <v>102.55</v>
      </c>
      <c r="AD1022" s="131">
        <v>52.3</v>
      </c>
      <c r="AG1022" s="6" t="s">
        <v>17</v>
      </c>
      <c r="AH1022" s="132">
        <v>2.32E-4</v>
      </c>
      <c r="AI1022" s="132">
        <v>1.8845290010186201E-3</v>
      </c>
      <c r="AJ1022" s="132">
        <v>4.3032180138110899E-4</v>
      </c>
    </row>
    <row r="1023" spans="1:36" x14ac:dyDescent="0.2">
      <c r="A1023" s="6">
        <v>559</v>
      </c>
      <c r="B1023" s="6">
        <v>7207</v>
      </c>
      <c r="C1023" s="6" t="s">
        <v>1565</v>
      </c>
      <c r="D1023" s="6" t="s">
        <v>1566</v>
      </c>
      <c r="E1023" s="3" t="s">
        <v>1477</v>
      </c>
      <c r="F1023" s="6" t="s">
        <v>1570</v>
      </c>
      <c r="G1023" s="6" t="s">
        <v>1571</v>
      </c>
      <c r="H1023" s="6" t="s">
        <v>76</v>
      </c>
      <c r="I1023" s="6" t="s">
        <v>228</v>
      </c>
      <c r="J1023" s="6" t="s">
        <v>53</v>
      </c>
      <c r="K1023" s="6" t="s">
        <v>53</v>
      </c>
      <c r="L1023" s="6" t="s">
        <v>805</v>
      </c>
      <c r="M1023" s="6" t="s">
        <v>102</v>
      </c>
      <c r="N1023" s="6" t="s">
        <v>631</v>
      </c>
      <c r="O1023" s="6" t="s">
        <v>62</v>
      </c>
      <c r="P1023" s="6" t="s">
        <v>298</v>
      </c>
      <c r="Q1023" s="6" t="s">
        <v>298</v>
      </c>
      <c r="R1023" s="6" t="s">
        <v>298</v>
      </c>
      <c r="S1023" s="6" t="s">
        <v>1219</v>
      </c>
      <c r="T1023" s="131">
        <v>4.6459999999999999</v>
      </c>
      <c r="U1023" s="6" t="s">
        <v>1572</v>
      </c>
      <c r="V1023" s="134">
        <v>6.3399999999999998E-2</v>
      </c>
      <c r="W1023" s="132">
        <v>6.4640000000000003E-2</v>
      </c>
      <c r="X1023" s="3" t="s">
        <v>620</v>
      </c>
      <c r="Y1023" s="3" t="s">
        <v>62</v>
      </c>
      <c r="Z1023" s="131">
        <v>55000</v>
      </c>
      <c r="AA1023" s="129">
        <v>1</v>
      </c>
      <c r="AB1023" s="157">
        <v>102.19</v>
      </c>
      <c r="AD1023" s="131">
        <v>56.204999999999998</v>
      </c>
      <c r="AG1023" s="6" t="s">
        <v>17</v>
      </c>
      <c r="AH1023" s="132">
        <v>2.5599999999999999E-4</v>
      </c>
      <c r="AI1023" s="132">
        <v>2.0252007196442001E-3</v>
      </c>
      <c r="AJ1023" s="132">
        <v>4.6244341231392702E-4</v>
      </c>
    </row>
    <row r="1024" spans="1:36" x14ac:dyDescent="0.2">
      <c r="A1024" s="6">
        <v>559</v>
      </c>
      <c r="B1024" s="6">
        <v>7207</v>
      </c>
      <c r="C1024" s="6" t="s">
        <v>1573</v>
      </c>
      <c r="D1024" s="6" t="s">
        <v>1574</v>
      </c>
      <c r="E1024" s="3" t="s">
        <v>1477</v>
      </c>
      <c r="F1024" s="6" t="s">
        <v>1575</v>
      </c>
      <c r="G1024" s="6" t="s">
        <v>1576</v>
      </c>
      <c r="H1024" s="6" t="s">
        <v>76</v>
      </c>
      <c r="I1024" s="6" t="s">
        <v>228</v>
      </c>
      <c r="J1024" s="6" t="s">
        <v>53</v>
      </c>
      <c r="K1024" s="6" t="s">
        <v>53</v>
      </c>
      <c r="L1024" s="6" t="s">
        <v>805</v>
      </c>
      <c r="M1024" s="6" t="s">
        <v>311</v>
      </c>
      <c r="N1024" s="6" t="s">
        <v>692</v>
      </c>
      <c r="O1024" s="6" t="s">
        <v>62</v>
      </c>
      <c r="P1024" s="6" t="s">
        <v>1577</v>
      </c>
      <c r="Q1024" s="6" t="s">
        <v>65</v>
      </c>
      <c r="R1024" s="6" t="s">
        <v>57</v>
      </c>
      <c r="S1024" s="6" t="s">
        <v>1219</v>
      </c>
      <c r="T1024" s="131">
        <v>0.73</v>
      </c>
      <c r="U1024" s="6" t="s">
        <v>1578</v>
      </c>
      <c r="V1024" s="134">
        <v>3.9E-2</v>
      </c>
      <c r="W1024" s="132">
        <v>4.9660000000000003E-2</v>
      </c>
      <c r="X1024" s="3" t="s">
        <v>620</v>
      </c>
      <c r="Y1024" s="3" t="s">
        <v>62</v>
      </c>
      <c r="Z1024" s="131">
        <v>505000</v>
      </c>
      <c r="AA1024" s="129">
        <v>1</v>
      </c>
      <c r="AB1024" s="157">
        <v>100.26</v>
      </c>
      <c r="AD1024" s="131">
        <v>506.31299999999999</v>
      </c>
      <c r="AG1024" s="6" t="s">
        <v>17</v>
      </c>
      <c r="AH1024" s="132">
        <v>8.7600000000000004E-4</v>
      </c>
      <c r="AI1024" s="132">
        <v>1.8243831934546401E-2</v>
      </c>
      <c r="AJ1024" s="132">
        <v>4.16587838018132E-3</v>
      </c>
    </row>
    <row r="1025" spans="1:36" x14ac:dyDescent="0.2">
      <c r="A1025" s="6">
        <v>559</v>
      </c>
      <c r="B1025" s="6">
        <v>7207</v>
      </c>
      <c r="C1025" s="6" t="s">
        <v>1579</v>
      </c>
      <c r="D1025" s="6" t="s">
        <v>1580</v>
      </c>
      <c r="E1025" s="3" t="s">
        <v>1477</v>
      </c>
      <c r="F1025" s="6" t="s">
        <v>1581</v>
      </c>
      <c r="G1025" s="6" t="s">
        <v>1582</v>
      </c>
      <c r="H1025" s="6" t="s">
        <v>76</v>
      </c>
      <c r="I1025" s="6" t="s">
        <v>228</v>
      </c>
      <c r="J1025" s="6" t="s">
        <v>53</v>
      </c>
      <c r="K1025" s="6" t="s">
        <v>53</v>
      </c>
      <c r="L1025" s="6" t="s">
        <v>805</v>
      </c>
      <c r="M1025" s="6" t="s">
        <v>311</v>
      </c>
      <c r="N1025" s="6" t="s">
        <v>635</v>
      </c>
      <c r="O1025" s="6" t="s">
        <v>62</v>
      </c>
      <c r="P1025" s="6" t="s">
        <v>1577</v>
      </c>
      <c r="Q1025" s="6" t="s">
        <v>65</v>
      </c>
      <c r="R1025" s="6" t="s">
        <v>57</v>
      </c>
      <c r="S1025" s="6" t="s">
        <v>1219</v>
      </c>
      <c r="T1025" s="131">
        <v>1.141</v>
      </c>
      <c r="U1025" s="6" t="s">
        <v>1583</v>
      </c>
      <c r="V1025" s="134">
        <v>3.85E-2</v>
      </c>
      <c r="W1025" s="132">
        <v>4.9360000000000001E-2</v>
      </c>
      <c r="X1025" s="3" t="s">
        <v>620</v>
      </c>
      <c r="Y1025" s="3" t="s">
        <v>62</v>
      </c>
      <c r="Z1025" s="131">
        <v>59000.33</v>
      </c>
      <c r="AA1025" s="129">
        <v>1</v>
      </c>
      <c r="AB1025" s="157">
        <v>100.09</v>
      </c>
      <c r="AD1025" s="131">
        <v>59.052999999999997</v>
      </c>
      <c r="AG1025" s="6" t="s">
        <v>17</v>
      </c>
      <c r="AH1025" s="132">
        <v>1.8900000000000001E-4</v>
      </c>
      <c r="AI1025" s="132">
        <v>2.12785541255492E-3</v>
      </c>
      <c r="AJ1025" s="132">
        <v>4.8588404514562499E-4</v>
      </c>
    </row>
    <row r="1026" spans="1:36" x14ac:dyDescent="0.2">
      <c r="A1026" s="6">
        <v>559</v>
      </c>
      <c r="B1026" s="6">
        <v>7207</v>
      </c>
      <c r="C1026" s="6" t="s">
        <v>1586</v>
      </c>
      <c r="D1026" s="6" t="s">
        <v>1587</v>
      </c>
      <c r="E1026" s="3" t="s">
        <v>1477</v>
      </c>
      <c r="F1026" s="6" t="s">
        <v>1588</v>
      </c>
      <c r="G1026" s="6" t="s">
        <v>1589</v>
      </c>
      <c r="H1026" s="6" t="s">
        <v>76</v>
      </c>
      <c r="I1026" s="6" t="s">
        <v>228</v>
      </c>
      <c r="J1026" s="6" t="s">
        <v>53</v>
      </c>
      <c r="K1026" s="6" t="s">
        <v>53</v>
      </c>
      <c r="L1026" s="6" t="s">
        <v>805</v>
      </c>
      <c r="M1026" s="6" t="s">
        <v>102</v>
      </c>
      <c r="N1026" s="6" t="s">
        <v>140</v>
      </c>
      <c r="O1026" s="6" t="s">
        <v>62</v>
      </c>
      <c r="P1026" s="6" t="s">
        <v>298</v>
      </c>
      <c r="Q1026" s="6" t="s">
        <v>298</v>
      </c>
      <c r="R1026" s="6" t="s">
        <v>298</v>
      </c>
      <c r="S1026" s="6" t="s">
        <v>1219</v>
      </c>
      <c r="T1026" s="131">
        <v>2.605</v>
      </c>
      <c r="U1026" s="6" t="s">
        <v>1590</v>
      </c>
      <c r="V1026" s="134">
        <v>6.0699999999999997E-2</v>
      </c>
      <c r="W1026" s="132">
        <v>5.7910000000000003E-2</v>
      </c>
      <c r="X1026" s="3" t="s">
        <v>620</v>
      </c>
      <c r="Y1026" s="3" t="s">
        <v>62</v>
      </c>
      <c r="Z1026" s="131">
        <v>58000</v>
      </c>
      <c r="AA1026" s="129">
        <v>1</v>
      </c>
      <c r="AB1026" s="157">
        <v>101.2</v>
      </c>
      <c r="AD1026" s="131">
        <v>58.695999999999998</v>
      </c>
      <c r="AG1026" s="6" t="s">
        <v>17</v>
      </c>
      <c r="AH1026" s="132">
        <v>6.4400000000000004E-4</v>
      </c>
      <c r="AI1026" s="132">
        <v>2.1149762285979901E-3</v>
      </c>
      <c r="AJ1026" s="132">
        <v>4.8294315453706099E-4</v>
      </c>
    </row>
    <row r="1027" spans="1:36" x14ac:dyDescent="0.2">
      <c r="A1027" s="6">
        <v>559</v>
      </c>
      <c r="B1027" s="6">
        <v>7207</v>
      </c>
      <c r="C1027" s="6" t="s">
        <v>1591</v>
      </c>
      <c r="D1027" s="6" t="s">
        <v>1592</v>
      </c>
      <c r="E1027" s="3" t="s">
        <v>1477</v>
      </c>
      <c r="F1027" s="6" t="s">
        <v>1593</v>
      </c>
      <c r="G1027" s="6" t="s">
        <v>1594</v>
      </c>
      <c r="H1027" s="6" t="s">
        <v>76</v>
      </c>
      <c r="I1027" s="6" t="s">
        <v>228</v>
      </c>
      <c r="J1027" s="6" t="s">
        <v>53</v>
      </c>
      <c r="K1027" s="6" t="s">
        <v>53</v>
      </c>
      <c r="L1027" s="6" t="s">
        <v>805</v>
      </c>
      <c r="M1027" s="6" t="s">
        <v>311</v>
      </c>
      <c r="N1027" s="6" t="s">
        <v>140</v>
      </c>
      <c r="O1027" s="6" t="s">
        <v>62</v>
      </c>
      <c r="P1027" s="6" t="s">
        <v>298</v>
      </c>
      <c r="Q1027" s="6" t="s">
        <v>298</v>
      </c>
      <c r="R1027" s="6" t="s">
        <v>298</v>
      </c>
      <c r="S1027" s="6" t="s">
        <v>1219</v>
      </c>
      <c r="T1027" s="131">
        <v>0.81699999999999995</v>
      </c>
      <c r="U1027" s="6" t="s">
        <v>1595</v>
      </c>
      <c r="V1027" s="134">
        <v>8.2000000000000003E-2</v>
      </c>
      <c r="W1027" s="132">
        <v>6.0940000000000001E-2</v>
      </c>
      <c r="X1027" s="3" t="s">
        <v>620</v>
      </c>
      <c r="Y1027" s="3" t="s">
        <v>62</v>
      </c>
      <c r="Z1027" s="131">
        <v>32250</v>
      </c>
      <c r="AA1027" s="129">
        <v>1</v>
      </c>
      <c r="AB1027" s="157">
        <v>101.78</v>
      </c>
      <c r="AD1027" s="131">
        <v>32.823999999999998</v>
      </c>
      <c r="AG1027" s="6" t="s">
        <v>17</v>
      </c>
      <c r="AH1027" s="132">
        <v>4.17E-4</v>
      </c>
      <c r="AI1027" s="132">
        <v>1.18273963262082E-3</v>
      </c>
      <c r="AJ1027" s="132">
        <v>2.7007207052750099E-4</v>
      </c>
    </row>
    <row r="1028" spans="1:36" x14ac:dyDescent="0.2">
      <c r="A1028" s="6">
        <v>559</v>
      </c>
      <c r="B1028" s="6">
        <v>7207</v>
      </c>
      <c r="C1028" s="6" t="s">
        <v>1596</v>
      </c>
      <c r="D1028" s="6" t="s">
        <v>1597</v>
      </c>
      <c r="E1028" s="3" t="s">
        <v>1477</v>
      </c>
      <c r="F1028" s="6" t="s">
        <v>1598</v>
      </c>
      <c r="G1028" s="6" t="s">
        <v>1599</v>
      </c>
      <c r="H1028" s="6" t="s">
        <v>76</v>
      </c>
      <c r="I1028" s="6" t="s">
        <v>228</v>
      </c>
      <c r="J1028" s="6" t="s">
        <v>53</v>
      </c>
      <c r="K1028" s="6" t="s">
        <v>53</v>
      </c>
      <c r="L1028" s="6" t="s">
        <v>805</v>
      </c>
      <c r="M1028" s="6" t="s">
        <v>311</v>
      </c>
      <c r="N1028" s="6" t="s">
        <v>692</v>
      </c>
      <c r="O1028" s="6" t="s">
        <v>62</v>
      </c>
      <c r="P1028" s="6" t="s">
        <v>1493</v>
      </c>
      <c r="Q1028" s="6" t="s">
        <v>65</v>
      </c>
      <c r="R1028" s="6" t="s">
        <v>57</v>
      </c>
      <c r="S1028" s="6" t="s">
        <v>1219</v>
      </c>
      <c r="T1028" s="131">
        <v>0.98499999999999999</v>
      </c>
      <c r="U1028" s="6" t="s">
        <v>1595</v>
      </c>
      <c r="V1028" s="134">
        <v>0.04</v>
      </c>
      <c r="W1028" s="132">
        <v>4.9259999999999998E-2</v>
      </c>
      <c r="X1028" s="3" t="s">
        <v>620</v>
      </c>
      <c r="Y1028" s="3" t="s">
        <v>62</v>
      </c>
      <c r="Z1028" s="131">
        <v>30500.25</v>
      </c>
      <c r="AA1028" s="129">
        <v>1</v>
      </c>
      <c r="AB1028" s="157">
        <v>99.19</v>
      </c>
      <c r="AD1028" s="131">
        <v>30.253</v>
      </c>
      <c r="AG1028" s="6" t="s">
        <v>17</v>
      </c>
      <c r="AH1028" s="132">
        <v>4.6299999999999998E-4</v>
      </c>
      <c r="AI1028" s="132">
        <v>1.0901048547804599E-3</v>
      </c>
      <c r="AJ1028" s="132">
        <v>2.4891943002727101E-4</v>
      </c>
    </row>
    <row r="1029" spans="1:36" x14ac:dyDescent="0.2">
      <c r="A1029" s="6">
        <v>559</v>
      </c>
      <c r="B1029" s="6">
        <v>7207</v>
      </c>
      <c r="C1029" s="6" t="s">
        <v>1600</v>
      </c>
      <c r="D1029" s="6" t="s">
        <v>1601</v>
      </c>
      <c r="E1029" s="3" t="s">
        <v>767</v>
      </c>
      <c r="F1029" s="6" t="s">
        <v>1602</v>
      </c>
      <c r="G1029" s="6" t="s">
        <v>1603</v>
      </c>
      <c r="H1029" s="6" t="s">
        <v>76</v>
      </c>
      <c r="I1029" s="6" t="s">
        <v>228</v>
      </c>
      <c r="J1029" s="6" t="s">
        <v>53</v>
      </c>
      <c r="K1029" s="6" t="s">
        <v>317</v>
      </c>
      <c r="L1029" s="6" t="s">
        <v>805</v>
      </c>
      <c r="M1029" s="6" t="s">
        <v>102</v>
      </c>
      <c r="N1029" s="6" t="s">
        <v>636</v>
      </c>
      <c r="O1029" s="6" t="s">
        <v>62</v>
      </c>
      <c r="P1029" s="6" t="s">
        <v>1604</v>
      </c>
      <c r="Q1029" s="6" t="s">
        <v>70</v>
      </c>
      <c r="R1029" s="6" t="s">
        <v>57</v>
      </c>
      <c r="S1029" s="6" t="s">
        <v>1219</v>
      </c>
      <c r="T1029" s="131">
        <v>2.2410000000000001</v>
      </c>
      <c r="U1029" s="6" t="s">
        <v>1605</v>
      </c>
      <c r="V1029" s="134">
        <v>7.9500000000000001E-2</v>
      </c>
      <c r="W1029" s="132">
        <v>5.8229999999999997E-2</v>
      </c>
      <c r="X1029" s="3" t="s">
        <v>620</v>
      </c>
      <c r="Y1029" s="3" t="s">
        <v>62</v>
      </c>
      <c r="Z1029" s="131">
        <v>28000</v>
      </c>
      <c r="AA1029" s="129">
        <v>1</v>
      </c>
      <c r="AB1029" s="157">
        <v>104.91</v>
      </c>
      <c r="AD1029" s="131">
        <v>29.375</v>
      </c>
      <c r="AG1029" s="6" t="s">
        <v>17</v>
      </c>
      <c r="AH1029" s="132">
        <v>1.5699999999999999E-4</v>
      </c>
      <c r="AI1029" s="132">
        <v>1.0584537910559499E-3</v>
      </c>
      <c r="AJ1029" s="132">
        <v>2.4169208422882699E-4</v>
      </c>
    </row>
    <row r="1030" spans="1:36" x14ac:dyDescent="0.2">
      <c r="A1030" s="6">
        <v>559</v>
      </c>
      <c r="B1030" s="6">
        <v>7207</v>
      </c>
      <c r="C1030" s="6" t="s">
        <v>1600</v>
      </c>
      <c r="D1030" s="6" t="s">
        <v>1601</v>
      </c>
      <c r="E1030" s="3" t="s">
        <v>767</v>
      </c>
      <c r="F1030" s="6" t="s">
        <v>1606</v>
      </c>
      <c r="G1030" s="6" t="s">
        <v>1607</v>
      </c>
      <c r="H1030" s="6" t="s">
        <v>76</v>
      </c>
      <c r="I1030" s="6" t="s">
        <v>228</v>
      </c>
      <c r="J1030" s="6" t="s">
        <v>53</v>
      </c>
      <c r="K1030" s="6" t="s">
        <v>317</v>
      </c>
      <c r="L1030" s="6" t="s">
        <v>805</v>
      </c>
      <c r="M1030" s="6" t="s">
        <v>102</v>
      </c>
      <c r="N1030" s="6" t="s">
        <v>636</v>
      </c>
      <c r="O1030" s="6" t="s">
        <v>62</v>
      </c>
      <c r="P1030" s="6" t="s">
        <v>1604</v>
      </c>
      <c r="Q1030" s="6" t="s">
        <v>70</v>
      </c>
      <c r="R1030" s="6" t="s">
        <v>57</v>
      </c>
      <c r="S1030" s="6" t="s">
        <v>1219</v>
      </c>
      <c r="T1030" s="131">
        <v>2.4500000000000002</v>
      </c>
      <c r="U1030" s="6" t="s">
        <v>1608</v>
      </c>
      <c r="V1030" s="134">
        <v>0.06</v>
      </c>
      <c r="W1030" s="132">
        <v>5.8319999999999997E-2</v>
      </c>
      <c r="X1030" s="3" t="s">
        <v>620</v>
      </c>
      <c r="Y1030" s="3" t="s">
        <v>62</v>
      </c>
      <c r="Z1030" s="131">
        <v>63000</v>
      </c>
      <c r="AA1030" s="129">
        <v>1</v>
      </c>
      <c r="AB1030" s="157">
        <v>102.71</v>
      </c>
      <c r="AD1030" s="131">
        <v>64.706999999999994</v>
      </c>
      <c r="AG1030" s="6" t="s">
        <v>17</v>
      </c>
      <c r="AH1030" s="132">
        <v>2.3000000000000001E-4</v>
      </c>
      <c r="AI1030" s="132">
        <v>2.3315796871466298E-3</v>
      </c>
      <c r="AJ1030" s="132">
        <v>5.3240335940397899E-4</v>
      </c>
    </row>
    <row r="1031" spans="1:36" x14ac:dyDescent="0.2">
      <c r="A1031" s="6">
        <v>559</v>
      </c>
      <c r="B1031" s="6">
        <v>7207</v>
      </c>
      <c r="C1031" s="6" t="s">
        <v>1609</v>
      </c>
      <c r="D1031" s="6" t="s">
        <v>1610</v>
      </c>
      <c r="E1031" s="3" t="s">
        <v>1477</v>
      </c>
      <c r="F1031" s="6" t="s">
        <v>1611</v>
      </c>
      <c r="G1031" s="6" t="s">
        <v>1612</v>
      </c>
      <c r="H1031" s="6" t="s">
        <v>76</v>
      </c>
      <c r="I1031" s="6" t="s">
        <v>228</v>
      </c>
      <c r="J1031" s="6" t="s">
        <v>53</v>
      </c>
      <c r="K1031" s="6" t="s">
        <v>53</v>
      </c>
      <c r="L1031" s="6" t="s">
        <v>805</v>
      </c>
      <c r="M1031" s="6" t="s">
        <v>311</v>
      </c>
      <c r="N1031" s="6" t="s">
        <v>635</v>
      </c>
      <c r="O1031" s="6" t="s">
        <v>62</v>
      </c>
      <c r="P1031" s="6" t="s">
        <v>1533</v>
      </c>
      <c r="Q1031" s="6" t="s">
        <v>65</v>
      </c>
      <c r="R1031" s="6" t="s">
        <v>57</v>
      </c>
      <c r="S1031" s="6" t="s">
        <v>1219</v>
      </c>
      <c r="T1031" s="131">
        <v>0.51</v>
      </c>
      <c r="U1031" s="6" t="s">
        <v>1613</v>
      </c>
      <c r="V1031" s="134">
        <v>3.39E-2</v>
      </c>
      <c r="W1031" s="132">
        <v>4.514E-2</v>
      </c>
      <c r="X1031" s="3" t="s">
        <v>620</v>
      </c>
      <c r="Y1031" s="3" t="s">
        <v>62</v>
      </c>
      <c r="Z1031" s="131">
        <v>88550</v>
      </c>
      <c r="AA1031" s="129">
        <v>1</v>
      </c>
      <c r="AB1031" s="157">
        <v>101.09</v>
      </c>
      <c r="AD1031" s="131">
        <v>89.515000000000001</v>
      </c>
      <c r="AG1031" s="6" t="s">
        <v>17</v>
      </c>
      <c r="AH1031" s="132">
        <v>5.4199999999999995E-4</v>
      </c>
      <c r="AI1031" s="132">
        <v>3.22547549276465E-3</v>
      </c>
      <c r="AJ1031" s="132">
        <v>7.3651953544194104E-4</v>
      </c>
    </row>
    <row r="1032" spans="1:36" x14ac:dyDescent="0.2">
      <c r="A1032" s="6">
        <v>559</v>
      </c>
      <c r="B1032" s="6">
        <v>7207</v>
      </c>
      <c r="C1032" s="6" t="s">
        <v>1609</v>
      </c>
      <c r="D1032" s="6" t="s">
        <v>1610</v>
      </c>
      <c r="E1032" s="3" t="s">
        <v>1477</v>
      </c>
      <c r="F1032" s="6" t="s">
        <v>1614</v>
      </c>
      <c r="G1032" s="6" t="s">
        <v>1615</v>
      </c>
      <c r="H1032" s="6" t="s">
        <v>76</v>
      </c>
      <c r="I1032" s="6" t="s">
        <v>228</v>
      </c>
      <c r="J1032" s="6" t="s">
        <v>53</v>
      </c>
      <c r="K1032" s="6" t="s">
        <v>53</v>
      </c>
      <c r="L1032" s="6" t="s">
        <v>805</v>
      </c>
      <c r="M1032" s="6" t="s">
        <v>1227</v>
      </c>
      <c r="N1032" s="6" t="s">
        <v>635</v>
      </c>
      <c r="O1032" s="6" t="s">
        <v>62</v>
      </c>
      <c r="P1032" s="6" t="s">
        <v>1533</v>
      </c>
      <c r="Q1032" s="6" t="s">
        <v>65</v>
      </c>
      <c r="R1032" s="6" t="s">
        <v>57</v>
      </c>
      <c r="S1032" s="6" t="s">
        <v>1219</v>
      </c>
      <c r="T1032" s="131">
        <v>7.4320000000000004</v>
      </c>
      <c r="U1032" s="6" t="s">
        <v>1616</v>
      </c>
      <c r="V1032" s="134">
        <v>5.79E-2</v>
      </c>
      <c r="W1032" s="132">
        <v>4.9489999999999999E-2</v>
      </c>
      <c r="X1032" s="3" t="s">
        <v>620</v>
      </c>
      <c r="Y1032" s="3" t="s">
        <v>62</v>
      </c>
      <c r="Z1032" s="131">
        <v>70000</v>
      </c>
      <c r="AA1032" s="129">
        <v>1</v>
      </c>
      <c r="AB1032" s="157">
        <v>109</v>
      </c>
      <c r="AD1032" s="131">
        <v>76.3</v>
      </c>
      <c r="AG1032" s="6" t="s">
        <v>17</v>
      </c>
      <c r="AH1032" s="132">
        <v>7.7000000000000001E-5</v>
      </c>
      <c r="AI1032" s="132">
        <v>2.74929614014629E-3</v>
      </c>
      <c r="AJ1032" s="132">
        <v>6.2778660711424502E-4</v>
      </c>
    </row>
    <row r="1033" spans="1:36" x14ac:dyDescent="0.2">
      <c r="A1033" s="6">
        <v>559</v>
      </c>
      <c r="B1033" s="6">
        <v>7207</v>
      </c>
      <c r="C1033" s="6" t="s">
        <v>1617</v>
      </c>
      <c r="D1033" s="6" t="s">
        <v>1618</v>
      </c>
      <c r="E1033" s="3" t="s">
        <v>1477</v>
      </c>
      <c r="F1033" s="6" t="s">
        <v>1619</v>
      </c>
      <c r="G1033" s="6" t="s">
        <v>1620</v>
      </c>
      <c r="H1033" s="6" t="s">
        <v>76</v>
      </c>
      <c r="I1033" s="6" t="s">
        <v>228</v>
      </c>
      <c r="J1033" s="6" t="s">
        <v>53</v>
      </c>
      <c r="K1033" s="6" t="s">
        <v>314</v>
      </c>
      <c r="L1033" s="6" t="s">
        <v>805</v>
      </c>
      <c r="M1033" s="6" t="s">
        <v>311</v>
      </c>
      <c r="N1033" s="6" t="s">
        <v>631</v>
      </c>
      <c r="O1033" s="6" t="s">
        <v>62</v>
      </c>
      <c r="P1033" s="6" t="s">
        <v>1527</v>
      </c>
      <c r="Q1033" s="6" t="s">
        <v>70</v>
      </c>
      <c r="R1033" s="6" t="s">
        <v>57</v>
      </c>
      <c r="S1033" s="6" t="s">
        <v>1219</v>
      </c>
      <c r="T1033" s="131">
        <v>1.01</v>
      </c>
      <c r="U1033" s="6" t="s">
        <v>1621</v>
      </c>
      <c r="V1033" s="134">
        <v>3.4500000000000003E-2</v>
      </c>
      <c r="W1033" s="132">
        <v>4.7660000000000001E-2</v>
      </c>
      <c r="X1033" s="3" t="s">
        <v>620</v>
      </c>
      <c r="Y1033" s="3" t="s">
        <v>62</v>
      </c>
      <c r="Z1033" s="131">
        <v>388000.53</v>
      </c>
      <c r="AA1033" s="129">
        <v>1</v>
      </c>
      <c r="AB1033" s="157">
        <v>99.89</v>
      </c>
      <c r="AD1033" s="131">
        <v>387.57400000000001</v>
      </c>
      <c r="AG1033" s="6" t="s">
        <v>17</v>
      </c>
      <c r="AH1033" s="132">
        <v>6.0400000000000004E-4</v>
      </c>
      <c r="AI1033" s="132">
        <v>1.39653336606587E-2</v>
      </c>
      <c r="AJ1033" s="132">
        <v>3.1889069016685901E-3</v>
      </c>
    </row>
    <row r="1034" spans="1:36" x14ac:dyDescent="0.2">
      <c r="A1034" s="6">
        <v>559</v>
      </c>
      <c r="B1034" s="6">
        <v>7207</v>
      </c>
      <c r="C1034" s="6" t="s">
        <v>1617</v>
      </c>
      <c r="D1034" s="6" t="s">
        <v>1618</v>
      </c>
      <c r="E1034" s="3" t="s">
        <v>1477</v>
      </c>
      <c r="F1034" s="6" t="s">
        <v>1622</v>
      </c>
      <c r="G1034" s="6" t="s">
        <v>1623</v>
      </c>
      <c r="H1034" s="6" t="s">
        <v>76</v>
      </c>
      <c r="I1034" s="6" t="s">
        <v>607</v>
      </c>
      <c r="J1034" s="6" t="s">
        <v>53</v>
      </c>
      <c r="K1034" s="6" t="s">
        <v>314</v>
      </c>
      <c r="L1034" s="6" t="s">
        <v>805</v>
      </c>
      <c r="M1034" s="6" t="s">
        <v>311</v>
      </c>
      <c r="N1034" s="6" t="s">
        <v>631</v>
      </c>
      <c r="O1034" s="6" t="s">
        <v>62</v>
      </c>
      <c r="P1034" s="6" t="s">
        <v>1527</v>
      </c>
      <c r="Q1034" s="6" t="s">
        <v>70</v>
      </c>
      <c r="R1034" s="6" t="s">
        <v>57</v>
      </c>
      <c r="S1034" s="6" t="s">
        <v>1219</v>
      </c>
      <c r="T1034" s="131">
        <v>3.1269999999999998</v>
      </c>
      <c r="U1034" s="6" t="s">
        <v>1504</v>
      </c>
      <c r="V1034" s="134">
        <v>7.4999999999999997E-3</v>
      </c>
      <c r="W1034" s="132">
        <v>5.1119999999999999E-2</v>
      </c>
      <c r="X1034" s="3" t="s">
        <v>620</v>
      </c>
      <c r="Y1034" s="3" t="s">
        <v>62</v>
      </c>
      <c r="Z1034" s="131">
        <v>105000</v>
      </c>
      <c r="AA1034" s="129">
        <v>1</v>
      </c>
      <c r="AB1034" s="157">
        <v>87.8</v>
      </c>
      <c r="AD1034" s="131">
        <v>92.19</v>
      </c>
      <c r="AG1034" s="6" t="s">
        <v>17</v>
      </c>
      <c r="AH1034" s="132">
        <v>1.9799999999999999E-4</v>
      </c>
      <c r="AI1034" s="132">
        <v>3.32185597850703E-3</v>
      </c>
      <c r="AJ1034" s="132">
        <v>7.5852748767840498E-4</v>
      </c>
    </row>
    <row r="1035" spans="1:36" x14ac:dyDescent="0.2">
      <c r="A1035" s="6">
        <v>559</v>
      </c>
      <c r="B1035" s="6">
        <v>7207</v>
      </c>
      <c r="C1035" s="6" t="s">
        <v>1624</v>
      </c>
      <c r="D1035" s="6" t="s">
        <v>1625</v>
      </c>
      <c r="E1035" s="3" t="s">
        <v>767</v>
      </c>
      <c r="F1035" s="6" t="s">
        <v>1626</v>
      </c>
      <c r="G1035" s="6" t="s">
        <v>1627</v>
      </c>
      <c r="H1035" s="6" t="s">
        <v>76</v>
      </c>
      <c r="I1035" s="6" t="s">
        <v>228</v>
      </c>
      <c r="J1035" s="6" t="s">
        <v>53</v>
      </c>
      <c r="K1035" s="6" t="s">
        <v>314</v>
      </c>
      <c r="L1035" s="6" t="s">
        <v>805</v>
      </c>
      <c r="M1035" s="6" t="s">
        <v>1227</v>
      </c>
      <c r="N1035" s="6" t="s">
        <v>636</v>
      </c>
      <c r="O1035" s="6" t="s">
        <v>62</v>
      </c>
      <c r="P1035" s="6" t="s">
        <v>1628</v>
      </c>
      <c r="Q1035" s="6" t="s">
        <v>65</v>
      </c>
      <c r="R1035" s="6" t="s">
        <v>57</v>
      </c>
      <c r="S1035" s="6" t="s">
        <v>1219</v>
      </c>
      <c r="T1035" s="131">
        <v>0.98399999999999999</v>
      </c>
      <c r="U1035" s="6" t="s">
        <v>1629</v>
      </c>
      <c r="V1035" s="134">
        <v>7.2499999999999995E-2</v>
      </c>
      <c r="W1035" s="132">
        <v>6.1409999999999999E-2</v>
      </c>
      <c r="X1035" s="3" t="s">
        <v>620</v>
      </c>
      <c r="Y1035" s="3" t="s">
        <v>62</v>
      </c>
      <c r="Z1035" s="131">
        <v>29000</v>
      </c>
      <c r="AA1035" s="129">
        <v>1</v>
      </c>
      <c r="AB1035" s="157">
        <v>104.55</v>
      </c>
      <c r="AD1035" s="131">
        <v>30.32</v>
      </c>
      <c r="AG1035" s="6" t="s">
        <v>17</v>
      </c>
      <c r="AH1035" s="132">
        <v>2.0100000000000001E-4</v>
      </c>
      <c r="AI1035" s="132">
        <v>1.0924938967387301E-3</v>
      </c>
      <c r="AJ1035" s="132">
        <v>2.4946495457929698E-4</v>
      </c>
    </row>
    <row r="1036" spans="1:36" x14ac:dyDescent="0.2">
      <c r="A1036" s="6">
        <v>559</v>
      </c>
      <c r="B1036" s="6">
        <v>7207</v>
      </c>
      <c r="C1036" s="6" t="s">
        <v>1630</v>
      </c>
      <c r="D1036" s="6" t="s">
        <v>1631</v>
      </c>
      <c r="E1036" s="3" t="s">
        <v>1477</v>
      </c>
      <c r="F1036" s="6" t="s">
        <v>1632</v>
      </c>
      <c r="G1036" s="6" t="s">
        <v>1633</v>
      </c>
      <c r="H1036" s="6" t="s">
        <v>76</v>
      </c>
      <c r="I1036" s="6" t="s">
        <v>607</v>
      </c>
      <c r="J1036" s="6" t="s">
        <v>53</v>
      </c>
      <c r="K1036" s="6" t="s">
        <v>53</v>
      </c>
      <c r="L1036" s="6" t="s">
        <v>805</v>
      </c>
      <c r="M1036" s="6" t="s">
        <v>311</v>
      </c>
      <c r="N1036" s="6" t="s">
        <v>631</v>
      </c>
      <c r="O1036" s="6" t="s">
        <v>62</v>
      </c>
      <c r="P1036" s="6" t="s">
        <v>1628</v>
      </c>
      <c r="Q1036" s="6" t="s">
        <v>65</v>
      </c>
      <c r="R1036" s="6" t="s">
        <v>57</v>
      </c>
      <c r="S1036" s="6" t="s">
        <v>1219</v>
      </c>
      <c r="T1036" s="131">
        <v>2.0760000000000001</v>
      </c>
      <c r="U1036" s="6" t="s">
        <v>1634</v>
      </c>
      <c r="V1036" s="134">
        <v>1.25E-3</v>
      </c>
      <c r="W1036" s="132">
        <v>4.8520000000000001E-2</v>
      </c>
      <c r="X1036" s="3" t="s">
        <v>620</v>
      </c>
      <c r="Y1036" s="3" t="s">
        <v>62</v>
      </c>
      <c r="Z1036" s="131">
        <v>9000</v>
      </c>
      <c r="AA1036" s="129">
        <v>1</v>
      </c>
      <c r="AB1036" s="157">
        <v>91.2</v>
      </c>
      <c r="AD1036" s="131">
        <v>8.2080000000000002</v>
      </c>
      <c r="AG1036" s="6" t="s">
        <v>17</v>
      </c>
      <c r="AH1036" s="132">
        <v>1.5999999999999999E-5</v>
      </c>
      <c r="AI1036" s="132">
        <v>2.9575652317589501E-4</v>
      </c>
      <c r="AJ1036" s="132">
        <v>6.7534370526785395E-5</v>
      </c>
    </row>
    <row r="1037" spans="1:36" x14ac:dyDescent="0.2">
      <c r="A1037" s="6">
        <v>559</v>
      </c>
      <c r="B1037" s="6">
        <v>7207</v>
      </c>
      <c r="C1037" s="6" t="s">
        <v>1635</v>
      </c>
      <c r="D1037" s="6" t="s">
        <v>1636</v>
      </c>
      <c r="E1037" s="3" t="s">
        <v>1477</v>
      </c>
      <c r="F1037" s="6" t="s">
        <v>1637</v>
      </c>
      <c r="G1037" s="6" t="s">
        <v>1638</v>
      </c>
      <c r="H1037" s="6" t="s">
        <v>76</v>
      </c>
      <c r="I1037" s="6" t="s">
        <v>228</v>
      </c>
      <c r="J1037" s="6" t="s">
        <v>53</v>
      </c>
      <c r="K1037" s="6" t="s">
        <v>53</v>
      </c>
      <c r="L1037" s="6" t="s">
        <v>805</v>
      </c>
      <c r="M1037" s="6" t="s">
        <v>311</v>
      </c>
      <c r="N1037" s="6" t="s">
        <v>636</v>
      </c>
      <c r="O1037" s="6" t="s">
        <v>62</v>
      </c>
      <c r="P1037" s="6" t="s">
        <v>1493</v>
      </c>
      <c r="Q1037" s="6" t="s">
        <v>65</v>
      </c>
      <c r="R1037" s="6" t="s">
        <v>57</v>
      </c>
      <c r="S1037" s="6" t="s">
        <v>1219</v>
      </c>
      <c r="T1037" s="131">
        <v>2</v>
      </c>
      <c r="U1037" s="6" t="s">
        <v>1639</v>
      </c>
      <c r="V1037" s="134">
        <v>2.3E-2</v>
      </c>
      <c r="W1037" s="132">
        <v>4.8910000000000002E-2</v>
      </c>
      <c r="X1037" s="3" t="s">
        <v>620</v>
      </c>
      <c r="Y1037" s="3" t="s">
        <v>62</v>
      </c>
      <c r="Z1037" s="131">
        <v>207000.5</v>
      </c>
      <c r="AA1037" s="129">
        <v>1</v>
      </c>
      <c r="AB1037" s="157">
        <v>95.78</v>
      </c>
      <c r="AD1037" s="131">
        <v>198.26499999999999</v>
      </c>
      <c r="AG1037" s="6" t="s">
        <v>17</v>
      </c>
      <c r="AH1037" s="132">
        <v>2.8699999999999998E-4</v>
      </c>
      <c r="AI1037" s="132">
        <v>7.1440290451581902E-3</v>
      </c>
      <c r="AJ1037" s="132">
        <v>1.6312996224360299E-3</v>
      </c>
    </row>
    <row r="1038" spans="1:36" x14ac:dyDescent="0.2">
      <c r="A1038" s="6">
        <v>559</v>
      </c>
      <c r="B1038" s="6">
        <v>7207</v>
      </c>
      <c r="C1038" s="6" t="s">
        <v>1640</v>
      </c>
      <c r="D1038" s="6" t="s">
        <v>1641</v>
      </c>
      <c r="E1038" s="3" t="s">
        <v>1477</v>
      </c>
      <c r="F1038" s="6" t="s">
        <v>1642</v>
      </c>
      <c r="G1038" s="6" t="s">
        <v>1643</v>
      </c>
      <c r="H1038" s="6" t="s">
        <v>76</v>
      </c>
      <c r="I1038" s="6" t="s">
        <v>228</v>
      </c>
      <c r="J1038" s="6" t="s">
        <v>53</v>
      </c>
      <c r="K1038" s="6" t="s">
        <v>53</v>
      </c>
      <c r="L1038" s="6" t="s">
        <v>805</v>
      </c>
      <c r="M1038" s="6" t="s">
        <v>311</v>
      </c>
      <c r="N1038" s="6" t="s">
        <v>140</v>
      </c>
      <c r="O1038" s="6" t="s">
        <v>62</v>
      </c>
      <c r="P1038" s="6" t="s">
        <v>298</v>
      </c>
      <c r="Q1038" s="6" t="s">
        <v>298</v>
      </c>
      <c r="R1038" s="6" t="s">
        <v>298</v>
      </c>
      <c r="S1038" s="6" t="s">
        <v>1219</v>
      </c>
      <c r="T1038" s="131">
        <v>1.4359999999999999</v>
      </c>
      <c r="U1038" s="6" t="s">
        <v>1644</v>
      </c>
      <c r="V1038" s="134">
        <v>8.5000000000000006E-2</v>
      </c>
      <c r="W1038" s="132">
        <v>5.4870000000000002E-2</v>
      </c>
      <c r="X1038" s="3" t="s">
        <v>620</v>
      </c>
      <c r="Y1038" s="3" t="s">
        <v>62</v>
      </c>
      <c r="Z1038" s="131">
        <v>58000</v>
      </c>
      <c r="AA1038" s="129">
        <v>1</v>
      </c>
      <c r="AB1038" s="157">
        <v>104.4</v>
      </c>
      <c r="AD1038" s="131">
        <v>60.552</v>
      </c>
      <c r="AG1038" s="6" t="s">
        <v>17</v>
      </c>
      <c r="AH1038" s="132">
        <v>4.46E-4</v>
      </c>
      <c r="AI1038" s="132">
        <v>2.18185294728884E-3</v>
      </c>
      <c r="AJ1038" s="132">
        <v>4.9821408432479397E-4</v>
      </c>
    </row>
    <row r="1039" spans="1:36" x14ac:dyDescent="0.2">
      <c r="A1039" s="6">
        <v>559</v>
      </c>
      <c r="B1039" s="6">
        <v>7207</v>
      </c>
      <c r="C1039" s="6" t="s">
        <v>1640</v>
      </c>
      <c r="D1039" s="6" t="s">
        <v>1641</v>
      </c>
      <c r="E1039" s="3" t="s">
        <v>1477</v>
      </c>
      <c r="F1039" s="6" t="s">
        <v>1645</v>
      </c>
      <c r="G1039" s="6" t="s">
        <v>1646</v>
      </c>
      <c r="H1039" s="6" t="s">
        <v>76</v>
      </c>
      <c r="I1039" s="6" t="s">
        <v>228</v>
      </c>
      <c r="J1039" s="6" t="s">
        <v>53</v>
      </c>
      <c r="K1039" s="6" t="s">
        <v>53</v>
      </c>
      <c r="L1039" s="6" t="s">
        <v>805</v>
      </c>
      <c r="M1039" s="6" t="s">
        <v>102</v>
      </c>
      <c r="N1039" s="6" t="s">
        <v>140</v>
      </c>
      <c r="O1039" s="6" t="s">
        <v>62</v>
      </c>
      <c r="P1039" s="6" t="s">
        <v>298</v>
      </c>
      <c r="Q1039" s="6" t="s">
        <v>298</v>
      </c>
      <c r="R1039" s="6" t="s">
        <v>298</v>
      </c>
      <c r="S1039" s="6" t="s">
        <v>1219</v>
      </c>
      <c r="T1039" s="131">
        <v>2.8119999999999998</v>
      </c>
      <c r="U1039" s="6" t="s">
        <v>1590</v>
      </c>
      <c r="V1039" s="134">
        <v>7.17E-2</v>
      </c>
      <c r="W1039" s="132">
        <v>5.9709999999999999E-2</v>
      </c>
      <c r="X1039" s="3" t="s">
        <v>620</v>
      </c>
      <c r="Y1039" s="3" t="s">
        <v>62</v>
      </c>
      <c r="Z1039" s="131">
        <v>14000</v>
      </c>
      <c r="AA1039" s="129">
        <v>1</v>
      </c>
      <c r="AB1039" s="157">
        <v>103.57</v>
      </c>
      <c r="AD1039" s="131">
        <v>14.5</v>
      </c>
      <c r="AG1039" s="6" t="s">
        <v>17</v>
      </c>
      <c r="AH1039" s="132">
        <v>9.7999999999999997E-5</v>
      </c>
      <c r="AI1039" s="132">
        <v>5.22467158229268E-4</v>
      </c>
      <c r="AJ1039" s="132">
        <v>1.1930249339233499E-4</v>
      </c>
    </row>
    <row r="1040" spans="1:36" x14ac:dyDescent="0.2">
      <c r="A1040" s="6">
        <v>559</v>
      </c>
      <c r="B1040" s="6">
        <v>7207</v>
      </c>
      <c r="C1040" s="6" t="s">
        <v>1640</v>
      </c>
      <c r="D1040" s="6" t="s">
        <v>1641</v>
      </c>
      <c r="E1040" s="3" t="s">
        <v>1477</v>
      </c>
      <c r="F1040" s="6" t="s">
        <v>1647</v>
      </c>
      <c r="G1040" s="6" t="s">
        <v>1648</v>
      </c>
      <c r="H1040" s="6" t="s">
        <v>76</v>
      </c>
      <c r="I1040" s="6" t="s">
        <v>228</v>
      </c>
      <c r="J1040" s="6" t="s">
        <v>53</v>
      </c>
      <c r="K1040" s="6" t="s">
        <v>53</v>
      </c>
      <c r="L1040" s="6" t="s">
        <v>805</v>
      </c>
      <c r="M1040" s="6" t="s">
        <v>102</v>
      </c>
      <c r="N1040" s="6" t="s">
        <v>140</v>
      </c>
      <c r="O1040" s="6" t="s">
        <v>62</v>
      </c>
      <c r="P1040" s="6" t="s">
        <v>298</v>
      </c>
      <c r="Q1040" s="6" t="s">
        <v>298</v>
      </c>
      <c r="R1040" s="6" t="s">
        <v>298</v>
      </c>
      <c r="S1040" s="6" t="s">
        <v>1219</v>
      </c>
      <c r="T1040" s="131">
        <v>3.2839999999999998</v>
      </c>
      <c r="U1040" s="6" t="s">
        <v>1649</v>
      </c>
      <c r="V1040" s="134">
        <v>6.6900000000000001E-2</v>
      </c>
      <c r="W1040" s="132">
        <v>6.5750000000000003E-2</v>
      </c>
      <c r="X1040" s="3" t="s">
        <v>620</v>
      </c>
      <c r="Y1040" s="3" t="s">
        <v>62</v>
      </c>
      <c r="Z1040" s="131">
        <v>50000</v>
      </c>
      <c r="AA1040" s="129">
        <v>1</v>
      </c>
      <c r="AB1040" s="157">
        <v>100.7</v>
      </c>
      <c r="AD1040" s="131">
        <v>50.35</v>
      </c>
      <c r="AG1040" s="6" t="s">
        <v>17</v>
      </c>
      <c r="AH1040" s="132">
        <v>1.6699999999999999E-4</v>
      </c>
      <c r="AI1040" s="132">
        <v>1.81424719077806E-3</v>
      </c>
      <c r="AJ1040" s="132">
        <v>4.1427333772217899E-4</v>
      </c>
    </row>
    <row r="1041" spans="1:36" x14ac:dyDescent="0.2">
      <c r="A1041" s="6">
        <v>559</v>
      </c>
      <c r="B1041" s="6">
        <v>7207</v>
      </c>
      <c r="C1041" s="6" t="s">
        <v>1650</v>
      </c>
      <c r="D1041" s="6" t="s">
        <v>1651</v>
      </c>
      <c r="E1041" s="3" t="s">
        <v>1477</v>
      </c>
      <c r="F1041" s="6" t="s">
        <v>1652</v>
      </c>
      <c r="G1041" s="6" t="s">
        <v>1653</v>
      </c>
      <c r="H1041" s="6" t="s">
        <v>76</v>
      </c>
      <c r="I1041" s="6" t="s">
        <v>228</v>
      </c>
      <c r="J1041" s="6" t="s">
        <v>53</v>
      </c>
      <c r="K1041" s="6" t="s">
        <v>53</v>
      </c>
      <c r="L1041" s="6" t="s">
        <v>805</v>
      </c>
      <c r="M1041" s="6" t="s">
        <v>311</v>
      </c>
      <c r="N1041" s="6" t="s">
        <v>692</v>
      </c>
      <c r="O1041" s="6" t="s">
        <v>62</v>
      </c>
      <c r="P1041" s="6" t="s">
        <v>1533</v>
      </c>
      <c r="Q1041" s="6" t="s">
        <v>65</v>
      </c>
      <c r="R1041" s="6" t="s">
        <v>57</v>
      </c>
      <c r="S1041" s="6" t="s">
        <v>1219</v>
      </c>
      <c r="T1041" s="131">
        <v>2.1859999999999999</v>
      </c>
      <c r="U1041" s="6" t="s">
        <v>1654</v>
      </c>
      <c r="V1041" s="134">
        <v>1.6400000000000001E-2</v>
      </c>
      <c r="W1041" s="132">
        <v>4.7849999999999997E-2</v>
      </c>
      <c r="X1041" s="3" t="s">
        <v>620</v>
      </c>
      <c r="Y1041" s="3" t="s">
        <v>62</v>
      </c>
      <c r="Z1041" s="131">
        <v>110000</v>
      </c>
      <c r="AA1041" s="129">
        <v>1</v>
      </c>
      <c r="AB1041" s="157">
        <v>93.91</v>
      </c>
      <c r="AD1041" s="131">
        <v>103.301</v>
      </c>
      <c r="AG1041" s="6" t="s">
        <v>17</v>
      </c>
      <c r="AH1041" s="132">
        <v>3.5100000000000002E-4</v>
      </c>
      <c r="AI1041" s="132">
        <v>3.7222154727818099E-3</v>
      </c>
      <c r="AJ1041" s="132">
        <v>8.4994736961348195E-4</v>
      </c>
    </row>
    <row r="1042" spans="1:36" x14ac:dyDescent="0.2">
      <c r="A1042" s="6">
        <v>559</v>
      </c>
      <c r="B1042" s="6">
        <v>7207</v>
      </c>
      <c r="C1042" s="6" t="s">
        <v>1655</v>
      </c>
      <c r="D1042" s="6" t="s">
        <v>1656</v>
      </c>
      <c r="E1042" s="3" t="s">
        <v>1477</v>
      </c>
      <c r="F1042" s="6" t="s">
        <v>1657</v>
      </c>
      <c r="G1042" s="6" t="s">
        <v>1658</v>
      </c>
      <c r="H1042" s="6" t="s">
        <v>76</v>
      </c>
      <c r="I1042" s="6" t="s">
        <v>607</v>
      </c>
      <c r="J1042" s="6" t="s">
        <v>53</v>
      </c>
      <c r="K1042" s="6" t="s">
        <v>53</v>
      </c>
      <c r="L1042" s="6" t="s">
        <v>805</v>
      </c>
      <c r="M1042" s="6" t="s">
        <v>311</v>
      </c>
      <c r="N1042" s="6" t="s">
        <v>631</v>
      </c>
      <c r="O1042" s="6" t="s">
        <v>62</v>
      </c>
      <c r="P1042" s="6" t="s">
        <v>298</v>
      </c>
      <c r="Q1042" s="6" t="s">
        <v>298</v>
      </c>
      <c r="R1042" s="6" t="s">
        <v>298</v>
      </c>
      <c r="S1042" s="6" t="s">
        <v>1219</v>
      </c>
      <c r="T1042" s="131">
        <v>0.98799999999999999</v>
      </c>
      <c r="U1042" s="6" t="s">
        <v>1595</v>
      </c>
      <c r="V1042" s="134">
        <v>2.5000000000000001E-2</v>
      </c>
      <c r="W1042" s="132">
        <v>1.7059999999999999E-2</v>
      </c>
      <c r="X1042" s="3" t="s">
        <v>620</v>
      </c>
      <c r="Y1042" s="3" t="s">
        <v>62</v>
      </c>
      <c r="Z1042" s="131">
        <v>106000</v>
      </c>
      <c r="AA1042" s="129">
        <v>1</v>
      </c>
      <c r="AB1042" s="157">
        <v>100.8</v>
      </c>
      <c r="AD1042" s="131">
        <v>106.848</v>
      </c>
      <c r="AG1042" s="6" t="s">
        <v>17</v>
      </c>
      <c r="AH1042" s="132">
        <v>3.1700000000000001E-4</v>
      </c>
      <c r="AI1042" s="132">
        <v>3.8500235122195399E-3</v>
      </c>
      <c r="AJ1042" s="132">
        <v>8.7913163036622396E-4</v>
      </c>
    </row>
    <row r="1043" spans="1:36" x14ac:dyDescent="0.2">
      <c r="A1043" s="6">
        <v>559</v>
      </c>
      <c r="B1043" s="6">
        <v>7207</v>
      </c>
      <c r="C1043" s="6" t="s">
        <v>1659</v>
      </c>
      <c r="D1043" s="6" t="s">
        <v>1660</v>
      </c>
      <c r="E1043" s="3" t="s">
        <v>1477</v>
      </c>
      <c r="F1043" s="6" t="s">
        <v>1661</v>
      </c>
      <c r="G1043" s="6" t="s">
        <v>1662</v>
      </c>
      <c r="H1043" s="6" t="s">
        <v>76</v>
      </c>
      <c r="I1043" s="6" t="s">
        <v>229</v>
      </c>
      <c r="J1043" s="6" t="s">
        <v>53</v>
      </c>
      <c r="K1043" s="6" t="s">
        <v>53</v>
      </c>
      <c r="L1043" s="6" t="s">
        <v>805</v>
      </c>
      <c r="M1043" s="6" t="s">
        <v>311</v>
      </c>
      <c r="N1043" s="6" t="s">
        <v>635</v>
      </c>
      <c r="O1043" s="6" t="s">
        <v>62</v>
      </c>
      <c r="P1043" s="6" t="s">
        <v>298</v>
      </c>
      <c r="Q1043" s="6" t="s">
        <v>298</v>
      </c>
      <c r="R1043" s="6" t="s">
        <v>298</v>
      </c>
      <c r="S1043" s="6" t="s">
        <v>1219</v>
      </c>
      <c r="T1043" s="131">
        <v>1.6719999999999999</v>
      </c>
      <c r="U1043" s="6" t="s">
        <v>1663</v>
      </c>
      <c r="V1043" s="134">
        <v>1.9E-2</v>
      </c>
      <c r="W1043" s="132">
        <v>3.4250000000000003E-2</v>
      </c>
      <c r="X1043" s="3" t="s">
        <v>620</v>
      </c>
      <c r="Y1043" s="3" t="s">
        <v>62</v>
      </c>
      <c r="Z1043" s="131">
        <v>128132.39</v>
      </c>
      <c r="AA1043" s="129">
        <v>1</v>
      </c>
      <c r="AB1043" s="157">
        <v>110.1</v>
      </c>
      <c r="AD1043" s="131">
        <v>141.07400000000001</v>
      </c>
      <c r="AG1043" s="6" t="s">
        <v>17</v>
      </c>
      <c r="AH1043" s="132">
        <v>2.2800000000000001E-4</v>
      </c>
      <c r="AI1043" s="132">
        <v>5.0832706116047902E-3</v>
      </c>
      <c r="AJ1043" s="132">
        <v>1.16073680230502E-3</v>
      </c>
    </row>
    <row r="1044" spans="1:36" x14ac:dyDescent="0.2">
      <c r="A1044" s="6">
        <v>559</v>
      </c>
      <c r="B1044" s="6">
        <v>7207</v>
      </c>
      <c r="C1044" s="6" t="s">
        <v>1664</v>
      </c>
      <c r="D1044" s="6" t="s">
        <v>1665</v>
      </c>
      <c r="E1044" s="3" t="s">
        <v>1477</v>
      </c>
      <c r="F1044" s="6" t="s">
        <v>1666</v>
      </c>
      <c r="G1044" s="6" t="s">
        <v>1667</v>
      </c>
      <c r="H1044" s="6" t="s">
        <v>76</v>
      </c>
      <c r="I1044" s="6" t="s">
        <v>229</v>
      </c>
      <c r="J1044" s="6" t="s">
        <v>53</v>
      </c>
      <c r="K1044" s="6" t="s">
        <v>53</v>
      </c>
      <c r="L1044" s="6" t="s">
        <v>805</v>
      </c>
      <c r="M1044" s="6" t="s">
        <v>311</v>
      </c>
      <c r="N1044" s="6" t="s">
        <v>635</v>
      </c>
      <c r="O1044" s="6" t="s">
        <v>62</v>
      </c>
      <c r="P1044" s="6" t="s">
        <v>1493</v>
      </c>
      <c r="Q1044" s="6" t="s">
        <v>65</v>
      </c>
      <c r="R1044" s="6" t="s">
        <v>57</v>
      </c>
      <c r="S1044" s="6" t="s">
        <v>1219</v>
      </c>
      <c r="T1044" s="131">
        <v>2.956</v>
      </c>
      <c r="U1044" s="6" t="s">
        <v>1668</v>
      </c>
      <c r="V1044" s="134">
        <v>1.83E-2</v>
      </c>
      <c r="W1044" s="132">
        <v>2.8729999999999999E-2</v>
      </c>
      <c r="X1044" s="3" t="s">
        <v>620</v>
      </c>
      <c r="Y1044" s="3" t="s">
        <v>62</v>
      </c>
      <c r="Z1044" s="131">
        <v>48900</v>
      </c>
      <c r="AA1044" s="129">
        <v>1</v>
      </c>
      <c r="AB1044" s="157">
        <v>113.83</v>
      </c>
      <c r="AD1044" s="131">
        <v>55.662999999999997</v>
      </c>
      <c r="AG1044" s="6" t="s">
        <v>17</v>
      </c>
      <c r="AH1044" s="132">
        <v>1.94E-4</v>
      </c>
      <c r="AI1044" s="132">
        <v>2.00568432032064E-3</v>
      </c>
      <c r="AJ1044" s="132">
        <v>4.5798695019058102E-4</v>
      </c>
    </row>
    <row r="1045" spans="1:36" x14ac:dyDescent="0.2">
      <c r="A1045" s="6">
        <v>559</v>
      </c>
      <c r="B1045" s="6">
        <v>7207</v>
      </c>
      <c r="C1045" s="6" t="s">
        <v>1664</v>
      </c>
      <c r="D1045" s="6" t="s">
        <v>1665</v>
      </c>
      <c r="E1045" s="3" t="s">
        <v>1477</v>
      </c>
      <c r="F1045" s="6" t="s">
        <v>1669</v>
      </c>
      <c r="G1045" s="6" t="s">
        <v>1670</v>
      </c>
      <c r="H1045" s="6" t="s">
        <v>76</v>
      </c>
      <c r="I1045" s="6" t="s">
        <v>229</v>
      </c>
      <c r="J1045" s="6" t="s">
        <v>53</v>
      </c>
      <c r="K1045" s="6" t="s">
        <v>53</v>
      </c>
      <c r="L1045" s="6" t="s">
        <v>805</v>
      </c>
      <c r="M1045" s="6" t="s">
        <v>311</v>
      </c>
      <c r="N1045" s="6" t="s">
        <v>635</v>
      </c>
      <c r="O1045" s="6" t="s">
        <v>62</v>
      </c>
      <c r="P1045" s="6" t="s">
        <v>1493</v>
      </c>
      <c r="Q1045" s="6" t="s">
        <v>65</v>
      </c>
      <c r="R1045" s="6" t="s">
        <v>57</v>
      </c>
      <c r="S1045" s="6" t="s">
        <v>1219</v>
      </c>
      <c r="T1045" s="131">
        <v>3.4209999999999998</v>
      </c>
      <c r="U1045" s="6" t="s">
        <v>1549</v>
      </c>
      <c r="V1045" s="134">
        <v>1.5299999999999999E-2</v>
      </c>
      <c r="W1045" s="132">
        <v>2.7949999999999999E-2</v>
      </c>
      <c r="X1045" s="3" t="s">
        <v>620</v>
      </c>
      <c r="Y1045" s="3" t="s">
        <v>62</v>
      </c>
      <c r="Z1045" s="131">
        <v>143698.31</v>
      </c>
      <c r="AA1045" s="129">
        <v>1</v>
      </c>
      <c r="AB1045" s="157">
        <v>112.31</v>
      </c>
      <c r="AC1045" s="131">
        <v>6.367</v>
      </c>
      <c r="AD1045" s="131">
        <v>167.75399999999999</v>
      </c>
      <c r="AG1045" s="6" t="s">
        <v>17</v>
      </c>
      <c r="AH1045" s="132">
        <v>2.7900000000000001E-4</v>
      </c>
      <c r="AI1045" s="132">
        <v>6.0446465242978602E-3</v>
      </c>
      <c r="AJ1045" s="132">
        <v>1.38026168853965E-3</v>
      </c>
    </row>
    <row r="1046" spans="1:36" x14ac:dyDescent="0.2">
      <c r="A1046" s="6">
        <v>559</v>
      </c>
      <c r="B1046" s="6">
        <v>7207</v>
      </c>
      <c r="C1046" s="6" t="s">
        <v>1671</v>
      </c>
      <c r="D1046" s="6" t="s">
        <v>1672</v>
      </c>
      <c r="E1046" s="3" t="s">
        <v>1477</v>
      </c>
      <c r="F1046" s="6" t="s">
        <v>1673</v>
      </c>
      <c r="G1046" s="6" t="s">
        <v>1674</v>
      </c>
      <c r="H1046" s="6" t="s">
        <v>76</v>
      </c>
      <c r="I1046" s="6" t="s">
        <v>229</v>
      </c>
      <c r="J1046" s="6" t="s">
        <v>53</v>
      </c>
      <c r="K1046" s="6" t="s">
        <v>53</v>
      </c>
      <c r="L1046" s="6" t="s">
        <v>805</v>
      </c>
      <c r="M1046" s="6" t="s">
        <v>311</v>
      </c>
      <c r="N1046" s="6" t="s">
        <v>140</v>
      </c>
      <c r="O1046" s="6" t="s">
        <v>62</v>
      </c>
      <c r="P1046" s="6" t="s">
        <v>1628</v>
      </c>
      <c r="Q1046" s="6" t="s">
        <v>65</v>
      </c>
      <c r="R1046" s="6" t="s">
        <v>57</v>
      </c>
      <c r="S1046" s="6" t="s">
        <v>1219</v>
      </c>
      <c r="T1046" s="131">
        <v>0.35899999999999999</v>
      </c>
      <c r="U1046" s="6" t="s">
        <v>1675</v>
      </c>
      <c r="V1046" s="134">
        <v>2.4E-2</v>
      </c>
      <c r="W1046" s="132">
        <v>2.7359999999999999E-2</v>
      </c>
      <c r="X1046" s="3" t="s">
        <v>620</v>
      </c>
      <c r="Y1046" s="3" t="s">
        <v>62</v>
      </c>
      <c r="Z1046" s="131">
        <v>4504.1499999999996</v>
      </c>
      <c r="AA1046" s="129">
        <v>1</v>
      </c>
      <c r="AB1046" s="157">
        <v>117.52</v>
      </c>
      <c r="AD1046" s="131">
        <v>5.2930000000000001</v>
      </c>
      <c r="AG1046" s="6" t="s">
        <v>17</v>
      </c>
      <c r="AH1046" s="132">
        <v>1.34E-4</v>
      </c>
      <c r="AI1046" s="132">
        <v>1.9073114344389001E-4</v>
      </c>
      <c r="AJ1046" s="132">
        <v>4.3552404437336803E-5</v>
      </c>
    </row>
    <row r="1047" spans="1:36" x14ac:dyDescent="0.2">
      <c r="A1047" s="6">
        <v>559</v>
      </c>
      <c r="B1047" s="6">
        <v>7207</v>
      </c>
      <c r="C1047" s="6" t="s">
        <v>1676</v>
      </c>
      <c r="D1047" s="6" t="s">
        <v>1677</v>
      </c>
      <c r="E1047" s="3" t="s">
        <v>1477</v>
      </c>
      <c r="F1047" s="6" t="s">
        <v>1678</v>
      </c>
      <c r="G1047" s="6" t="s">
        <v>1679</v>
      </c>
      <c r="H1047" s="6" t="s">
        <v>76</v>
      </c>
      <c r="I1047" s="6" t="s">
        <v>230</v>
      </c>
      <c r="J1047" s="6" t="s">
        <v>53</v>
      </c>
      <c r="K1047" s="6" t="s">
        <v>53</v>
      </c>
      <c r="L1047" s="6" t="s">
        <v>805</v>
      </c>
      <c r="M1047" s="6" t="s">
        <v>311</v>
      </c>
      <c r="N1047" s="6" t="s">
        <v>156</v>
      </c>
      <c r="O1047" s="6" t="s">
        <v>62</v>
      </c>
      <c r="P1047" s="6" t="s">
        <v>1493</v>
      </c>
      <c r="Q1047" s="6" t="s">
        <v>65</v>
      </c>
      <c r="R1047" s="6" t="s">
        <v>57</v>
      </c>
      <c r="S1047" s="6" t="s">
        <v>1219</v>
      </c>
      <c r="T1047" s="131">
        <v>0.247</v>
      </c>
      <c r="U1047" s="6" t="s">
        <v>1680</v>
      </c>
      <c r="V1047" s="134">
        <v>4.7E-2</v>
      </c>
      <c r="W1047" s="132">
        <v>7.2179999999999994E-2</v>
      </c>
      <c r="X1047" s="3" t="s">
        <v>620</v>
      </c>
      <c r="Y1047" s="3" t="s">
        <v>62</v>
      </c>
      <c r="Z1047" s="131">
        <v>38500</v>
      </c>
      <c r="AA1047" s="129">
        <v>1</v>
      </c>
      <c r="AB1047" s="157">
        <v>93.14</v>
      </c>
      <c r="AD1047" s="131">
        <v>35.859000000000002</v>
      </c>
      <c r="AG1047" s="6" t="s">
        <v>17</v>
      </c>
      <c r="AH1047" s="132">
        <v>1.5699999999999999E-4</v>
      </c>
      <c r="AI1047" s="132">
        <v>1.2920935171676501E-3</v>
      </c>
      <c r="AJ1047" s="132">
        <v>2.95042426813224E-4</v>
      </c>
    </row>
    <row r="1048" spans="1:36" x14ac:dyDescent="0.2">
      <c r="A1048" s="6">
        <v>559</v>
      </c>
      <c r="B1048" s="6">
        <v>7207</v>
      </c>
      <c r="C1048" s="6" t="s">
        <v>1681</v>
      </c>
      <c r="D1048" s="6" t="s">
        <v>1682</v>
      </c>
      <c r="E1048" s="3" t="s">
        <v>1477</v>
      </c>
      <c r="F1048" s="6" t="s">
        <v>1683</v>
      </c>
      <c r="G1048" s="6" t="s">
        <v>1684</v>
      </c>
      <c r="H1048" s="6" t="s">
        <v>76</v>
      </c>
      <c r="I1048" s="6" t="s">
        <v>229</v>
      </c>
      <c r="J1048" s="6" t="s">
        <v>53</v>
      </c>
      <c r="K1048" s="6" t="s">
        <v>53</v>
      </c>
      <c r="L1048" s="6" t="s">
        <v>805</v>
      </c>
      <c r="M1048" s="6" t="s">
        <v>311</v>
      </c>
      <c r="N1048" s="6" t="s">
        <v>260</v>
      </c>
      <c r="O1048" s="6" t="s">
        <v>62</v>
      </c>
      <c r="P1048" s="6" t="s">
        <v>1533</v>
      </c>
      <c r="Q1048" s="6" t="s">
        <v>65</v>
      </c>
      <c r="R1048" s="6" t="s">
        <v>57</v>
      </c>
      <c r="S1048" s="6" t="s">
        <v>1219</v>
      </c>
      <c r="T1048" s="131">
        <v>0.41599999999999998</v>
      </c>
      <c r="U1048" s="6" t="s">
        <v>1685</v>
      </c>
      <c r="V1048" s="134">
        <v>2.1999999999999999E-2</v>
      </c>
      <c r="W1048" s="132">
        <v>1.949E-2</v>
      </c>
      <c r="X1048" s="3" t="s">
        <v>620</v>
      </c>
      <c r="Y1048" s="3" t="s">
        <v>62</v>
      </c>
      <c r="Z1048" s="131">
        <v>122500</v>
      </c>
      <c r="AA1048" s="129">
        <v>1</v>
      </c>
      <c r="AB1048" s="157">
        <v>117.6</v>
      </c>
      <c r="AD1048" s="131">
        <v>144.06</v>
      </c>
      <c r="AG1048" s="6" t="s">
        <v>17</v>
      </c>
      <c r="AH1048" s="132">
        <v>4.6299999999999998E-4</v>
      </c>
      <c r="AI1048" s="132">
        <v>5.1908728957991397E-3</v>
      </c>
      <c r="AJ1048" s="132">
        <v>1.1853071903129501E-3</v>
      </c>
    </row>
    <row r="1049" spans="1:36" x14ac:dyDescent="0.2">
      <c r="A1049" s="6">
        <v>559</v>
      </c>
      <c r="B1049" s="6">
        <v>7207</v>
      </c>
      <c r="C1049" s="6" t="s">
        <v>1681</v>
      </c>
      <c r="D1049" s="6" t="s">
        <v>1682</v>
      </c>
      <c r="E1049" s="3" t="s">
        <v>1477</v>
      </c>
      <c r="F1049" s="6" t="s">
        <v>1686</v>
      </c>
      <c r="G1049" s="6" t="s">
        <v>1687</v>
      </c>
      <c r="H1049" s="6" t="s">
        <v>76</v>
      </c>
      <c r="I1049" s="6" t="s">
        <v>228</v>
      </c>
      <c r="J1049" s="6" t="s">
        <v>53</v>
      </c>
      <c r="K1049" s="6" t="s">
        <v>53</v>
      </c>
      <c r="L1049" s="6" t="s">
        <v>805</v>
      </c>
      <c r="M1049" s="6" t="s">
        <v>311</v>
      </c>
      <c r="N1049" s="6" t="s">
        <v>260</v>
      </c>
      <c r="O1049" s="6" t="s">
        <v>62</v>
      </c>
      <c r="P1049" s="6" t="s">
        <v>1533</v>
      </c>
      <c r="Q1049" s="6" t="s">
        <v>65</v>
      </c>
      <c r="R1049" s="6" t="s">
        <v>57</v>
      </c>
      <c r="S1049" s="6" t="s">
        <v>1219</v>
      </c>
      <c r="T1049" s="131">
        <v>0.41599999999999998</v>
      </c>
      <c r="U1049" s="6" t="s">
        <v>1685</v>
      </c>
      <c r="V1049" s="134">
        <v>3.6499999999999998E-2</v>
      </c>
      <c r="W1049" s="132">
        <v>4.514E-2</v>
      </c>
      <c r="X1049" s="3" t="s">
        <v>620</v>
      </c>
      <c r="Y1049" s="3" t="s">
        <v>62</v>
      </c>
      <c r="Z1049" s="131">
        <v>203500</v>
      </c>
      <c r="AA1049" s="129">
        <v>1</v>
      </c>
      <c r="AB1049" s="157">
        <v>99.97</v>
      </c>
      <c r="AD1049" s="131">
        <v>203.43899999999999</v>
      </c>
      <c r="AG1049" s="6" t="s">
        <v>17</v>
      </c>
      <c r="AH1049" s="132">
        <v>3.8200000000000002E-4</v>
      </c>
      <c r="AI1049" s="132">
        <v>7.3304576669779098E-3</v>
      </c>
      <c r="AJ1049" s="132">
        <v>1.67386956979534E-3</v>
      </c>
    </row>
    <row r="1050" spans="1:36" x14ac:dyDescent="0.2">
      <c r="A1050" s="6">
        <v>559</v>
      </c>
      <c r="B1050" s="6">
        <v>7207</v>
      </c>
      <c r="C1050" s="6" t="s">
        <v>1688</v>
      </c>
      <c r="D1050" s="6" t="s">
        <v>1689</v>
      </c>
      <c r="E1050" s="3" t="s">
        <v>1477</v>
      </c>
      <c r="F1050" s="6" t="s">
        <v>1690</v>
      </c>
      <c r="G1050" s="6" t="s">
        <v>1691</v>
      </c>
      <c r="H1050" s="6" t="s">
        <v>76</v>
      </c>
      <c r="I1050" s="6" t="s">
        <v>229</v>
      </c>
      <c r="J1050" s="6" t="s">
        <v>53</v>
      </c>
      <c r="K1050" s="6" t="s">
        <v>53</v>
      </c>
      <c r="L1050" s="6" t="s">
        <v>805</v>
      </c>
      <c r="M1050" s="6" t="s">
        <v>311</v>
      </c>
      <c r="N1050" s="6" t="s">
        <v>635</v>
      </c>
      <c r="O1050" s="6" t="s">
        <v>62</v>
      </c>
      <c r="P1050" s="6" t="s">
        <v>1533</v>
      </c>
      <c r="Q1050" s="6" t="s">
        <v>65</v>
      </c>
      <c r="R1050" s="6" t="s">
        <v>57</v>
      </c>
      <c r="S1050" s="6" t="s">
        <v>1219</v>
      </c>
      <c r="T1050" s="131">
        <v>2.94</v>
      </c>
      <c r="U1050" s="6" t="s">
        <v>1692</v>
      </c>
      <c r="V1050" s="134">
        <v>7.7999999999999996E-3</v>
      </c>
      <c r="W1050" s="132">
        <v>2.6079999999999999E-2</v>
      </c>
      <c r="X1050" s="3" t="s">
        <v>620</v>
      </c>
      <c r="Y1050" s="3" t="s">
        <v>62</v>
      </c>
      <c r="Z1050" s="131">
        <v>40000</v>
      </c>
      <c r="AA1050" s="129">
        <v>1</v>
      </c>
      <c r="AB1050" s="157">
        <v>110.24</v>
      </c>
      <c r="AD1050" s="131">
        <v>44.095999999999997</v>
      </c>
      <c r="AG1050" s="6" t="s">
        <v>17</v>
      </c>
      <c r="AH1050" s="132">
        <v>6.8999999999999997E-5</v>
      </c>
      <c r="AI1050" s="132">
        <v>1.5888985923445699E-3</v>
      </c>
      <c r="AJ1050" s="132">
        <v>3.62816228405108E-4</v>
      </c>
    </row>
    <row r="1051" spans="1:36" x14ac:dyDescent="0.2">
      <c r="A1051" s="6">
        <v>559</v>
      </c>
      <c r="B1051" s="6">
        <v>7207</v>
      </c>
      <c r="C1051" s="6" t="s">
        <v>1688</v>
      </c>
      <c r="D1051" s="6" t="s">
        <v>1689</v>
      </c>
      <c r="E1051" s="3" t="s">
        <v>1477</v>
      </c>
      <c r="F1051" s="6" t="s">
        <v>1693</v>
      </c>
      <c r="G1051" s="6" t="s">
        <v>1694</v>
      </c>
      <c r="H1051" s="6" t="s">
        <v>76</v>
      </c>
      <c r="I1051" s="6" t="s">
        <v>229</v>
      </c>
      <c r="J1051" s="6" t="s">
        <v>53</v>
      </c>
      <c r="K1051" s="6" t="s">
        <v>53</v>
      </c>
      <c r="L1051" s="6" t="s">
        <v>805</v>
      </c>
      <c r="M1051" s="6" t="s">
        <v>311</v>
      </c>
      <c r="N1051" s="6" t="s">
        <v>635</v>
      </c>
      <c r="O1051" s="6" t="s">
        <v>62</v>
      </c>
      <c r="P1051" s="6" t="s">
        <v>1533</v>
      </c>
      <c r="Q1051" s="6" t="s">
        <v>65</v>
      </c>
      <c r="R1051" s="6" t="s">
        <v>57</v>
      </c>
      <c r="S1051" s="6" t="s">
        <v>1219</v>
      </c>
      <c r="T1051" s="131">
        <v>0.77500000000000002</v>
      </c>
      <c r="U1051" s="6" t="s">
        <v>1695</v>
      </c>
      <c r="V1051" s="134">
        <v>1.34E-2</v>
      </c>
      <c r="W1051" s="132">
        <v>3.2250000000000001E-2</v>
      </c>
      <c r="X1051" s="3" t="s">
        <v>620</v>
      </c>
      <c r="Y1051" s="3" t="s">
        <v>62</v>
      </c>
      <c r="Z1051" s="131">
        <v>219525.03</v>
      </c>
      <c r="AA1051" s="129">
        <v>1</v>
      </c>
      <c r="AB1051" s="157">
        <v>116.88</v>
      </c>
      <c r="AD1051" s="131">
        <v>256.58100000000002</v>
      </c>
      <c r="AG1051" s="6" t="s">
        <v>17</v>
      </c>
      <c r="AH1051" s="132">
        <v>4.8700000000000002E-4</v>
      </c>
      <c r="AI1051" s="132">
        <v>9.2453047767089101E-3</v>
      </c>
      <c r="AJ1051" s="132">
        <v>2.1111143440511199E-3</v>
      </c>
    </row>
    <row r="1052" spans="1:36" x14ac:dyDescent="0.2">
      <c r="A1052" s="6">
        <v>559</v>
      </c>
      <c r="B1052" s="6">
        <v>7207</v>
      </c>
      <c r="C1052" s="6" t="s">
        <v>1688</v>
      </c>
      <c r="D1052" s="6" t="s">
        <v>1689</v>
      </c>
      <c r="E1052" s="3" t="s">
        <v>1477</v>
      </c>
      <c r="F1052" s="6" t="s">
        <v>1696</v>
      </c>
      <c r="G1052" s="6" t="s">
        <v>1697</v>
      </c>
      <c r="H1052" s="6" t="s">
        <v>76</v>
      </c>
      <c r="I1052" s="6" t="s">
        <v>229</v>
      </c>
      <c r="J1052" s="6" t="s">
        <v>53</v>
      </c>
      <c r="K1052" s="6" t="s">
        <v>53</v>
      </c>
      <c r="L1052" s="6" t="s">
        <v>805</v>
      </c>
      <c r="M1052" s="6" t="s">
        <v>311</v>
      </c>
      <c r="N1052" s="6" t="s">
        <v>635</v>
      </c>
      <c r="O1052" s="6" t="s">
        <v>62</v>
      </c>
      <c r="P1052" s="6" t="s">
        <v>1533</v>
      </c>
      <c r="Q1052" s="6" t="s">
        <v>65</v>
      </c>
      <c r="R1052" s="6" t="s">
        <v>57</v>
      </c>
      <c r="S1052" s="6" t="s">
        <v>1219</v>
      </c>
      <c r="T1052" s="131">
        <v>4.7249999999999996</v>
      </c>
      <c r="U1052" s="6" t="s">
        <v>1698</v>
      </c>
      <c r="V1052" s="134">
        <v>2.5999999999999999E-2</v>
      </c>
      <c r="W1052" s="132">
        <v>2.8320000000000001E-2</v>
      </c>
      <c r="X1052" s="3" t="s">
        <v>620</v>
      </c>
      <c r="Y1052" s="3" t="s">
        <v>62</v>
      </c>
      <c r="Z1052" s="131">
        <v>40000</v>
      </c>
      <c r="AA1052" s="129">
        <v>1</v>
      </c>
      <c r="AB1052" s="157">
        <v>104</v>
      </c>
      <c r="AC1052" s="131">
        <v>0.54600000000000004</v>
      </c>
      <c r="AD1052" s="131">
        <v>42.146000000000001</v>
      </c>
      <c r="AG1052" s="6" t="s">
        <v>17</v>
      </c>
      <c r="AH1052" s="132">
        <v>7.4999999999999993E-5</v>
      </c>
      <c r="AI1052" s="132">
        <v>1.5186441669672601E-3</v>
      </c>
      <c r="AJ1052" s="132">
        <v>3.4677401792863497E-4</v>
      </c>
    </row>
    <row r="1053" spans="1:36" x14ac:dyDescent="0.2">
      <c r="A1053" s="6">
        <v>559</v>
      </c>
      <c r="B1053" s="6">
        <v>7207</v>
      </c>
      <c r="C1053" s="6" t="s">
        <v>1688</v>
      </c>
      <c r="D1053" s="6" t="s">
        <v>1689</v>
      </c>
      <c r="E1053" s="3" t="s">
        <v>1477</v>
      </c>
      <c r="F1053" s="6" t="s">
        <v>1699</v>
      </c>
      <c r="G1053" s="6" t="s">
        <v>1700</v>
      </c>
      <c r="H1053" s="6" t="s">
        <v>76</v>
      </c>
      <c r="I1053" s="6" t="s">
        <v>229</v>
      </c>
      <c r="J1053" s="6" t="s">
        <v>53</v>
      </c>
      <c r="K1053" s="6" t="s">
        <v>53</v>
      </c>
      <c r="L1053" s="6" t="s">
        <v>805</v>
      </c>
      <c r="M1053" s="6" t="s">
        <v>311</v>
      </c>
      <c r="N1053" s="6" t="s">
        <v>635</v>
      </c>
      <c r="O1053" s="6" t="s">
        <v>62</v>
      </c>
      <c r="P1053" s="6" t="s">
        <v>1533</v>
      </c>
      <c r="Q1053" s="6" t="s">
        <v>65</v>
      </c>
      <c r="R1053" s="6" t="s">
        <v>57</v>
      </c>
      <c r="S1053" s="6" t="s">
        <v>1219</v>
      </c>
      <c r="T1053" s="131">
        <v>0.41399999999999998</v>
      </c>
      <c r="U1053" s="6" t="s">
        <v>1273</v>
      </c>
      <c r="V1053" s="134">
        <v>2E-3</v>
      </c>
      <c r="W1053" s="132">
        <v>1.916E-2</v>
      </c>
      <c r="X1053" s="3" t="s">
        <v>620</v>
      </c>
      <c r="Y1053" s="3" t="s">
        <v>62</v>
      </c>
      <c r="Z1053" s="131">
        <v>144311.85999999999</v>
      </c>
      <c r="AA1053" s="129">
        <v>1</v>
      </c>
      <c r="AB1053" s="157">
        <v>115.09</v>
      </c>
      <c r="AD1053" s="131">
        <v>166.089</v>
      </c>
      <c r="AG1053" s="6" t="s">
        <v>17</v>
      </c>
      <c r="AH1053" s="132">
        <v>4.8099999999999998E-4</v>
      </c>
      <c r="AI1053" s="132">
        <v>5.9846202629402299E-3</v>
      </c>
      <c r="AJ1053" s="132">
        <v>1.36655502289342E-3</v>
      </c>
    </row>
    <row r="1054" spans="1:36" x14ac:dyDescent="0.2">
      <c r="A1054" s="6">
        <v>559</v>
      </c>
      <c r="B1054" s="6">
        <v>7207</v>
      </c>
      <c r="C1054" s="6" t="s">
        <v>1701</v>
      </c>
      <c r="D1054" s="6" t="s">
        <v>1702</v>
      </c>
      <c r="E1054" s="3" t="s">
        <v>1477</v>
      </c>
      <c r="F1054" s="6" t="s">
        <v>1703</v>
      </c>
      <c r="G1054" s="6" t="s">
        <v>1704</v>
      </c>
      <c r="H1054" s="6" t="s">
        <v>76</v>
      </c>
      <c r="I1054" s="6" t="s">
        <v>229</v>
      </c>
      <c r="J1054" s="6" t="s">
        <v>53</v>
      </c>
      <c r="K1054" s="6" t="s">
        <v>53</v>
      </c>
      <c r="L1054" s="6" t="s">
        <v>805</v>
      </c>
      <c r="M1054" s="6" t="s">
        <v>311</v>
      </c>
      <c r="N1054" s="6" t="s">
        <v>256</v>
      </c>
      <c r="O1054" s="6" t="s">
        <v>62</v>
      </c>
      <c r="P1054" s="6" t="s">
        <v>1213</v>
      </c>
      <c r="Q1054" s="6" t="s">
        <v>65</v>
      </c>
      <c r="R1054" s="6" t="s">
        <v>57</v>
      </c>
      <c r="S1054" s="6" t="s">
        <v>1219</v>
      </c>
      <c r="T1054" s="131">
        <v>0.192</v>
      </c>
      <c r="U1054" s="6" t="s">
        <v>1705</v>
      </c>
      <c r="V1054" s="134">
        <v>1E-3</v>
      </c>
      <c r="W1054" s="132">
        <v>2.2579999999999999E-2</v>
      </c>
      <c r="X1054" s="3" t="s">
        <v>620</v>
      </c>
      <c r="Y1054" s="3" t="s">
        <v>62</v>
      </c>
      <c r="Z1054" s="131">
        <v>379000</v>
      </c>
      <c r="AA1054" s="129">
        <v>1</v>
      </c>
      <c r="AB1054" s="157">
        <v>115.96</v>
      </c>
      <c r="AD1054" s="131">
        <v>439.488</v>
      </c>
      <c r="AG1054" s="6" t="s">
        <v>17</v>
      </c>
      <c r="AH1054" s="132">
        <v>2.5300000000000002E-4</v>
      </c>
      <c r="AI1054" s="132">
        <v>1.5835960180328599E-2</v>
      </c>
      <c r="AJ1054" s="132">
        <v>3.6160541481267102E-3</v>
      </c>
    </row>
    <row r="1055" spans="1:36" x14ac:dyDescent="0.2">
      <c r="A1055" s="6">
        <v>559</v>
      </c>
      <c r="B1055" s="6">
        <v>7207</v>
      </c>
      <c r="C1055" s="6" t="s">
        <v>1701</v>
      </c>
      <c r="D1055" s="6" t="s">
        <v>1702</v>
      </c>
      <c r="E1055" s="3" t="s">
        <v>1477</v>
      </c>
      <c r="F1055" s="6" t="s">
        <v>1706</v>
      </c>
      <c r="G1055" s="6" t="s">
        <v>1707</v>
      </c>
      <c r="H1055" s="6" t="s">
        <v>76</v>
      </c>
      <c r="I1055" s="6" t="s">
        <v>229</v>
      </c>
      <c r="J1055" s="6" t="s">
        <v>53</v>
      </c>
      <c r="K1055" s="6" t="s">
        <v>53</v>
      </c>
      <c r="L1055" s="6" t="s">
        <v>805</v>
      </c>
      <c r="M1055" s="6" t="s">
        <v>311</v>
      </c>
      <c r="N1055" s="6" t="s">
        <v>256</v>
      </c>
      <c r="O1055" s="6" t="s">
        <v>62</v>
      </c>
      <c r="P1055" s="6" t="s">
        <v>1213</v>
      </c>
      <c r="Q1055" s="6" t="s">
        <v>65</v>
      </c>
      <c r="R1055" s="6" t="s">
        <v>57</v>
      </c>
      <c r="S1055" s="6" t="s">
        <v>1219</v>
      </c>
      <c r="T1055" s="131">
        <v>1.415</v>
      </c>
      <c r="U1055" s="6" t="s">
        <v>1708</v>
      </c>
      <c r="V1055" s="134">
        <v>1E-3</v>
      </c>
      <c r="W1055" s="132">
        <v>2.563E-2</v>
      </c>
      <c r="X1055" s="3" t="s">
        <v>620</v>
      </c>
      <c r="Y1055" s="3" t="s">
        <v>62</v>
      </c>
      <c r="Z1055" s="131">
        <v>160000</v>
      </c>
      <c r="AA1055" s="129">
        <v>1</v>
      </c>
      <c r="AB1055" s="157">
        <v>110.36</v>
      </c>
      <c r="AD1055" s="131">
        <v>176.57599999999999</v>
      </c>
      <c r="AG1055" s="6" t="s">
        <v>17</v>
      </c>
      <c r="AH1055" s="132">
        <v>3.4299999999999999E-4</v>
      </c>
      <c r="AI1055" s="132">
        <v>6.3625126506221697E-3</v>
      </c>
      <c r="AJ1055" s="132">
        <v>1.4528446649777801E-3</v>
      </c>
    </row>
    <row r="1056" spans="1:36" x14ac:dyDescent="0.2">
      <c r="A1056" s="6">
        <v>559</v>
      </c>
      <c r="B1056" s="6">
        <v>7207</v>
      </c>
      <c r="C1056" s="6" t="s">
        <v>1709</v>
      </c>
      <c r="D1056" s="6" t="s">
        <v>1710</v>
      </c>
      <c r="E1056" s="3" t="s">
        <v>1477</v>
      </c>
      <c r="F1056" s="6" t="s">
        <v>1711</v>
      </c>
      <c r="G1056" s="6" t="s">
        <v>1712</v>
      </c>
      <c r="H1056" s="6" t="s">
        <v>76</v>
      </c>
      <c r="I1056" s="6" t="s">
        <v>228</v>
      </c>
      <c r="J1056" s="6" t="s">
        <v>53</v>
      </c>
      <c r="K1056" s="6" t="s">
        <v>53</v>
      </c>
      <c r="L1056" s="6" t="s">
        <v>805</v>
      </c>
      <c r="M1056" s="6" t="s">
        <v>311</v>
      </c>
      <c r="N1056" s="6" t="s">
        <v>263</v>
      </c>
      <c r="O1056" s="6" t="s">
        <v>62</v>
      </c>
      <c r="P1056" s="6" t="s">
        <v>298</v>
      </c>
      <c r="Q1056" s="6" t="s">
        <v>298</v>
      </c>
      <c r="R1056" s="6" t="s">
        <v>298</v>
      </c>
      <c r="S1056" s="6" t="s">
        <v>1219</v>
      </c>
      <c r="T1056" s="131">
        <v>3.1269999999999998</v>
      </c>
      <c r="U1056" s="6" t="s">
        <v>1713</v>
      </c>
      <c r="V1056" s="134">
        <v>7.5800000000000006E-2</v>
      </c>
      <c r="W1056" s="132">
        <v>5.926E-2</v>
      </c>
      <c r="X1056" s="3" t="s">
        <v>620</v>
      </c>
      <c r="Y1056" s="3" t="s">
        <v>62</v>
      </c>
      <c r="Z1056" s="131">
        <v>38000</v>
      </c>
      <c r="AA1056" s="129">
        <v>1</v>
      </c>
      <c r="AB1056" s="157">
        <v>105.4</v>
      </c>
      <c r="AD1056" s="131">
        <v>40.052</v>
      </c>
      <c r="AG1056" s="6" t="s">
        <v>17</v>
      </c>
      <c r="AH1056" s="132">
        <v>7.3099999999999999E-4</v>
      </c>
      <c r="AI1056" s="132">
        <v>1.4431822936453399E-3</v>
      </c>
      <c r="AJ1056" s="132">
        <v>3.2954271544088801E-4</v>
      </c>
    </row>
    <row r="1057" spans="1:36" x14ac:dyDescent="0.2">
      <c r="A1057" s="6">
        <v>559</v>
      </c>
      <c r="B1057" s="6">
        <v>7207</v>
      </c>
      <c r="C1057" s="6" t="s">
        <v>1719</v>
      </c>
      <c r="D1057" s="6" t="s">
        <v>1720</v>
      </c>
      <c r="E1057" s="3" t="s">
        <v>1477</v>
      </c>
      <c r="F1057" s="6" t="s">
        <v>1721</v>
      </c>
      <c r="G1057" s="6" t="s">
        <v>1722</v>
      </c>
      <c r="H1057" s="6" t="s">
        <v>76</v>
      </c>
      <c r="I1057" s="6" t="s">
        <v>228</v>
      </c>
      <c r="J1057" s="6" t="s">
        <v>53</v>
      </c>
      <c r="K1057" s="6" t="s">
        <v>53</v>
      </c>
      <c r="L1057" s="6" t="s">
        <v>805</v>
      </c>
      <c r="M1057" s="6" t="s">
        <v>311</v>
      </c>
      <c r="N1057" s="6" t="s">
        <v>140</v>
      </c>
      <c r="O1057" s="6" t="s">
        <v>62</v>
      </c>
      <c r="P1057" s="6" t="s">
        <v>298</v>
      </c>
      <c r="Q1057" s="6" t="s">
        <v>298</v>
      </c>
      <c r="R1057" s="6" t="s">
        <v>298</v>
      </c>
      <c r="S1057" s="6" t="s">
        <v>1219</v>
      </c>
      <c r="T1057" s="131">
        <v>0.98499999999999999</v>
      </c>
      <c r="U1057" s="6" t="s">
        <v>1595</v>
      </c>
      <c r="V1057" s="134">
        <v>3.8699999999999998E-2</v>
      </c>
      <c r="W1057" s="132">
        <v>4.9630000000000001E-2</v>
      </c>
      <c r="X1057" s="3" t="s">
        <v>620</v>
      </c>
      <c r="Y1057" s="3" t="s">
        <v>62</v>
      </c>
      <c r="Z1057" s="131">
        <v>209875.77</v>
      </c>
      <c r="AA1057" s="129">
        <v>1</v>
      </c>
      <c r="AB1057" s="157">
        <v>99.03</v>
      </c>
      <c r="AD1057" s="131">
        <v>207.84</v>
      </c>
      <c r="AG1057" s="6" t="s">
        <v>17</v>
      </c>
      <c r="AH1057" s="132">
        <v>6.5899999999999997E-4</v>
      </c>
      <c r="AI1057" s="132">
        <v>7.4890385467998597E-3</v>
      </c>
      <c r="AJ1057" s="132">
        <v>1.7100806388914899E-3</v>
      </c>
    </row>
    <row r="1058" spans="1:36" x14ac:dyDescent="0.2">
      <c r="A1058" s="6">
        <v>559</v>
      </c>
      <c r="B1058" s="6">
        <v>7207</v>
      </c>
      <c r="C1058" s="6" t="s">
        <v>1723</v>
      </c>
      <c r="D1058" s="6" t="s">
        <v>1724</v>
      </c>
      <c r="E1058" s="3" t="s">
        <v>1477</v>
      </c>
      <c r="F1058" s="6" t="s">
        <v>2486</v>
      </c>
      <c r="G1058" s="6" t="s">
        <v>1726</v>
      </c>
      <c r="H1058" s="6" t="s">
        <v>76</v>
      </c>
      <c r="I1058" s="6" t="s">
        <v>229</v>
      </c>
      <c r="J1058" s="6" t="s">
        <v>53</v>
      </c>
      <c r="K1058" s="6" t="s">
        <v>317</v>
      </c>
      <c r="L1058" s="6" t="s">
        <v>805</v>
      </c>
      <c r="M1058" s="6" t="s">
        <v>311</v>
      </c>
      <c r="N1058" s="6" t="s">
        <v>636</v>
      </c>
      <c r="O1058" s="6" t="s">
        <v>62</v>
      </c>
      <c r="P1058" s="6" t="s">
        <v>1515</v>
      </c>
      <c r="Q1058" s="6" t="s">
        <v>65</v>
      </c>
      <c r="R1058" s="6" t="s">
        <v>57</v>
      </c>
      <c r="S1058" s="6" t="s">
        <v>1219</v>
      </c>
      <c r="T1058" s="131">
        <v>2.8450000000000002</v>
      </c>
      <c r="U1058" s="6" t="s">
        <v>1569</v>
      </c>
      <c r="V1058" s="134">
        <v>1.7500000000000002E-2</v>
      </c>
      <c r="W1058" s="132">
        <v>4.5749999999999999E-2</v>
      </c>
      <c r="X1058" s="3" t="s">
        <v>620</v>
      </c>
      <c r="Y1058" s="3" t="s">
        <v>62</v>
      </c>
      <c r="Z1058" s="131">
        <v>4000</v>
      </c>
      <c r="AA1058" s="129">
        <v>1</v>
      </c>
      <c r="AB1058" s="157">
        <v>106.7</v>
      </c>
      <c r="AD1058" s="131">
        <v>4.2679999999999998</v>
      </c>
      <c r="AG1058" s="6" t="s">
        <v>17</v>
      </c>
      <c r="AH1058" s="132">
        <v>1.9999999999999999E-6</v>
      </c>
      <c r="AI1058" s="132">
        <v>1.5378762681709501E-4</v>
      </c>
      <c r="AJ1058" s="132">
        <v>3.5116556214463899E-5</v>
      </c>
    </row>
    <row r="1059" spans="1:36" x14ac:dyDescent="0.2">
      <c r="A1059" s="6">
        <v>559</v>
      </c>
      <c r="B1059" s="6">
        <v>7207</v>
      </c>
      <c r="C1059" s="6" t="s">
        <v>1723</v>
      </c>
      <c r="D1059" s="6" t="s">
        <v>1724</v>
      </c>
      <c r="E1059" s="3" t="s">
        <v>1477</v>
      </c>
      <c r="F1059" s="6" t="s">
        <v>1725</v>
      </c>
      <c r="G1059" s="6" t="s">
        <v>1726</v>
      </c>
      <c r="H1059" s="6" t="s">
        <v>76</v>
      </c>
      <c r="I1059" s="6" t="s">
        <v>229</v>
      </c>
      <c r="J1059" s="6" t="s">
        <v>53</v>
      </c>
      <c r="K1059" s="6" t="s">
        <v>53</v>
      </c>
      <c r="L1059" s="6" t="s">
        <v>805</v>
      </c>
      <c r="M1059" s="6" t="s">
        <v>102</v>
      </c>
      <c r="N1059" s="6" t="s">
        <v>636</v>
      </c>
      <c r="O1059" s="6" t="s">
        <v>62</v>
      </c>
      <c r="P1059" s="6" t="s">
        <v>1515</v>
      </c>
      <c r="Q1059" s="6" t="s">
        <v>65</v>
      </c>
      <c r="R1059" s="6" t="s">
        <v>57</v>
      </c>
      <c r="S1059" s="6" t="s">
        <v>1219</v>
      </c>
      <c r="T1059" s="131">
        <v>2.8919999999999999</v>
      </c>
      <c r="U1059" s="6" t="s">
        <v>1569</v>
      </c>
      <c r="V1059" s="134">
        <v>1.7500000000000002E-2</v>
      </c>
      <c r="W1059" s="132">
        <v>5.1749999999999997E-2</v>
      </c>
      <c r="X1059" s="3" t="s">
        <v>620</v>
      </c>
      <c r="Y1059" s="3" t="s">
        <v>62</v>
      </c>
      <c r="Z1059" s="131">
        <v>60000</v>
      </c>
      <c r="AA1059" s="129">
        <v>1</v>
      </c>
      <c r="AB1059" s="157">
        <v>106.47799999999999</v>
      </c>
      <c r="AD1059" s="131">
        <v>63.887</v>
      </c>
      <c r="AG1059" s="6" t="s">
        <v>17</v>
      </c>
      <c r="AH1059" s="132">
        <v>0</v>
      </c>
      <c r="AI1059" s="132">
        <v>2.30202084192854E-3</v>
      </c>
      <c r="AJ1059" s="132">
        <v>5.2565376015975399E-4</v>
      </c>
    </row>
    <row r="1060" spans="1:36" x14ac:dyDescent="0.2">
      <c r="A1060" s="6">
        <v>559</v>
      </c>
      <c r="B1060" s="6">
        <v>7207</v>
      </c>
      <c r="C1060" s="6" t="s">
        <v>1723</v>
      </c>
      <c r="D1060" s="6" t="s">
        <v>1724</v>
      </c>
      <c r="E1060" s="3" t="s">
        <v>1477</v>
      </c>
      <c r="F1060" s="6" t="s">
        <v>1727</v>
      </c>
      <c r="G1060" s="6" t="s">
        <v>1728</v>
      </c>
      <c r="H1060" s="6" t="s">
        <v>76</v>
      </c>
      <c r="I1060" s="6" t="s">
        <v>229</v>
      </c>
      <c r="J1060" s="6" t="s">
        <v>53</v>
      </c>
      <c r="K1060" s="6" t="s">
        <v>317</v>
      </c>
      <c r="L1060" s="6" t="s">
        <v>805</v>
      </c>
      <c r="M1060" s="6" t="s">
        <v>311</v>
      </c>
      <c r="N1060" s="6" t="s">
        <v>636</v>
      </c>
      <c r="O1060" s="6" t="s">
        <v>62</v>
      </c>
      <c r="P1060" s="6" t="s">
        <v>1515</v>
      </c>
      <c r="Q1060" s="6" t="s">
        <v>65</v>
      </c>
      <c r="R1060" s="6" t="s">
        <v>57</v>
      </c>
      <c r="S1060" s="6" t="s">
        <v>1219</v>
      </c>
      <c r="T1060" s="131">
        <v>2.4929999999999999</v>
      </c>
      <c r="U1060" s="6" t="s">
        <v>1544</v>
      </c>
      <c r="V1060" s="134">
        <v>3.2800000000000003E-2</v>
      </c>
      <c r="W1060" s="132">
        <v>4.3709999999999999E-2</v>
      </c>
      <c r="X1060" s="3" t="s">
        <v>620</v>
      </c>
      <c r="Y1060" s="3" t="s">
        <v>62</v>
      </c>
      <c r="Z1060" s="131">
        <v>20000</v>
      </c>
      <c r="AA1060" s="129">
        <v>1</v>
      </c>
      <c r="AB1060" s="157">
        <v>115.58</v>
      </c>
      <c r="AD1060" s="131">
        <v>23.116</v>
      </c>
      <c r="AG1060" s="6" t="s">
        <v>17</v>
      </c>
      <c r="AH1060" s="132">
        <v>1.9000000000000001E-5</v>
      </c>
      <c r="AI1060" s="132">
        <v>8.3293223559137203E-4</v>
      </c>
      <c r="AJ1060" s="132">
        <v>1.9019548112782301E-4</v>
      </c>
    </row>
    <row r="1061" spans="1:36" x14ac:dyDescent="0.2">
      <c r="A1061" s="6">
        <v>559</v>
      </c>
      <c r="B1061" s="6">
        <v>7207</v>
      </c>
      <c r="C1061" s="6" t="s">
        <v>1723</v>
      </c>
      <c r="D1061" s="6" t="s">
        <v>1724</v>
      </c>
      <c r="E1061" s="3" t="s">
        <v>1477</v>
      </c>
      <c r="F1061" s="6" t="s">
        <v>1729</v>
      </c>
      <c r="G1061" s="6" t="s">
        <v>1730</v>
      </c>
      <c r="H1061" s="6" t="s">
        <v>76</v>
      </c>
      <c r="I1061" s="6" t="s">
        <v>607</v>
      </c>
      <c r="J1061" s="6" t="s">
        <v>53</v>
      </c>
      <c r="K1061" s="6" t="s">
        <v>317</v>
      </c>
      <c r="L1061" s="6" t="s">
        <v>805</v>
      </c>
      <c r="M1061" s="6" t="s">
        <v>311</v>
      </c>
      <c r="N1061" s="6" t="s">
        <v>636</v>
      </c>
      <c r="O1061" s="6" t="s">
        <v>62</v>
      </c>
      <c r="P1061" s="6" t="s">
        <v>1515</v>
      </c>
      <c r="Q1061" s="6" t="s">
        <v>65</v>
      </c>
      <c r="R1061" s="6" t="s">
        <v>57</v>
      </c>
      <c r="S1061" s="6" t="s">
        <v>1219</v>
      </c>
      <c r="T1061" s="131">
        <v>3.7029999999999998</v>
      </c>
      <c r="U1061" s="6" t="s">
        <v>1549</v>
      </c>
      <c r="V1061" s="134">
        <v>5.5E-2</v>
      </c>
      <c r="W1061" s="132">
        <v>4.5249999999999999E-2</v>
      </c>
      <c r="X1061" s="3" t="s">
        <v>620</v>
      </c>
      <c r="Y1061" s="3" t="s">
        <v>62</v>
      </c>
      <c r="Z1061" s="131">
        <v>71127</v>
      </c>
      <c r="AA1061" s="129">
        <v>1</v>
      </c>
      <c r="AB1061" s="157">
        <v>103.5</v>
      </c>
      <c r="AD1061" s="131">
        <v>73.616</v>
      </c>
      <c r="AG1061" s="6" t="s">
        <v>17</v>
      </c>
      <c r="AH1061" s="132">
        <v>1.3799999999999999E-4</v>
      </c>
      <c r="AI1061" s="132">
        <v>2.6526003681492999E-3</v>
      </c>
      <c r="AJ1061" s="132">
        <v>6.0570666100081899E-4</v>
      </c>
    </row>
    <row r="1062" spans="1:36" x14ac:dyDescent="0.2">
      <c r="A1062" s="6">
        <v>559</v>
      </c>
      <c r="B1062" s="6">
        <v>7207</v>
      </c>
      <c r="C1062" s="6" t="s">
        <v>1723</v>
      </c>
      <c r="D1062" s="6" t="s">
        <v>1724</v>
      </c>
      <c r="E1062" s="3" t="s">
        <v>1477</v>
      </c>
      <c r="F1062" s="6" t="s">
        <v>1731</v>
      </c>
      <c r="G1062" s="6" t="s">
        <v>1732</v>
      </c>
      <c r="H1062" s="6" t="s">
        <v>76</v>
      </c>
      <c r="I1062" s="6" t="s">
        <v>229</v>
      </c>
      <c r="J1062" s="6" t="s">
        <v>53</v>
      </c>
      <c r="K1062" s="6" t="s">
        <v>53</v>
      </c>
      <c r="L1062" s="6" t="s">
        <v>805</v>
      </c>
      <c r="M1062" s="6" t="s">
        <v>102</v>
      </c>
      <c r="N1062" s="6" t="s">
        <v>636</v>
      </c>
      <c r="O1062" s="6" t="s">
        <v>62</v>
      </c>
      <c r="P1062" s="6" t="s">
        <v>1628</v>
      </c>
      <c r="Q1062" s="6" t="s">
        <v>65</v>
      </c>
      <c r="R1062" s="6" t="s">
        <v>57</v>
      </c>
      <c r="S1062" s="6" t="s">
        <v>1219</v>
      </c>
      <c r="T1062" s="131">
        <v>2.3660000000000001</v>
      </c>
      <c r="U1062" s="6" t="s">
        <v>1733</v>
      </c>
      <c r="V1062" s="134">
        <v>1.3299999999999999E-2</v>
      </c>
      <c r="W1062" s="132">
        <v>3.1989999999999998E-2</v>
      </c>
      <c r="X1062" s="3" t="s">
        <v>620</v>
      </c>
      <c r="Y1062" s="3" t="s">
        <v>62</v>
      </c>
      <c r="Z1062" s="131">
        <v>65000</v>
      </c>
      <c r="AA1062" s="129">
        <v>1</v>
      </c>
      <c r="AB1062" s="157">
        <v>112.72499999999999</v>
      </c>
      <c r="AD1062" s="131">
        <v>73.271000000000001</v>
      </c>
      <c r="AG1062" s="6" t="s">
        <v>17</v>
      </c>
      <c r="AH1062" s="132">
        <v>0</v>
      </c>
      <c r="AI1062" s="132">
        <v>2.6401604109870399E-3</v>
      </c>
      <c r="AJ1062" s="132">
        <v>6.0286606540782095E-4</v>
      </c>
    </row>
    <row r="1063" spans="1:36" x14ac:dyDescent="0.2">
      <c r="A1063" s="6">
        <v>559</v>
      </c>
      <c r="B1063" s="6">
        <v>7207</v>
      </c>
      <c r="C1063" s="6" t="s">
        <v>1723</v>
      </c>
      <c r="D1063" s="6" t="s">
        <v>1724</v>
      </c>
      <c r="E1063" s="3" t="s">
        <v>1477</v>
      </c>
      <c r="F1063" s="6" t="s">
        <v>1734</v>
      </c>
      <c r="G1063" s="6" t="s">
        <v>1735</v>
      </c>
      <c r="H1063" s="6" t="s">
        <v>76</v>
      </c>
      <c r="I1063" s="6" t="s">
        <v>229</v>
      </c>
      <c r="J1063" s="6" t="s">
        <v>53</v>
      </c>
      <c r="K1063" s="6" t="s">
        <v>53</v>
      </c>
      <c r="L1063" s="6" t="s">
        <v>805</v>
      </c>
      <c r="M1063" s="6" t="s">
        <v>102</v>
      </c>
      <c r="N1063" s="6" t="s">
        <v>636</v>
      </c>
      <c r="O1063" s="6" t="s">
        <v>62</v>
      </c>
      <c r="P1063" s="6" t="s">
        <v>1628</v>
      </c>
      <c r="Q1063" s="6" t="s">
        <v>65</v>
      </c>
      <c r="R1063" s="6" t="s">
        <v>57</v>
      </c>
      <c r="S1063" s="6" t="s">
        <v>1219</v>
      </c>
      <c r="T1063" s="131">
        <v>4.3460000000000001</v>
      </c>
      <c r="U1063" s="6" t="s">
        <v>1736</v>
      </c>
      <c r="V1063" s="134">
        <v>4.24E-2</v>
      </c>
      <c r="W1063" s="132">
        <v>3.3500000000000002E-2</v>
      </c>
      <c r="X1063" s="3" t="s">
        <v>620</v>
      </c>
      <c r="Y1063" s="3" t="s">
        <v>62</v>
      </c>
      <c r="Z1063" s="131">
        <v>97000</v>
      </c>
      <c r="AA1063" s="129">
        <v>1</v>
      </c>
      <c r="AB1063" s="157">
        <v>108.23</v>
      </c>
      <c r="AD1063" s="131">
        <v>104.983</v>
      </c>
      <c r="AG1063" s="6" t="s">
        <v>17</v>
      </c>
      <c r="AH1063" s="132">
        <v>1.4999999999999999E-4</v>
      </c>
      <c r="AI1063" s="132">
        <v>3.7828261023668702E-3</v>
      </c>
      <c r="AJ1063" s="132">
        <v>8.6378747252077997E-4</v>
      </c>
    </row>
    <row r="1064" spans="1:36" x14ac:dyDescent="0.2">
      <c r="A1064" s="6">
        <v>559</v>
      </c>
      <c r="B1064" s="6">
        <v>7207</v>
      </c>
      <c r="C1064" s="6" t="s">
        <v>1737</v>
      </c>
      <c r="D1064" s="6" t="s">
        <v>1738</v>
      </c>
      <c r="E1064" s="3" t="s">
        <v>1477</v>
      </c>
      <c r="F1064" s="6" t="s">
        <v>1739</v>
      </c>
      <c r="G1064" s="6" t="s">
        <v>1740</v>
      </c>
      <c r="H1064" s="6" t="s">
        <v>76</v>
      </c>
      <c r="I1064" s="6" t="s">
        <v>229</v>
      </c>
      <c r="J1064" s="6" t="s">
        <v>53</v>
      </c>
      <c r="K1064" s="6" t="s">
        <v>53</v>
      </c>
      <c r="L1064" s="6" t="s">
        <v>805</v>
      </c>
      <c r="M1064" s="6" t="s">
        <v>311</v>
      </c>
      <c r="N1064" s="6" t="s">
        <v>635</v>
      </c>
      <c r="O1064" s="6" t="s">
        <v>62</v>
      </c>
      <c r="P1064" s="6" t="s">
        <v>1521</v>
      </c>
      <c r="Q1064" s="6" t="s">
        <v>70</v>
      </c>
      <c r="R1064" s="6" t="s">
        <v>57</v>
      </c>
      <c r="S1064" s="6" t="s">
        <v>1219</v>
      </c>
      <c r="T1064" s="131">
        <v>0.499</v>
      </c>
      <c r="U1064" s="6" t="s">
        <v>1499</v>
      </c>
      <c r="V1064" s="134">
        <v>2.5000000000000001E-2</v>
      </c>
      <c r="W1064" s="132">
        <v>3.3689999999999998E-2</v>
      </c>
      <c r="X1064" s="3" t="s">
        <v>620</v>
      </c>
      <c r="Y1064" s="3" t="s">
        <v>62</v>
      </c>
      <c r="Z1064" s="131">
        <v>71428.62</v>
      </c>
      <c r="AA1064" s="129">
        <v>1</v>
      </c>
      <c r="AB1064" s="157">
        <v>117.96</v>
      </c>
      <c r="AD1064" s="131">
        <v>84.257000000000005</v>
      </c>
      <c r="AG1064" s="6" t="s">
        <v>17</v>
      </c>
      <c r="AH1064" s="132">
        <v>2.34E-4</v>
      </c>
      <c r="AI1064" s="132">
        <v>3.03601566392434E-3</v>
      </c>
      <c r="AJ1064" s="132">
        <v>6.9325742868112702E-4</v>
      </c>
    </row>
    <row r="1065" spans="1:36" x14ac:dyDescent="0.2">
      <c r="A1065" s="6">
        <v>559</v>
      </c>
      <c r="B1065" s="6">
        <v>7207</v>
      </c>
      <c r="C1065" s="6" t="s">
        <v>1741</v>
      </c>
      <c r="D1065" s="6" t="s">
        <v>1742</v>
      </c>
      <c r="E1065" s="3" t="s">
        <v>1477</v>
      </c>
      <c r="F1065" s="6" t="s">
        <v>1743</v>
      </c>
      <c r="G1065" s="6" t="s">
        <v>1744</v>
      </c>
      <c r="H1065" s="6" t="s">
        <v>76</v>
      </c>
      <c r="I1065" s="6" t="s">
        <v>228</v>
      </c>
      <c r="J1065" s="6" t="s">
        <v>53</v>
      </c>
      <c r="K1065" s="6" t="s">
        <v>53</v>
      </c>
      <c r="L1065" s="6" t="s">
        <v>805</v>
      </c>
      <c r="M1065" s="6" t="s">
        <v>311</v>
      </c>
      <c r="N1065" s="6" t="s">
        <v>257</v>
      </c>
      <c r="O1065" s="6" t="s">
        <v>62</v>
      </c>
      <c r="P1065" s="6" t="s">
        <v>1533</v>
      </c>
      <c r="Q1065" s="6" t="s">
        <v>65</v>
      </c>
      <c r="R1065" s="6" t="s">
        <v>57</v>
      </c>
      <c r="S1065" s="6" t="s">
        <v>1219</v>
      </c>
      <c r="T1065" s="131">
        <v>0.29899999999999999</v>
      </c>
      <c r="U1065" s="6" t="s">
        <v>1745</v>
      </c>
      <c r="V1065" s="134">
        <v>0.03</v>
      </c>
      <c r="W1065" s="132">
        <v>4.761E-2</v>
      </c>
      <c r="X1065" s="3" t="s">
        <v>620</v>
      </c>
      <c r="Y1065" s="3" t="s">
        <v>62</v>
      </c>
      <c r="Z1065" s="131">
        <v>44571.43</v>
      </c>
      <c r="AA1065" s="129">
        <v>1</v>
      </c>
      <c r="AB1065" s="157">
        <v>100.1</v>
      </c>
      <c r="AD1065" s="131">
        <v>44.616</v>
      </c>
      <c r="AG1065" s="6" t="s">
        <v>17</v>
      </c>
      <c r="AH1065" s="132">
        <v>5.1500000000000005E-4</v>
      </c>
      <c r="AI1065" s="132">
        <v>1.60763565557353E-3</v>
      </c>
      <c r="AJ1065" s="132">
        <v>3.6709473343045899E-4</v>
      </c>
    </row>
    <row r="1066" spans="1:36" x14ac:dyDescent="0.2">
      <c r="A1066" s="6">
        <v>559</v>
      </c>
      <c r="B1066" s="6">
        <v>7207</v>
      </c>
      <c r="C1066" s="6" t="s">
        <v>1741</v>
      </c>
      <c r="D1066" s="6" t="s">
        <v>1742</v>
      </c>
      <c r="E1066" s="3" t="s">
        <v>1477</v>
      </c>
      <c r="F1066" s="6" t="s">
        <v>1746</v>
      </c>
      <c r="G1066" s="6" t="s">
        <v>1747</v>
      </c>
      <c r="H1066" s="6" t="s">
        <v>76</v>
      </c>
      <c r="I1066" s="6" t="s">
        <v>228</v>
      </c>
      <c r="J1066" s="6" t="s">
        <v>53</v>
      </c>
      <c r="K1066" s="6" t="s">
        <v>53</v>
      </c>
      <c r="L1066" s="6" t="s">
        <v>805</v>
      </c>
      <c r="M1066" s="6" t="s">
        <v>102</v>
      </c>
      <c r="N1066" s="6" t="s">
        <v>257</v>
      </c>
      <c r="O1066" s="6" t="s">
        <v>62</v>
      </c>
      <c r="P1066" s="6" t="s">
        <v>1533</v>
      </c>
      <c r="Q1066" s="6" t="s">
        <v>65</v>
      </c>
      <c r="R1066" s="6" t="s">
        <v>57</v>
      </c>
      <c r="S1066" s="6" t="s">
        <v>1219</v>
      </c>
      <c r="T1066" s="131">
        <v>3.2410000000000001</v>
      </c>
      <c r="U1066" s="6" t="s">
        <v>1748</v>
      </c>
      <c r="V1066" s="134">
        <v>5.4600000000000003E-2</v>
      </c>
      <c r="W1066" s="132">
        <v>5.6050000000000003E-2</v>
      </c>
      <c r="X1066" s="3" t="s">
        <v>620</v>
      </c>
      <c r="Y1066" s="3" t="s">
        <v>62</v>
      </c>
      <c r="Z1066" s="131">
        <v>30000</v>
      </c>
      <c r="AA1066" s="129">
        <v>1</v>
      </c>
      <c r="AB1066" s="157">
        <v>99.88</v>
      </c>
      <c r="AD1066" s="131">
        <v>29.963999999999999</v>
      </c>
      <c r="AG1066" s="6" t="s">
        <v>17</v>
      </c>
      <c r="AH1066" s="132">
        <v>1E-4</v>
      </c>
      <c r="AI1066" s="132">
        <v>1.0796842666231099E-3</v>
      </c>
      <c r="AJ1066" s="132">
        <v>2.4653994620670001E-4</v>
      </c>
    </row>
    <row r="1067" spans="1:36" x14ac:dyDescent="0.2">
      <c r="A1067" s="6">
        <v>559</v>
      </c>
      <c r="B1067" s="6">
        <v>7207</v>
      </c>
      <c r="C1067" s="6" t="s">
        <v>1749</v>
      </c>
      <c r="D1067" s="6" t="s">
        <v>1750</v>
      </c>
      <c r="E1067" s="3" t="s">
        <v>767</v>
      </c>
      <c r="F1067" s="6" t="s">
        <v>1751</v>
      </c>
      <c r="G1067" s="6" t="s">
        <v>1752</v>
      </c>
      <c r="H1067" s="6" t="s">
        <v>76</v>
      </c>
      <c r="I1067" s="6" t="s">
        <v>228</v>
      </c>
      <c r="J1067" s="6" t="s">
        <v>53</v>
      </c>
      <c r="K1067" s="6" t="s">
        <v>314</v>
      </c>
      <c r="L1067" s="6" t="s">
        <v>805</v>
      </c>
      <c r="M1067" s="6" t="s">
        <v>311</v>
      </c>
      <c r="N1067" s="6" t="s">
        <v>636</v>
      </c>
      <c r="O1067" s="6" t="s">
        <v>62</v>
      </c>
      <c r="P1067" s="6" t="s">
        <v>1753</v>
      </c>
      <c r="Q1067" s="6" t="s">
        <v>65</v>
      </c>
      <c r="R1067" s="6" t="s">
        <v>57</v>
      </c>
      <c r="S1067" s="6" t="s">
        <v>1219</v>
      </c>
      <c r="T1067" s="131">
        <v>0.16400000000000001</v>
      </c>
      <c r="U1067" s="6" t="s">
        <v>1270</v>
      </c>
      <c r="V1067" s="134">
        <v>6.9500000000000006E-2</v>
      </c>
      <c r="W1067" s="132">
        <v>1E-4</v>
      </c>
      <c r="X1067" s="3" t="s">
        <v>620</v>
      </c>
      <c r="Y1067" s="3" t="s">
        <v>55</v>
      </c>
      <c r="Z1067" s="131">
        <v>137425.37</v>
      </c>
      <c r="AA1067" s="129">
        <v>1</v>
      </c>
      <c r="AB1067" s="157">
        <v>85.66</v>
      </c>
      <c r="AD1067" s="131">
        <v>117.71899999999999</v>
      </c>
      <c r="AG1067" s="6" t="s">
        <v>17</v>
      </c>
      <c r="AH1067" s="132">
        <v>4.9600000000000002E-4</v>
      </c>
      <c r="AI1067" s="132">
        <v>4.2417197308476304E-3</v>
      </c>
      <c r="AJ1067" s="132">
        <v>9.6857330109832696E-4</v>
      </c>
    </row>
    <row r="1068" spans="1:36" x14ac:dyDescent="0.2">
      <c r="A1068" s="6">
        <v>559</v>
      </c>
      <c r="B1068" s="6">
        <v>7207</v>
      </c>
      <c r="C1068" s="6" t="s">
        <v>1754</v>
      </c>
      <c r="D1068" s="6" t="s">
        <v>1755</v>
      </c>
      <c r="E1068" s="3" t="s">
        <v>78</v>
      </c>
      <c r="F1068" s="6" t="s">
        <v>1756</v>
      </c>
      <c r="G1068" s="6" t="s">
        <v>1757</v>
      </c>
      <c r="H1068" s="6" t="s">
        <v>76</v>
      </c>
      <c r="I1068" s="6" t="s">
        <v>228</v>
      </c>
      <c r="J1068" s="6" t="s">
        <v>53</v>
      </c>
      <c r="K1068" s="6" t="s">
        <v>314</v>
      </c>
      <c r="L1068" s="6" t="s">
        <v>805</v>
      </c>
      <c r="M1068" s="6" t="s">
        <v>311</v>
      </c>
      <c r="N1068" s="6" t="s">
        <v>636</v>
      </c>
      <c r="O1068" s="6" t="s">
        <v>62</v>
      </c>
      <c r="P1068" s="6" t="s">
        <v>1628</v>
      </c>
      <c r="Q1068" s="6" t="s">
        <v>65</v>
      </c>
      <c r="R1068" s="6" t="s">
        <v>57</v>
      </c>
      <c r="S1068" s="6" t="s">
        <v>1219</v>
      </c>
      <c r="T1068" s="131">
        <v>1.4279999999999999</v>
      </c>
      <c r="U1068" s="6" t="s">
        <v>1516</v>
      </c>
      <c r="V1068" s="134">
        <v>6.8000000000000005E-2</v>
      </c>
      <c r="W1068" s="132">
        <v>5.6610000000000001E-2</v>
      </c>
      <c r="X1068" s="3" t="s">
        <v>620</v>
      </c>
      <c r="Y1068" s="3" t="s">
        <v>62</v>
      </c>
      <c r="Z1068" s="131">
        <v>95476.44</v>
      </c>
      <c r="AA1068" s="129">
        <v>1</v>
      </c>
      <c r="AB1068" s="157">
        <v>101.71</v>
      </c>
      <c r="AD1068" s="131">
        <v>97.108999999999995</v>
      </c>
      <c r="AG1068" s="6" t="s">
        <v>17</v>
      </c>
      <c r="AH1068" s="132">
        <v>2.7900000000000001E-4</v>
      </c>
      <c r="AI1068" s="132">
        <v>3.4991040419808999E-3</v>
      </c>
      <c r="AJ1068" s="132">
        <v>7.9900110518397896E-4</v>
      </c>
    </row>
    <row r="1069" spans="1:36" x14ac:dyDescent="0.2">
      <c r="A1069" s="6">
        <v>559</v>
      </c>
      <c r="B1069" s="6">
        <v>7207</v>
      </c>
      <c r="C1069" s="6" t="s">
        <v>1758</v>
      </c>
      <c r="D1069" s="6" t="s">
        <v>1759</v>
      </c>
      <c r="E1069" s="3" t="s">
        <v>1477</v>
      </c>
      <c r="F1069" s="6" t="s">
        <v>1760</v>
      </c>
      <c r="G1069" s="6" t="s">
        <v>1761</v>
      </c>
      <c r="H1069" s="6" t="s">
        <v>76</v>
      </c>
      <c r="I1069" s="6" t="s">
        <v>228</v>
      </c>
      <c r="J1069" s="6" t="s">
        <v>53</v>
      </c>
      <c r="K1069" s="6" t="s">
        <v>53</v>
      </c>
      <c r="L1069" s="6" t="s">
        <v>805</v>
      </c>
      <c r="M1069" s="6" t="s">
        <v>311</v>
      </c>
      <c r="N1069" s="6" t="s">
        <v>156</v>
      </c>
      <c r="O1069" s="6" t="s">
        <v>62</v>
      </c>
      <c r="P1069" s="6" t="s">
        <v>1527</v>
      </c>
      <c r="Q1069" s="6" t="s">
        <v>70</v>
      </c>
      <c r="R1069" s="6" t="s">
        <v>57</v>
      </c>
      <c r="S1069" s="6" t="s">
        <v>1219</v>
      </c>
      <c r="T1069" s="131">
        <v>1.202</v>
      </c>
      <c r="U1069" s="6" t="s">
        <v>1280</v>
      </c>
      <c r="V1069" s="134">
        <v>3.2899999999999999E-2</v>
      </c>
      <c r="W1069" s="132">
        <v>4.9500000000000002E-2</v>
      </c>
      <c r="X1069" s="3" t="s">
        <v>620</v>
      </c>
      <c r="Y1069" s="3" t="s">
        <v>62</v>
      </c>
      <c r="Z1069" s="131">
        <v>68000</v>
      </c>
      <c r="AA1069" s="129">
        <v>1</v>
      </c>
      <c r="AB1069" s="157">
        <v>98.94</v>
      </c>
      <c r="AD1069" s="131">
        <v>67.278999999999996</v>
      </c>
      <c r="AG1069" s="6" t="s">
        <v>17</v>
      </c>
      <c r="AH1069" s="132">
        <v>9.5000000000000005E-5</v>
      </c>
      <c r="AI1069" s="132">
        <v>2.4242522263713002E-3</v>
      </c>
      <c r="AJ1069" s="132">
        <v>5.5356462250800401E-4</v>
      </c>
    </row>
    <row r="1070" spans="1:36" x14ac:dyDescent="0.2">
      <c r="A1070" s="6">
        <v>559</v>
      </c>
      <c r="B1070" s="6">
        <v>7207</v>
      </c>
      <c r="C1070" s="6" t="s">
        <v>1762</v>
      </c>
      <c r="D1070" s="6" t="s">
        <v>1763</v>
      </c>
      <c r="E1070" s="3" t="s">
        <v>1477</v>
      </c>
      <c r="F1070" s="6" t="s">
        <v>1764</v>
      </c>
      <c r="G1070" s="6" t="s">
        <v>1765</v>
      </c>
      <c r="H1070" s="6" t="s">
        <v>76</v>
      </c>
      <c r="I1070" s="6" t="s">
        <v>229</v>
      </c>
      <c r="J1070" s="6" t="s">
        <v>53</v>
      </c>
      <c r="K1070" s="6" t="s">
        <v>53</v>
      </c>
      <c r="L1070" s="6" t="s">
        <v>805</v>
      </c>
      <c r="M1070" s="6" t="s">
        <v>311</v>
      </c>
      <c r="N1070" s="6" t="s">
        <v>631</v>
      </c>
      <c r="O1070" s="6" t="s">
        <v>62</v>
      </c>
      <c r="P1070" s="6" t="s">
        <v>298</v>
      </c>
      <c r="Q1070" s="6" t="s">
        <v>298</v>
      </c>
      <c r="R1070" s="6" t="s">
        <v>298</v>
      </c>
      <c r="S1070" s="6" t="s">
        <v>1219</v>
      </c>
      <c r="T1070" s="131">
        <v>2.44</v>
      </c>
      <c r="U1070" s="6" t="s">
        <v>1544</v>
      </c>
      <c r="V1070" s="134">
        <v>1.5800000000000002E-2</v>
      </c>
      <c r="W1070" s="132">
        <v>3.6760000000000001E-2</v>
      </c>
      <c r="X1070" s="3" t="s">
        <v>620</v>
      </c>
      <c r="Y1070" s="3" t="s">
        <v>62</v>
      </c>
      <c r="Z1070" s="131">
        <v>4137.93</v>
      </c>
      <c r="AA1070" s="129">
        <v>1</v>
      </c>
      <c r="AB1070" s="157">
        <v>109.71</v>
      </c>
      <c r="AD1070" s="131">
        <v>4.54</v>
      </c>
      <c r="AG1070" s="6" t="s">
        <v>17</v>
      </c>
      <c r="AH1070" s="132">
        <v>1.2999999999999999E-5</v>
      </c>
      <c r="AI1070" s="132">
        <v>1.6357854429202101E-4</v>
      </c>
      <c r="AJ1070" s="132">
        <v>3.7352258208281299E-5</v>
      </c>
    </row>
    <row r="1071" spans="1:36" x14ac:dyDescent="0.2">
      <c r="A1071" s="6">
        <v>559</v>
      </c>
      <c r="B1071" s="6">
        <v>7207</v>
      </c>
      <c r="C1071" s="6" t="s">
        <v>1475</v>
      </c>
      <c r="D1071" s="6" t="s">
        <v>1476</v>
      </c>
      <c r="E1071" s="3" t="s">
        <v>1477</v>
      </c>
      <c r="F1071" s="6" t="s">
        <v>1766</v>
      </c>
      <c r="G1071" s="6" t="s">
        <v>1767</v>
      </c>
      <c r="H1071" s="6" t="s">
        <v>76</v>
      </c>
      <c r="I1071" s="6" t="s">
        <v>229</v>
      </c>
      <c r="J1071" s="6" t="s">
        <v>53</v>
      </c>
      <c r="K1071" s="6" t="s">
        <v>53</v>
      </c>
      <c r="L1071" s="6" t="s">
        <v>805</v>
      </c>
      <c r="M1071" s="6" t="s">
        <v>311</v>
      </c>
      <c r="N1071" s="6" t="s">
        <v>256</v>
      </c>
      <c r="O1071" s="6" t="s">
        <v>62</v>
      </c>
      <c r="P1071" s="6" t="s">
        <v>1213</v>
      </c>
      <c r="Q1071" s="6" t="s">
        <v>65</v>
      </c>
      <c r="R1071" s="6" t="s">
        <v>57</v>
      </c>
      <c r="S1071" s="6" t="s">
        <v>1219</v>
      </c>
      <c r="T1071" s="131">
        <v>3.4950000000000001</v>
      </c>
      <c r="U1071" s="6" t="s">
        <v>1768</v>
      </c>
      <c r="V1071" s="134">
        <v>2E-3</v>
      </c>
      <c r="W1071" s="132">
        <v>2.6020000000000001E-2</v>
      </c>
      <c r="X1071" s="3" t="s">
        <v>620</v>
      </c>
      <c r="Y1071" s="3" t="s">
        <v>62</v>
      </c>
      <c r="Z1071" s="131">
        <v>500000.25</v>
      </c>
      <c r="AA1071" s="129">
        <v>1</v>
      </c>
      <c r="AB1071" s="157">
        <v>105.05</v>
      </c>
      <c r="AD1071" s="131">
        <v>525.25</v>
      </c>
      <c r="AG1071" s="6" t="s">
        <v>17</v>
      </c>
      <c r="AH1071" s="132">
        <v>1.47E-4</v>
      </c>
      <c r="AI1071" s="132">
        <v>1.8926192918030601E-2</v>
      </c>
      <c r="AJ1071" s="132">
        <v>4.3216917465165802E-3</v>
      </c>
    </row>
    <row r="1072" spans="1:36" x14ac:dyDescent="0.2">
      <c r="A1072" s="6">
        <v>559</v>
      </c>
      <c r="B1072" s="6">
        <v>7207</v>
      </c>
      <c r="C1072" s="6" t="s">
        <v>1475</v>
      </c>
      <c r="D1072" s="6" t="s">
        <v>1476</v>
      </c>
      <c r="E1072" s="3" t="s">
        <v>1477</v>
      </c>
      <c r="F1072" s="6" t="s">
        <v>1769</v>
      </c>
      <c r="G1072" s="6" t="s">
        <v>1770</v>
      </c>
      <c r="H1072" s="6" t="s">
        <v>76</v>
      </c>
      <c r="I1072" s="6" t="s">
        <v>229</v>
      </c>
      <c r="J1072" s="6" t="s">
        <v>53</v>
      </c>
      <c r="K1072" s="6" t="s">
        <v>53</v>
      </c>
      <c r="L1072" s="6" t="s">
        <v>805</v>
      </c>
      <c r="M1072" s="6" t="s">
        <v>311</v>
      </c>
      <c r="N1072" s="6" t="s">
        <v>256</v>
      </c>
      <c r="O1072" s="6" t="s">
        <v>62</v>
      </c>
      <c r="P1072" s="6" t="s">
        <v>1213</v>
      </c>
      <c r="Q1072" s="6" t="s">
        <v>65</v>
      </c>
      <c r="R1072" s="6" t="s">
        <v>57</v>
      </c>
      <c r="S1072" s="6" t="s">
        <v>1219</v>
      </c>
      <c r="T1072" s="131">
        <v>4.8920000000000003</v>
      </c>
      <c r="U1072" s="6" t="s">
        <v>1771</v>
      </c>
      <c r="V1072" s="134">
        <v>2.47E-2</v>
      </c>
      <c r="W1072" s="132">
        <v>2.63E-2</v>
      </c>
      <c r="X1072" s="3" t="s">
        <v>620</v>
      </c>
      <c r="Y1072" s="3" t="s">
        <v>62</v>
      </c>
      <c r="Z1072" s="131">
        <v>31850</v>
      </c>
      <c r="AA1072" s="129">
        <v>1</v>
      </c>
      <c r="AB1072" s="157">
        <v>103.16</v>
      </c>
      <c r="AD1072" s="131">
        <v>32.856000000000002</v>
      </c>
      <c r="AG1072" s="6" t="s">
        <v>17</v>
      </c>
      <c r="AH1072" s="132">
        <v>1.2E-5</v>
      </c>
      <c r="AI1072" s="132">
        <v>1.1839074529078799E-3</v>
      </c>
      <c r="AJ1072" s="132">
        <v>2.7033873584777102E-4</v>
      </c>
    </row>
    <row r="1073" spans="1:36" x14ac:dyDescent="0.2">
      <c r="A1073" s="6">
        <v>559</v>
      </c>
      <c r="B1073" s="6">
        <v>7207</v>
      </c>
      <c r="C1073" s="6" t="s">
        <v>1475</v>
      </c>
      <c r="D1073" s="6" t="s">
        <v>1476</v>
      </c>
      <c r="E1073" s="3" t="s">
        <v>1477</v>
      </c>
      <c r="F1073" s="6" t="s">
        <v>1772</v>
      </c>
      <c r="G1073" s="6" t="s">
        <v>1773</v>
      </c>
      <c r="H1073" s="6" t="s">
        <v>76</v>
      </c>
      <c r="I1073" s="6" t="s">
        <v>229</v>
      </c>
      <c r="J1073" s="6" t="s">
        <v>53</v>
      </c>
      <c r="K1073" s="6" t="s">
        <v>53</v>
      </c>
      <c r="L1073" s="6" t="s">
        <v>805</v>
      </c>
      <c r="M1073" s="6" t="s">
        <v>1227</v>
      </c>
      <c r="N1073" s="6" t="s">
        <v>256</v>
      </c>
      <c r="O1073" s="6" t="s">
        <v>62</v>
      </c>
      <c r="P1073" s="6" t="s">
        <v>1213</v>
      </c>
      <c r="Q1073" s="6" t="s">
        <v>65</v>
      </c>
      <c r="R1073" s="6" t="s">
        <v>57</v>
      </c>
      <c r="S1073" s="6" t="s">
        <v>1219</v>
      </c>
      <c r="T1073" s="131">
        <v>4.8159999999999998</v>
      </c>
      <c r="U1073" s="6" t="s">
        <v>1771</v>
      </c>
      <c r="V1073" s="134">
        <v>2.4E-2</v>
      </c>
      <c r="W1073" s="132">
        <v>2.605E-2</v>
      </c>
      <c r="X1073" s="3" t="s">
        <v>620</v>
      </c>
      <c r="Y1073" s="3" t="s">
        <v>62</v>
      </c>
      <c r="Z1073" s="131">
        <v>140000</v>
      </c>
      <c r="AA1073" s="129">
        <v>1</v>
      </c>
      <c r="AB1073" s="157">
        <v>101.7</v>
      </c>
      <c r="AD1073" s="131">
        <v>142.38</v>
      </c>
      <c r="AG1073" s="6" t="s">
        <v>17</v>
      </c>
      <c r="AH1073" s="132">
        <v>6.3999999999999997E-5</v>
      </c>
      <c r="AI1073" s="132">
        <v>5.13033793491519E-3</v>
      </c>
      <c r="AJ1073" s="132">
        <v>1.1714843659361199E-3</v>
      </c>
    </row>
    <row r="1074" spans="1:36" x14ac:dyDescent="0.2">
      <c r="A1074" s="6">
        <v>559</v>
      </c>
      <c r="B1074" s="6">
        <v>7207</v>
      </c>
      <c r="C1074" s="6" t="s">
        <v>1774</v>
      </c>
      <c r="D1074" s="6" t="s">
        <v>1775</v>
      </c>
      <c r="E1074" s="3" t="s">
        <v>1477</v>
      </c>
      <c r="F1074" s="6" t="s">
        <v>1776</v>
      </c>
      <c r="G1074" s="6" t="s">
        <v>1777</v>
      </c>
      <c r="H1074" s="6" t="s">
        <v>76</v>
      </c>
      <c r="I1074" s="6" t="s">
        <v>229</v>
      </c>
      <c r="J1074" s="6" t="s">
        <v>53</v>
      </c>
      <c r="K1074" s="6" t="s">
        <v>53</v>
      </c>
      <c r="L1074" s="6" t="s">
        <v>805</v>
      </c>
      <c r="M1074" s="6" t="s">
        <v>311</v>
      </c>
      <c r="N1074" s="6" t="s">
        <v>692</v>
      </c>
      <c r="O1074" s="6" t="s">
        <v>62</v>
      </c>
      <c r="P1074" s="6" t="s">
        <v>1778</v>
      </c>
      <c r="Q1074" s="6" t="s">
        <v>65</v>
      </c>
      <c r="R1074" s="6" t="s">
        <v>57</v>
      </c>
      <c r="S1074" s="6" t="s">
        <v>1219</v>
      </c>
      <c r="T1074" s="131">
        <v>0.499</v>
      </c>
      <c r="U1074" s="6" t="s">
        <v>1499</v>
      </c>
      <c r="V1074" s="134">
        <v>4.9500000000000002E-2</v>
      </c>
      <c r="W1074" s="132">
        <v>3.3270000000000001E-2</v>
      </c>
      <c r="X1074" s="3" t="s">
        <v>620</v>
      </c>
      <c r="Y1074" s="3" t="s">
        <v>55</v>
      </c>
      <c r="Z1074" s="131">
        <v>126000.03</v>
      </c>
      <c r="AA1074" s="129">
        <v>1</v>
      </c>
      <c r="AB1074" s="157">
        <v>145.99</v>
      </c>
      <c r="AD1074" s="131">
        <v>183.947</v>
      </c>
      <c r="AG1074" s="6" t="s">
        <v>17</v>
      </c>
      <c r="AH1074" s="132">
        <v>6.87E-4</v>
      </c>
      <c r="AI1074" s="132">
        <v>6.6281257827112599E-3</v>
      </c>
      <c r="AJ1074" s="132">
        <v>1.5134959584358701E-3</v>
      </c>
    </row>
    <row r="1075" spans="1:36" x14ac:dyDescent="0.2">
      <c r="A1075" s="6">
        <v>559</v>
      </c>
      <c r="B1075" s="6">
        <v>7207</v>
      </c>
      <c r="C1075" s="6" t="s">
        <v>1774</v>
      </c>
      <c r="D1075" s="6" t="s">
        <v>1775</v>
      </c>
      <c r="E1075" s="3" t="s">
        <v>1477</v>
      </c>
      <c r="F1075" s="6" t="s">
        <v>1779</v>
      </c>
      <c r="G1075" s="6" t="s">
        <v>1780</v>
      </c>
      <c r="H1075" s="6" t="s">
        <v>76</v>
      </c>
      <c r="I1075" s="6" t="s">
        <v>228</v>
      </c>
      <c r="J1075" s="6" t="s">
        <v>53</v>
      </c>
      <c r="K1075" s="6" t="s">
        <v>53</v>
      </c>
      <c r="L1075" s="6" t="s">
        <v>805</v>
      </c>
      <c r="M1075" s="6" t="s">
        <v>311</v>
      </c>
      <c r="N1075" s="6" t="s">
        <v>692</v>
      </c>
      <c r="O1075" s="6" t="s">
        <v>62</v>
      </c>
      <c r="P1075" s="6" t="s">
        <v>1778</v>
      </c>
      <c r="Q1075" s="6" t="s">
        <v>65</v>
      </c>
      <c r="R1075" s="6" t="s">
        <v>57</v>
      </c>
      <c r="S1075" s="6" t="s">
        <v>1219</v>
      </c>
      <c r="T1075" s="131">
        <v>0.97599999999999998</v>
      </c>
      <c r="U1075" s="6" t="s">
        <v>1559</v>
      </c>
      <c r="V1075" s="134">
        <v>5.8000000000000003E-2</v>
      </c>
      <c r="W1075" s="132">
        <v>5.9490000000000001E-2</v>
      </c>
      <c r="X1075" s="3" t="s">
        <v>620</v>
      </c>
      <c r="Y1075" s="3" t="s">
        <v>62</v>
      </c>
      <c r="Z1075" s="131">
        <v>77000.789999999994</v>
      </c>
      <c r="AA1075" s="129">
        <v>1</v>
      </c>
      <c r="AB1075" s="157">
        <v>99.25</v>
      </c>
      <c r="AD1075" s="131">
        <v>76.423000000000002</v>
      </c>
      <c r="AG1075" s="6" t="s">
        <v>17</v>
      </c>
      <c r="AH1075" s="132">
        <v>1.36E-4</v>
      </c>
      <c r="AI1075" s="132">
        <v>2.7537384000616101E-3</v>
      </c>
      <c r="AJ1075" s="132">
        <v>6.2880097266018796E-4</v>
      </c>
    </row>
    <row r="1076" spans="1:36" x14ac:dyDescent="0.2">
      <c r="A1076" s="6">
        <v>559</v>
      </c>
      <c r="B1076" s="6">
        <v>7207</v>
      </c>
      <c r="C1076" s="6" t="s">
        <v>1781</v>
      </c>
      <c r="D1076" s="6" t="s">
        <v>1782</v>
      </c>
      <c r="E1076" s="3" t="s">
        <v>1477</v>
      </c>
      <c r="F1076" s="6" t="s">
        <v>2349</v>
      </c>
      <c r="G1076" s="6" t="s">
        <v>2350</v>
      </c>
      <c r="H1076" s="6" t="s">
        <v>76</v>
      </c>
      <c r="I1076" s="6" t="s">
        <v>228</v>
      </c>
      <c r="J1076" s="6" t="s">
        <v>53</v>
      </c>
      <c r="K1076" s="6" t="s">
        <v>53</v>
      </c>
      <c r="L1076" s="6" t="s">
        <v>805</v>
      </c>
      <c r="M1076" s="6" t="s">
        <v>311</v>
      </c>
      <c r="N1076" s="6" t="s">
        <v>267</v>
      </c>
      <c r="O1076" s="6" t="s">
        <v>62</v>
      </c>
      <c r="P1076" s="6" t="s">
        <v>1515</v>
      </c>
      <c r="Q1076" s="6" t="s">
        <v>65</v>
      </c>
      <c r="R1076" s="6" t="s">
        <v>57</v>
      </c>
      <c r="S1076" s="6" t="s">
        <v>1219</v>
      </c>
      <c r="T1076" s="131">
        <v>2.339</v>
      </c>
      <c r="U1076" s="6" t="s">
        <v>2351</v>
      </c>
      <c r="V1076" s="134">
        <v>6.7500000000000004E-2</v>
      </c>
      <c r="W1076" s="132">
        <v>5.058E-2</v>
      </c>
      <c r="X1076" s="3" t="s">
        <v>620</v>
      </c>
      <c r="Y1076" s="3" t="s">
        <v>62</v>
      </c>
      <c r="Z1076" s="131">
        <v>38700.239999999998</v>
      </c>
      <c r="AA1076" s="129">
        <v>1</v>
      </c>
      <c r="AB1076" s="157">
        <v>106.95</v>
      </c>
      <c r="AD1076" s="131">
        <v>41.39</v>
      </c>
      <c r="AG1076" s="6" t="s">
        <v>17</v>
      </c>
      <c r="AH1076" s="132">
        <v>3.6000000000000001E-5</v>
      </c>
      <c r="AI1076" s="132">
        <v>1.49139070349068E-3</v>
      </c>
      <c r="AJ1076" s="132">
        <v>3.4055083988745002E-4</v>
      </c>
    </row>
    <row r="1077" spans="1:36" x14ac:dyDescent="0.2">
      <c r="A1077" s="6">
        <v>559</v>
      </c>
      <c r="B1077" s="6">
        <v>7207</v>
      </c>
      <c r="C1077" s="6" t="s">
        <v>1781</v>
      </c>
      <c r="D1077" s="6" t="s">
        <v>1782</v>
      </c>
      <c r="E1077" s="3" t="s">
        <v>1477</v>
      </c>
      <c r="F1077" s="6" t="s">
        <v>1783</v>
      </c>
      <c r="G1077" s="6" t="s">
        <v>1784</v>
      </c>
      <c r="H1077" s="6" t="s">
        <v>76</v>
      </c>
      <c r="I1077" s="6" t="s">
        <v>228</v>
      </c>
      <c r="J1077" s="6" t="s">
        <v>53</v>
      </c>
      <c r="K1077" s="6" t="s">
        <v>53</v>
      </c>
      <c r="L1077" s="6" t="s">
        <v>805</v>
      </c>
      <c r="M1077" s="6" t="s">
        <v>311</v>
      </c>
      <c r="N1077" s="6" t="s">
        <v>267</v>
      </c>
      <c r="O1077" s="6" t="s">
        <v>62</v>
      </c>
      <c r="P1077" s="6" t="s">
        <v>1515</v>
      </c>
      <c r="Q1077" s="6" t="s">
        <v>65</v>
      </c>
      <c r="R1077" s="6" t="s">
        <v>57</v>
      </c>
      <c r="S1077" s="6" t="s">
        <v>1219</v>
      </c>
      <c r="T1077" s="131">
        <v>3.3580000000000001</v>
      </c>
      <c r="U1077" s="6" t="s">
        <v>1785</v>
      </c>
      <c r="V1077" s="134">
        <v>6.5199999999999994E-2</v>
      </c>
      <c r="W1077" s="132">
        <v>5.144E-2</v>
      </c>
      <c r="X1077" s="3" t="s">
        <v>620</v>
      </c>
      <c r="Y1077" s="3" t="s">
        <v>62</v>
      </c>
      <c r="Z1077" s="131">
        <v>25152.35</v>
      </c>
      <c r="AA1077" s="129">
        <v>1</v>
      </c>
      <c r="AB1077" s="157">
        <v>105.89</v>
      </c>
      <c r="AD1077" s="131">
        <v>26.634</v>
      </c>
      <c r="AG1077" s="6" t="s">
        <v>17</v>
      </c>
      <c r="AH1077" s="132">
        <v>3.1999999999999999E-5</v>
      </c>
      <c r="AI1077" s="132">
        <v>9.5968896346261296E-4</v>
      </c>
      <c r="AJ1077" s="132">
        <v>2.19139680683916E-4</v>
      </c>
    </row>
    <row r="1078" spans="1:36" x14ac:dyDescent="0.2">
      <c r="A1078" s="6">
        <v>559</v>
      </c>
      <c r="B1078" s="6">
        <v>7207</v>
      </c>
      <c r="C1078" s="6" t="s">
        <v>1781</v>
      </c>
      <c r="D1078" s="6" t="s">
        <v>1782</v>
      </c>
      <c r="E1078" s="3" t="s">
        <v>1477</v>
      </c>
      <c r="F1078" s="6" t="s">
        <v>1786</v>
      </c>
      <c r="G1078" s="6" t="s">
        <v>1787</v>
      </c>
      <c r="H1078" s="6" t="s">
        <v>76</v>
      </c>
      <c r="I1078" s="6" t="s">
        <v>228</v>
      </c>
      <c r="J1078" s="6" t="s">
        <v>53</v>
      </c>
      <c r="K1078" s="6" t="s">
        <v>53</v>
      </c>
      <c r="L1078" s="6" t="s">
        <v>805</v>
      </c>
      <c r="M1078" s="6" t="s">
        <v>102</v>
      </c>
      <c r="N1078" s="6" t="s">
        <v>267</v>
      </c>
      <c r="O1078" s="6" t="s">
        <v>62</v>
      </c>
      <c r="P1078" s="6" t="s">
        <v>1515</v>
      </c>
      <c r="Q1078" s="6" t="s">
        <v>65</v>
      </c>
      <c r="R1078" s="6" t="s">
        <v>57</v>
      </c>
      <c r="S1078" s="6" t="s">
        <v>1219</v>
      </c>
      <c r="T1078" s="131">
        <v>5.4980000000000002</v>
      </c>
      <c r="U1078" s="6" t="s">
        <v>1788</v>
      </c>
      <c r="V1078" s="134">
        <v>5.6899999999999999E-2</v>
      </c>
      <c r="W1078" s="132">
        <v>6.0490000000000002E-2</v>
      </c>
      <c r="X1078" s="3" t="s">
        <v>620</v>
      </c>
      <c r="Y1078" s="3" t="s">
        <v>62</v>
      </c>
      <c r="Z1078" s="131">
        <v>60000</v>
      </c>
      <c r="AA1078" s="129">
        <v>1</v>
      </c>
      <c r="AB1078" s="157">
        <v>100.623</v>
      </c>
      <c r="AD1078" s="131">
        <v>60.374000000000002</v>
      </c>
      <c r="AG1078" s="6" t="s">
        <v>17</v>
      </c>
      <c r="AH1078" s="132">
        <v>0</v>
      </c>
      <c r="AI1078" s="132">
        <v>2.1754232478219801E-3</v>
      </c>
      <c r="AJ1078" s="132">
        <v>4.9674589792096495E-4</v>
      </c>
    </row>
    <row r="1079" spans="1:36" x14ac:dyDescent="0.2">
      <c r="A1079" s="6">
        <v>559</v>
      </c>
      <c r="B1079" s="6">
        <v>7207</v>
      </c>
      <c r="C1079" s="6" t="s">
        <v>1789</v>
      </c>
      <c r="D1079" s="6" t="s">
        <v>1790</v>
      </c>
      <c r="E1079" s="3" t="s">
        <v>1477</v>
      </c>
      <c r="F1079" s="6" t="s">
        <v>1791</v>
      </c>
      <c r="G1079" s="6" t="s">
        <v>1792</v>
      </c>
      <c r="H1079" s="6" t="s">
        <v>76</v>
      </c>
      <c r="I1079" s="6" t="s">
        <v>229</v>
      </c>
      <c r="J1079" s="6" t="s">
        <v>53</v>
      </c>
      <c r="K1079" s="6" t="s">
        <v>53</v>
      </c>
      <c r="L1079" s="6" t="s">
        <v>805</v>
      </c>
      <c r="M1079" s="6" t="s">
        <v>311</v>
      </c>
      <c r="N1079" s="6" t="s">
        <v>635</v>
      </c>
      <c r="O1079" s="6" t="s">
        <v>62</v>
      </c>
      <c r="P1079" s="6" t="s">
        <v>1628</v>
      </c>
      <c r="Q1079" s="6" t="s">
        <v>65</v>
      </c>
      <c r="R1079" s="6" t="s">
        <v>57</v>
      </c>
      <c r="S1079" s="6" t="s">
        <v>1219</v>
      </c>
      <c r="T1079" s="131">
        <v>2.8719999999999999</v>
      </c>
      <c r="U1079" s="6" t="s">
        <v>1649</v>
      </c>
      <c r="V1079" s="134">
        <v>2.7E-2</v>
      </c>
      <c r="W1079" s="132">
        <v>2.9139999999999999E-2</v>
      </c>
      <c r="X1079" s="3" t="s">
        <v>620</v>
      </c>
      <c r="Y1079" s="3" t="s">
        <v>62</v>
      </c>
      <c r="Z1079" s="131">
        <v>71000</v>
      </c>
      <c r="AA1079" s="129">
        <v>1</v>
      </c>
      <c r="AB1079" s="157">
        <v>108.07</v>
      </c>
      <c r="AD1079" s="131">
        <v>76.73</v>
      </c>
      <c r="AG1079" s="6" t="s">
        <v>17</v>
      </c>
      <c r="AH1079" s="132">
        <v>1.8000000000000001E-4</v>
      </c>
      <c r="AI1079" s="132">
        <v>2.7647793977009501E-3</v>
      </c>
      <c r="AJ1079" s="132">
        <v>6.3132212356348499E-4</v>
      </c>
    </row>
    <row r="1080" spans="1:36" x14ac:dyDescent="0.2">
      <c r="A1080" s="6">
        <v>559</v>
      </c>
      <c r="B1080" s="6">
        <v>7207</v>
      </c>
      <c r="C1080" s="6" t="s">
        <v>1793</v>
      </c>
      <c r="D1080" s="6" t="s">
        <v>1794</v>
      </c>
      <c r="E1080" s="3" t="s">
        <v>767</v>
      </c>
      <c r="F1080" s="6" t="s">
        <v>1795</v>
      </c>
      <c r="G1080" s="6" t="s">
        <v>1796</v>
      </c>
      <c r="H1080" s="6" t="s">
        <v>76</v>
      </c>
      <c r="I1080" s="6" t="s">
        <v>228</v>
      </c>
      <c r="J1080" s="6" t="s">
        <v>53</v>
      </c>
      <c r="K1080" s="6" t="s">
        <v>317</v>
      </c>
      <c r="L1080" s="6" t="s">
        <v>805</v>
      </c>
      <c r="M1080" s="6" t="s">
        <v>311</v>
      </c>
      <c r="N1080" s="6" t="s">
        <v>636</v>
      </c>
      <c r="O1080" s="6" t="s">
        <v>62</v>
      </c>
      <c r="P1080" s="6" t="s">
        <v>1753</v>
      </c>
      <c r="Q1080" s="6" t="s">
        <v>70</v>
      </c>
      <c r="R1080" s="6" t="s">
        <v>57</v>
      </c>
      <c r="S1080" s="6" t="s">
        <v>1219</v>
      </c>
      <c r="T1080" s="131">
        <v>0.64100000000000001</v>
      </c>
      <c r="U1080" s="6" t="s">
        <v>1797</v>
      </c>
      <c r="V1080" s="134">
        <v>8.9499999999999996E-2</v>
      </c>
      <c r="W1080" s="132">
        <v>0.21804000000000001</v>
      </c>
      <c r="X1080" s="3" t="s">
        <v>620</v>
      </c>
      <c r="Y1080" s="3" t="s">
        <v>62</v>
      </c>
      <c r="Z1080" s="131">
        <v>34698.65</v>
      </c>
      <c r="AA1080" s="129">
        <v>1</v>
      </c>
      <c r="AB1080" s="157">
        <v>98.78</v>
      </c>
      <c r="AD1080" s="131">
        <v>34.274999999999999</v>
      </c>
      <c r="AG1080" s="6" t="s">
        <v>17</v>
      </c>
      <c r="AH1080" s="132">
        <v>1.7799999999999999E-4</v>
      </c>
      <c r="AI1080" s="132">
        <v>1.2350330637775199E-3</v>
      </c>
      <c r="AJ1080" s="132">
        <v>2.8201298705549701E-4</v>
      </c>
    </row>
    <row r="1081" spans="1:36" x14ac:dyDescent="0.2">
      <c r="A1081" s="6">
        <v>559</v>
      </c>
      <c r="B1081" s="6">
        <v>7207</v>
      </c>
      <c r="C1081" s="6" t="s">
        <v>1798</v>
      </c>
      <c r="D1081" s="6" t="s">
        <v>1799</v>
      </c>
      <c r="E1081" s="3" t="s">
        <v>1477</v>
      </c>
      <c r="F1081" s="6" t="s">
        <v>1800</v>
      </c>
      <c r="G1081" s="6" t="s">
        <v>1801</v>
      </c>
      <c r="H1081" s="6" t="s">
        <v>76</v>
      </c>
      <c r="I1081" s="6" t="s">
        <v>228</v>
      </c>
      <c r="J1081" s="6" t="s">
        <v>53</v>
      </c>
      <c r="K1081" s="6" t="s">
        <v>53</v>
      </c>
      <c r="L1081" s="6" t="s">
        <v>805</v>
      </c>
      <c r="M1081" s="6" t="s">
        <v>102</v>
      </c>
      <c r="N1081" s="6" t="s">
        <v>140</v>
      </c>
      <c r="O1081" s="6" t="s">
        <v>62</v>
      </c>
      <c r="P1081" s="6" t="s">
        <v>298</v>
      </c>
      <c r="Q1081" s="6" t="s">
        <v>298</v>
      </c>
      <c r="R1081" s="6" t="s">
        <v>298</v>
      </c>
      <c r="S1081" s="6" t="s">
        <v>1219</v>
      </c>
      <c r="T1081" s="131">
        <v>3.2440000000000002</v>
      </c>
      <c r="U1081" s="6" t="s">
        <v>1509</v>
      </c>
      <c r="V1081" s="134">
        <v>7.1099999999999997E-2</v>
      </c>
      <c r="W1081" s="132">
        <v>6.9029999999999994E-2</v>
      </c>
      <c r="X1081" s="3" t="s">
        <v>620</v>
      </c>
      <c r="Y1081" s="3" t="s">
        <v>62</v>
      </c>
      <c r="Z1081" s="131">
        <v>31000</v>
      </c>
      <c r="AA1081" s="129">
        <v>1</v>
      </c>
      <c r="AB1081" s="157">
        <v>101.02</v>
      </c>
      <c r="AD1081" s="131">
        <v>31.315999999999999</v>
      </c>
      <c r="AG1081" s="6" t="s">
        <v>17</v>
      </c>
      <c r="AH1081" s="132">
        <v>2.3800000000000001E-4</v>
      </c>
      <c r="AI1081" s="132">
        <v>1.1284077035917299E-3</v>
      </c>
      <c r="AJ1081" s="132">
        <v>2.5766567425571601E-4</v>
      </c>
    </row>
    <row r="1082" spans="1:36" x14ac:dyDescent="0.2">
      <c r="A1082" s="6">
        <v>559</v>
      </c>
      <c r="B1082" s="6">
        <v>7207</v>
      </c>
      <c r="C1082" s="6" t="s">
        <v>1802</v>
      </c>
      <c r="D1082" s="6" t="s">
        <v>1803</v>
      </c>
      <c r="E1082" s="3" t="s">
        <v>1477</v>
      </c>
      <c r="F1082" s="6" t="s">
        <v>1804</v>
      </c>
      <c r="G1082" s="6" t="s">
        <v>1805</v>
      </c>
      <c r="H1082" s="6" t="s">
        <v>76</v>
      </c>
      <c r="I1082" s="6" t="s">
        <v>228</v>
      </c>
      <c r="J1082" s="6" t="s">
        <v>53</v>
      </c>
      <c r="K1082" s="6" t="s">
        <v>53</v>
      </c>
      <c r="L1082" s="6" t="s">
        <v>805</v>
      </c>
      <c r="M1082" s="6" t="s">
        <v>311</v>
      </c>
      <c r="N1082" s="6" t="s">
        <v>692</v>
      </c>
      <c r="O1082" s="6" t="s">
        <v>62</v>
      </c>
      <c r="P1082" s="6" t="s">
        <v>1493</v>
      </c>
      <c r="Q1082" s="6" t="s">
        <v>65</v>
      </c>
      <c r="R1082" s="6" t="s">
        <v>57</v>
      </c>
      <c r="S1082" s="6" t="s">
        <v>1219</v>
      </c>
      <c r="T1082" s="131">
        <v>0.76300000000000001</v>
      </c>
      <c r="U1082" s="6" t="s">
        <v>1578</v>
      </c>
      <c r="V1082" s="134">
        <v>3.5999999999999997E-2</v>
      </c>
      <c r="W1082" s="132">
        <v>4.9209999999999997E-2</v>
      </c>
      <c r="X1082" s="3" t="s">
        <v>620</v>
      </c>
      <c r="Y1082" s="3" t="s">
        <v>62</v>
      </c>
      <c r="Z1082" s="131">
        <v>64000.18</v>
      </c>
      <c r="AA1082" s="129">
        <v>1</v>
      </c>
      <c r="AB1082" s="157">
        <v>99.96</v>
      </c>
      <c r="AD1082" s="131">
        <v>63.975000000000001</v>
      </c>
      <c r="AG1082" s="6" t="s">
        <v>17</v>
      </c>
      <c r="AH1082" s="132">
        <v>3.0800000000000001E-4</v>
      </c>
      <c r="AI1082" s="132">
        <v>2.30517779375532E-3</v>
      </c>
      <c r="AJ1082" s="132">
        <v>5.2637463269407901E-4</v>
      </c>
    </row>
    <row r="1083" spans="1:36" x14ac:dyDescent="0.2">
      <c r="A1083" s="6">
        <v>559</v>
      </c>
      <c r="B1083" s="6">
        <v>7207</v>
      </c>
      <c r="C1083" s="6" t="s">
        <v>1806</v>
      </c>
      <c r="D1083" s="6" t="s">
        <v>1807</v>
      </c>
      <c r="E1083" s="3" t="s">
        <v>1477</v>
      </c>
      <c r="F1083" s="6" t="s">
        <v>1808</v>
      </c>
      <c r="G1083" s="6" t="s">
        <v>1809</v>
      </c>
      <c r="H1083" s="6" t="s">
        <v>76</v>
      </c>
      <c r="I1083" s="6" t="s">
        <v>228</v>
      </c>
      <c r="J1083" s="6" t="s">
        <v>53</v>
      </c>
      <c r="K1083" s="6" t="s">
        <v>53</v>
      </c>
      <c r="L1083" s="6" t="s">
        <v>805</v>
      </c>
      <c r="M1083" s="6" t="s">
        <v>102</v>
      </c>
      <c r="N1083" s="6" t="s">
        <v>140</v>
      </c>
      <c r="O1083" s="6" t="s">
        <v>62</v>
      </c>
      <c r="P1083" s="6" t="s">
        <v>298</v>
      </c>
      <c r="Q1083" s="6" t="s">
        <v>298</v>
      </c>
      <c r="R1083" s="6" t="s">
        <v>298</v>
      </c>
      <c r="S1083" s="6" t="s">
        <v>1219</v>
      </c>
      <c r="T1083" s="131">
        <v>1.117</v>
      </c>
      <c r="U1083" s="6" t="s">
        <v>1810</v>
      </c>
      <c r="V1083" s="134">
        <v>2.9000000000000001E-2</v>
      </c>
      <c r="W1083" s="132">
        <v>6.7830000000000001E-2</v>
      </c>
      <c r="X1083" s="3" t="s">
        <v>620</v>
      </c>
      <c r="Y1083" s="3" t="s">
        <v>62</v>
      </c>
      <c r="Z1083" s="131">
        <v>56250</v>
      </c>
      <c r="AA1083" s="129">
        <v>1</v>
      </c>
      <c r="AB1083" s="157">
        <v>95.8</v>
      </c>
      <c r="AC1083" s="131">
        <v>19.837</v>
      </c>
      <c r="AD1083" s="131">
        <v>73.724999999999994</v>
      </c>
      <c r="AG1083" s="6" t="s">
        <v>17</v>
      </c>
      <c r="AH1083" s="132">
        <v>0</v>
      </c>
      <c r="AI1083" s="132">
        <v>2.6565118995056998E-3</v>
      </c>
      <c r="AJ1083" s="132">
        <v>6.0659983760809604E-4</v>
      </c>
    </row>
    <row r="1084" spans="1:36" x14ac:dyDescent="0.2">
      <c r="A1084" s="6">
        <v>559</v>
      </c>
      <c r="B1084" s="6">
        <v>7207</v>
      </c>
      <c r="C1084" s="6" t="s">
        <v>1806</v>
      </c>
      <c r="D1084" s="6" t="s">
        <v>1807</v>
      </c>
      <c r="E1084" s="3" t="s">
        <v>1477</v>
      </c>
      <c r="F1084" s="6" t="s">
        <v>2352</v>
      </c>
      <c r="G1084" s="6" t="s">
        <v>2353</v>
      </c>
      <c r="H1084" s="6" t="s">
        <v>76</v>
      </c>
      <c r="I1084" s="6" t="s">
        <v>229</v>
      </c>
      <c r="J1084" s="6" t="s">
        <v>53</v>
      </c>
      <c r="K1084" s="6" t="s">
        <v>53</v>
      </c>
      <c r="L1084" s="6" t="s">
        <v>805</v>
      </c>
      <c r="M1084" s="6" t="s">
        <v>311</v>
      </c>
      <c r="N1084" s="6" t="s">
        <v>140</v>
      </c>
      <c r="O1084" s="6" t="s">
        <v>62</v>
      </c>
      <c r="P1084" s="6" t="s">
        <v>298</v>
      </c>
      <c r="Q1084" s="6" t="s">
        <v>298</v>
      </c>
      <c r="R1084" s="6" t="s">
        <v>298</v>
      </c>
      <c r="S1084" s="6" t="s">
        <v>1219</v>
      </c>
      <c r="T1084" s="131">
        <v>1.107</v>
      </c>
      <c r="U1084" s="6" t="s">
        <v>1516</v>
      </c>
      <c r="V1084" s="134">
        <v>3.5000000000000003E-2</v>
      </c>
      <c r="W1084" s="132">
        <v>3.8109999999999998E-2</v>
      </c>
      <c r="X1084" s="3" t="s">
        <v>620</v>
      </c>
      <c r="Y1084" s="3" t="s">
        <v>62</v>
      </c>
      <c r="Z1084" s="131">
        <v>888.89</v>
      </c>
      <c r="AA1084" s="129">
        <v>1</v>
      </c>
      <c r="AB1084" s="157">
        <v>110.5</v>
      </c>
      <c r="AD1084" s="131">
        <v>0.98199999999999998</v>
      </c>
      <c r="AG1084" s="6" t="s">
        <v>17</v>
      </c>
      <c r="AH1084" s="132">
        <v>6.0000000000000002E-6</v>
      </c>
      <c r="AI1084" s="132">
        <v>3.5392177455388901E-5</v>
      </c>
      <c r="AJ1084" s="132">
        <v>8.0816084810425799E-6</v>
      </c>
    </row>
    <row r="1085" spans="1:36" x14ac:dyDescent="0.2">
      <c r="A1085" s="6">
        <v>559</v>
      </c>
      <c r="B1085" s="6">
        <v>7207</v>
      </c>
      <c r="C1085" s="6" t="s">
        <v>1811</v>
      </c>
      <c r="D1085" s="6" t="s">
        <v>1812</v>
      </c>
      <c r="E1085" s="3" t="s">
        <v>1477</v>
      </c>
      <c r="F1085" s="6" t="s">
        <v>1813</v>
      </c>
      <c r="G1085" s="6" t="s">
        <v>1814</v>
      </c>
      <c r="H1085" s="6" t="s">
        <v>76</v>
      </c>
      <c r="I1085" s="6" t="s">
        <v>229</v>
      </c>
      <c r="J1085" s="6" t="s">
        <v>53</v>
      </c>
      <c r="K1085" s="6" t="s">
        <v>53</v>
      </c>
      <c r="L1085" s="6" t="s">
        <v>805</v>
      </c>
      <c r="M1085" s="6" t="s">
        <v>311</v>
      </c>
      <c r="N1085" s="6" t="s">
        <v>75</v>
      </c>
      <c r="O1085" s="6" t="s">
        <v>62</v>
      </c>
      <c r="P1085" s="6" t="s">
        <v>1577</v>
      </c>
      <c r="Q1085" s="6" t="s">
        <v>65</v>
      </c>
      <c r="R1085" s="6" t="s">
        <v>57</v>
      </c>
      <c r="S1085" s="6" t="s">
        <v>1219</v>
      </c>
      <c r="T1085" s="131">
        <v>1.0900000000000001</v>
      </c>
      <c r="U1085" s="6" t="s">
        <v>1815</v>
      </c>
      <c r="V1085" s="134">
        <v>1.0500000000000001E-2</v>
      </c>
      <c r="W1085" s="132">
        <v>3.2000000000000001E-2</v>
      </c>
      <c r="X1085" s="3" t="s">
        <v>620</v>
      </c>
      <c r="Y1085" s="3" t="s">
        <v>62</v>
      </c>
      <c r="Z1085" s="131">
        <v>64657.52</v>
      </c>
      <c r="AA1085" s="129">
        <v>1</v>
      </c>
      <c r="AB1085" s="157">
        <v>113.64</v>
      </c>
      <c r="AD1085" s="131">
        <v>73.477000000000004</v>
      </c>
      <c r="AG1085" s="6" t="s">
        <v>17</v>
      </c>
      <c r="AH1085" s="132">
        <v>1.5699999999999999E-4</v>
      </c>
      <c r="AI1085" s="132">
        <v>2.64756878608479E-3</v>
      </c>
      <c r="AJ1085" s="132">
        <v>6.0455772699310204E-4</v>
      </c>
    </row>
    <row r="1086" spans="1:36" x14ac:dyDescent="0.2">
      <c r="A1086" s="6">
        <v>559</v>
      </c>
      <c r="B1086" s="6">
        <v>7207</v>
      </c>
      <c r="C1086" s="6" t="s">
        <v>1811</v>
      </c>
      <c r="D1086" s="6" t="s">
        <v>1812</v>
      </c>
      <c r="E1086" s="3" t="s">
        <v>1477</v>
      </c>
      <c r="F1086" s="6" t="s">
        <v>1816</v>
      </c>
      <c r="G1086" s="6" t="s">
        <v>1817</v>
      </c>
      <c r="H1086" s="6" t="s">
        <v>76</v>
      </c>
      <c r="I1086" s="6" t="s">
        <v>228</v>
      </c>
      <c r="J1086" s="6" t="s">
        <v>53</v>
      </c>
      <c r="K1086" s="6" t="s">
        <v>53</v>
      </c>
      <c r="L1086" s="6" t="s">
        <v>805</v>
      </c>
      <c r="M1086" s="6" t="s">
        <v>311</v>
      </c>
      <c r="N1086" s="6" t="s">
        <v>75</v>
      </c>
      <c r="O1086" s="6" t="s">
        <v>62</v>
      </c>
      <c r="P1086" s="6" t="s">
        <v>1577</v>
      </c>
      <c r="Q1086" s="6" t="s">
        <v>65</v>
      </c>
      <c r="R1086" s="6" t="s">
        <v>57</v>
      </c>
      <c r="S1086" s="6" t="s">
        <v>1219</v>
      </c>
      <c r="T1086" s="131">
        <v>1.7789999999999999</v>
      </c>
      <c r="U1086" s="6" t="s">
        <v>1818</v>
      </c>
      <c r="V1086" s="134">
        <v>2.18E-2</v>
      </c>
      <c r="W1086" s="132">
        <v>4.8379999999999999E-2</v>
      </c>
      <c r="X1086" s="3" t="s">
        <v>620</v>
      </c>
      <c r="Y1086" s="3" t="s">
        <v>62</v>
      </c>
      <c r="Z1086" s="131">
        <v>42000.52</v>
      </c>
      <c r="AA1086" s="129">
        <v>1</v>
      </c>
      <c r="AB1086" s="157">
        <v>95.82</v>
      </c>
      <c r="AD1086" s="131">
        <v>40.244999999999997</v>
      </c>
      <c r="AG1086" s="6" t="s">
        <v>17</v>
      </c>
      <c r="AH1086" s="132">
        <v>1.47E-4</v>
      </c>
      <c r="AI1086" s="132">
        <v>1.4501329417797601E-3</v>
      </c>
      <c r="AJ1086" s="132">
        <v>3.3112985759914198E-4</v>
      </c>
    </row>
    <row r="1087" spans="1:36" x14ac:dyDescent="0.2">
      <c r="A1087" s="6">
        <v>559</v>
      </c>
      <c r="B1087" s="6">
        <v>7207</v>
      </c>
      <c r="C1087" s="6" t="s">
        <v>1819</v>
      </c>
      <c r="D1087" s="6" t="s">
        <v>1820</v>
      </c>
      <c r="E1087" s="3" t="s">
        <v>1477</v>
      </c>
      <c r="F1087" s="6" t="s">
        <v>1821</v>
      </c>
      <c r="G1087" s="6" t="s">
        <v>1822</v>
      </c>
      <c r="H1087" s="6" t="s">
        <v>76</v>
      </c>
      <c r="I1087" s="6" t="s">
        <v>229</v>
      </c>
      <c r="J1087" s="6" t="s">
        <v>53</v>
      </c>
      <c r="K1087" s="6" t="s">
        <v>53</v>
      </c>
      <c r="L1087" s="6" t="s">
        <v>805</v>
      </c>
      <c r="M1087" s="6" t="s">
        <v>311</v>
      </c>
      <c r="N1087" s="6" t="s">
        <v>256</v>
      </c>
      <c r="O1087" s="6" t="s">
        <v>62</v>
      </c>
      <c r="P1087" s="6" t="s">
        <v>1577</v>
      </c>
      <c r="Q1087" s="6" t="s">
        <v>65</v>
      </c>
      <c r="R1087" s="6" t="s">
        <v>57</v>
      </c>
      <c r="S1087" s="6" t="s">
        <v>1219</v>
      </c>
      <c r="T1087" s="131">
        <v>3.8740000000000001</v>
      </c>
      <c r="U1087" s="6" t="s">
        <v>1823</v>
      </c>
      <c r="V1087" s="134">
        <v>2.5899999999999999E-2</v>
      </c>
      <c r="W1087" s="132">
        <v>2.7470000000000001E-2</v>
      </c>
      <c r="X1087" s="3" t="s">
        <v>620</v>
      </c>
      <c r="Y1087" s="3" t="s">
        <v>62</v>
      </c>
      <c r="Z1087" s="131">
        <v>55000</v>
      </c>
      <c r="AA1087" s="129">
        <v>1</v>
      </c>
      <c r="AB1087" s="157">
        <v>105.24</v>
      </c>
      <c r="AD1087" s="131">
        <v>57.881999999999998</v>
      </c>
      <c r="AG1087" s="6" t="s">
        <v>17</v>
      </c>
      <c r="AH1087" s="132">
        <v>8.1000000000000004E-5</v>
      </c>
      <c r="AI1087" s="132">
        <v>2.0856455987411202E-3</v>
      </c>
      <c r="AJ1087" s="132">
        <v>4.7624566701162202E-4</v>
      </c>
    </row>
    <row r="1088" spans="1:36" x14ac:dyDescent="0.2">
      <c r="A1088" s="6">
        <v>559</v>
      </c>
      <c r="B1088" s="6">
        <v>7207</v>
      </c>
      <c r="C1088" s="6" t="s">
        <v>1824</v>
      </c>
      <c r="D1088" s="6" t="s">
        <v>1825</v>
      </c>
      <c r="E1088" s="3" t="s">
        <v>1477</v>
      </c>
      <c r="F1088" s="6" t="s">
        <v>1826</v>
      </c>
      <c r="G1088" s="6" t="s">
        <v>1827</v>
      </c>
      <c r="H1088" s="6" t="s">
        <v>76</v>
      </c>
      <c r="I1088" s="6" t="s">
        <v>229</v>
      </c>
      <c r="J1088" s="6" t="s">
        <v>53</v>
      </c>
      <c r="K1088" s="6" t="s">
        <v>53</v>
      </c>
      <c r="L1088" s="6" t="s">
        <v>805</v>
      </c>
      <c r="M1088" s="6" t="s">
        <v>102</v>
      </c>
      <c r="N1088" s="6" t="s">
        <v>635</v>
      </c>
      <c r="O1088" s="6" t="s">
        <v>62</v>
      </c>
      <c r="P1088" s="6" t="s">
        <v>298</v>
      </c>
      <c r="Q1088" s="6" t="s">
        <v>298</v>
      </c>
      <c r="R1088" s="6" t="s">
        <v>298</v>
      </c>
      <c r="S1088" s="6" t="s">
        <v>1219</v>
      </c>
      <c r="T1088" s="131">
        <v>5.0380000000000003</v>
      </c>
      <c r="U1088" s="6" t="s">
        <v>1828</v>
      </c>
      <c r="V1088" s="134">
        <v>4.99E-2</v>
      </c>
      <c r="W1088" s="132">
        <v>4.861E-2</v>
      </c>
      <c r="X1088" s="3" t="s">
        <v>620</v>
      </c>
      <c r="Y1088" s="3" t="s">
        <v>62</v>
      </c>
      <c r="Z1088" s="131">
        <v>58000</v>
      </c>
      <c r="AA1088" s="129">
        <v>1</v>
      </c>
      <c r="AB1088" s="157">
        <v>100.85</v>
      </c>
      <c r="AD1088" s="131">
        <v>58.493000000000002</v>
      </c>
      <c r="AG1088" s="6" t="s">
        <v>17</v>
      </c>
      <c r="AH1088" s="132">
        <v>4.55E-4</v>
      </c>
      <c r="AI1088" s="132">
        <v>2.1076615874911801E-3</v>
      </c>
      <c r="AJ1088" s="132">
        <v>4.81272896591528E-4</v>
      </c>
    </row>
    <row r="1089" spans="1:36" x14ac:dyDescent="0.2">
      <c r="A1089" s="6">
        <v>559</v>
      </c>
      <c r="B1089" s="6">
        <v>7207</v>
      </c>
      <c r="C1089" s="6" t="s">
        <v>1829</v>
      </c>
      <c r="D1089" s="6" t="s">
        <v>1830</v>
      </c>
      <c r="E1089" s="3" t="s">
        <v>1477</v>
      </c>
      <c r="F1089" s="6" t="s">
        <v>1831</v>
      </c>
      <c r="G1089" s="6" t="s">
        <v>1832</v>
      </c>
      <c r="H1089" s="6" t="s">
        <v>76</v>
      </c>
      <c r="I1089" s="6" t="s">
        <v>228</v>
      </c>
      <c r="J1089" s="6" t="s">
        <v>53</v>
      </c>
      <c r="K1089" s="6" t="s">
        <v>53</v>
      </c>
      <c r="L1089" s="6" t="s">
        <v>805</v>
      </c>
      <c r="M1089" s="6" t="s">
        <v>311</v>
      </c>
      <c r="N1089" s="6" t="s">
        <v>140</v>
      </c>
      <c r="O1089" s="6" t="s">
        <v>62</v>
      </c>
      <c r="P1089" s="6" t="s">
        <v>1515</v>
      </c>
      <c r="Q1089" s="6" t="s">
        <v>65</v>
      </c>
      <c r="R1089" s="6" t="s">
        <v>57</v>
      </c>
      <c r="S1089" s="6" t="s">
        <v>1219</v>
      </c>
      <c r="T1089" s="131">
        <v>1.4570000000000001</v>
      </c>
      <c r="U1089" s="6" t="s">
        <v>1644</v>
      </c>
      <c r="V1089" s="134">
        <v>3.95E-2</v>
      </c>
      <c r="W1089" s="132">
        <v>5.5649999999999998E-2</v>
      </c>
      <c r="X1089" s="3" t="s">
        <v>620</v>
      </c>
      <c r="Y1089" s="3" t="s">
        <v>62</v>
      </c>
      <c r="Z1089" s="131">
        <v>1400</v>
      </c>
      <c r="AA1089" s="129">
        <v>1</v>
      </c>
      <c r="AB1089" s="157">
        <v>97.85</v>
      </c>
      <c r="AD1089" s="131">
        <v>1.37</v>
      </c>
      <c r="AG1089" s="6" t="s">
        <v>17</v>
      </c>
      <c r="AH1089" s="132">
        <v>1.9999999999999999E-6</v>
      </c>
      <c r="AI1089" s="132">
        <v>4.9361216020791699E-5</v>
      </c>
      <c r="AJ1089" s="132">
        <v>1.1271361377271401E-5</v>
      </c>
    </row>
    <row r="1090" spans="1:36" x14ac:dyDescent="0.2">
      <c r="A1090" s="6">
        <v>559</v>
      </c>
      <c r="B1090" s="6">
        <v>7207</v>
      </c>
      <c r="C1090" s="6" t="s">
        <v>1833</v>
      </c>
      <c r="D1090" s="6" t="s">
        <v>1834</v>
      </c>
      <c r="E1090" s="3" t="s">
        <v>432</v>
      </c>
      <c r="F1090" s="6" t="s">
        <v>1835</v>
      </c>
      <c r="G1090" s="6" t="s">
        <v>1836</v>
      </c>
      <c r="H1090" s="6" t="s">
        <v>76</v>
      </c>
      <c r="I1090" s="6" t="s">
        <v>230</v>
      </c>
      <c r="J1090" s="6" t="s">
        <v>53</v>
      </c>
      <c r="K1090" s="6" t="s">
        <v>53</v>
      </c>
      <c r="L1090" s="6" t="s">
        <v>805</v>
      </c>
      <c r="M1090" s="6" t="s">
        <v>311</v>
      </c>
      <c r="N1090" s="6" t="s">
        <v>267</v>
      </c>
      <c r="O1090" s="6" t="s">
        <v>62</v>
      </c>
      <c r="P1090" s="6" t="s">
        <v>1533</v>
      </c>
      <c r="Q1090" s="6" t="s">
        <v>65</v>
      </c>
      <c r="R1090" s="6" t="s">
        <v>57</v>
      </c>
      <c r="S1090" s="6" t="s">
        <v>1219</v>
      </c>
      <c r="T1090" s="131">
        <v>2.86</v>
      </c>
      <c r="U1090" s="6" t="s">
        <v>1837</v>
      </c>
      <c r="V1090" s="134">
        <v>3.7699999999999997E-2</v>
      </c>
      <c r="W1090" s="132">
        <v>5.6959999999999997E-2</v>
      </c>
      <c r="X1090" s="3" t="s">
        <v>620</v>
      </c>
      <c r="Y1090" s="3" t="s">
        <v>62</v>
      </c>
      <c r="Z1090" s="131">
        <v>50180.94</v>
      </c>
      <c r="AA1090" s="129">
        <v>1</v>
      </c>
      <c r="AB1090" s="157">
        <v>94.84</v>
      </c>
      <c r="AD1090" s="131">
        <v>47.591999999999999</v>
      </c>
      <c r="AG1090" s="6" t="s">
        <v>17</v>
      </c>
      <c r="AH1090" s="132">
        <v>3.01E-4</v>
      </c>
      <c r="AI1090" s="132">
        <v>1.71485467621134E-3</v>
      </c>
      <c r="AJ1090" s="132">
        <v>3.9157760531953202E-4</v>
      </c>
    </row>
    <row r="1091" spans="1:36" x14ac:dyDescent="0.2">
      <c r="A1091" s="6">
        <v>559</v>
      </c>
      <c r="B1091" s="6">
        <v>7207</v>
      </c>
      <c r="C1091" s="6" t="s">
        <v>1833</v>
      </c>
      <c r="D1091" s="6" t="s">
        <v>1834</v>
      </c>
      <c r="E1091" s="3" t="s">
        <v>432</v>
      </c>
      <c r="F1091" s="6" t="s">
        <v>1838</v>
      </c>
      <c r="G1091" s="6" t="s">
        <v>1839</v>
      </c>
      <c r="H1091" s="6" t="s">
        <v>76</v>
      </c>
      <c r="I1091" s="6" t="s">
        <v>230</v>
      </c>
      <c r="J1091" s="6" t="s">
        <v>53</v>
      </c>
      <c r="K1091" s="6" t="s">
        <v>53</v>
      </c>
      <c r="L1091" s="6" t="s">
        <v>805</v>
      </c>
      <c r="M1091" s="6" t="s">
        <v>311</v>
      </c>
      <c r="N1091" s="6" t="s">
        <v>267</v>
      </c>
      <c r="O1091" s="6" t="s">
        <v>62</v>
      </c>
      <c r="P1091" s="6" t="s">
        <v>1533</v>
      </c>
      <c r="Q1091" s="6" t="s">
        <v>65</v>
      </c>
      <c r="R1091" s="6" t="s">
        <v>57</v>
      </c>
      <c r="S1091" s="6" t="s">
        <v>1219</v>
      </c>
      <c r="T1091" s="131">
        <v>0.27400000000000002</v>
      </c>
      <c r="U1091" s="6" t="s">
        <v>1840</v>
      </c>
      <c r="V1091" s="134">
        <v>3.49E-2</v>
      </c>
      <c r="W1091" s="132">
        <v>2.896E-2</v>
      </c>
      <c r="X1091" s="3" t="s">
        <v>620</v>
      </c>
      <c r="Y1091" s="3" t="s">
        <v>62</v>
      </c>
      <c r="Z1091" s="131">
        <v>94000.42</v>
      </c>
      <c r="AA1091" s="129">
        <v>1</v>
      </c>
      <c r="AB1091" s="157">
        <v>94.47</v>
      </c>
      <c r="AD1091" s="131">
        <v>88.802000000000007</v>
      </c>
      <c r="AG1091" s="6" t="s">
        <v>17</v>
      </c>
      <c r="AH1091" s="132">
        <v>2.7999999999999998E-4</v>
      </c>
      <c r="AI1091" s="132">
        <v>3.1997842310258098E-3</v>
      </c>
      <c r="AJ1091" s="132">
        <v>7.3065307754968602E-4</v>
      </c>
    </row>
    <row r="1092" spans="1:36" x14ac:dyDescent="0.2">
      <c r="A1092" s="6">
        <v>559</v>
      </c>
      <c r="B1092" s="6">
        <v>7207</v>
      </c>
      <c r="C1092" s="6" t="s">
        <v>1841</v>
      </c>
      <c r="D1092" s="6" t="s">
        <v>1842</v>
      </c>
      <c r="E1092" s="3" t="s">
        <v>1477</v>
      </c>
      <c r="F1092" s="6" t="s">
        <v>1843</v>
      </c>
      <c r="G1092" s="6" t="s">
        <v>1844</v>
      </c>
      <c r="H1092" s="6" t="s">
        <v>76</v>
      </c>
      <c r="I1092" s="6" t="s">
        <v>229</v>
      </c>
      <c r="J1092" s="6" t="s">
        <v>53</v>
      </c>
      <c r="K1092" s="6" t="s">
        <v>53</v>
      </c>
      <c r="L1092" s="6" t="s">
        <v>805</v>
      </c>
      <c r="M1092" s="6" t="s">
        <v>311</v>
      </c>
      <c r="N1092" s="6" t="s">
        <v>635</v>
      </c>
      <c r="O1092" s="6" t="s">
        <v>62</v>
      </c>
      <c r="P1092" s="6" t="s">
        <v>1533</v>
      </c>
      <c r="Q1092" s="6" t="s">
        <v>65</v>
      </c>
      <c r="R1092" s="6" t="s">
        <v>57</v>
      </c>
      <c r="S1092" s="6" t="s">
        <v>1219</v>
      </c>
      <c r="T1092" s="131">
        <v>1.7569999999999999</v>
      </c>
      <c r="U1092" s="6" t="s">
        <v>1845</v>
      </c>
      <c r="V1092" s="134">
        <v>1.5800000000000002E-2</v>
      </c>
      <c r="W1092" s="132">
        <v>2.7789999999999999E-2</v>
      </c>
      <c r="X1092" s="3" t="s">
        <v>620</v>
      </c>
      <c r="Y1092" s="3" t="s">
        <v>62</v>
      </c>
      <c r="Z1092" s="131">
        <v>32083.33</v>
      </c>
      <c r="AA1092" s="129">
        <v>1</v>
      </c>
      <c r="AB1092" s="157">
        <v>116.04</v>
      </c>
      <c r="AD1092" s="131">
        <v>37.228999999999999</v>
      </c>
      <c r="AG1092" s="6" t="s">
        <v>17</v>
      </c>
      <c r="AH1092" s="132">
        <v>8.2000000000000001E-5</v>
      </c>
      <c r="AI1092" s="132">
        <v>1.34147981671427E-3</v>
      </c>
      <c r="AJ1092" s="132">
        <v>3.0631951587524502E-4</v>
      </c>
    </row>
    <row r="1093" spans="1:36" x14ac:dyDescent="0.2">
      <c r="A1093" s="6">
        <v>559</v>
      </c>
      <c r="B1093" s="6">
        <v>7207</v>
      </c>
      <c r="C1093" s="6" t="s">
        <v>1841</v>
      </c>
      <c r="D1093" s="6" t="s">
        <v>1842</v>
      </c>
      <c r="E1093" s="3" t="s">
        <v>1477</v>
      </c>
      <c r="F1093" s="6" t="s">
        <v>1846</v>
      </c>
      <c r="G1093" s="6" t="s">
        <v>1847</v>
      </c>
      <c r="H1093" s="6" t="s">
        <v>76</v>
      </c>
      <c r="I1093" s="6" t="s">
        <v>228</v>
      </c>
      <c r="J1093" s="6" t="s">
        <v>53</v>
      </c>
      <c r="K1093" s="6" t="s">
        <v>53</v>
      </c>
      <c r="L1093" s="6" t="s">
        <v>805</v>
      </c>
      <c r="M1093" s="6" t="s">
        <v>311</v>
      </c>
      <c r="N1093" s="6" t="s">
        <v>635</v>
      </c>
      <c r="O1093" s="6" t="s">
        <v>62</v>
      </c>
      <c r="P1093" s="6" t="s">
        <v>1577</v>
      </c>
      <c r="Q1093" s="6" t="s">
        <v>65</v>
      </c>
      <c r="R1093" s="6" t="s">
        <v>57</v>
      </c>
      <c r="S1093" s="6" t="s">
        <v>1219</v>
      </c>
      <c r="T1093" s="131">
        <v>1.121</v>
      </c>
      <c r="U1093" s="6" t="s">
        <v>1848</v>
      </c>
      <c r="V1093" s="134">
        <v>5.0500000000000003E-2</v>
      </c>
      <c r="W1093" s="132">
        <v>4.7960000000000003E-2</v>
      </c>
      <c r="X1093" s="3" t="s">
        <v>620</v>
      </c>
      <c r="Y1093" s="3" t="s">
        <v>62</v>
      </c>
      <c r="Z1093" s="131">
        <v>15000.33</v>
      </c>
      <c r="AA1093" s="129">
        <v>1</v>
      </c>
      <c r="AB1093" s="157">
        <v>102.04</v>
      </c>
      <c r="AD1093" s="131">
        <v>15.305999999999999</v>
      </c>
      <c r="AG1093" s="6" t="s">
        <v>17</v>
      </c>
      <c r="AH1093" s="132">
        <v>8.1000000000000004E-5</v>
      </c>
      <c r="AI1093" s="132">
        <v>5.51528866278729E-4</v>
      </c>
      <c r="AJ1093" s="132">
        <v>1.25938574106559E-4</v>
      </c>
    </row>
    <row r="1094" spans="1:36" x14ac:dyDescent="0.2">
      <c r="A1094" s="6">
        <v>559</v>
      </c>
      <c r="B1094" s="6">
        <v>7207</v>
      </c>
      <c r="C1094" s="6" t="s">
        <v>1841</v>
      </c>
      <c r="D1094" s="6" t="s">
        <v>1842</v>
      </c>
      <c r="E1094" s="3" t="s">
        <v>1477</v>
      </c>
      <c r="F1094" s="6" t="s">
        <v>2497</v>
      </c>
      <c r="G1094" s="6" t="s">
        <v>2498</v>
      </c>
      <c r="H1094" s="6" t="s">
        <v>76</v>
      </c>
      <c r="I1094" s="6" t="s">
        <v>229</v>
      </c>
      <c r="J1094" s="6" t="s">
        <v>53</v>
      </c>
      <c r="K1094" s="6" t="s">
        <v>53</v>
      </c>
      <c r="L1094" s="6" t="s">
        <v>805</v>
      </c>
      <c r="M1094" s="6" t="s">
        <v>311</v>
      </c>
      <c r="N1094" s="6" t="s">
        <v>635</v>
      </c>
      <c r="O1094" s="6" t="s">
        <v>62</v>
      </c>
      <c r="P1094" s="6" t="s">
        <v>1533</v>
      </c>
      <c r="Q1094" s="6" t="s">
        <v>65</v>
      </c>
      <c r="R1094" s="6" t="s">
        <v>57</v>
      </c>
      <c r="S1094" s="6" t="s">
        <v>1219</v>
      </c>
      <c r="T1094" s="131">
        <v>4.2240000000000002</v>
      </c>
      <c r="U1094" s="6" t="s">
        <v>2499</v>
      </c>
      <c r="V1094" s="134">
        <v>8.3999999999999995E-3</v>
      </c>
      <c r="W1094" s="132">
        <v>2.7869999999999999E-2</v>
      </c>
      <c r="X1094" s="3" t="s">
        <v>620</v>
      </c>
      <c r="Y1094" s="3" t="s">
        <v>62</v>
      </c>
      <c r="Z1094" s="131">
        <v>83100.740000000005</v>
      </c>
      <c r="AA1094" s="129">
        <v>1</v>
      </c>
      <c r="AB1094" s="157">
        <v>107.28</v>
      </c>
      <c r="AD1094" s="131">
        <v>89.15</v>
      </c>
      <c r="AG1094" s="6" t="s">
        <v>17</v>
      </c>
      <c r="AH1094" s="132">
        <v>1.08E-4</v>
      </c>
      <c r="AI1094" s="132">
        <v>3.2123336003735598E-3</v>
      </c>
      <c r="AJ1094" s="132">
        <v>7.3351865681166501E-4</v>
      </c>
    </row>
    <row r="1095" spans="1:36" x14ac:dyDescent="0.2">
      <c r="A1095" s="6">
        <v>559</v>
      </c>
      <c r="B1095" s="6">
        <v>7207</v>
      </c>
      <c r="C1095" s="6" t="s">
        <v>1849</v>
      </c>
      <c r="D1095" s="6" t="s">
        <v>1850</v>
      </c>
      <c r="E1095" s="3" t="s">
        <v>1477</v>
      </c>
      <c r="F1095" s="6" t="s">
        <v>1851</v>
      </c>
      <c r="G1095" s="6" t="s">
        <v>1852</v>
      </c>
      <c r="H1095" s="6" t="s">
        <v>76</v>
      </c>
      <c r="I1095" s="6" t="s">
        <v>607</v>
      </c>
      <c r="J1095" s="6" t="s">
        <v>53</v>
      </c>
      <c r="K1095" s="6" t="s">
        <v>53</v>
      </c>
      <c r="L1095" s="6" t="s">
        <v>805</v>
      </c>
      <c r="M1095" s="6" t="s">
        <v>311</v>
      </c>
      <c r="N1095" s="6" t="s">
        <v>269</v>
      </c>
      <c r="O1095" s="6" t="s">
        <v>62</v>
      </c>
      <c r="P1095" s="6" t="s">
        <v>1577</v>
      </c>
      <c r="Q1095" s="6" t="s">
        <v>65</v>
      </c>
      <c r="R1095" s="6" t="s">
        <v>57</v>
      </c>
      <c r="S1095" s="6" t="s">
        <v>1219</v>
      </c>
      <c r="T1095" s="131">
        <v>2.6040000000000001</v>
      </c>
      <c r="U1095" s="6" t="s">
        <v>1608</v>
      </c>
      <c r="V1095" s="134">
        <v>2.8000000000000001E-2</v>
      </c>
      <c r="W1095" s="132">
        <v>1E-4</v>
      </c>
      <c r="X1095" s="3" t="s">
        <v>620</v>
      </c>
      <c r="Y1095" s="3" t="s">
        <v>62</v>
      </c>
      <c r="Z1095" s="131">
        <v>169000</v>
      </c>
      <c r="AA1095" s="129">
        <v>1</v>
      </c>
      <c r="AB1095" s="157">
        <v>183.2</v>
      </c>
      <c r="AD1095" s="131">
        <v>309.608</v>
      </c>
      <c r="AG1095" s="6" t="s">
        <v>17</v>
      </c>
      <c r="AH1095" s="132">
        <v>1.127E-3</v>
      </c>
      <c r="AI1095" s="132">
        <v>1.11560167674759E-2</v>
      </c>
      <c r="AJ1095" s="132">
        <v>2.54741488670285E-3</v>
      </c>
    </row>
    <row r="1096" spans="1:36" x14ac:dyDescent="0.2">
      <c r="A1096" s="6">
        <v>559</v>
      </c>
      <c r="B1096" s="6">
        <v>7207</v>
      </c>
      <c r="C1096" s="6" t="s">
        <v>1220</v>
      </c>
      <c r="D1096" s="6" t="s">
        <v>1483</v>
      </c>
      <c r="E1096" s="3" t="s">
        <v>1477</v>
      </c>
      <c r="F1096" s="6" t="s">
        <v>1853</v>
      </c>
      <c r="G1096" s="6" t="s">
        <v>1854</v>
      </c>
      <c r="H1096" s="6" t="s">
        <v>76</v>
      </c>
      <c r="I1096" s="6" t="s">
        <v>229</v>
      </c>
      <c r="J1096" s="6" t="s">
        <v>53</v>
      </c>
      <c r="K1096" s="6" t="s">
        <v>53</v>
      </c>
      <c r="L1096" s="6" t="s">
        <v>805</v>
      </c>
      <c r="M1096" s="6" t="s">
        <v>311</v>
      </c>
      <c r="N1096" s="6" t="s">
        <v>256</v>
      </c>
      <c r="O1096" s="6" t="s">
        <v>62</v>
      </c>
      <c r="P1096" s="6" t="s">
        <v>1213</v>
      </c>
      <c r="Q1096" s="6" t="s">
        <v>65</v>
      </c>
      <c r="R1096" s="6" t="s">
        <v>57</v>
      </c>
      <c r="S1096" s="6" t="s">
        <v>1219</v>
      </c>
      <c r="T1096" s="131">
        <v>2.0920000000000001</v>
      </c>
      <c r="U1096" s="6" t="s">
        <v>1299</v>
      </c>
      <c r="V1096" s="134">
        <v>1.8599999999999998E-2</v>
      </c>
      <c r="W1096" s="132">
        <v>2.5680000000000001E-2</v>
      </c>
      <c r="X1096" s="3" t="s">
        <v>620</v>
      </c>
      <c r="Y1096" s="3" t="s">
        <v>62</v>
      </c>
      <c r="Z1096" s="131">
        <v>717000</v>
      </c>
      <c r="AA1096" s="129">
        <v>1</v>
      </c>
      <c r="AB1096" s="157">
        <v>104.2</v>
      </c>
      <c r="AD1096" s="131">
        <v>747.11400000000003</v>
      </c>
      <c r="AG1096" s="6" t="s">
        <v>17</v>
      </c>
      <c r="AH1096" s="132">
        <v>2.5000000000000001E-4</v>
      </c>
      <c r="AI1096" s="132">
        <v>2.6920545693961399E-2</v>
      </c>
      <c r="AJ1096" s="132">
        <v>6.1471581020649101E-3</v>
      </c>
    </row>
    <row r="1097" spans="1:36" x14ac:dyDescent="0.2">
      <c r="A1097" s="6">
        <v>559</v>
      </c>
      <c r="B1097" s="6">
        <v>7207</v>
      </c>
      <c r="C1097" s="6" t="s">
        <v>1220</v>
      </c>
      <c r="D1097" s="6" t="s">
        <v>1483</v>
      </c>
      <c r="E1097" s="3" t="s">
        <v>1477</v>
      </c>
      <c r="F1097" s="6" t="s">
        <v>1855</v>
      </c>
      <c r="G1097" s="6" t="s">
        <v>1856</v>
      </c>
      <c r="H1097" s="6" t="s">
        <v>76</v>
      </c>
      <c r="I1097" s="6" t="s">
        <v>229</v>
      </c>
      <c r="J1097" s="6" t="s">
        <v>53</v>
      </c>
      <c r="K1097" s="6" t="s">
        <v>53</v>
      </c>
      <c r="L1097" s="6" t="s">
        <v>805</v>
      </c>
      <c r="M1097" s="6" t="s">
        <v>311</v>
      </c>
      <c r="N1097" s="6" t="s">
        <v>256</v>
      </c>
      <c r="O1097" s="6" t="s">
        <v>62</v>
      </c>
      <c r="P1097" s="6" t="s">
        <v>1213</v>
      </c>
      <c r="Q1097" s="6" t="s">
        <v>65</v>
      </c>
      <c r="R1097" s="6" t="s">
        <v>57</v>
      </c>
      <c r="S1097" s="6" t="s">
        <v>1219</v>
      </c>
      <c r="T1097" s="131">
        <v>0.995</v>
      </c>
      <c r="U1097" s="6" t="s">
        <v>1595</v>
      </c>
      <c r="V1097" s="134">
        <v>8.3000000000000001E-3</v>
      </c>
      <c r="W1097" s="132">
        <v>2.4899999999999999E-2</v>
      </c>
      <c r="X1097" s="3" t="s">
        <v>620</v>
      </c>
      <c r="Y1097" s="3" t="s">
        <v>62</v>
      </c>
      <c r="Z1097" s="131">
        <v>277000.5</v>
      </c>
      <c r="AA1097" s="129">
        <v>1</v>
      </c>
      <c r="AB1097" s="157">
        <v>115.16</v>
      </c>
      <c r="AD1097" s="131">
        <v>318.99400000000003</v>
      </c>
      <c r="AG1097" s="6" t="s">
        <v>17</v>
      </c>
      <c r="AH1097" s="132">
        <v>1.8200000000000001E-4</v>
      </c>
      <c r="AI1097" s="132">
        <v>1.14942117501655E-2</v>
      </c>
      <c r="AJ1097" s="132">
        <v>2.62463984534789E-3</v>
      </c>
    </row>
    <row r="1098" spans="1:36" x14ac:dyDescent="0.2">
      <c r="A1098" s="6">
        <v>559</v>
      </c>
      <c r="B1098" s="6">
        <v>7207</v>
      </c>
      <c r="C1098" s="6" t="s">
        <v>1220</v>
      </c>
      <c r="D1098" s="6" t="s">
        <v>1483</v>
      </c>
      <c r="E1098" s="3" t="s">
        <v>1477</v>
      </c>
      <c r="F1098" s="6" t="s">
        <v>2354</v>
      </c>
      <c r="G1098" s="6" t="s">
        <v>2355</v>
      </c>
      <c r="H1098" s="6" t="s">
        <v>76</v>
      </c>
      <c r="I1098" s="6" t="s">
        <v>229</v>
      </c>
      <c r="J1098" s="6" t="s">
        <v>53</v>
      </c>
      <c r="K1098" s="6" t="s">
        <v>53</v>
      </c>
      <c r="L1098" s="6" t="s">
        <v>805</v>
      </c>
      <c r="M1098" s="6" t="s">
        <v>311</v>
      </c>
      <c r="N1098" s="6" t="s">
        <v>256</v>
      </c>
      <c r="O1098" s="6" t="s">
        <v>62</v>
      </c>
      <c r="P1098" s="6" t="s">
        <v>1213</v>
      </c>
      <c r="Q1098" s="6" t="s">
        <v>65</v>
      </c>
      <c r="R1098" s="6" t="s">
        <v>57</v>
      </c>
      <c r="S1098" s="6" t="s">
        <v>1219</v>
      </c>
      <c r="T1098" s="131">
        <v>2.3969999999999998</v>
      </c>
      <c r="U1098" s="6" t="s">
        <v>2356</v>
      </c>
      <c r="V1098" s="134">
        <v>1E-3</v>
      </c>
      <c r="W1098" s="132">
        <v>2.4969999999999999E-2</v>
      </c>
      <c r="X1098" s="3" t="s">
        <v>620</v>
      </c>
      <c r="Y1098" s="3" t="s">
        <v>62</v>
      </c>
      <c r="Z1098" s="131">
        <v>221000</v>
      </c>
      <c r="AA1098" s="129">
        <v>1</v>
      </c>
      <c r="AB1098" s="157">
        <v>107.95</v>
      </c>
      <c r="AD1098" s="131">
        <v>238.57</v>
      </c>
      <c r="AG1098" s="6" t="s">
        <v>17</v>
      </c>
      <c r="AH1098" s="132">
        <v>6.9999999999999994E-5</v>
      </c>
      <c r="AI1098" s="132">
        <v>8.5963067563123302E-3</v>
      </c>
      <c r="AJ1098" s="132">
        <v>1.9629192262902002E-3</v>
      </c>
    </row>
    <row r="1099" spans="1:36" x14ac:dyDescent="0.2">
      <c r="A1099" s="6">
        <v>559</v>
      </c>
      <c r="B1099" s="6">
        <v>7207</v>
      </c>
      <c r="C1099" s="6" t="s">
        <v>1220</v>
      </c>
      <c r="D1099" s="6" t="s">
        <v>1483</v>
      </c>
      <c r="E1099" s="3" t="s">
        <v>1477</v>
      </c>
      <c r="F1099" s="6" t="s">
        <v>1857</v>
      </c>
      <c r="G1099" s="6" t="s">
        <v>1858</v>
      </c>
      <c r="H1099" s="6" t="s">
        <v>76</v>
      </c>
      <c r="I1099" s="6" t="s">
        <v>228</v>
      </c>
      <c r="J1099" s="6" t="s">
        <v>53</v>
      </c>
      <c r="K1099" s="6" t="s">
        <v>53</v>
      </c>
      <c r="L1099" s="6" t="s">
        <v>805</v>
      </c>
      <c r="M1099" s="6" t="s">
        <v>311</v>
      </c>
      <c r="N1099" s="6" t="s">
        <v>256</v>
      </c>
      <c r="O1099" s="6" t="s">
        <v>62</v>
      </c>
      <c r="P1099" s="6" t="s">
        <v>1213</v>
      </c>
      <c r="Q1099" s="6" t="s">
        <v>65</v>
      </c>
      <c r="R1099" s="6" t="s">
        <v>57</v>
      </c>
      <c r="S1099" s="6" t="s">
        <v>1219</v>
      </c>
      <c r="T1099" s="131">
        <v>2.4529999999999998</v>
      </c>
      <c r="U1099" s="6" t="s">
        <v>1859</v>
      </c>
      <c r="V1099" s="134">
        <v>2.76E-2</v>
      </c>
      <c r="W1099" s="132">
        <v>4.3869999999999999E-2</v>
      </c>
      <c r="X1099" s="3" t="s">
        <v>620</v>
      </c>
      <c r="Y1099" s="3" t="s">
        <v>62</v>
      </c>
      <c r="Z1099" s="131">
        <v>164000</v>
      </c>
      <c r="AA1099" s="129">
        <v>1</v>
      </c>
      <c r="AB1099" s="157">
        <v>96.65</v>
      </c>
      <c r="AD1099" s="131">
        <v>158.506</v>
      </c>
      <c r="AG1099" s="6" t="s">
        <v>17</v>
      </c>
      <c r="AH1099" s="132">
        <v>7.6000000000000004E-5</v>
      </c>
      <c r="AI1099" s="132">
        <v>5.71140149397153E-3</v>
      </c>
      <c r="AJ1099" s="132">
        <v>1.30416702421036E-3</v>
      </c>
    </row>
    <row r="1100" spans="1:36" x14ac:dyDescent="0.2">
      <c r="A1100" s="6">
        <v>559</v>
      </c>
      <c r="B1100" s="6">
        <v>7207</v>
      </c>
      <c r="C1100" s="6" t="s">
        <v>1220</v>
      </c>
      <c r="D1100" s="6" t="s">
        <v>1483</v>
      </c>
      <c r="E1100" s="3" t="s">
        <v>1477</v>
      </c>
      <c r="F1100" s="6" t="s">
        <v>1860</v>
      </c>
      <c r="G1100" s="6" t="s">
        <v>1861</v>
      </c>
      <c r="H1100" s="6" t="s">
        <v>76</v>
      </c>
      <c r="I1100" s="6" t="s">
        <v>229</v>
      </c>
      <c r="J1100" s="6" t="s">
        <v>53</v>
      </c>
      <c r="K1100" s="6" t="s">
        <v>53</v>
      </c>
      <c r="L1100" s="6" t="s">
        <v>805</v>
      </c>
      <c r="M1100" s="6" t="s">
        <v>311</v>
      </c>
      <c r="N1100" s="6" t="s">
        <v>256</v>
      </c>
      <c r="O1100" s="6" t="s">
        <v>62</v>
      </c>
      <c r="P1100" s="6" t="s">
        <v>1213</v>
      </c>
      <c r="Q1100" s="6" t="s">
        <v>65</v>
      </c>
      <c r="R1100" s="6" t="s">
        <v>57</v>
      </c>
      <c r="S1100" s="6" t="s">
        <v>1219</v>
      </c>
      <c r="T1100" s="131">
        <v>4.3879999999999999</v>
      </c>
      <c r="U1100" s="6" t="s">
        <v>1862</v>
      </c>
      <c r="V1100" s="134">
        <v>2.0199999999999999E-2</v>
      </c>
      <c r="W1100" s="132">
        <v>2.6360000000000001E-2</v>
      </c>
      <c r="X1100" s="3" t="s">
        <v>620</v>
      </c>
      <c r="Y1100" s="3" t="s">
        <v>62</v>
      </c>
      <c r="Z1100" s="131">
        <v>100000</v>
      </c>
      <c r="AA1100" s="129">
        <v>1</v>
      </c>
      <c r="AB1100" s="157">
        <v>102.52</v>
      </c>
      <c r="AD1100" s="131">
        <v>102.52</v>
      </c>
      <c r="AG1100" s="6" t="s">
        <v>17</v>
      </c>
      <c r="AH1100" s="132">
        <v>2.8E-5</v>
      </c>
      <c r="AI1100" s="132">
        <v>3.6940739225137299E-3</v>
      </c>
      <c r="AJ1100" s="132">
        <v>8.4352140185258795E-4</v>
      </c>
    </row>
    <row r="1101" spans="1:36" x14ac:dyDescent="0.2">
      <c r="A1101" s="6">
        <v>559</v>
      </c>
      <c r="B1101" s="6">
        <v>7207</v>
      </c>
      <c r="C1101" s="6" t="s">
        <v>1220</v>
      </c>
      <c r="D1101" s="6" t="s">
        <v>1483</v>
      </c>
      <c r="E1101" s="3" t="s">
        <v>1477</v>
      </c>
      <c r="F1101" s="6" t="s">
        <v>1863</v>
      </c>
      <c r="G1101" s="6" t="s">
        <v>1864</v>
      </c>
      <c r="H1101" s="6" t="s">
        <v>76</v>
      </c>
      <c r="I1101" s="6" t="s">
        <v>229</v>
      </c>
      <c r="J1101" s="6" t="s">
        <v>53</v>
      </c>
      <c r="K1101" s="6" t="s">
        <v>53</v>
      </c>
      <c r="L1101" s="6" t="s">
        <v>805</v>
      </c>
      <c r="M1101" s="6" t="s">
        <v>311</v>
      </c>
      <c r="N1101" s="6" t="s">
        <v>256</v>
      </c>
      <c r="O1101" s="6" t="s">
        <v>62</v>
      </c>
      <c r="P1101" s="6" t="s">
        <v>1213</v>
      </c>
      <c r="Q1101" s="6" t="s">
        <v>65</v>
      </c>
      <c r="R1101" s="6" t="s">
        <v>57</v>
      </c>
      <c r="S1101" s="6" t="s">
        <v>1219</v>
      </c>
      <c r="T1101" s="131">
        <v>4.3920000000000003</v>
      </c>
      <c r="U1101" s="6" t="s">
        <v>1865</v>
      </c>
      <c r="V1101" s="134">
        <v>1E-3</v>
      </c>
      <c r="W1101" s="132">
        <v>2.581E-2</v>
      </c>
      <c r="X1101" s="3" t="s">
        <v>620</v>
      </c>
      <c r="Y1101" s="3" t="s">
        <v>62</v>
      </c>
      <c r="Z1101" s="131">
        <v>158000</v>
      </c>
      <c r="AA1101" s="129">
        <v>1</v>
      </c>
      <c r="AB1101" s="157">
        <v>102.6</v>
      </c>
      <c r="AD1101" s="131">
        <v>162.108</v>
      </c>
      <c r="AG1101" s="6" t="s">
        <v>17</v>
      </c>
      <c r="AH1101" s="132">
        <v>3.6999999999999998E-5</v>
      </c>
      <c r="AI1101" s="132">
        <v>5.8411913327239204E-3</v>
      </c>
      <c r="AJ1101" s="132">
        <v>1.3338038179040101E-3</v>
      </c>
    </row>
    <row r="1102" spans="1:36" x14ac:dyDescent="0.2">
      <c r="A1102" s="6">
        <v>559</v>
      </c>
      <c r="B1102" s="6">
        <v>7207</v>
      </c>
      <c r="C1102" s="6" t="s">
        <v>1866</v>
      </c>
      <c r="D1102" s="6" t="s">
        <v>1867</v>
      </c>
      <c r="E1102" s="3" t="s">
        <v>1477</v>
      </c>
      <c r="F1102" s="6" t="s">
        <v>1868</v>
      </c>
      <c r="G1102" s="6" t="s">
        <v>1869</v>
      </c>
      <c r="H1102" s="6" t="s">
        <v>76</v>
      </c>
      <c r="I1102" s="6" t="s">
        <v>228</v>
      </c>
      <c r="J1102" s="6" t="s">
        <v>53</v>
      </c>
      <c r="K1102" s="6" t="s">
        <v>53</v>
      </c>
      <c r="L1102" s="6" t="s">
        <v>805</v>
      </c>
      <c r="M1102" s="6" t="s">
        <v>311</v>
      </c>
      <c r="N1102" s="6" t="s">
        <v>140</v>
      </c>
      <c r="O1102" s="6" t="s">
        <v>62</v>
      </c>
      <c r="P1102" s="6" t="s">
        <v>298</v>
      </c>
      <c r="Q1102" s="6" t="s">
        <v>298</v>
      </c>
      <c r="R1102" s="6" t="s">
        <v>298</v>
      </c>
      <c r="S1102" s="6" t="s">
        <v>1219</v>
      </c>
      <c r="T1102" s="131">
        <v>3.8039999999999998</v>
      </c>
      <c r="U1102" s="6" t="s">
        <v>1870</v>
      </c>
      <c r="V1102" s="134">
        <v>6.7299999999999999E-2</v>
      </c>
      <c r="W1102" s="132">
        <v>5.4149999999999997E-2</v>
      </c>
      <c r="X1102" s="3" t="s">
        <v>620</v>
      </c>
      <c r="Y1102" s="3" t="s">
        <v>62</v>
      </c>
      <c r="Z1102" s="131">
        <v>44391.5</v>
      </c>
      <c r="AA1102" s="129">
        <v>1</v>
      </c>
      <c r="AB1102" s="157">
        <v>105.77</v>
      </c>
      <c r="AD1102" s="131">
        <v>46.953000000000003</v>
      </c>
      <c r="AG1102" s="6" t="s">
        <v>17</v>
      </c>
      <c r="AH1102" s="132">
        <v>1.7100000000000001E-4</v>
      </c>
      <c r="AI1102" s="132">
        <v>1.6918400787487599E-3</v>
      </c>
      <c r="AJ1102" s="132">
        <v>3.8632234894894399E-4</v>
      </c>
    </row>
    <row r="1103" spans="1:36" x14ac:dyDescent="0.2">
      <c r="A1103" s="6">
        <v>559</v>
      </c>
      <c r="B1103" s="6">
        <v>7207</v>
      </c>
      <c r="C1103" s="6" t="s">
        <v>2357</v>
      </c>
      <c r="D1103" s="6" t="s">
        <v>2358</v>
      </c>
      <c r="E1103" s="3" t="s">
        <v>1477</v>
      </c>
      <c r="F1103" s="6" t="s">
        <v>2359</v>
      </c>
      <c r="G1103" s="6" t="s">
        <v>2360</v>
      </c>
      <c r="H1103" s="6" t="s">
        <v>76</v>
      </c>
      <c r="I1103" s="6" t="s">
        <v>228</v>
      </c>
      <c r="J1103" s="6" t="s">
        <v>53</v>
      </c>
      <c r="K1103" s="6" t="s">
        <v>53</v>
      </c>
      <c r="L1103" s="6" t="s">
        <v>805</v>
      </c>
      <c r="M1103" s="6" t="s">
        <v>311</v>
      </c>
      <c r="N1103" s="6" t="s">
        <v>140</v>
      </c>
      <c r="O1103" s="6" t="s">
        <v>62</v>
      </c>
      <c r="P1103" s="6" t="s">
        <v>298</v>
      </c>
      <c r="Q1103" s="6" t="s">
        <v>298</v>
      </c>
      <c r="R1103" s="6" t="s">
        <v>298</v>
      </c>
      <c r="S1103" s="6" t="s">
        <v>1219</v>
      </c>
      <c r="T1103" s="131">
        <v>1.1779999999999999</v>
      </c>
      <c r="U1103" s="6" t="s">
        <v>1285</v>
      </c>
      <c r="V1103" s="134">
        <v>8.5000000000000006E-2</v>
      </c>
      <c r="W1103" s="132">
        <v>7.6810000000000003E-2</v>
      </c>
      <c r="X1103" s="3" t="s">
        <v>620</v>
      </c>
      <c r="Y1103" s="3" t="s">
        <v>62</v>
      </c>
      <c r="Z1103" s="131">
        <v>14399.78</v>
      </c>
      <c r="AA1103" s="129">
        <v>1</v>
      </c>
      <c r="AB1103" s="157">
        <v>103.26</v>
      </c>
      <c r="AD1103" s="131">
        <v>14.869</v>
      </c>
      <c r="AG1103" s="6" t="s">
        <v>17</v>
      </c>
      <c r="AH1103" s="132">
        <v>2.6400000000000002E-4</v>
      </c>
      <c r="AI1103" s="132">
        <v>5.3577810530844197E-4</v>
      </c>
      <c r="AJ1103" s="132">
        <v>1.2234197472804401E-4</v>
      </c>
    </row>
    <row r="1104" spans="1:36" x14ac:dyDescent="0.2">
      <c r="A1104" s="6">
        <v>559</v>
      </c>
      <c r="B1104" s="6">
        <v>7207</v>
      </c>
      <c r="C1104" s="6" t="s">
        <v>1871</v>
      </c>
      <c r="D1104" s="6" t="s">
        <v>1872</v>
      </c>
      <c r="E1104" s="3" t="s">
        <v>1477</v>
      </c>
      <c r="F1104" s="6" t="s">
        <v>1873</v>
      </c>
      <c r="G1104" s="6" t="s">
        <v>1874</v>
      </c>
      <c r="H1104" s="6" t="s">
        <v>76</v>
      </c>
      <c r="I1104" s="6" t="s">
        <v>228</v>
      </c>
      <c r="J1104" s="6" t="s">
        <v>53</v>
      </c>
      <c r="K1104" s="6" t="s">
        <v>53</v>
      </c>
      <c r="L1104" s="6" t="s">
        <v>805</v>
      </c>
      <c r="M1104" s="6" t="s">
        <v>311</v>
      </c>
      <c r="N1104" s="6" t="s">
        <v>692</v>
      </c>
      <c r="O1104" s="6" t="s">
        <v>62</v>
      </c>
      <c r="P1104" s="6" t="s">
        <v>298</v>
      </c>
      <c r="Q1104" s="6" t="s">
        <v>298</v>
      </c>
      <c r="R1104" s="6" t="s">
        <v>298</v>
      </c>
      <c r="S1104" s="6" t="s">
        <v>1219</v>
      </c>
      <c r="T1104" s="131">
        <v>0.499</v>
      </c>
      <c r="U1104" s="6" t="s">
        <v>1499</v>
      </c>
      <c r="V1104" s="134">
        <v>3.5000000000000003E-2</v>
      </c>
      <c r="W1104" s="132">
        <v>5.0310000000000001E-2</v>
      </c>
      <c r="X1104" s="3" t="s">
        <v>620</v>
      </c>
      <c r="Y1104" s="3" t="s">
        <v>62</v>
      </c>
      <c r="Z1104" s="131">
        <v>14829</v>
      </c>
      <c r="AA1104" s="129">
        <v>1</v>
      </c>
      <c r="AB1104" s="157">
        <v>99.29</v>
      </c>
      <c r="AD1104" s="131">
        <v>14.724</v>
      </c>
      <c r="AG1104" s="6" t="s">
        <v>17</v>
      </c>
      <c r="AH1104" s="132">
        <v>3.7100000000000002E-4</v>
      </c>
      <c r="AI1104" s="132">
        <v>5.3053539113692705E-4</v>
      </c>
      <c r="AJ1104" s="132">
        <v>1.21144829868403E-4</v>
      </c>
    </row>
    <row r="1105" spans="1:36" x14ac:dyDescent="0.2">
      <c r="A1105" s="6">
        <v>559</v>
      </c>
      <c r="B1105" s="6">
        <v>7207</v>
      </c>
      <c r="C1105" s="6" t="s">
        <v>1875</v>
      </c>
      <c r="D1105" s="6" t="s">
        <v>1876</v>
      </c>
      <c r="E1105" s="3" t="s">
        <v>1477</v>
      </c>
      <c r="F1105" s="6" t="s">
        <v>1877</v>
      </c>
      <c r="G1105" s="6" t="s">
        <v>1878</v>
      </c>
      <c r="H1105" s="6" t="s">
        <v>76</v>
      </c>
      <c r="I1105" s="6" t="s">
        <v>229</v>
      </c>
      <c r="J1105" s="6" t="s">
        <v>53</v>
      </c>
      <c r="K1105" s="6" t="s">
        <v>53</v>
      </c>
      <c r="L1105" s="6" t="s">
        <v>805</v>
      </c>
      <c r="M1105" s="6" t="s">
        <v>311</v>
      </c>
      <c r="N1105" s="6" t="s">
        <v>635</v>
      </c>
      <c r="O1105" s="6" t="s">
        <v>62</v>
      </c>
      <c r="P1105" s="6" t="s">
        <v>298</v>
      </c>
      <c r="Q1105" s="6" t="s">
        <v>298</v>
      </c>
      <c r="R1105" s="6" t="s">
        <v>298</v>
      </c>
      <c r="S1105" s="6" t="s">
        <v>1219</v>
      </c>
      <c r="T1105" s="131">
        <v>2.2250000000000001</v>
      </c>
      <c r="U1105" s="6" t="s">
        <v>1605</v>
      </c>
      <c r="V1105" s="134">
        <v>6.0999999999999999E-2</v>
      </c>
      <c r="W1105" s="132">
        <v>3.9820000000000001E-2</v>
      </c>
      <c r="X1105" s="3" t="s">
        <v>620</v>
      </c>
      <c r="Y1105" s="3" t="s">
        <v>62</v>
      </c>
      <c r="Z1105" s="131">
        <v>10000</v>
      </c>
      <c r="AA1105" s="129">
        <v>1</v>
      </c>
      <c r="AB1105" s="157">
        <v>110.19</v>
      </c>
      <c r="AD1105" s="131">
        <v>11.019</v>
      </c>
      <c r="AG1105" s="6" t="s">
        <v>17</v>
      </c>
      <c r="AH1105" s="132">
        <v>1.18E-4</v>
      </c>
      <c r="AI1105" s="132">
        <v>3.9704448451208398E-4</v>
      </c>
      <c r="AJ1105" s="132">
        <v>9.0662917743012696E-5</v>
      </c>
    </row>
    <row r="1106" spans="1:36" x14ac:dyDescent="0.2">
      <c r="A1106" s="6">
        <v>559</v>
      </c>
      <c r="B1106" s="6">
        <v>7207</v>
      </c>
      <c r="C1106" s="6" t="s">
        <v>1875</v>
      </c>
      <c r="D1106" s="6" t="s">
        <v>1876</v>
      </c>
      <c r="E1106" s="3" t="s">
        <v>1477</v>
      </c>
      <c r="F1106" s="6" t="s">
        <v>1879</v>
      </c>
      <c r="G1106" s="6" t="s">
        <v>1880</v>
      </c>
      <c r="H1106" s="6" t="s">
        <v>76</v>
      </c>
      <c r="I1106" s="6" t="s">
        <v>229</v>
      </c>
      <c r="J1106" s="6" t="s">
        <v>53</v>
      </c>
      <c r="K1106" s="6" t="s">
        <v>53</v>
      </c>
      <c r="L1106" s="6" t="s">
        <v>805</v>
      </c>
      <c r="M1106" s="6" t="s">
        <v>311</v>
      </c>
      <c r="N1106" s="6" t="s">
        <v>635</v>
      </c>
      <c r="O1106" s="6" t="s">
        <v>62</v>
      </c>
      <c r="P1106" s="6" t="s">
        <v>298</v>
      </c>
      <c r="Q1106" s="6" t="s">
        <v>298</v>
      </c>
      <c r="R1106" s="6" t="s">
        <v>298</v>
      </c>
      <c r="S1106" s="6" t="s">
        <v>1219</v>
      </c>
      <c r="T1106" s="131">
        <v>2.5059999999999998</v>
      </c>
      <c r="U1106" s="6" t="s">
        <v>1544</v>
      </c>
      <c r="V1106" s="134">
        <v>0.06</v>
      </c>
      <c r="W1106" s="132">
        <v>3.2570000000000002E-2</v>
      </c>
      <c r="X1106" s="3" t="s">
        <v>620</v>
      </c>
      <c r="Y1106" s="3" t="s">
        <v>62</v>
      </c>
      <c r="Z1106" s="131">
        <v>27611.1</v>
      </c>
      <c r="AA1106" s="129">
        <v>1</v>
      </c>
      <c r="AB1106" s="157">
        <v>113.39</v>
      </c>
      <c r="AD1106" s="131">
        <v>31.308</v>
      </c>
      <c r="AG1106" s="6" t="s">
        <v>17</v>
      </c>
      <c r="AH1106" s="132">
        <v>3.9899999999999999E-4</v>
      </c>
      <c r="AI1106" s="132">
        <v>1.1281203891733099E-3</v>
      </c>
      <c r="AJ1106" s="132">
        <v>2.5760006759323898E-4</v>
      </c>
    </row>
    <row r="1107" spans="1:36" x14ac:dyDescent="0.2">
      <c r="A1107" s="6">
        <v>559</v>
      </c>
      <c r="B1107" s="6">
        <v>7207</v>
      </c>
      <c r="C1107" s="6" t="s">
        <v>1881</v>
      </c>
      <c r="D1107" s="6" t="s">
        <v>1882</v>
      </c>
      <c r="E1107" s="3" t="s">
        <v>1477</v>
      </c>
      <c r="F1107" s="6" t="s">
        <v>1883</v>
      </c>
      <c r="G1107" s="6" t="s">
        <v>1884</v>
      </c>
      <c r="H1107" s="6" t="s">
        <v>76</v>
      </c>
      <c r="I1107" s="6" t="s">
        <v>229</v>
      </c>
      <c r="J1107" s="6" t="s">
        <v>53</v>
      </c>
      <c r="K1107" s="6" t="s">
        <v>53</v>
      </c>
      <c r="L1107" s="6" t="s">
        <v>805</v>
      </c>
      <c r="M1107" s="6" t="s">
        <v>311</v>
      </c>
      <c r="N1107" s="6" t="s">
        <v>635</v>
      </c>
      <c r="O1107" s="6" t="s">
        <v>62</v>
      </c>
      <c r="P1107" s="6" t="s">
        <v>1533</v>
      </c>
      <c r="Q1107" s="6" t="s">
        <v>65</v>
      </c>
      <c r="R1107" s="6" t="s">
        <v>57</v>
      </c>
      <c r="S1107" s="6" t="s">
        <v>1219</v>
      </c>
      <c r="T1107" s="131">
        <v>1.6419999999999999</v>
      </c>
      <c r="U1107" s="6" t="s">
        <v>1285</v>
      </c>
      <c r="V1107" s="134">
        <v>2.5999999999999999E-2</v>
      </c>
      <c r="W1107" s="132">
        <v>2.768E-2</v>
      </c>
      <c r="X1107" s="3" t="s">
        <v>620</v>
      </c>
      <c r="Y1107" s="3" t="s">
        <v>62</v>
      </c>
      <c r="Z1107" s="131">
        <v>133949.41</v>
      </c>
      <c r="AA1107" s="129">
        <v>1</v>
      </c>
      <c r="AB1107" s="157">
        <v>118.58</v>
      </c>
      <c r="AD1107" s="131">
        <v>158.83699999999999</v>
      </c>
      <c r="AG1107" s="6" t="s">
        <v>17</v>
      </c>
      <c r="AH1107" s="132">
        <v>3.9599999999999998E-4</v>
      </c>
      <c r="AI1107" s="132">
        <v>5.7233359030647397E-3</v>
      </c>
      <c r="AJ1107" s="132">
        <v>1.30689218069064E-3</v>
      </c>
    </row>
    <row r="1108" spans="1:36" x14ac:dyDescent="0.2">
      <c r="A1108" s="6">
        <v>559</v>
      </c>
      <c r="B1108" s="6">
        <v>7207</v>
      </c>
      <c r="C1108" s="6" t="s">
        <v>1881</v>
      </c>
      <c r="D1108" s="6" t="s">
        <v>1882</v>
      </c>
      <c r="E1108" s="3" t="s">
        <v>1477</v>
      </c>
      <c r="F1108" s="6" t="s">
        <v>1885</v>
      </c>
      <c r="G1108" s="6" t="s">
        <v>1886</v>
      </c>
      <c r="H1108" s="6" t="s">
        <v>76</v>
      </c>
      <c r="I1108" s="6" t="s">
        <v>229</v>
      </c>
      <c r="J1108" s="6" t="s">
        <v>53</v>
      </c>
      <c r="K1108" s="6" t="s">
        <v>53</v>
      </c>
      <c r="L1108" s="6" t="s">
        <v>805</v>
      </c>
      <c r="M1108" s="6" t="s">
        <v>311</v>
      </c>
      <c r="N1108" s="6" t="s">
        <v>635</v>
      </c>
      <c r="O1108" s="6" t="s">
        <v>62</v>
      </c>
      <c r="P1108" s="6" t="s">
        <v>1533</v>
      </c>
      <c r="Q1108" s="6" t="s">
        <v>65</v>
      </c>
      <c r="R1108" s="6" t="s">
        <v>57</v>
      </c>
      <c r="S1108" s="6" t="s">
        <v>1219</v>
      </c>
      <c r="T1108" s="131">
        <v>1.1559999999999999</v>
      </c>
      <c r="U1108" s="6" t="s">
        <v>1578</v>
      </c>
      <c r="V1108" s="134">
        <v>2.4E-2</v>
      </c>
      <c r="W1108" s="132">
        <v>2.861E-2</v>
      </c>
      <c r="X1108" s="3" t="s">
        <v>620</v>
      </c>
      <c r="Y1108" s="3" t="s">
        <v>62</v>
      </c>
      <c r="Z1108" s="131">
        <v>164877</v>
      </c>
      <c r="AA1108" s="129">
        <v>1</v>
      </c>
      <c r="AB1108" s="157">
        <v>117.85</v>
      </c>
      <c r="AD1108" s="131">
        <v>194.30799999999999</v>
      </c>
      <c r="AG1108" s="6" t="s">
        <v>17</v>
      </c>
      <c r="AH1108" s="132">
        <v>3.0699999999999998E-4</v>
      </c>
      <c r="AI1108" s="132">
        <v>7.0014283367647902E-3</v>
      </c>
      <c r="AJ1108" s="132">
        <v>1.598737537331E-3</v>
      </c>
    </row>
    <row r="1109" spans="1:36" x14ac:dyDescent="0.2">
      <c r="A1109" s="6">
        <v>559</v>
      </c>
      <c r="B1109" s="6">
        <v>7207</v>
      </c>
      <c r="C1109" s="6" t="s">
        <v>1887</v>
      </c>
      <c r="D1109" s="6" t="s">
        <v>1888</v>
      </c>
      <c r="E1109" s="3" t="s">
        <v>1477</v>
      </c>
      <c r="F1109" s="6" t="s">
        <v>1889</v>
      </c>
      <c r="G1109" s="6" t="s">
        <v>1890</v>
      </c>
      <c r="H1109" s="6" t="s">
        <v>76</v>
      </c>
      <c r="I1109" s="6" t="s">
        <v>228</v>
      </c>
      <c r="J1109" s="6" t="s">
        <v>53</v>
      </c>
      <c r="K1109" s="6" t="s">
        <v>53</v>
      </c>
      <c r="L1109" s="6" t="s">
        <v>805</v>
      </c>
      <c r="M1109" s="6" t="s">
        <v>311</v>
      </c>
      <c r="N1109" s="6" t="s">
        <v>269</v>
      </c>
      <c r="O1109" s="6" t="s">
        <v>62</v>
      </c>
      <c r="P1109" s="6" t="s">
        <v>1521</v>
      </c>
      <c r="Q1109" s="6" t="s">
        <v>70</v>
      </c>
      <c r="R1109" s="6" t="s">
        <v>57</v>
      </c>
      <c r="S1109" s="6" t="s">
        <v>1219</v>
      </c>
      <c r="T1109" s="131">
        <v>0.499</v>
      </c>
      <c r="U1109" s="6" t="s">
        <v>1499</v>
      </c>
      <c r="V1109" s="134">
        <v>2.63E-2</v>
      </c>
      <c r="W1109" s="132">
        <v>4.7759999999999997E-2</v>
      </c>
      <c r="X1109" s="3" t="s">
        <v>620</v>
      </c>
      <c r="Y1109" s="3" t="s">
        <v>62</v>
      </c>
      <c r="Z1109" s="131">
        <v>252000</v>
      </c>
      <c r="AA1109" s="129">
        <v>1</v>
      </c>
      <c r="AB1109" s="157">
        <v>100.27</v>
      </c>
      <c r="AD1109" s="131">
        <v>252.68</v>
      </c>
      <c r="AG1109" s="6" t="s">
        <v>17</v>
      </c>
      <c r="AH1109" s="132">
        <v>5.1500000000000005E-4</v>
      </c>
      <c r="AI1109" s="132">
        <v>9.10476079175126E-3</v>
      </c>
      <c r="AJ1109" s="132">
        <v>2.0790219003967302E-3</v>
      </c>
    </row>
    <row r="1110" spans="1:36" x14ac:dyDescent="0.2">
      <c r="A1110" s="6">
        <v>559</v>
      </c>
      <c r="B1110" s="6">
        <v>7207</v>
      </c>
      <c r="C1110" s="6" t="s">
        <v>1489</v>
      </c>
      <c r="D1110" s="6" t="s">
        <v>1490</v>
      </c>
      <c r="E1110" s="3" t="s">
        <v>1477</v>
      </c>
      <c r="F1110" s="6" t="s">
        <v>1891</v>
      </c>
      <c r="G1110" s="6" t="s">
        <v>1892</v>
      </c>
      <c r="H1110" s="6" t="s">
        <v>76</v>
      </c>
      <c r="I1110" s="6" t="s">
        <v>229</v>
      </c>
      <c r="J1110" s="6" t="s">
        <v>53</v>
      </c>
      <c r="K1110" s="6" t="s">
        <v>53</v>
      </c>
      <c r="L1110" s="6" t="s">
        <v>805</v>
      </c>
      <c r="M1110" s="6" t="s">
        <v>311</v>
      </c>
      <c r="N1110" s="6" t="s">
        <v>635</v>
      </c>
      <c r="O1110" s="6" t="s">
        <v>62</v>
      </c>
      <c r="P1110" s="6" t="s">
        <v>1577</v>
      </c>
      <c r="Q1110" s="6" t="s">
        <v>65</v>
      </c>
      <c r="R1110" s="6" t="s">
        <v>57</v>
      </c>
      <c r="S1110" s="6" t="s">
        <v>1219</v>
      </c>
      <c r="T1110" s="131">
        <v>1.3939999999999999</v>
      </c>
      <c r="U1110" s="6" t="s">
        <v>1285</v>
      </c>
      <c r="V1110" s="134">
        <v>1.4E-2</v>
      </c>
      <c r="W1110" s="132">
        <v>2.8840000000000001E-2</v>
      </c>
      <c r="X1110" s="3" t="s">
        <v>620</v>
      </c>
      <c r="Y1110" s="3" t="s">
        <v>62</v>
      </c>
      <c r="Z1110" s="131">
        <v>266400</v>
      </c>
      <c r="AA1110" s="129">
        <v>1</v>
      </c>
      <c r="AB1110" s="157">
        <v>115.68</v>
      </c>
      <c r="AD1110" s="131">
        <v>308.17200000000003</v>
      </c>
      <c r="AG1110" s="6" t="s">
        <v>17</v>
      </c>
      <c r="AH1110" s="132">
        <v>4.4000000000000002E-4</v>
      </c>
      <c r="AI1110" s="132">
        <v>1.1104256493303001E-2</v>
      </c>
      <c r="AJ1110" s="132">
        <v>2.5355957136309298E-3</v>
      </c>
    </row>
    <row r="1111" spans="1:36" x14ac:dyDescent="0.2">
      <c r="A1111" s="6">
        <v>559</v>
      </c>
      <c r="B1111" s="6">
        <v>7207</v>
      </c>
      <c r="C1111" s="6" t="s">
        <v>1489</v>
      </c>
      <c r="D1111" s="6" t="s">
        <v>1490</v>
      </c>
      <c r="E1111" s="3" t="s">
        <v>1477</v>
      </c>
      <c r="F1111" s="6" t="s">
        <v>1893</v>
      </c>
      <c r="G1111" s="6" t="s">
        <v>1894</v>
      </c>
      <c r="H1111" s="6" t="s">
        <v>76</v>
      </c>
      <c r="I1111" s="6" t="s">
        <v>229</v>
      </c>
      <c r="J1111" s="6" t="s">
        <v>53</v>
      </c>
      <c r="K1111" s="6" t="s">
        <v>53</v>
      </c>
      <c r="L1111" s="6" t="s">
        <v>805</v>
      </c>
      <c r="M1111" s="6" t="s">
        <v>1227</v>
      </c>
      <c r="N1111" s="6" t="s">
        <v>635</v>
      </c>
      <c r="O1111" s="6" t="s">
        <v>62</v>
      </c>
      <c r="P1111" s="6" t="s">
        <v>1577</v>
      </c>
      <c r="Q1111" s="6" t="s">
        <v>65</v>
      </c>
      <c r="R1111" s="6" t="s">
        <v>57</v>
      </c>
      <c r="S1111" s="6" t="s">
        <v>1219</v>
      </c>
      <c r="T1111" s="131">
        <v>5.0170000000000003</v>
      </c>
      <c r="U1111" s="6" t="s">
        <v>1895</v>
      </c>
      <c r="V1111" s="134">
        <v>3.1800000000000002E-2</v>
      </c>
      <c r="W1111" s="132">
        <v>2.9229999999999999E-2</v>
      </c>
      <c r="X1111" s="3" t="s">
        <v>620</v>
      </c>
      <c r="Y1111" s="3" t="s">
        <v>62</v>
      </c>
      <c r="Z1111" s="131">
        <v>60000</v>
      </c>
      <c r="AA1111" s="129">
        <v>1</v>
      </c>
      <c r="AB1111" s="157">
        <v>104.39</v>
      </c>
      <c r="AD1111" s="131">
        <v>62.634</v>
      </c>
      <c r="AG1111" s="6" t="s">
        <v>17</v>
      </c>
      <c r="AH1111" s="132">
        <v>1.3100000000000001E-4</v>
      </c>
      <c r="AI1111" s="132">
        <v>2.25687305952717E-3</v>
      </c>
      <c r="AJ1111" s="132">
        <v>5.1534451310607699E-4</v>
      </c>
    </row>
    <row r="1112" spans="1:36" x14ac:dyDescent="0.2">
      <c r="A1112" s="6">
        <v>559</v>
      </c>
      <c r="B1112" s="6">
        <v>7207</v>
      </c>
      <c r="C1112" s="6" t="s">
        <v>1896</v>
      </c>
      <c r="D1112" s="6" t="s">
        <v>1897</v>
      </c>
      <c r="E1112" s="3" t="s">
        <v>1477</v>
      </c>
      <c r="F1112" s="6" t="s">
        <v>1898</v>
      </c>
      <c r="G1112" s="6" t="s">
        <v>1899</v>
      </c>
      <c r="H1112" s="6" t="s">
        <v>76</v>
      </c>
      <c r="I1112" s="6" t="s">
        <v>229</v>
      </c>
      <c r="J1112" s="6" t="s">
        <v>53</v>
      </c>
      <c r="K1112" s="6" t="s">
        <v>53</v>
      </c>
      <c r="L1112" s="6" t="s">
        <v>805</v>
      </c>
      <c r="M1112" s="6" t="s">
        <v>311</v>
      </c>
      <c r="N1112" s="6" t="s">
        <v>635</v>
      </c>
      <c r="O1112" s="6" t="s">
        <v>62</v>
      </c>
      <c r="P1112" s="6" t="s">
        <v>1515</v>
      </c>
      <c r="Q1112" s="6" t="s">
        <v>65</v>
      </c>
      <c r="R1112" s="6" t="s">
        <v>57</v>
      </c>
      <c r="S1112" s="6" t="s">
        <v>1219</v>
      </c>
      <c r="T1112" s="131">
        <v>0.499</v>
      </c>
      <c r="U1112" s="6" t="s">
        <v>1499</v>
      </c>
      <c r="V1112" s="134">
        <v>1E-3</v>
      </c>
      <c r="W1112" s="132">
        <v>1E-4</v>
      </c>
      <c r="X1112" s="3" t="s">
        <v>620</v>
      </c>
      <c r="Y1112" s="3" t="s">
        <v>62</v>
      </c>
      <c r="Z1112" s="131">
        <v>105000</v>
      </c>
      <c r="AA1112" s="129">
        <v>1</v>
      </c>
      <c r="AB1112" s="157">
        <v>119.66</v>
      </c>
      <c r="AD1112" s="131">
        <v>125.643</v>
      </c>
      <c r="AG1112" s="6" t="s">
        <v>17</v>
      </c>
      <c r="AH1112" s="132">
        <v>1.8200000000000001E-4</v>
      </c>
      <c r="AI1112" s="132">
        <v>4.5272583871087896E-3</v>
      </c>
      <c r="AJ1112" s="132">
        <v>1.0337744780819799E-3</v>
      </c>
    </row>
    <row r="1113" spans="1:36" x14ac:dyDescent="0.2">
      <c r="A1113" s="6">
        <v>559</v>
      </c>
      <c r="B1113" s="6">
        <v>7207</v>
      </c>
      <c r="C1113" s="6" t="s">
        <v>1896</v>
      </c>
      <c r="D1113" s="6" t="s">
        <v>1897</v>
      </c>
      <c r="E1113" s="3" t="s">
        <v>1477</v>
      </c>
      <c r="F1113" s="6" t="s">
        <v>1900</v>
      </c>
      <c r="G1113" s="6" t="s">
        <v>1901</v>
      </c>
      <c r="H1113" s="6" t="s">
        <v>76</v>
      </c>
      <c r="I1113" s="6" t="s">
        <v>229</v>
      </c>
      <c r="J1113" s="6" t="s">
        <v>53</v>
      </c>
      <c r="K1113" s="6" t="s">
        <v>53</v>
      </c>
      <c r="L1113" s="6" t="s">
        <v>805</v>
      </c>
      <c r="M1113" s="6" t="s">
        <v>311</v>
      </c>
      <c r="N1113" s="6" t="s">
        <v>635</v>
      </c>
      <c r="O1113" s="6" t="s">
        <v>62</v>
      </c>
      <c r="P1113" s="6" t="s">
        <v>1515</v>
      </c>
      <c r="Q1113" s="6" t="s">
        <v>65</v>
      </c>
      <c r="R1113" s="6" t="s">
        <v>57</v>
      </c>
      <c r="S1113" s="6" t="s">
        <v>1219</v>
      </c>
      <c r="T1113" s="131">
        <v>1.7410000000000001</v>
      </c>
      <c r="U1113" s="6" t="s">
        <v>1285</v>
      </c>
      <c r="V1113" s="134">
        <v>3.0000000000000001E-3</v>
      </c>
      <c r="W1113" s="132">
        <v>2.954E-2</v>
      </c>
      <c r="X1113" s="3" t="s">
        <v>620</v>
      </c>
      <c r="Y1113" s="3" t="s">
        <v>62</v>
      </c>
      <c r="Z1113" s="131">
        <v>123000</v>
      </c>
      <c r="AA1113" s="129">
        <v>1</v>
      </c>
      <c r="AB1113" s="157">
        <v>108.03</v>
      </c>
      <c r="AD1113" s="131">
        <v>132.87700000000001</v>
      </c>
      <c r="AG1113" s="6" t="s">
        <v>17</v>
      </c>
      <c r="AH1113" s="132">
        <v>2.42E-4</v>
      </c>
      <c r="AI1113" s="132">
        <v>4.7879154427864301E-3</v>
      </c>
      <c r="AJ1113" s="132">
        <v>1.0932940788316999E-3</v>
      </c>
    </row>
    <row r="1114" spans="1:36" x14ac:dyDescent="0.2">
      <c r="A1114" s="6">
        <v>559</v>
      </c>
      <c r="B1114" s="6">
        <v>7207</v>
      </c>
      <c r="C1114" s="6" t="s">
        <v>1896</v>
      </c>
      <c r="D1114" s="6" t="s">
        <v>1897</v>
      </c>
      <c r="E1114" s="3" t="s">
        <v>1477</v>
      </c>
      <c r="F1114" s="6" t="s">
        <v>1902</v>
      </c>
      <c r="G1114" s="6" t="s">
        <v>1903</v>
      </c>
      <c r="H1114" s="6" t="s">
        <v>76</v>
      </c>
      <c r="I1114" s="6" t="s">
        <v>229</v>
      </c>
      <c r="J1114" s="6" t="s">
        <v>53</v>
      </c>
      <c r="K1114" s="6" t="s">
        <v>53</v>
      </c>
      <c r="L1114" s="6" t="s">
        <v>805</v>
      </c>
      <c r="M1114" s="6" t="s">
        <v>311</v>
      </c>
      <c r="N1114" s="6" t="s">
        <v>635</v>
      </c>
      <c r="O1114" s="6" t="s">
        <v>62</v>
      </c>
      <c r="P1114" s="6" t="s">
        <v>1515</v>
      </c>
      <c r="Q1114" s="6" t="s">
        <v>65</v>
      </c>
      <c r="R1114" s="6" t="s">
        <v>57</v>
      </c>
      <c r="S1114" s="6" t="s">
        <v>1219</v>
      </c>
      <c r="T1114" s="131">
        <v>1.244</v>
      </c>
      <c r="U1114" s="6" t="s">
        <v>1578</v>
      </c>
      <c r="V1114" s="134">
        <v>3.0000000000000001E-3</v>
      </c>
      <c r="W1114" s="132">
        <v>2.963E-2</v>
      </c>
      <c r="X1114" s="3" t="s">
        <v>620</v>
      </c>
      <c r="Y1114" s="3" t="s">
        <v>62</v>
      </c>
      <c r="Z1114" s="131">
        <v>63000</v>
      </c>
      <c r="AA1114" s="129">
        <v>1</v>
      </c>
      <c r="AB1114" s="157">
        <v>105.16</v>
      </c>
      <c r="AD1114" s="131">
        <v>66.251000000000005</v>
      </c>
      <c r="AG1114" s="6" t="s">
        <v>17</v>
      </c>
      <c r="AH1114" s="132">
        <v>1.46E-4</v>
      </c>
      <c r="AI1114" s="132">
        <v>2.3871961824587702E-3</v>
      </c>
      <c r="AJ1114" s="132">
        <v>5.4510307930018904E-4</v>
      </c>
    </row>
    <row r="1115" spans="1:36" x14ac:dyDescent="0.2">
      <c r="A1115" s="6">
        <v>559</v>
      </c>
      <c r="B1115" s="6">
        <v>7207</v>
      </c>
      <c r="C1115" s="6" t="s">
        <v>1896</v>
      </c>
      <c r="D1115" s="6" t="s">
        <v>1897</v>
      </c>
      <c r="E1115" s="3" t="s">
        <v>1477</v>
      </c>
      <c r="F1115" s="6" t="s">
        <v>1904</v>
      </c>
      <c r="G1115" s="6" t="s">
        <v>1905</v>
      </c>
      <c r="H1115" s="6" t="s">
        <v>76</v>
      </c>
      <c r="I1115" s="6" t="s">
        <v>229</v>
      </c>
      <c r="J1115" s="6" t="s">
        <v>53</v>
      </c>
      <c r="K1115" s="6" t="s">
        <v>53</v>
      </c>
      <c r="L1115" s="6" t="s">
        <v>805</v>
      </c>
      <c r="M1115" s="6" t="s">
        <v>311</v>
      </c>
      <c r="N1115" s="6" t="s">
        <v>635</v>
      </c>
      <c r="O1115" s="6" t="s">
        <v>62</v>
      </c>
      <c r="P1115" s="6" t="s">
        <v>1515</v>
      </c>
      <c r="Q1115" s="6" t="s">
        <v>65</v>
      </c>
      <c r="R1115" s="6" t="s">
        <v>57</v>
      </c>
      <c r="S1115" s="6" t="s">
        <v>1219</v>
      </c>
      <c r="T1115" s="131">
        <v>1.496</v>
      </c>
      <c r="U1115" s="6" t="s">
        <v>1516</v>
      </c>
      <c r="V1115" s="134">
        <v>3.0000000000000001E-3</v>
      </c>
      <c r="W1115" s="132">
        <v>2.7779999999999999E-2</v>
      </c>
      <c r="X1115" s="3" t="s">
        <v>620</v>
      </c>
      <c r="Y1115" s="3" t="s">
        <v>62</v>
      </c>
      <c r="Z1115" s="131">
        <v>65000</v>
      </c>
      <c r="AA1115" s="129">
        <v>1</v>
      </c>
      <c r="AB1115" s="157">
        <v>101.38</v>
      </c>
      <c r="AD1115" s="131">
        <v>65.897000000000006</v>
      </c>
      <c r="AG1115" s="6" t="s">
        <v>17</v>
      </c>
      <c r="AH1115" s="132">
        <v>1.7899999999999999E-4</v>
      </c>
      <c r="AI1115" s="132">
        <v>2.3744478079583201E-3</v>
      </c>
      <c r="AJ1115" s="132">
        <v>5.4219205830940303E-4</v>
      </c>
    </row>
    <row r="1116" spans="1:36" x14ac:dyDescent="0.2">
      <c r="A1116" s="6">
        <v>559</v>
      </c>
      <c r="B1116" s="6">
        <v>7207</v>
      </c>
      <c r="C1116" s="6" t="s">
        <v>1906</v>
      </c>
      <c r="D1116" s="6" t="s">
        <v>1907</v>
      </c>
      <c r="E1116" s="3" t="s">
        <v>1477</v>
      </c>
      <c r="F1116" s="6" t="s">
        <v>1908</v>
      </c>
      <c r="G1116" s="6" t="s">
        <v>1909</v>
      </c>
      <c r="H1116" s="6" t="s">
        <v>76</v>
      </c>
      <c r="I1116" s="6" t="s">
        <v>229</v>
      </c>
      <c r="J1116" s="6" t="s">
        <v>53</v>
      </c>
      <c r="K1116" s="6" t="s">
        <v>53</v>
      </c>
      <c r="L1116" s="6" t="s">
        <v>805</v>
      </c>
      <c r="M1116" s="6" t="s">
        <v>1227</v>
      </c>
      <c r="N1116" s="6" t="s">
        <v>261</v>
      </c>
      <c r="O1116" s="6" t="s">
        <v>62</v>
      </c>
      <c r="P1116" s="6" t="s">
        <v>298</v>
      </c>
      <c r="Q1116" s="6" t="s">
        <v>298</v>
      </c>
      <c r="R1116" s="6" t="s">
        <v>298</v>
      </c>
      <c r="S1116" s="6" t="s">
        <v>1219</v>
      </c>
      <c r="T1116" s="131">
        <v>3.9620000000000002</v>
      </c>
      <c r="U1116" s="6" t="s">
        <v>1713</v>
      </c>
      <c r="V1116" s="134">
        <v>4.0899999999999999E-2</v>
      </c>
      <c r="W1116" s="132">
        <v>3.2349999999999997E-2</v>
      </c>
      <c r="X1116" s="3" t="s">
        <v>620</v>
      </c>
      <c r="Y1116" s="3" t="s">
        <v>62</v>
      </c>
      <c r="Z1116" s="131">
        <v>47000</v>
      </c>
      <c r="AA1116" s="129">
        <v>1</v>
      </c>
      <c r="AB1116" s="157">
        <v>105.02</v>
      </c>
      <c r="AD1116" s="131">
        <v>49.359000000000002</v>
      </c>
      <c r="AG1116" s="6" t="s">
        <v>17</v>
      </c>
      <c r="AH1116" s="132">
        <v>1.3899999999999999E-4</v>
      </c>
      <c r="AI1116" s="132">
        <v>1.77855318348541E-3</v>
      </c>
      <c r="AJ1116" s="132">
        <v>4.0612280806284198E-4</v>
      </c>
    </row>
    <row r="1117" spans="1:36" x14ac:dyDescent="0.2">
      <c r="A1117" s="6">
        <v>559</v>
      </c>
      <c r="B1117" s="6">
        <v>7207</v>
      </c>
      <c r="C1117" s="6" t="s">
        <v>1910</v>
      </c>
      <c r="D1117" s="6" t="s">
        <v>1911</v>
      </c>
      <c r="E1117" s="3" t="s">
        <v>1477</v>
      </c>
      <c r="F1117" s="6" t="s">
        <v>1912</v>
      </c>
      <c r="G1117" s="6" t="s">
        <v>1913</v>
      </c>
      <c r="H1117" s="6" t="s">
        <v>76</v>
      </c>
      <c r="I1117" s="6" t="s">
        <v>229</v>
      </c>
      <c r="J1117" s="6" t="s">
        <v>53</v>
      </c>
      <c r="K1117" s="6" t="s">
        <v>53</v>
      </c>
      <c r="L1117" s="6" t="s">
        <v>805</v>
      </c>
      <c r="M1117" s="6" t="s">
        <v>311</v>
      </c>
      <c r="N1117" s="6" t="s">
        <v>256</v>
      </c>
      <c r="O1117" s="6" t="s">
        <v>62</v>
      </c>
      <c r="P1117" s="6" t="s">
        <v>1213</v>
      </c>
      <c r="Q1117" s="6" t="s">
        <v>65</v>
      </c>
      <c r="R1117" s="6" t="s">
        <v>57</v>
      </c>
      <c r="S1117" s="6" t="s">
        <v>1219</v>
      </c>
      <c r="T1117" s="131">
        <v>2.2040000000000002</v>
      </c>
      <c r="U1117" s="6" t="s">
        <v>1914</v>
      </c>
      <c r="V1117" s="134">
        <v>1.2200000000000001E-2</v>
      </c>
      <c r="W1117" s="132">
        <v>2.5080000000000002E-2</v>
      </c>
      <c r="X1117" s="3" t="s">
        <v>620</v>
      </c>
      <c r="Y1117" s="3" t="s">
        <v>62</v>
      </c>
      <c r="Z1117" s="131">
        <v>188000</v>
      </c>
      <c r="AA1117" s="129">
        <v>1</v>
      </c>
      <c r="AB1117" s="157">
        <v>116.02</v>
      </c>
      <c r="AD1117" s="131">
        <v>218.11799999999999</v>
      </c>
      <c r="AG1117" s="6" t="s">
        <v>17</v>
      </c>
      <c r="AH1117" s="132">
        <v>6.2000000000000003E-5</v>
      </c>
      <c r="AI1117" s="132">
        <v>7.8593692762512803E-3</v>
      </c>
      <c r="AJ1117" s="132">
        <v>1.7946436180327899E-3</v>
      </c>
    </row>
    <row r="1118" spans="1:36" x14ac:dyDescent="0.2">
      <c r="A1118" s="6">
        <v>559</v>
      </c>
      <c r="B1118" s="6">
        <v>7207</v>
      </c>
      <c r="C1118" s="6" t="s">
        <v>1910</v>
      </c>
      <c r="D1118" s="6" t="s">
        <v>1911</v>
      </c>
      <c r="E1118" s="3" t="s">
        <v>1477</v>
      </c>
      <c r="F1118" s="6" t="s">
        <v>1915</v>
      </c>
      <c r="G1118" s="6" t="s">
        <v>1916</v>
      </c>
      <c r="H1118" s="6" t="s">
        <v>76</v>
      </c>
      <c r="I1118" s="6" t="s">
        <v>229</v>
      </c>
      <c r="J1118" s="6" t="s">
        <v>53</v>
      </c>
      <c r="K1118" s="6" t="s">
        <v>53</v>
      </c>
      <c r="L1118" s="6" t="s">
        <v>805</v>
      </c>
      <c r="M1118" s="6" t="s">
        <v>311</v>
      </c>
      <c r="N1118" s="6" t="s">
        <v>256</v>
      </c>
      <c r="O1118" s="6" t="s">
        <v>62</v>
      </c>
      <c r="P1118" s="6" t="s">
        <v>1213</v>
      </c>
      <c r="Q1118" s="6" t="s">
        <v>65</v>
      </c>
      <c r="R1118" s="6" t="s">
        <v>57</v>
      </c>
      <c r="S1118" s="6" t="s">
        <v>1219</v>
      </c>
      <c r="T1118" s="131">
        <v>3.3029999999999999</v>
      </c>
      <c r="U1118" s="6" t="s">
        <v>1917</v>
      </c>
      <c r="V1118" s="134">
        <v>1E-3</v>
      </c>
      <c r="W1118" s="132">
        <v>2.5829999999999999E-2</v>
      </c>
      <c r="X1118" s="3" t="s">
        <v>620</v>
      </c>
      <c r="Y1118" s="3" t="s">
        <v>62</v>
      </c>
      <c r="Z1118" s="131">
        <v>380000</v>
      </c>
      <c r="AA1118" s="129">
        <v>1</v>
      </c>
      <c r="AB1118" s="157">
        <v>105.48</v>
      </c>
      <c r="AD1118" s="131">
        <v>400.82400000000001</v>
      </c>
      <c r="AG1118" s="6" t="s">
        <v>17</v>
      </c>
      <c r="AH1118" s="132">
        <v>1.13E-4</v>
      </c>
      <c r="AI1118" s="132">
        <v>1.44427768817562E-2</v>
      </c>
      <c r="AJ1118" s="132">
        <v>3.2979284273913501E-3</v>
      </c>
    </row>
    <row r="1119" spans="1:36" x14ac:dyDescent="0.2">
      <c r="A1119" s="6">
        <v>559</v>
      </c>
      <c r="B1119" s="6">
        <v>7207</v>
      </c>
      <c r="C1119" s="6" t="s">
        <v>1910</v>
      </c>
      <c r="D1119" s="6" t="s">
        <v>1911</v>
      </c>
      <c r="E1119" s="3" t="s">
        <v>1477</v>
      </c>
      <c r="F1119" s="6" t="s">
        <v>1918</v>
      </c>
      <c r="G1119" s="6" t="s">
        <v>1919</v>
      </c>
      <c r="H1119" s="6" t="s">
        <v>76</v>
      </c>
      <c r="I1119" s="6" t="s">
        <v>229</v>
      </c>
      <c r="J1119" s="6" t="s">
        <v>53</v>
      </c>
      <c r="K1119" s="6" t="s">
        <v>53</v>
      </c>
      <c r="L1119" s="6" t="s">
        <v>805</v>
      </c>
      <c r="M1119" s="6" t="s">
        <v>311</v>
      </c>
      <c r="N1119" s="6" t="s">
        <v>256</v>
      </c>
      <c r="O1119" s="6" t="s">
        <v>62</v>
      </c>
      <c r="P1119" s="6" t="s">
        <v>1213</v>
      </c>
      <c r="Q1119" s="6" t="s">
        <v>65</v>
      </c>
      <c r="R1119" s="6" t="s">
        <v>57</v>
      </c>
      <c r="S1119" s="6" t="s">
        <v>1219</v>
      </c>
      <c r="T1119" s="131">
        <v>4.2160000000000002</v>
      </c>
      <c r="U1119" s="6" t="s">
        <v>1920</v>
      </c>
      <c r="V1119" s="134">
        <v>2.06E-2</v>
      </c>
      <c r="W1119" s="132">
        <v>2.5899999999999999E-2</v>
      </c>
      <c r="X1119" s="3" t="s">
        <v>620</v>
      </c>
      <c r="Y1119" s="3" t="s">
        <v>62</v>
      </c>
      <c r="Z1119" s="131">
        <v>102222.22</v>
      </c>
      <c r="AA1119" s="129">
        <v>1</v>
      </c>
      <c r="AB1119" s="157">
        <v>103.97</v>
      </c>
      <c r="AD1119" s="131">
        <v>106.28</v>
      </c>
      <c r="AG1119" s="6" t="s">
        <v>17</v>
      </c>
      <c r="AH1119" s="132">
        <v>6.3999999999999997E-5</v>
      </c>
      <c r="AI1119" s="132">
        <v>3.82957286149472E-3</v>
      </c>
      <c r="AJ1119" s="132">
        <v>8.7446183708919699E-4</v>
      </c>
    </row>
    <row r="1120" spans="1:36" x14ac:dyDescent="0.2">
      <c r="A1120" s="6">
        <v>559</v>
      </c>
      <c r="B1120" s="6">
        <v>7207</v>
      </c>
      <c r="C1120" s="6" t="s">
        <v>1910</v>
      </c>
      <c r="D1120" s="6" t="s">
        <v>1911</v>
      </c>
      <c r="E1120" s="3" t="s">
        <v>1477</v>
      </c>
      <c r="F1120" s="6" t="s">
        <v>1921</v>
      </c>
      <c r="G1120" s="6" t="s">
        <v>1922</v>
      </c>
      <c r="H1120" s="6" t="s">
        <v>76</v>
      </c>
      <c r="I1120" s="6" t="s">
        <v>229</v>
      </c>
      <c r="J1120" s="6" t="s">
        <v>53</v>
      </c>
      <c r="K1120" s="6" t="s">
        <v>53</v>
      </c>
      <c r="L1120" s="6" t="s">
        <v>805</v>
      </c>
      <c r="M1120" s="6" t="s">
        <v>311</v>
      </c>
      <c r="N1120" s="6" t="s">
        <v>256</v>
      </c>
      <c r="O1120" s="6" t="s">
        <v>62</v>
      </c>
      <c r="P1120" s="6" t="s">
        <v>1213</v>
      </c>
      <c r="Q1120" s="6" t="s">
        <v>65</v>
      </c>
      <c r="R1120" s="6" t="s">
        <v>57</v>
      </c>
      <c r="S1120" s="6" t="s">
        <v>1219</v>
      </c>
      <c r="T1120" s="131">
        <v>4.1950000000000003</v>
      </c>
      <c r="U1120" s="6" t="s">
        <v>1923</v>
      </c>
      <c r="V1120" s="134">
        <v>1.9900000000000001E-2</v>
      </c>
      <c r="W1120" s="132">
        <v>2.581E-2</v>
      </c>
      <c r="X1120" s="3" t="s">
        <v>620</v>
      </c>
      <c r="Y1120" s="3" t="s">
        <v>62</v>
      </c>
      <c r="Z1120" s="131">
        <v>207000</v>
      </c>
      <c r="AA1120" s="129">
        <v>1</v>
      </c>
      <c r="AB1120" s="157">
        <v>103.57</v>
      </c>
      <c r="AD1120" s="131">
        <v>214.39</v>
      </c>
      <c r="AG1120" s="6" t="s">
        <v>17</v>
      </c>
      <c r="AH1120" s="132">
        <v>8.5000000000000006E-5</v>
      </c>
      <c r="AI1120" s="132">
        <v>7.72505012524704E-3</v>
      </c>
      <c r="AJ1120" s="132">
        <v>1.7639725808723801E-3</v>
      </c>
    </row>
    <row r="1121" spans="1:36" x14ac:dyDescent="0.2">
      <c r="A1121" s="6">
        <v>559</v>
      </c>
      <c r="B1121" s="6">
        <v>7207</v>
      </c>
      <c r="C1121" s="6" t="s">
        <v>1910</v>
      </c>
      <c r="D1121" s="6" t="s">
        <v>1911</v>
      </c>
      <c r="E1121" s="3" t="s">
        <v>1477</v>
      </c>
      <c r="F1121" s="6" t="s">
        <v>1924</v>
      </c>
      <c r="G1121" s="6" t="s">
        <v>1925</v>
      </c>
      <c r="H1121" s="6" t="s">
        <v>76</v>
      </c>
      <c r="I1121" s="6" t="s">
        <v>229</v>
      </c>
      <c r="J1121" s="6" t="s">
        <v>53</v>
      </c>
      <c r="K1121" s="6" t="s">
        <v>53</v>
      </c>
      <c r="L1121" s="6" t="s">
        <v>805</v>
      </c>
      <c r="M1121" s="6" t="s">
        <v>311</v>
      </c>
      <c r="N1121" s="6" t="s">
        <v>256</v>
      </c>
      <c r="O1121" s="6" t="s">
        <v>62</v>
      </c>
      <c r="P1121" s="6" t="s">
        <v>1926</v>
      </c>
      <c r="Q1121" s="6" t="s">
        <v>70</v>
      </c>
      <c r="R1121" s="6" t="s">
        <v>57</v>
      </c>
      <c r="S1121" s="6" t="s">
        <v>1219</v>
      </c>
      <c r="T1121" s="131">
        <v>1.42</v>
      </c>
      <c r="U1121" s="6" t="s">
        <v>1927</v>
      </c>
      <c r="V1121" s="134">
        <v>5.0000000000000001E-3</v>
      </c>
      <c r="W1121" s="132">
        <v>2.6210000000000001E-2</v>
      </c>
      <c r="X1121" s="3" t="s">
        <v>620</v>
      </c>
      <c r="Y1121" s="3" t="s">
        <v>62</v>
      </c>
      <c r="Z1121" s="131">
        <v>131000</v>
      </c>
      <c r="AA1121" s="129">
        <v>1</v>
      </c>
      <c r="AB1121" s="157">
        <v>112.82</v>
      </c>
      <c r="AD1121" s="131">
        <v>147.79400000000001</v>
      </c>
      <c r="AG1121" s="6" t="s">
        <v>17</v>
      </c>
      <c r="AH1121" s="132">
        <v>1.7200000000000001E-4</v>
      </c>
      <c r="AI1121" s="132">
        <v>5.32542625944966E-3</v>
      </c>
      <c r="AJ1121" s="132">
        <v>1.2160317086391101E-3</v>
      </c>
    </row>
    <row r="1122" spans="1:36" x14ac:dyDescent="0.2">
      <c r="A1122" s="6">
        <v>559</v>
      </c>
      <c r="B1122" s="6">
        <v>7207</v>
      </c>
      <c r="C1122" s="6" t="s">
        <v>1910</v>
      </c>
      <c r="D1122" s="6" t="s">
        <v>1911</v>
      </c>
      <c r="E1122" s="3" t="s">
        <v>1477</v>
      </c>
      <c r="F1122" s="6" t="s">
        <v>1928</v>
      </c>
      <c r="G1122" s="6" t="s">
        <v>1929</v>
      </c>
      <c r="H1122" s="6" t="s">
        <v>76</v>
      </c>
      <c r="I1122" s="6" t="s">
        <v>229</v>
      </c>
      <c r="J1122" s="6" t="s">
        <v>53</v>
      </c>
      <c r="K1122" s="6" t="s">
        <v>53</v>
      </c>
      <c r="L1122" s="6" t="s">
        <v>805</v>
      </c>
      <c r="M1122" s="6" t="s">
        <v>311</v>
      </c>
      <c r="N1122" s="6" t="s">
        <v>256</v>
      </c>
      <c r="O1122" s="6" t="s">
        <v>62</v>
      </c>
      <c r="P1122" s="6" t="s">
        <v>1213</v>
      </c>
      <c r="Q1122" s="6" t="s">
        <v>65</v>
      </c>
      <c r="R1122" s="6" t="s">
        <v>57</v>
      </c>
      <c r="S1122" s="6" t="s">
        <v>1219</v>
      </c>
      <c r="T1122" s="131">
        <v>4.9790000000000001</v>
      </c>
      <c r="U1122" s="6" t="s">
        <v>1930</v>
      </c>
      <c r="V1122" s="134">
        <v>2E-3</v>
      </c>
      <c r="W1122" s="132">
        <v>2.6159999999999999E-2</v>
      </c>
      <c r="X1122" s="3" t="s">
        <v>620</v>
      </c>
      <c r="Y1122" s="3" t="s">
        <v>62</v>
      </c>
      <c r="Z1122" s="131">
        <v>217000</v>
      </c>
      <c r="AA1122" s="129">
        <v>1</v>
      </c>
      <c r="AB1122" s="157">
        <v>104.05</v>
      </c>
      <c r="AC1122" s="131">
        <v>0.50800000000000001</v>
      </c>
      <c r="AD1122" s="131">
        <v>226.297</v>
      </c>
      <c r="AG1122" s="6" t="s">
        <v>17</v>
      </c>
      <c r="AH1122" s="132">
        <v>6.3E-5</v>
      </c>
      <c r="AI1122" s="132">
        <v>8.1540934621478108E-3</v>
      </c>
      <c r="AJ1122" s="132">
        <v>1.8619422600367199E-3</v>
      </c>
    </row>
    <row r="1123" spans="1:36" x14ac:dyDescent="0.2">
      <c r="A1123" s="6">
        <v>559</v>
      </c>
      <c r="B1123" s="6">
        <v>7207</v>
      </c>
      <c r="C1123" s="6" t="s">
        <v>1910</v>
      </c>
      <c r="D1123" s="6" t="s">
        <v>1911</v>
      </c>
      <c r="E1123" s="3" t="s">
        <v>1477</v>
      </c>
      <c r="F1123" s="6" t="s">
        <v>1931</v>
      </c>
      <c r="G1123" s="6" t="s">
        <v>1932</v>
      </c>
      <c r="H1123" s="6" t="s">
        <v>76</v>
      </c>
      <c r="I1123" s="6" t="s">
        <v>229</v>
      </c>
      <c r="J1123" s="6" t="s">
        <v>53</v>
      </c>
      <c r="K1123" s="6" t="s">
        <v>53</v>
      </c>
      <c r="L1123" s="6" t="s">
        <v>805</v>
      </c>
      <c r="M1123" s="6" t="s">
        <v>311</v>
      </c>
      <c r="N1123" s="6" t="s">
        <v>256</v>
      </c>
      <c r="O1123" s="6" t="s">
        <v>62</v>
      </c>
      <c r="P1123" s="6" t="s">
        <v>1213</v>
      </c>
      <c r="Q1123" s="6" t="s">
        <v>65</v>
      </c>
      <c r="R1123" s="6" t="s">
        <v>57</v>
      </c>
      <c r="S1123" s="6" t="s">
        <v>1219</v>
      </c>
      <c r="T1123" s="131">
        <v>3.2730000000000001</v>
      </c>
      <c r="U1123" s="6" t="s">
        <v>1933</v>
      </c>
      <c r="V1123" s="134">
        <v>1.6400000000000001E-2</v>
      </c>
      <c r="W1123" s="132">
        <v>2.6179999999999998E-2</v>
      </c>
      <c r="X1123" s="3" t="s">
        <v>620</v>
      </c>
      <c r="Y1123" s="3" t="s">
        <v>62</v>
      </c>
      <c r="Z1123" s="131">
        <v>115000.32000000001</v>
      </c>
      <c r="AA1123" s="129">
        <v>1</v>
      </c>
      <c r="AB1123" s="157">
        <v>106.26</v>
      </c>
      <c r="AD1123" s="131">
        <v>122.199</v>
      </c>
      <c r="AG1123" s="6" t="s">
        <v>17</v>
      </c>
      <c r="AH1123" s="132">
        <v>1.22E-4</v>
      </c>
      <c r="AI1123" s="132">
        <v>4.4031739695727604E-3</v>
      </c>
      <c r="AJ1123" s="132">
        <v>1.00544048584914E-3</v>
      </c>
    </row>
    <row r="1124" spans="1:36" x14ac:dyDescent="0.2">
      <c r="A1124" s="6">
        <v>559</v>
      </c>
      <c r="B1124" s="6">
        <v>7207</v>
      </c>
      <c r="C1124" s="6" t="s">
        <v>1910</v>
      </c>
      <c r="D1124" s="6" t="s">
        <v>1911</v>
      </c>
      <c r="E1124" s="3" t="s">
        <v>1477</v>
      </c>
      <c r="F1124" s="6" t="s">
        <v>1934</v>
      </c>
      <c r="G1124" s="6" t="s">
        <v>1935</v>
      </c>
      <c r="H1124" s="6" t="s">
        <v>76</v>
      </c>
      <c r="I1124" s="6" t="s">
        <v>229</v>
      </c>
      <c r="J1124" s="6" t="s">
        <v>53</v>
      </c>
      <c r="K1124" s="6" t="s">
        <v>53</v>
      </c>
      <c r="L1124" s="6" t="s">
        <v>805</v>
      </c>
      <c r="M1124" s="6" t="s">
        <v>311</v>
      </c>
      <c r="N1124" s="6" t="s">
        <v>256</v>
      </c>
      <c r="O1124" s="6" t="s">
        <v>62</v>
      </c>
      <c r="P1124" s="6" t="s">
        <v>1213</v>
      </c>
      <c r="Q1124" s="6" t="s">
        <v>65</v>
      </c>
      <c r="R1124" s="6" t="s">
        <v>57</v>
      </c>
      <c r="S1124" s="6" t="s">
        <v>1219</v>
      </c>
      <c r="T1124" s="131">
        <v>0.97499999999999998</v>
      </c>
      <c r="U1124" s="6" t="s">
        <v>1936</v>
      </c>
      <c r="V1124" s="134">
        <v>3.8E-3</v>
      </c>
      <c r="W1124" s="132">
        <v>2.5610000000000001E-2</v>
      </c>
      <c r="X1124" s="3" t="s">
        <v>620</v>
      </c>
      <c r="Y1124" s="3" t="s">
        <v>62</v>
      </c>
      <c r="Z1124" s="131">
        <v>445000</v>
      </c>
      <c r="AA1124" s="129">
        <v>1</v>
      </c>
      <c r="AB1124" s="157">
        <v>112.93</v>
      </c>
      <c r="AD1124" s="131">
        <v>502.53899999999999</v>
      </c>
      <c r="AG1124" s="6" t="s">
        <v>17</v>
      </c>
      <c r="AH1124" s="132">
        <v>1.4799999999999999E-4</v>
      </c>
      <c r="AI1124" s="132">
        <v>1.8107826452489002E-2</v>
      </c>
      <c r="AJ1124" s="132">
        <v>4.1348222786275497E-3</v>
      </c>
    </row>
    <row r="1125" spans="1:36" x14ac:dyDescent="0.2">
      <c r="A1125" s="6">
        <v>559</v>
      </c>
      <c r="B1125" s="6">
        <v>7207</v>
      </c>
      <c r="C1125" s="6" t="s">
        <v>1910</v>
      </c>
      <c r="D1125" s="6" t="s">
        <v>1911</v>
      </c>
      <c r="E1125" s="3" t="s">
        <v>1477</v>
      </c>
      <c r="F1125" s="6" t="s">
        <v>1937</v>
      </c>
      <c r="G1125" s="6" t="s">
        <v>1938</v>
      </c>
      <c r="H1125" s="6" t="s">
        <v>76</v>
      </c>
      <c r="I1125" s="6" t="s">
        <v>229</v>
      </c>
      <c r="J1125" s="6" t="s">
        <v>53</v>
      </c>
      <c r="K1125" s="6" t="s">
        <v>53</v>
      </c>
      <c r="L1125" s="6" t="s">
        <v>805</v>
      </c>
      <c r="M1125" s="6" t="s">
        <v>311</v>
      </c>
      <c r="N1125" s="6" t="s">
        <v>256</v>
      </c>
      <c r="O1125" s="6" t="s">
        <v>62</v>
      </c>
      <c r="P1125" s="6" t="s">
        <v>1213</v>
      </c>
      <c r="Q1125" s="6" t="s">
        <v>65</v>
      </c>
      <c r="R1125" s="6" t="s">
        <v>57</v>
      </c>
      <c r="S1125" s="6" t="s">
        <v>1219</v>
      </c>
      <c r="T1125" s="131">
        <v>3.2029999999999998</v>
      </c>
      <c r="U1125" s="6" t="s">
        <v>1939</v>
      </c>
      <c r="V1125" s="134">
        <v>1E-3</v>
      </c>
      <c r="W1125" s="132">
        <v>2.5860000000000001E-2</v>
      </c>
      <c r="X1125" s="3" t="s">
        <v>620</v>
      </c>
      <c r="Y1125" s="3" t="s">
        <v>62</v>
      </c>
      <c r="Z1125" s="131">
        <v>611156.43999999994</v>
      </c>
      <c r="AA1125" s="129">
        <v>1</v>
      </c>
      <c r="AB1125" s="157">
        <v>104.36</v>
      </c>
      <c r="AD1125" s="131">
        <v>637.803</v>
      </c>
      <c r="AG1125" s="6" t="s">
        <v>17</v>
      </c>
      <c r="AH1125" s="132">
        <v>2.7399999999999999E-4</v>
      </c>
      <c r="AI1125" s="132">
        <v>2.2981768588829801E-2</v>
      </c>
      <c r="AJ1125" s="132">
        <v>5.2477600783662698E-3</v>
      </c>
    </row>
    <row r="1126" spans="1:36" x14ac:dyDescent="0.2">
      <c r="A1126" s="6">
        <v>559</v>
      </c>
      <c r="B1126" s="6">
        <v>7207</v>
      </c>
      <c r="C1126" s="6" t="s">
        <v>1940</v>
      </c>
      <c r="D1126" s="6" t="s">
        <v>1941</v>
      </c>
      <c r="E1126" s="3" t="s">
        <v>1477</v>
      </c>
      <c r="F1126" s="6" t="s">
        <v>1942</v>
      </c>
      <c r="G1126" s="6" t="s">
        <v>1943</v>
      </c>
      <c r="H1126" s="6" t="s">
        <v>76</v>
      </c>
      <c r="I1126" s="6" t="s">
        <v>229</v>
      </c>
      <c r="J1126" s="6" t="s">
        <v>53</v>
      </c>
      <c r="K1126" s="6" t="s">
        <v>53</v>
      </c>
      <c r="L1126" s="6" t="s">
        <v>805</v>
      </c>
      <c r="M1126" s="6" t="s">
        <v>311</v>
      </c>
      <c r="N1126" s="6" t="s">
        <v>633</v>
      </c>
      <c r="O1126" s="6" t="s">
        <v>62</v>
      </c>
      <c r="P1126" s="6" t="s">
        <v>1521</v>
      </c>
      <c r="Q1126" s="6" t="s">
        <v>70</v>
      </c>
      <c r="R1126" s="6" t="s">
        <v>57</v>
      </c>
      <c r="S1126" s="6" t="s">
        <v>1219</v>
      </c>
      <c r="T1126" s="131">
        <v>0.499</v>
      </c>
      <c r="U1126" s="6" t="s">
        <v>1499</v>
      </c>
      <c r="V1126" s="134">
        <v>1.8499999999999999E-2</v>
      </c>
      <c r="W1126" s="132">
        <v>2.7910000000000001E-2</v>
      </c>
      <c r="X1126" s="3" t="s">
        <v>620</v>
      </c>
      <c r="Y1126" s="3" t="s">
        <v>62</v>
      </c>
      <c r="Z1126" s="131">
        <v>61142.86</v>
      </c>
      <c r="AA1126" s="129">
        <v>1</v>
      </c>
      <c r="AB1126" s="157">
        <v>116.51</v>
      </c>
      <c r="AD1126" s="131">
        <v>71.238</v>
      </c>
      <c r="AG1126" s="6" t="s">
        <v>17</v>
      </c>
      <c r="AH1126" s="132">
        <v>4.1399999999999998E-4</v>
      </c>
      <c r="AI1126" s="132">
        <v>2.5668821856181202E-3</v>
      </c>
      <c r="AJ1126" s="132">
        <v>5.8613338688405395E-4</v>
      </c>
    </row>
    <row r="1127" spans="1:36" x14ac:dyDescent="0.2">
      <c r="A1127" s="6">
        <v>559</v>
      </c>
      <c r="B1127" s="6">
        <v>7207</v>
      </c>
      <c r="C1127" s="6" t="s">
        <v>1940</v>
      </c>
      <c r="D1127" s="6" t="s">
        <v>1941</v>
      </c>
      <c r="E1127" s="3" t="s">
        <v>1477</v>
      </c>
      <c r="F1127" s="6" t="s">
        <v>1944</v>
      </c>
      <c r="G1127" s="6" t="s">
        <v>1945</v>
      </c>
      <c r="H1127" s="6" t="s">
        <v>76</v>
      </c>
      <c r="I1127" s="6" t="s">
        <v>229</v>
      </c>
      <c r="J1127" s="6" t="s">
        <v>53</v>
      </c>
      <c r="K1127" s="6" t="s">
        <v>53</v>
      </c>
      <c r="L1127" s="6" t="s">
        <v>805</v>
      </c>
      <c r="M1127" s="6" t="s">
        <v>311</v>
      </c>
      <c r="N1127" s="6" t="s">
        <v>633</v>
      </c>
      <c r="O1127" s="6" t="s">
        <v>62</v>
      </c>
      <c r="P1127" s="6" t="s">
        <v>1521</v>
      </c>
      <c r="Q1127" s="6" t="s">
        <v>70</v>
      </c>
      <c r="R1127" s="6" t="s">
        <v>57</v>
      </c>
      <c r="S1127" s="6" t="s">
        <v>1219</v>
      </c>
      <c r="T1127" s="131">
        <v>0.17899999999999999</v>
      </c>
      <c r="U1127" s="6" t="s">
        <v>1946</v>
      </c>
      <c r="V1127" s="134">
        <v>0.01</v>
      </c>
      <c r="W1127" s="132">
        <v>3.569E-2</v>
      </c>
      <c r="X1127" s="3" t="s">
        <v>620</v>
      </c>
      <c r="Y1127" s="3" t="s">
        <v>62</v>
      </c>
      <c r="Z1127" s="131">
        <v>46000.3</v>
      </c>
      <c r="AA1127" s="129">
        <v>1</v>
      </c>
      <c r="AB1127" s="157">
        <v>115.84</v>
      </c>
      <c r="AD1127" s="131">
        <v>53.286999999999999</v>
      </c>
      <c r="AG1127" s="6" t="s">
        <v>17</v>
      </c>
      <c r="AH1127" s="132">
        <v>2.72E-4</v>
      </c>
      <c r="AI1127" s="132">
        <v>1.9200661766407101E-3</v>
      </c>
      <c r="AJ1127" s="132">
        <v>4.3843651939363298E-4</v>
      </c>
    </row>
    <row r="1128" spans="1:36" x14ac:dyDescent="0.2">
      <c r="A1128" s="6">
        <v>559</v>
      </c>
      <c r="B1128" s="6">
        <v>7207</v>
      </c>
      <c r="C1128" s="6" t="s">
        <v>1947</v>
      </c>
      <c r="D1128" s="6" t="s">
        <v>1948</v>
      </c>
      <c r="E1128" s="3" t="s">
        <v>1477</v>
      </c>
      <c r="F1128" s="6" t="s">
        <v>1949</v>
      </c>
      <c r="G1128" s="6" t="s">
        <v>1950</v>
      </c>
      <c r="H1128" s="6" t="s">
        <v>76</v>
      </c>
      <c r="I1128" s="6" t="s">
        <v>229</v>
      </c>
      <c r="J1128" s="6" t="s">
        <v>53</v>
      </c>
      <c r="K1128" s="6" t="s">
        <v>53</v>
      </c>
      <c r="L1128" s="6" t="s">
        <v>805</v>
      </c>
      <c r="M1128" s="6" t="s">
        <v>311</v>
      </c>
      <c r="N1128" s="6" t="s">
        <v>635</v>
      </c>
      <c r="O1128" s="6" t="s">
        <v>62</v>
      </c>
      <c r="P1128" s="6" t="s">
        <v>1533</v>
      </c>
      <c r="Q1128" s="6" t="s">
        <v>65</v>
      </c>
      <c r="R1128" s="6" t="s">
        <v>57</v>
      </c>
      <c r="S1128" s="6" t="s">
        <v>1219</v>
      </c>
      <c r="T1128" s="131">
        <v>3.7440000000000002</v>
      </c>
      <c r="U1128" s="6" t="s">
        <v>1549</v>
      </c>
      <c r="V1128" s="134">
        <v>1.43E-2</v>
      </c>
      <c r="W1128" s="132">
        <v>2.81E-2</v>
      </c>
      <c r="X1128" s="3" t="s">
        <v>620</v>
      </c>
      <c r="Y1128" s="3" t="s">
        <v>62</v>
      </c>
      <c r="Z1128" s="131">
        <v>89010.99</v>
      </c>
      <c r="AA1128" s="129">
        <v>1</v>
      </c>
      <c r="AB1128" s="157">
        <v>111.28</v>
      </c>
      <c r="AC1128" s="131">
        <v>1.911</v>
      </c>
      <c r="AD1128" s="131">
        <v>100.962</v>
      </c>
      <c r="AG1128" s="6" t="s">
        <v>17</v>
      </c>
      <c r="AH1128" s="132">
        <v>4.6E-5</v>
      </c>
      <c r="AI1128" s="132">
        <v>3.6379381839624302E-3</v>
      </c>
      <c r="AJ1128" s="132">
        <v>8.3070311562711803E-4</v>
      </c>
    </row>
    <row r="1129" spans="1:36" x14ac:dyDescent="0.2">
      <c r="A1129" s="6">
        <v>559</v>
      </c>
      <c r="B1129" s="6">
        <v>7207</v>
      </c>
      <c r="C1129" s="6" t="s">
        <v>1947</v>
      </c>
      <c r="D1129" s="6" t="s">
        <v>1948</v>
      </c>
      <c r="E1129" s="3" t="s">
        <v>1477</v>
      </c>
      <c r="F1129" s="6" t="s">
        <v>1951</v>
      </c>
      <c r="G1129" s="6" t="s">
        <v>1952</v>
      </c>
      <c r="H1129" s="6" t="s">
        <v>76</v>
      </c>
      <c r="I1129" s="6" t="s">
        <v>229</v>
      </c>
      <c r="J1129" s="6" t="s">
        <v>53</v>
      </c>
      <c r="K1129" s="6" t="s">
        <v>53</v>
      </c>
      <c r="L1129" s="6" t="s">
        <v>805</v>
      </c>
      <c r="M1129" s="6" t="s">
        <v>311</v>
      </c>
      <c r="N1129" s="6" t="s">
        <v>635</v>
      </c>
      <c r="O1129" s="6" t="s">
        <v>62</v>
      </c>
      <c r="P1129" s="6" t="s">
        <v>1533</v>
      </c>
      <c r="Q1129" s="6" t="s">
        <v>65</v>
      </c>
      <c r="R1129" s="6" t="s">
        <v>57</v>
      </c>
      <c r="S1129" s="6" t="s">
        <v>1219</v>
      </c>
      <c r="T1129" s="131">
        <v>2.1999999999999999E-2</v>
      </c>
      <c r="U1129" s="6" t="s">
        <v>1953</v>
      </c>
      <c r="V1129" s="134">
        <v>1.7600000000000001E-2</v>
      </c>
      <c r="W1129" s="132">
        <v>9.2439999999999994E-2</v>
      </c>
      <c r="X1129" s="3" t="s">
        <v>620</v>
      </c>
      <c r="Y1129" s="3" t="s">
        <v>62</v>
      </c>
      <c r="Z1129" s="131">
        <v>241024.81</v>
      </c>
      <c r="AA1129" s="129">
        <v>1</v>
      </c>
      <c r="AB1129" s="157">
        <v>119.74</v>
      </c>
      <c r="AD1129" s="131">
        <v>288.60300000000001</v>
      </c>
      <c r="AG1129" s="6" t="s">
        <v>17</v>
      </c>
      <c r="AH1129" s="132">
        <v>8.9499999999999996E-4</v>
      </c>
      <c r="AI1129" s="132">
        <v>1.03991534661531E-2</v>
      </c>
      <c r="AJ1129" s="132">
        <v>2.37458932708108E-3</v>
      </c>
    </row>
    <row r="1130" spans="1:36" x14ac:dyDescent="0.2">
      <c r="A1130" s="6">
        <v>559</v>
      </c>
      <c r="B1130" s="6">
        <v>7207</v>
      </c>
      <c r="C1130" s="6" t="s">
        <v>1947</v>
      </c>
      <c r="D1130" s="6" t="s">
        <v>1948</v>
      </c>
      <c r="E1130" s="3" t="s">
        <v>1477</v>
      </c>
      <c r="F1130" s="6" t="s">
        <v>1954</v>
      </c>
      <c r="G1130" s="6" t="s">
        <v>1955</v>
      </c>
      <c r="H1130" s="6" t="s">
        <v>76</v>
      </c>
      <c r="I1130" s="6" t="s">
        <v>229</v>
      </c>
      <c r="J1130" s="6" t="s">
        <v>53</v>
      </c>
      <c r="K1130" s="6" t="s">
        <v>53</v>
      </c>
      <c r="L1130" s="6" t="s">
        <v>805</v>
      </c>
      <c r="M1130" s="6" t="s">
        <v>311</v>
      </c>
      <c r="N1130" s="6" t="s">
        <v>635</v>
      </c>
      <c r="O1130" s="6" t="s">
        <v>62</v>
      </c>
      <c r="P1130" s="6" t="s">
        <v>1533</v>
      </c>
      <c r="Q1130" s="6" t="s">
        <v>65</v>
      </c>
      <c r="R1130" s="6" t="s">
        <v>57</v>
      </c>
      <c r="S1130" s="6" t="s">
        <v>1219</v>
      </c>
      <c r="T1130" s="131">
        <v>2.1999999999999999E-2</v>
      </c>
      <c r="U1130" s="6" t="s">
        <v>1953</v>
      </c>
      <c r="V1130" s="134">
        <v>2.3E-2</v>
      </c>
      <c r="W1130" s="132">
        <v>4.793E-2</v>
      </c>
      <c r="X1130" s="3" t="s">
        <v>620</v>
      </c>
      <c r="Y1130" s="3" t="s">
        <v>62</v>
      </c>
      <c r="Z1130" s="131">
        <v>45000.66</v>
      </c>
      <c r="AA1130" s="129">
        <v>1</v>
      </c>
      <c r="AB1130" s="157">
        <v>120.17</v>
      </c>
      <c r="AD1130" s="131">
        <v>54.076999999999998</v>
      </c>
      <c r="AG1130" s="6" t="s">
        <v>17</v>
      </c>
      <c r="AH1130" s="132">
        <v>5.7000000000000003E-5</v>
      </c>
      <c r="AI1130" s="132">
        <v>1.94855168086336E-3</v>
      </c>
      <c r="AJ1130" s="132">
        <v>4.44941027142633E-4</v>
      </c>
    </row>
    <row r="1131" spans="1:36" x14ac:dyDescent="0.2">
      <c r="A1131" s="6">
        <v>559</v>
      </c>
      <c r="B1131" s="6">
        <v>7207</v>
      </c>
      <c r="C1131" s="6" t="s">
        <v>1947</v>
      </c>
      <c r="D1131" s="6" t="s">
        <v>1948</v>
      </c>
      <c r="E1131" s="3" t="s">
        <v>1477</v>
      </c>
      <c r="F1131" s="6" t="s">
        <v>1956</v>
      </c>
      <c r="G1131" s="6" t="s">
        <v>1957</v>
      </c>
      <c r="H1131" s="6" t="s">
        <v>76</v>
      </c>
      <c r="I1131" s="6" t="s">
        <v>229</v>
      </c>
      <c r="J1131" s="6" t="s">
        <v>53</v>
      </c>
      <c r="K1131" s="6" t="s">
        <v>53</v>
      </c>
      <c r="L1131" s="6" t="s">
        <v>805</v>
      </c>
      <c r="M1131" s="6" t="s">
        <v>311</v>
      </c>
      <c r="N1131" s="6" t="s">
        <v>635</v>
      </c>
      <c r="O1131" s="6" t="s">
        <v>62</v>
      </c>
      <c r="P1131" s="6" t="s">
        <v>1533</v>
      </c>
      <c r="Q1131" s="6" t="s">
        <v>65</v>
      </c>
      <c r="R1131" s="6" t="s">
        <v>57</v>
      </c>
      <c r="S1131" s="6" t="s">
        <v>1219</v>
      </c>
      <c r="T1131" s="131">
        <v>0.80800000000000005</v>
      </c>
      <c r="U1131" s="6" t="s">
        <v>1958</v>
      </c>
      <c r="V1131" s="134">
        <v>2.1499999999999998E-2</v>
      </c>
      <c r="W1131" s="132">
        <v>3.1850000000000003E-2</v>
      </c>
      <c r="X1131" s="3" t="s">
        <v>620</v>
      </c>
      <c r="Y1131" s="3" t="s">
        <v>62</v>
      </c>
      <c r="Z1131" s="131">
        <v>176541.92</v>
      </c>
      <c r="AA1131" s="129">
        <v>1</v>
      </c>
      <c r="AB1131" s="157">
        <v>118.67</v>
      </c>
      <c r="AD1131" s="131">
        <v>209.50200000000001</v>
      </c>
      <c r="AG1131" s="6" t="s">
        <v>17</v>
      </c>
      <c r="AH1131" s="132">
        <v>1.5200000000000001E-4</v>
      </c>
      <c r="AI1131" s="132">
        <v>7.54893650092083E-3</v>
      </c>
      <c r="AJ1131" s="132">
        <v>1.7237580062880399E-3</v>
      </c>
    </row>
    <row r="1132" spans="1:36" x14ac:dyDescent="0.2">
      <c r="A1132" s="6">
        <v>559</v>
      </c>
      <c r="B1132" s="6">
        <v>7207</v>
      </c>
      <c r="C1132" s="6" t="s">
        <v>1947</v>
      </c>
      <c r="D1132" s="6" t="s">
        <v>1948</v>
      </c>
      <c r="E1132" s="3" t="s">
        <v>1477</v>
      </c>
      <c r="F1132" s="6" t="s">
        <v>1959</v>
      </c>
      <c r="G1132" s="6" t="s">
        <v>1960</v>
      </c>
      <c r="H1132" s="6" t="s">
        <v>76</v>
      </c>
      <c r="I1132" s="6" t="s">
        <v>229</v>
      </c>
      <c r="J1132" s="6" t="s">
        <v>53</v>
      </c>
      <c r="K1132" s="6" t="s">
        <v>53</v>
      </c>
      <c r="L1132" s="6" t="s">
        <v>805</v>
      </c>
      <c r="M1132" s="6" t="s">
        <v>311</v>
      </c>
      <c r="N1132" s="6" t="s">
        <v>635</v>
      </c>
      <c r="O1132" s="6" t="s">
        <v>62</v>
      </c>
      <c r="P1132" s="6" t="s">
        <v>1533</v>
      </c>
      <c r="Q1132" s="6" t="s">
        <v>65</v>
      </c>
      <c r="R1132" s="6" t="s">
        <v>57</v>
      </c>
      <c r="S1132" s="6" t="s">
        <v>1219</v>
      </c>
      <c r="T1132" s="131">
        <v>1.6779999999999999</v>
      </c>
      <c r="U1132" s="6" t="s">
        <v>1663</v>
      </c>
      <c r="V1132" s="134">
        <v>2.35E-2</v>
      </c>
      <c r="W1132" s="132">
        <v>2.7459999999999998E-2</v>
      </c>
      <c r="X1132" s="3" t="s">
        <v>620</v>
      </c>
      <c r="Y1132" s="3" t="s">
        <v>62</v>
      </c>
      <c r="Z1132" s="131">
        <v>170940.73</v>
      </c>
      <c r="AA1132" s="129">
        <v>1</v>
      </c>
      <c r="AB1132" s="157">
        <v>118.4</v>
      </c>
      <c r="AD1132" s="131">
        <v>202.39400000000001</v>
      </c>
      <c r="AG1132" s="6" t="s">
        <v>17</v>
      </c>
      <c r="AH1132" s="132">
        <v>1.8599999999999999E-4</v>
      </c>
      <c r="AI1132" s="132">
        <v>7.2927989514079E-3</v>
      </c>
      <c r="AJ1132" s="132">
        <v>1.6652704098391799E-3</v>
      </c>
    </row>
    <row r="1133" spans="1:36" x14ac:dyDescent="0.2">
      <c r="A1133" s="6">
        <v>559</v>
      </c>
      <c r="B1133" s="6">
        <v>7207</v>
      </c>
      <c r="C1133" s="6" t="s">
        <v>1961</v>
      </c>
      <c r="D1133" s="6" t="s">
        <v>1962</v>
      </c>
      <c r="E1133" s="3" t="s">
        <v>1477</v>
      </c>
      <c r="F1133" s="6" t="s">
        <v>1963</v>
      </c>
      <c r="G1133" s="6" t="s">
        <v>1964</v>
      </c>
      <c r="H1133" s="6" t="s">
        <v>76</v>
      </c>
      <c r="I1133" s="6" t="s">
        <v>229</v>
      </c>
      <c r="J1133" s="6" t="s">
        <v>53</v>
      </c>
      <c r="K1133" s="6" t="s">
        <v>53</v>
      </c>
      <c r="L1133" s="6" t="s">
        <v>805</v>
      </c>
      <c r="M1133" s="6" t="s">
        <v>311</v>
      </c>
      <c r="N1133" s="6" t="s">
        <v>635</v>
      </c>
      <c r="O1133" s="6" t="s">
        <v>62</v>
      </c>
      <c r="P1133" s="6" t="s">
        <v>1965</v>
      </c>
      <c r="Q1133" s="6" t="s">
        <v>70</v>
      </c>
      <c r="R1133" s="6" t="s">
        <v>57</v>
      </c>
      <c r="S1133" s="6" t="s">
        <v>1219</v>
      </c>
      <c r="T1133" s="131">
        <v>2.2509999999999999</v>
      </c>
      <c r="U1133" s="6" t="s">
        <v>1605</v>
      </c>
      <c r="V1133" s="134">
        <v>2.75E-2</v>
      </c>
      <c r="W1133" s="132">
        <v>2.869E-2</v>
      </c>
      <c r="X1133" s="3" t="s">
        <v>620</v>
      </c>
      <c r="Y1133" s="3" t="s">
        <v>62</v>
      </c>
      <c r="Z1133" s="131">
        <v>160941.85</v>
      </c>
      <c r="AA1133" s="129">
        <v>1</v>
      </c>
      <c r="AB1133" s="157">
        <v>116.1</v>
      </c>
      <c r="AD1133" s="131">
        <v>186.85300000000001</v>
      </c>
      <c r="AG1133" s="6" t="s">
        <v>17</v>
      </c>
      <c r="AH1133" s="132">
        <v>2.8800000000000001E-4</v>
      </c>
      <c r="AI1133" s="132">
        <v>6.7328384393037597E-3</v>
      </c>
      <c r="AJ1133" s="132">
        <v>1.5374065159215499E-3</v>
      </c>
    </row>
    <row r="1134" spans="1:36" x14ac:dyDescent="0.2">
      <c r="A1134" s="6">
        <v>559</v>
      </c>
      <c r="B1134" s="6">
        <v>7207</v>
      </c>
      <c r="C1134" s="6" t="s">
        <v>1961</v>
      </c>
      <c r="D1134" s="6" t="s">
        <v>1962</v>
      </c>
      <c r="E1134" s="3" t="s">
        <v>1477</v>
      </c>
      <c r="F1134" s="6" t="s">
        <v>2366</v>
      </c>
      <c r="G1134" s="6" t="s">
        <v>2367</v>
      </c>
      <c r="H1134" s="6" t="s">
        <v>76</v>
      </c>
      <c r="I1134" s="6" t="s">
        <v>229</v>
      </c>
      <c r="J1134" s="6" t="s">
        <v>53</v>
      </c>
      <c r="K1134" s="6" t="s">
        <v>53</v>
      </c>
      <c r="L1134" s="6" t="s">
        <v>805</v>
      </c>
      <c r="M1134" s="6" t="s">
        <v>311</v>
      </c>
      <c r="N1134" s="6" t="s">
        <v>635</v>
      </c>
      <c r="O1134" s="6" t="s">
        <v>62</v>
      </c>
      <c r="P1134" s="6" t="s">
        <v>1965</v>
      </c>
      <c r="Q1134" s="6" t="s">
        <v>70</v>
      </c>
      <c r="R1134" s="6" t="s">
        <v>57</v>
      </c>
      <c r="S1134" s="6" t="s">
        <v>1219</v>
      </c>
      <c r="T1134" s="131">
        <v>3.7210000000000001</v>
      </c>
      <c r="U1134" s="6" t="s">
        <v>1649</v>
      </c>
      <c r="V1134" s="134">
        <v>8.5000000000000006E-3</v>
      </c>
      <c r="W1134" s="132">
        <v>2.8299999999999999E-2</v>
      </c>
      <c r="X1134" s="3" t="s">
        <v>620</v>
      </c>
      <c r="Y1134" s="3" t="s">
        <v>62</v>
      </c>
      <c r="Z1134" s="131">
        <v>147000</v>
      </c>
      <c r="AA1134" s="129">
        <v>1</v>
      </c>
      <c r="AB1134" s="157">
        <v>107.79</v>
      </c>
      <c r="AD1134" s="131">
        <v>158.45099999999999</v>
      </c>
      <c r="AG1134" s="6" t="s">
        <v>17</v>
      </c>
      <c r="AH1134" s="132">
        <v>2.3499999999999999E-4</v>
      </c>
      <c r="AI1134" s="132">
        <v>5.7094305044713203E-3</v>
      </c>
      <c r="AJ1134" s="132">
        <v>1.3037169596309499E-3</v>
      </c>
    </row>
    <row r="1135" spans="1:36" x14ac:dyDescent="0.2">
      <c r="A1135" s="6">
        <v>559</v>
      </c>
      <c r="B1135" s="6">
        <v>7207</v>
      </c>
      <c r="C1135" s="6" t="s">
        <v>1961</v>
      </c>
      <c r="D1135" s="6" t="s">
        <v>1962</v>
      </c>
      <c r="E1135" s="3" t="s">
        <v>1477</v>
      </c>
      <c r="F1135" s="6" t="s">
        <v>2368</v>
      </c>
      <c r="G1135" s="6" t="s">
        <v>2369</v>
      </c>
      <c r="H1135" s="6" t="s">
        <v>76</v>
      </c>
      <c r="I1135" s="6" t="s">
        <v>229</v>
      </c>
      <c r="J1135" s="6" t="s">
        <v>53</v>
      </c>
      <c r="K1135" s="6" t="s">
        <v>53</v>
      </c>
      <c r="L1135" s="6" t="s">
        <v>805</v>
      </c>
      <c r="M1135" s="6" t="s">
        <v>311</v>
      </c>
      <c r="N1135" s="6" t="s">
        <v>635</v>
      </c>
      <c r="O1135" s="6" t="s">
        <v>62</v>
      </c>
      <c r="P1135" s="6" t="s">
        <v>1965</v>
      </c>
      <c r="Q1135" s="6" t="s">
        <v>70</v>
      </c>
      <c r="R1135" s="6" t="s">
        <v>57</v>
      </c>
      <c r="S1135" s="6" t="s">
        <v>1219</v>
      </c>
      <c r="T1135" s="131">
        <v>5.391</v>
      </c>
      <c r="U1135" s="6" t="s">
        <v>2006</v>
      </c>
      <c r="V1135" s="134">
        <v>3.1800000000000002E-2</v>
      </c>
      <c r="W1135" s="132">
        <v>3.0280000000000001E-2</v>
      </c>
      <c r="X1135" s="3" t="s">
        <v>620</v>
      </c>
      <c r="Y1135" s="3" t="s">
        <v>62</v>
      </c>
      <c r="Z1135" s="131">
        <v>70000.100000000006</v>
      </c>
      <c r="AA1135" s="129">
        <v>1</v>
      </c>
      <c r="AB1135" s="157">
        <v>110.5</v>
      </c>
      <c r="AD1135" s="131">
        <v>77.349999999999994</v>
      </c>
      <c r="AG1135" s="6" t="s">
        <v>17</v>
      </c>
      <c r="AH1135" s="132">
        <v>1.5300000000000001E-4</v>
      </c>
      <c r="AI1135" s="132">
        <v>2.7871344723137499E-3</v>
      </c>
      <c r="AJ1135" s="132">
        <v>6.3642678152958003E-4</v>
      </c>
    </row>
    <row r="1136" spans="1:36" x14ac:dyDescent="0.2">
      <c r="A1136" s="6">
        <v>559</v>
      </c>
      <c r="B1136" s="6">
        <v>7207</v>
      </c>
      <c r="C1136" s="6" t="s">
        <v>1966</v>
      </c>
      <c r="D1136" s="6" t="s">
        <v>1967</v>
      </c>
      <c r="E1136" s="3" t="s">
        <v>1477</v>
      </c>
      <c r="F1136" s="6" t="s">
        <v>1968</v>
      </c>
      <c r="G1136" s="6" t="s">
        <v>1969</v>
      </c>
      <c r="H1136" s="6" t="s">
        <v>76</v>
      </c>
      <c r="I1136" s="6" t="s">
        <v>228</v>
      </c>
      <c r="J1136" s="6" t="s">
        <v>53</v>
      </c>
      <c r="K1136" s="6" t="s">
        <v>53</v>
      </c>
      <c r="L1136" s="6" t="s">
        <v>805</v>
      </c>
      <c r="M1136" s="6" t="s">
        <v>311</v>
      </c>
      <c r="N1136" s="6" t="s">
        <v>633</v>
      </c>
      <c r="O1136" s="6" t="s">
        <v>62</v>
      </c>
      <c r="P1136" s="6" t="s">
        <v>1604</v>
      </c>
      <c r="Q1136" s="6" t="s">
        <v>70</v>
      </c>
      <c r="R1136" s="6" t="s">
        <v>57</v>
      </c>
      <c r="S1136" s="6" t="s">
        <v>1219</v>
      </c>
      <c r="T1136" s="131">
        <v>0.73099999999999998</v>
      </c>
      <c r="U1136" s="6" t="s">
        <v>1578</v>
      </c>
      <c r="V1136" s="134">
        <v>0.114</v>
      </c>
      <c r="W1136" s="132">
        <v>5.91E-2</v>
      </c>
      <c r="X1136" s="3" t="s">
        <v>620</v>
      </c>
      <c r="Y1136" s="3" t="s">
        <v>62</v>
      </c>
      <c r="Z1136" s="131">
        <v>34000</v>
      </c>
      <c r="AA1136" s="129">
        <v>1</v>
      </c>
      <c r="AB1136" s="157">
        <v>102.52</v>
      </c>
      <c r="AD1136" s="131">
        <v>34.856999999999999</v>
      </c>
      <c r="AG1136" s="6" t="s">
        <v>17</v>
      </c>
      <c r="AH1136" s="132">
        <v>1.4100000000000001E-4</v>
      </c>
      <c r="AI1136" s="132">
        <v>1.2559851336546701E-3</v>
      </c>
      <c r="AJ1136" s="132">
        <v>2.8679727662988001E-4</v>
      </c>
    </row>
    <row r="1137" spans="1:36" x14ac:dyDescent="0.2">
      <c r="A1137" s="6">
        <v>559</v>
      </c>
      <c r="B1137" s="6">
        <v>7207</v>
      </c>
      <c r="C1137" s="6" t="s">
        <v>1970</v>
      </c>
      <c r="D1137" s="6" t="s">
        <v>1971</v>
      </c>
      <c r="E1137" s="3" t="s">
        <v>1477</v>
      </c>
      <c r="F1137" s="6" t="s">
        <v>1972</v>
      </c>
      <c r="G1137" s="6" t="s">
        <v>1973</v>
      </c>
      <c r="H1137" s="6" t="s">
        <v>76</v>
      </c>
      <c r="I1137" s="6" t="s">
        <v>229</v>
      </c>
      <c r="J1137" s="6" t="s">
        <v>53</v>
      </c>
      <c r="K1137" s="6" t="s">
        <v>53</v>
      </c>
      <c r="L1137" s="6" t="s">
        <v>805</v>
      </c>
      <c r="M1137" s="6" t="s">
        <v>311</v>
      </c>
      <c r="N1137" s="6" t="s">
        <v>258</v>
      </c>
      <c r="O1137" s="6" t="s">
        <v>62</v>
      </c>
      <c r="P1137" s="6" t="s">
        <v>1213</v>
      </c>
      <c r="Q1137" s="6" t="s">
        <v>65</v>
      </c>
      <c r="R1137" s="6" t="s">
        <v>57</v>
      </c>
      <c r="S1137" s="6" t="s">
        <v>1219</v>
      </c>
      <c r="T1137" s="131">
        <v>1.4810000000000001</v>
      </c>
      <c r="U1137" s="6" t="s">
        <v>1605</v>
      </c>
      <c r="V1137" s="134">
        <v>1E-3</v>
      </c>
      <c r="W1137" s="132">
        <v>2.6009999999999998E-2</v>
      </c>
      <c r="X1137" s="3" t="s">
        <v>620</v>
      </c>
      <c r="Y1137" s="3" t="s">
        <v>62</v>
      </c>
      <c r="Z1137" s="131">
        <v>610000</v>
      </c>
      <c r="AA1137" s="129">
        <v>1</v>
      </c>
      <c r="AB1137" s="157">
        <v>111.15</v>
      </c>
      <c r="AD1137" s="131">
        <v>678.01499999999999</v>
      </c>
      <c r="AG1137" s="6" t="s">
        <v>17</v>
      </c>
      <c r="AH1137" s="132">
        <v>9.5E-4</v>
      </c>
      <c r="AI1137" s="132">
        <v>2.4430721133175501E-2</v>
      </c>
      <c r="AJ1137" s="132">
        <v>5.5786203987230002E-3</v>
      </c>
    </row>
    <row r="1138" spans="1:36" x14ac:dyDescent="0.2">
      <c r="A1138" s="6">
        <v>559</v>
      </c>
      <c r="B1138" s="6">
        <v>7207</v>
      </c>
      <c r="C1138" s="6" t="s">
        <v>1970</v>
      </c>
      <c r="D1138" s="6" t="s">
        <v>1971</v>
      </c>
      <c r="E1138" s="3" t="s">
        <v>1477</v>
      </c>
      <c r="F1138" s="6" t="s">
        <v>1974</v>
      </c>
      <c r="G1138" s="6" t="s">
        <v>1975</v>
      </c>
      <c r="H1138" s="6" t="s">
        <v>76</v>
      </c>
      <c r="I1138" s="6" t="s">
        <v>229</v>
      </c>
      <c r="J1138" s="6" t="s">
        <v>53</v>
      </c>
      <c r="K1138" s="6" t="s">
        <v>53</v>
      </c>
      <c r="L1138" s="6" t="s">
        <v>805</v>
      </c>
      <c r="M1138" s="6" t="s">
        <v>311</v>
      </c>
      <c r="N1138" s="6" t="s">
        <v>258</v>
      </c>
      <c r="O1138" s="6" t="s">
        <v>62</v>
      </c>
      <c r="P1138" s="6" t="s">
        <v>1213</v>
      </c>
      <c r="Q1138" s="6" t="s">
        <v>65</v>
      </c>
      <c r="R1138" s="6" t="s">
        <v>57</v>
      </c>
      <c r="S1138" s="6" t="s">
        <v>1219</v>
      </c>
      <c r="T1138" s="131">
        <v>11.726000000000001</v>
      </c>
      <c r="U1138" s="6" t="s">
        <v>1976</v>
      </c>
      <c r="V1138" s="134">
        <v>2.07E-2</v>
      </c>
      <c r="W1138" s="132">
        <v>2.776E-2</v>
      </c>
      <c r="X1138" s="3" t="s">
        <v>620</v>
      </c>
      <c r="Y1138" s="3" t="s">
        <v>62</v>
      </c>
      <c r="Z1138" s="131">
        <v>292044.06</v>
      </c>
      <c r="AA1138" s="129">
        <v>1</v>
      </c>
      <c r="AB1138" s="157">
        <v>106.32</v>
      </c>
      <c r="AD1138" s="131">
        <v>310.50099999999998</v>
      </c>
      <c r="AG1138" s="6" t="s">
        <v>17</v>
      </c>
      <c r="AH1138" s="132">
        <v>5.3000000000000001E-5</v>
      </c>
      <c r="AI1138" s="132">
        <v>1.1188202795116699E-2</v>
      </c>
      <c r="AJ1138" s="132">
        <v>2.55476438856045E-3</v>
      </c>
    </row>
    <row r="1139" spans="1:36" x14ac:dyDescent="0.2">
      <c r="A1139" s="6">
        <v>559</v>
      </c>
      <c r="B1139" s="6">
        <v>7207</v>
      </c>
      <c r="C1139" s="6" t="s">
        <v>1977</v>
      </c>
      <c r="D1139" s="6" t="s">
        <v>1978</v>
      </c>
      <c r="E1139" s="3" t="s">
        <v>1477</v>
      </c>
      <c r="F1139" s="6" t="s">
        <v>1979</v>
      </c>
      <c r="G1139" s="6" t="s">
        <v>1980</v>
      </c>
      <c r="H1139" s="6" t="s">
        <v>76</v>
      </c>
      <c r="I1139" s="6" t="s">
        <v>229</v>
      </c>
      <c r="J1139" s="6" t="s">
        <v>53</v>
      </c>
      <c r="K1139" s="6" t="s">
        <v>53</v>
      </c>
      <c r="L1139" s="6" t="s">
        <v>805</v>
      </c>
      <c r="M1139" s="6" t="s">
        <v>311</v>
      </c>
      <c r="N1139" s="6" t="s">
        <v>256</v>
      </c>
      <c r="O1139" s="6" t="s">
        <v>62</v>
      </c>
      <c r="P1139" s="6" t="s">
        <v>1213</v>
      </c>
      <c r="Q1139" s="6" t="s">
        <v>65</v>
      </c>
      <c r="R1139" s="6" t="s">
        <v>57</v>
      </c>
      <c r="S1139" s="6" t="s">
        <v>1219</v>
      </c>
      <c r="T1139" s="131">
        <v>2.5089999999999999</v>
      </c>
      <c r="U1139" s="6" t="s">
        <v>1981</v>
      </c>
      <c r="V1139" s="134">
        <v>1.4999999999999999E-2</v>
      </c>
      <c r="W1139" s="132">
        <v>2.5399999999999999E-2</v>
      </c>
      <c r="X1139" s="3" t="s">
        <v>620</v>
      </c>
      <c r="Y1139" s="3" t="s">
        <v>62</v>
      </c>
      <c r="Z1139" s="131">
        <v>132256.35</v>
      </c>
      <c r="AA1139" s="129">
        <v>1</v>
      </c>
      <c r="AB1139" s="157">
        <v>114.77</v>
      </c>
      <c r="AD1139" s="131">
        <v>151.791</v>
      </c>
      <c r="AG1139" s="6" t="s">
        <v>17</v>
      </c>
      <c r="AH1139" s="132">
        <v>5.6800000000000004E-4</v>
      </c>
      <c r="AI1139" s="132">
        <v>5.46942786556571E-3</v>
      </c>
      <c r="AJ1139" s="132">
        <v>1.24891368101106E-3</v>
      </c>
    </row>
    <row r="1140" spans="1:36" x14ac:dyDescent="0.2">
      <c r="A1140" s="6">
        <v>559</v>
      </c>
      <c r="B1140" s="6">
        <v>7207</v>
      </c>
      <c r="C1140" s="6" t="s">
        <v>1982</v>
      </c>
      <c r="D1140" s="6" t="s">
        <v>1983</v>
      </c>
      <c r="E1140" s="3" t="s">
        <v>1477</v>
      </c>
      <c r="F1140" s="6" t="s">
        <v>1984</v>
      </c>
      <c r="G1140" s="6" t="s">
        <v>1985</v>
      </c>
      <c r="H1140" s="6" t="s">
        <v>76</v>
      </c>
      <c r="I1140" s="6" t="s">
        <v>229</v>
      </c>
      <c r="J1140" s="6" t="s">
        <v>53</v>
      </c>
      <c r="K1140" s="6" t="s">
        <v>53</v>
      </c>
      <c r="L1140" s="6" t="s">
        <v>805</v>
      </c>
      <c r="M1140" s="6" t="s">
        <v>311</v>
      </c>
      <c r="N1140" s="6" t="s">
        <v>156</v>
      </c>
      <c r="O1140" s="6" t="s">
        <v>62</v>
      </c>
      <c r="P1140" s="6" t="s">
        <v>298</v>
      </c>
      <c r="Q1140" s="6" t="s">
        <v>298</v>
      </c>
      <c r="R1140" s="6" t="s">
        <v>298</v>
      </c>
      <c r="S1140" s="6" t="s">
        <v>1219</v>
      </c>
      <c r="T1140" s="131">
        <v>0.72399999999999998</v>
      </c>
      <c r="U1140" s="6" t="s">
        <v>1718</v>
      </c>
      <c r="V1140" s="134">
        <v>1.6400000000000001E-2</v>
      </c>
      <c r="W1140" s="132">
        <v>2.809E-2</v>
      </c>
      <c r="X1140" s="3" t="s">
        <v>620</v>
      </c>
      <c r="Y1140" s="3" t="s">
        <v>62</v>
      </c>
      <c r="Z1140" s="131">
        <v>60231.28</v>
      </c>
      <c r="AA1140" s="129">
        <v>1</v>
      </c>
      <c r="AB1140" s="157">
        <v>116.68</v>
      </c>
      <c r="AD1140" s="131">
        <v>70.278000000000006</v>
      </c>
      <c r="AG1140" s="6" t="s">
        <v>17</v>
      </c>
      <c r="AH1140" s="132">
        <v>2.5300000000000002E-4</v>
      </c>
      <c r="AI1140" s="132">
        <v>2.5323019970314299E-3</v>
      </c>
      <c r="AJ1140" s="132">
        <v>5.7823719158184197E-4</v>
      </c>
    </row>
    <row r="1141" spans="1:36" x14ac:dyDescent="0.2">
      <c r="A1141" s="6">
        <v>559</v>
      </c>
      <c r="B1141" s="6">
        <v>7207</v>
      </c>
      <c r="C1141" s="6" t="s">
        <v>1986</v>
      </c>
      <c r="D1141" s="6" t="s">
        <v>1987</v>
      </c>
      <c r="E1141" s="3" t="s">
        <v>1477</v>
      </c>
      <c r="F1141" s="6" t="s">
        <v>1988</v>
      </c>
      <c r="G1141" s="6" t="s">
        <v>1989</v>
      </c>
      <c r="H1141" s="6" t="s">
        <v>76</v>
      </c>
      <c r="I1141" s="6" t="s">
        <v>228</v>
      </c>
      <c r="J1141" s="6" t="s">
        <v>53</v>
      </c>
      <c r="K1141" s="6" t="s">
        <v>53</v>
      </c>
      <c r="L1141" s="6" t="s">
        <v>805</v>
      </c>
      <c r="M1141" s="6" t="s">
        <v>311</v>
      </c>
      <c r="N1141" s="6" t="s">
        <v>633</v>
      </c>
      <c r="O1141" s="6" t="s">
        <v>62</v>
      </c>
      <c r="P1141" s="6" t="s">
        <v>1628</v>
      </c>
      <c r="Q1141" s="6" t="s">
        <v>65</v>
      </c>
      <c r="R1141" s="6" t="s">
        <v>57</v>
      </c>
      <c r="S1141" s="6" t="s">
        <v>1219</v>
      </c>
      <c r="T1141" s="131">
        <v>6.29</v>
      </c>
      <c r="U1141" s="6" t="s">
        <v>1797</v>
      </c>
      <c r="V1141" s="134">
        <v>1.55E-2</v>
      </c>
      <c r="W1141" s="132">
        <v>5.4399999999999997E-2</v>
      </c>
      <c r="X1141" s="3" t="s">
        <v>620</v>
      </c>
      <c r="Y1141" s="3" t="s">
        <v>62</v>
      </c>
      <c r="Z1141" s="131">
        <v>56000</v>
      </c>
      <c r="AA1141" s="129">
        <v>1</v>
      </c>
      <c r="AB1141" s="157">
        <v>98.94</v>
      </c>
      <c r="AD1141" s="131">
        <v>55.405999999999999</v>
      </c>
      <c r="AG1141" s="6" t="s">
        <v>17</v>
      </c>
      <c r="AH1141" s="132">
        <v>1.7309999999999999E-3</v>
      </c>
      <c r="AI1141" s="132">
        <v>1.9964430099528399E-3</v>
      </c>
      <c r="AJ1141" s="132">
        <v>4.5587674794776798E-4</v>
      </c>
    </row>
    <row r="1142" spans="1:36" x14ac:dyDescent="0.2">
      <c r="A1142" s="6">
        <v>559</v>
      </c>
      <c r="B1142" s="6">
        <v>7207</v>
      </c>
      <c r="C1142" s="6" t="s">
        <v>1990</v>
      </c>
      <c r="D1142" s="6" t="s">
        <v>1991</v>
      </c>
      <c r="E1142" s="3" t="s">
        <v>432</v>
      </c>
      <c r="F1142" s="6" t="s">
        <v>1992</v>
      </c>
      <c r="G1142" s="6" t="s">
        <v>1993</v>
      </c>
      <c r="H1142" s="6" t="s">
        <v>76</v>
      </c>
      <c r="I1142" s="6" t="s">
        <v>228</v>
      </c>
      <c r="J1142" s="6" t="s">
        <v>53</v>
      </c>
      <c r="K1142" s="6" t="s">
        <v>53</v>
      </c>
      <c r="L1142" s="6" t="s">
        <v>805</v>
      </c>
      <c r="M1142" s="6" t="s">
        <v>102</v>
      </c>
      <c r="N1142" s="6" t="s">
        <v>267</v>
      </c>
      <c r="O1142" s="6" t="s">
        <v>62</v>
      </c>
      <c r="P1142" s="6" t="s">
        <v>1994</v>
      </c>
      <c r="Q1142" s="6" t="s">
        <v>65</v>
      </c>
      <c r="R1142" s="6" t="s">
        <v>57</v>
      </c>
      <c r="S1142" s="6" t="s">
        <v>1219</v>
      </c>
      <c r="T1142" s="131">
        <v>3.9449999999999998</v>
      </c>
      <c r="U1142" s="6" t="s">
        <v>1713</v>
      </c>
      <c r="V1142" s="134">
        <v>0.06</v>
      </c>
      <c r="W1142" s="132">
        <v>6.25E-2</v>
      </c>
      <c r="X1142" s="3" t="s">
        <v>620</v>
      </c>
      <c r="Y1142" s="3" t="s">
        <v>62</v>
      </c>
      <c r="Z1142" s="131">
        <v>80000</v>
      </c>
      <c r="AA1142" s="129">
        <v>1</v>
      </c>
      <c r="AB1142" s="157">
        <v>100.526</v>
      </c>
      <c r="AD1142" s="131">
        <v>80.421000000000006</v>
      </c>
      <c r="AG1142" s="6" t="s">
        <v>17</v>
      </c>
      <c r="AH1142" s="132">
        <v>0</v>
      </c>
      <c r="AI1142" s="132">
        <v>2.8977807576647399E-3</v>
      </c>
      <c r="AJ1142" s="132">
        <v>6.6169225040940596E-4</v>
      </c>
    </row>
    <row r="1143" spans="1:36" x14ac:dyDescent="0.2">
      <c r="A1143" s="6">
        <v>559</v>
      </c>
      <c r="B1143" s="6">
        <v>7207</v>
      </c>
      <c r="C1143" s="6" t="s">
        <v>1990</v>
      </c>
      <c r="D1143" s="6" t="s">
        <v>1991</v>
      </c>
      <c r="E1143" s="3" t="s">
        <v>432</v>
      </c>
      <c r="F1143" s="6" t="s">
        <v>1995</v>
      </c>
      <c r="G1143" s="6" t="s">
        <v>1996</v>
      </c>
      <c r="H1143" s="6" t="s">
        <v>76</v>
      </c>
      <c r="I1143" s="6" t="s">
        <v>228</v>
      </c>
      <c r="J1143" s="6" t="s">
        <v>53</v>
      </c>
      <c r="K1143" s="6" t="s">
        <v>53</v>
      </c>
      <c r="L1143" s="6" t="s">
        <v>805</v>
      </c>
      <c r="M1143" s="6" t="s">
        <v>1227</v>
      </c>
      <c r="N1143" s="6" t="s">
        <v>267</v>
      </c>
      <c r="O1143" s="6" t="s">
        <v>62</v>
      </c>
      <c r="P1143" s="6" t="s">
        <v>1515</v>
      </c>
      <c r="Q1143" s="6" t="s">
        <v>65</v>
      </c>
      <c r="R1143" s="6" t="s">
        <v>57</v>
      </c>
      <c r="S1143" s="6" t="s">
        <v>1219</v>
      </c>
      <c r="T1143" s="131">
        <v>3.129</v>
      </c>
      <c r="U1143" s="6" t="s">
        <v>1997</v>
      </c>
      <c r="V1143" s="134">
        <v>6.7000000000000004E-2</v>
      </c>
      <c r="W1143" s="132">
        <v>5.1139999999999998E-2</v>
      </c>
      <c r="X1143" s="3" t="s">
        <v>620</v>
      </c>
      <c r="Y1143" s="3" t="s">
        <v>62</v>
      </c>
      <c r="Z1143" s="131">
        <v>28000</v>
      </c>
      <c r="AA1143" s="129">
        <v>1</v>
      </c>
      <c r="AB1143" s="157">
        <v>106.88</v>
      </c>
      <c r="AD1143" s="131">
        <v>29.925999999999998</v>
      </c>
      <c r="AG1143" s="6" t="s">
        <v>17</v>
      </c>
      <c r="AH1143" s="132">
        <v>3.1000000000000001E-5</v>
      </c>
      <c r="AI1143" s="132">
        <v>1.0783294365461901E-3</v>
      </c>
      <c r="AJ1143" s="132">
        <v>2.4623057823255201E-4</v>
      </c>
    </row>
    <row r="1144" spans="1:36" x14ac:dyDescent="0.2">
      <c r="A1144" s="6">
        <v>559</v>
      </c>
      <c r="B1144" s="6">
        <v>7207</v>
      </c>
      <c r="C1144" s="6" t="s">
        <v>1998</v>
      </c>
      <c r="D1144" s="6" t="s">
        <v>1999</v>
      </c>
      <c r="E1144" s="3" t="s">
        <v>1477</v>
      </c>
      <c r="F1144" s="6" t="s">
        <v>2000</v>
      </c>
      <c r="G1144" s="6" t="s">
        <v>2001</v>
      </c>
      <c r="H1144" s="6" t="s">
        <v>76</v>
      </c>
      <c r="I1144" s="6" t="s">
        <v>607</v>
      </c>
      <c r="J1144" s="6" t="s">
        <v>53</v>
      </c>
      <c r="K1144" s="6" t="s">
        <v>53</v>
      </c>
      <c r="L1144" s="6" t="s">
        <v>805</v>
      </c>
      <c r="M1144" s="6" t="s">
        <v>311</v>
      </c>
      <c r="N1144" s="6" t="s">
        <v>631</v>
      </c>
      <c r="O1144" s="6" t="s">
        <v>62</v>
      </c>
      <c r="P1144" s="6" t="s">
        <v>1604</v>
      </c>
      <c r="Q1144" s="6" t="s">
        <v>70</v>
      </c>
      <c r="R1144" s="6" t="s">
        <v>57</v>
      </c>
      <c r="S1144" s="6" t="s">
        <v>1219</v>
      </c>
      <c r="T1144" s="131">
        <v>3.26</v>
      </c>
      <c r="U1144" s="6" t="s">
        <v>1509</v>
      </c>
      <c r="V1144" s="134">
        <v>0.05</v>
      </c>
      <c r="W1144" s="132">
        <v>3.0509999999999999E-2</v>
      </c>
      <c r="X1144" s="3" t="s">
        <v>620</v>
      </c>
      <c r="Y1144" s="3" t="s">
        <v>62</v>
      </c>
      <c r="Z1144" s="131">
        <v>125000</v>
      </c>
      <c r="AA1144" s="129">
        <v>1</v>
      </c>
      <c r="AB1144" s="157">
        <v>106.5</v>
      </c>
      <c r="AD1144" s="131">
        <v>133.125</v>
      </c>
      <c r="AG1144" s="6" t="s">
        <v>17</v>
      </c>
      <c r="AH1144" s="132">
        <v>2.5000000000000001E-4</v>
      </c>
      <c r="AI1144" s="132">
        <v>4.79685515933126E-3</v>
      </c>
      <c r="AJ1144" s="132">
        <v>1.0953354137887799E-3</v>
      </c>
    </row>
    <row r="1145" spans="1:36" x14ac:dyDescent="0.2">
      <c r="A1145" s="6">
        <v>559</v>
      </c>
      <c r="B1145" s="6">
        <v>7207</v>
      </c>
      <c r="C1145" s="6" t="s">
        <v>2002</v>
      </c>
      <c r="D1145" s="6" t="s">
        <v>2003</v>
      </c>
      <c r="E1145" s="3" t="s">
        <v>1477</v>
      </c>
      <c r="F1145" s="6" t="s">
        <v>2004</v>
      </c>
      <c r="G1145" s="6" t="s">
        <v>2005</v>
      </c>
      <c r="H1145" s="6" t="s">
        <v>76</v>
      </c>
      <c r="I1145" s="6" t="s">
        <v>229</v>
      </c>
      <c r="J1145" s="6" t="s">
        <v>53</v>
      </c>
      <c r="K1145" s="6" t="s">
        <v>53</v>
      </c>
      <c r="L1145" s="6" t="s">
        <v>805</v>
      </c>
      <c r="M1145" s="6" t="s">
        <v>311</v>
      </c>
      <c r="N1145" s="6" t="s">
        <v>635</v>
      </c>
      <c r="O1145" s="6" t="s">
        <v>62</v>
      </c>
      <c r="P1145" s="6" t="s">
        <v>1213</v>
      </c>
      <c r="Q1145" s="6" t="s">
        <v>65</v>
      </c>
      <c r="R1145" s="6" t="s">
        <v>57</v>
      </c>
      <c r="S1145" s="6" t="s">
        <v>1219</v>
      </c>
      <c r="T1145" s="131">
        <v>4.3220000000000001</v>
      </c>
      <c r="U1145" s="6" t="s">
        <v>2006</v>
      </c>
      <c r="V1145" s="134">
        <v>1.6500000000000001E-2</v>
      </c>
      <c r="W1145" s="132">
        <v>2.512E-2</v>
      </c>
      <c r="X1145" s="3" t="s">
        <v>620</v>
      </c>
      <c r="Y1145" s="3" t="s">
        <v>62</v>
      </c>
      <c r="Z1145" s="131">
        <v>309669</v>
      </c>
      <c r="AA1145" s="129">
        <v>1</v>
      </c>
      <c r="AB1145" s="157">
        <v>113.88</v>
      </c>
      <c r="AD1145" s="131">
        <v>352.65100000000001</v>
      </c>
      <c r="AG1145" s="6" t="s">
        <v>17</v>
      </c>
      <c r="AH1145" s="132">
        <v>1.46E-4</v>
      </c>
      <c r="AI1145" s="132">
        <v>1.27069749721949E-2</v>
      </c>
      <c r="AJ1145" s="132">
        <v>2.9015676368917402E-3</v>
      </c>
    </row>
    <row r="1146" spans="1:36" x14ac:dyDescent="0.2">
      <c r="A1146" s="6">
        <v>559</v>
      </c>
      <c r="B1146" s="6">
        <v>7207</v>
      </c>
      <c r="C1146" s="6" t="s">
        <v>2002</v>
      </c>
      <c r="D1146" s="6" t="s">
        <v>2003</v>
      </c>
      <c r="E1146" s="3" t="s">
        <v>1477</v>
      </c>
      <c r="F1146" s="6" t="s">
        <v>2007</v>
      </c>
      <c r="G1146" s="6" t="s">
        <v>2008</v>
      </c>
      <c r="H1146" s="6" t="s">
        <v>76</v>
      </c>
      <c r="I1146" s="6" t="s">
        <v>229</v>
      </c>
      <c r="J1146" s="6" t="s">
        <v>53</v>
      </c>
      <c r="K1146" s="6" t="s">
        <v>53</v>
      </c>
      <c r="L1146" s="6" t="s">
        <v>805</v>
      </c>
      <c r="M1146" s="6" t="s">
        <v>311</v>
      </c>
      <c r="N1146" s="6" t="s">
        <v>635</v>
      </c>
      <c r="O1146" s="6" t="s">
        <v>62</v>
      </c>
      <c r="P1146" s="6" t="s">
        <v>1213</v>
      </c>
      <c r="Q1146" s="6" t="s">
        <v>65</v>
      </c>
      <c r="R1146" s="6" t="s">
        <v>57</v>
      </c>
      <c r="S1146" s="6" t="s">
        <v>1219</v>
      </c>
      <c r="T1146" s="131">
        <v>12.792</v>
      </c>
      <c r="U1146" s="6" t="s">
        <v>2009</v>
      </c>
      <c r="V1146" s="134">
        <v>9.5999999999999992E-3</v>
      </c>
      <c r="W1146" s="132">
        <v>2.7550000000000002E-2</v>
      </c>
      <c r="X1146" s="3" t="s">
        <v>620</v>
      </c>
      <c r="Y1146" s="3" t="s">
        <v>62</v>
      </c>
      <c r="Z1146" s="131">
        <v>312984</v>
      </c>
      <c r="AA1146" s="129">
        <v>1</v>
      </c>
      <c r="AB1146" s="157">
        <v>92.47</v>
      </c>
      <c r="AD1146" s="131">
        <v>289.416</v>
      </c>
      <c r="AG1146" s="6" t="s">
        <v>17</v>
      </c>
      <c r="AH1146" s="132">
        <v>2.8699999999999998E-4</v>
      </c>
      <c r="AI1146" s="132">
        <v>1.0428455172766001E-2</v>
      </c>
      <c r="AJ1146" s="132">
        <v>2.3812802101433098E-3</v>
      </c>
    </row>
    <row r="1147" spans="1:36" x14ac:dyDescent="0.2">
      <c r="A1147" s="6">
        <v>559</v>
      </c>
      <c r="B1147" s="6">
        <v>7207</v>
      </c>
      <c r="C1147" s="6" t="s">
        <v>2010</v>
      </c>
      <c r="D1147" s="6" t="s">
        <v>2011</v>
      </c>
      <c r="E1147" s="3" t="s">
        <v>1477</v>
      </c>
      <c r="F1147" s="6" t="s">
        <v>2012</v>
      </c>
      <c r="G1147" s="6" t="s">
        <v>2013</v>
      </c>
      <c r="H1147" s="6" t="s">
        <v>76</v>
      </c>
      <c r="I1147" s="6" t="s">
        <v>229</v>
      </c>
      <c r="J1147" s="6" t="s">
        <v>53</v>
      </c>
      <c r="K1147" s="6" t="s">
        <v>53</v>
      </c>
      <c r="L1147" s="6" t="s">
        <v>805</v>
      </c>
      <c r="M1147" s="6" t="s">
        <v>311</v>
      </c>
      <c r="N1147" s="6" t="s">
        <v>258</v>
      </c>
      <c r="O1147" s="6" t="s">
        <v>62</v>
      </c>
      <c r="P1147" s="6" t="s">
        <v>1339</v>
      </c>
      <c r="Q1147" s="6" t="s">
        <v>65</v>
      </c>
      <c r="R1147" s="6" t="s">
        <v>57</v>
      </c>
      <c r="S1147" s="6" t="s">
        <v>1219</v>
      </c>
      <c r="T1147" s="131">
        <v>5.0430000000000001</v>
      </c>
      <c r="U1147" s="6" t="s">
        <v>1788</v>
      </c>
      <c r="V1147" s="134">
        <v>2.6499999999999999E-2</v>
      </c>
      <c r="W1147" s="132">
        <v>2.5250000000000002E-2</v>
      </c>
      <c r="X1147" s="3" t="s">
        <v>620</v>
      </c>
      <c r="Y1147" s="3" t="s">
        <v>62</v>
      </c>
      <c r="Z1147" s="131">
        <v>436723.34</v>
      </c>
      <c r="AA1147" s="129">
        <v>1</v>
      </c>
      <c r="AB1147" s="157">
        <v>118.55</v>
      </c>
      <c r="AD1147" s="131">
        <v>517.73599999999999</v>
      </c>
      <c r="AG1147" s="6" t="s">
        <v>17</v>
      </c>
      <c r="AH1147" s="132">
        <v>3.0699999999999998E-4</v>
      </c>
      <c r="AI1147" s="132">
        <v>1.8655416324645301E-2</v>
      </c>
      <c r="AJ1147" s="132">
        <v>4.2598614051557199E-3</v>
      </c>
    </row>
    <row r="1148" spans="1:36" x14ac:dyDescent="0.2">
      <c r="A1148" s="6">
        <v>559</v>
      </c>
      <c r="B1148" s="6">
        <v>7207</v>
      </c>
      <c r="C1148" s="6" t="s">
        <v>2014</v>
      </c>
      <c r="D1148" s="6" t="s">
        <v>2015</v>
      </c>
      <c r="E1148" s="3" t="s">
        <v>1477</v>
      </c>
      <c r="F1148" s="6" t="s">
        <v>2370</v>
      </c>
      <c r="G1148" s="6" t="s">
        <v>2371</v>
      </c>
      <c r="H1148" s="6" t="s">
        <v>76</v>
      </c>
      <c r="I1148" s="6" t="s">
        <v>228</v>
      </c>
      <c r="J1148" s="6" t="s">
        <v>53</v>
      </c>
      <c r="K1148" s="6" t="s">
        <v>53</v>
      </c>
      <c r="L1148" s="6" t="s">
        <v>805</v>
      </c>
      <c r="M1148" s="6" t="s">
        <v>311</v>
      </c>
      <c r="N1148" s="6" t="s">
        <v>140</v>
      </c>
      <c r="O1148" s="6" t="s">
        <v>62</v>
      </c>
      <c r="P1148" s="6" t="s">
        <v>298</v>
      </c>
      <c r="Q1148" s="6" t="s">
        <v>298</v>
      </c>
      <c r="R1148" s="6" t="s">
        <v>298</v>
      </c>
      <c r="S1148" s="6" t="s">
        <v>1219</v>
      </c>
      <c r="T1148" s="131">
        <v>1.8109999999999999</v>
      </c>
      <c r="U1148" s="6" t="s">
        <v>2372</v>
      </c>
      <c r="V1148" s="134">
        <v>4.4999999999999998E-2</v>
      </c>
      <c r="W1148" s="132">
        <v>6.4119999999999996E-2</v>
      </c>
      <c r="X1148" s="3" t="s">
        <v>620</v>
      </c>
      <c r="Y1148" s="3" t="s">
        <v>62</v>
      </c>
      <c r="Z1148" s="131">
        <v>5444.44</v>
      </c>
      <c r="AA1148" s="129">
        <v>1</v>
      </c>
      <c r="AB1148" s="157">
        <v>97.21</v>
      </c>
      <c r="AD1148" s="131">
        <v>5.2930000000000001</v>
      </c>
      <c r="AG1148" s="6" t="s">
        <v>17</v>
      </c>
      <c r="AH1148" s="132">
        <v>3.8999999999999999E-5</v>
      </c>
      <c r="AI1148" s="132">
        <v>1.90704588918513E-4</v>
      </c>
      <c r="AJ1148" s="132">
        <v>4.3546340857955E-5</v>
      </c>
    </row>
    <row r="1149" spans="1:36" x14ac:dyDescent="0.2">
      <c r="A1149" s="6">
        <v>559</v>
      </c>
      <c r="B1149" s="6">
        <v>7207</v>
      </c>
      <c r="C1149" s="6" t="s">
        <v>2014</v>
      </c>
      <c r="D1149" s="6" t="s">
        <v>2015</v>
      </c>
      <c r="E1149" s="3" t="s">
        <v>1477</v>
      </c>
      <c r="F1149" s="6" t="s">
        <v>2016</v>
      </c>
      <c r="G1149" s="6" t="s">
        <v>2017</v>
      </c>
      <c r="H1149" s="6" t="s">
        <v>76</v>
      </c>
      <c r="I1149" s="6" t="s">
        <v>228</v>
      </c>
      <c r="J1149" s="6" t="s">
        <v>53</v>
      </c>
      <c r="K1149" s="6" t="s">
        <v>53</v>
      </c>
      <c r="L1149" s="6" t="s">
        <v>805</v>
      </c>
      <c r="M1149" s="6" t="s">
        <v>311</v>
      </c>
      <c r="N1149" s="6" t="s">
        <v>140</v>
      </c>
      <c r="O1149" s="6" t="s">
        <v>62</v>
      </c>
      <c r="P1149" s="6" t="s">
        <v>298</v>
      </c>
      <c r="Q1149" s="6" t="s">
        <v>298</v>
      </c>
      <c r="R1149" s="6" t="s">
        <v>298</v>
      </c>
      <c r="S1149" s="6" t="s">
        <v>1219</v>
      </c>
      <c r="T1149" s="131">
        <v>2.7589999999999999</v>
      </c>
      <c r="U1149" s="6" t="s">
        <v>1549</v>
      </c>
      <c r="V1149" s="134">
        <v>6.5000000000000002E-2</v>
      </c>
      <c r="W1149" s="132">
        <v>6.5180000000000002E-2</v>
      </c>
      <c r="X1149" s="3" t="s">
        <v>620</v>
      </c>
      <c r="Y1149" s="3" t="s">
        <v>62</v>
      </c>
      <c r="Z1149" s="131">
        <v>30000</v>
      </c>
      <c r="AA1149" s="129">
        <v>1</v>
      </c>
      <c r="AB1149" s="157">
        <v>100.24</v>
      </c>
      <c r="AD1149" s="131">
        <v>30.071999999999999</v>
      </c>
      <c r="AG1149" s="6" t="s">
        <v>17</v>
      </c>
      <c r="AH1149" s="132">
        <v>1.6200000000000001E-4</v>
      </c>
      <c r="AI1149" s="132">
        <v>1.0835757998228E-3</v>
      </c>
      <c r="AJ1149" s="132">
        <v>2.4742855634521101E-4</v>
      </c>
    </row>
    <row r="1150" spans="1:36" x14ac:dyDescent="0.2">
      <c r="A1150" s="6">
        <v>559</v>
      </c>
      <c r="B1150" s="6">
        <v>7207</v>
      </c>
      <c r="C1150" s="6" t="s">
        <v>2014</v>
      </c>
      <c r="D1150" s="6" t="s">
        <v>2015</v>
      </c>
      <c r="E1150" s="3" t="s">
        <v>1477</v>
      </c>
      <c r="F1150" s="6" t="s">
        <v>2018</v>
      </c>
      <c r="G1150" s="6" t="s">
        <v>2019</v>
      </c>
      <c r="H1150" s="6" t="s">
        <v>76</v>
      </c>
      <c r="I1150" s="6" t="s">
        <v>228</v>
      </c>
      <c r="J1150" s="6" t="s">
        <v>53</v>
      </c>
      <c r="K1150" s="6" t="s">
        <v>53</v>
      </c>
      <c r="L1150" s="6" t="s">
        <v>805</v>
      </c>
      <c r="M1150" s="6" t="s">
        <v>1227</v>
      </c>
      <c r="N1150" s="6" t="s">
        <v>140</v>
      </c>
      <c r="O1150" s="6" t="s">
        <v>62</v>
      </c>
      <c r="P1150" s="6" t="s">
        <v>298</v>
      </c>
      <c r="Q1150" s="6" t="s">
        <v>298</v>
      </c>
      <c r="R1150" s="6" t="s">
        <v>298</v>
      </c>
      <c r="S1150" s="6" t="s">
        <v>1219</v>
      </c>
      <c r="T1150" s="131">
        <v>3.5529999999999999</v>
      </c>
      <c r="U1150" s="6" t="s">
        <v>1564</v>
      </c>
      <c r="V1150" s="134">
        <v>6.5000000000000002E-2</v>
      </c>
      <c r="W1150" s="132">
        <v>6.8769999999999998E-2</v>
      </c>
      <c r="X1150" s="3" t="s">
        <v>620</v>
      </c>
      <c r="Y1150" s="3" t="s">
        <v>62</v>
      </c>
      <c r="Z1150" s="131">
        <v>49000</v>
      </c>
      <c r="AA1150" s="129">
        <v>1</v>
      </c>
      <c r="AB1150" s="157">
        <v>101.5</v>
      </c>
      <c r="AD1150" s="131">
        <v>49.734999999999999</v>
      </c>
      <c r="AG1150" s="6" t="s">
        <v>17</v>
      </c>
      <c r="AH1150" s="132">
        <v>2.4499999999999999E-4</v>
      </c>
      <c r="AI1150" s="132">
        <v>1.7920870711687501E-3</v>
      </c>
      <c r="AJ1150" s="132">
        <v>4.0921319665566198E-4</v>
      </c>
    </row>
    <row r="1151" spans="1:36" x14ac:dyDescent="0.2">
      <c r="A1151" s="6">
        <v>559</v>
      </c>
      <c r="B1151" s="6">
        <v>7207</v>
      </c>
      <c r="C1151" s="6" t="s">
        <v>2020</v>
      </c>
      <c r="D1151" s="6" t="s">
        <v>2021</v>
      </c>
      <c r="E1151" s="3" t="s">
        <v>1477</v>
      </c>
      <c r="F1151" s="6" t="s">
        <v>2022</v>
      </c>
      <c r="G1151" s="6" t="s">
        <v>2023</v>
      </c>
      <c r="H1151" s="6" t="s">
        <v>76</v>
      </c>
      <c r="I1151" s="6" t="s">
        <v>228</v>
      </c>
      <c r="J1151" s="6" t="s">
        <v>53</v>
      </c>
      <c r="K1151" s="6" t="s">
        <v>317</v>
      </c>
      <c r="L1151" s="6" t="s">
        <v>805</v>
      </c>
      <c r="M1151" s="6" t="s">
        <v>311</v>
      </c>
      <c r="N1151" s="6" t="s">
        <v>636</v>
      </c>
      <c r="O1151" s="6" t="s">
        <v>62</v>
      </c>
      <c r="P1151" s="6" t="s">
        <v>2024</v>
      </c>
      <c r="Q1151" s="6" t="s">
        <v>70</v>
      </c>
      <c r="R1151" s="6" t="s">
        <v>57</v>
      </c>
      <c r="S1151" s="6" t="s">
        <v>1219</v>
      </c>
      <c r="T1151" s="131">
        <v>1.421</v>
      </c>
      <c r="U1151" s="6" t="s">
        <v>1516</v>
      </c>
      <c r="V1151" s="134">
        <v>2.75E-2</v>
      </c>
      <c r="W1151" s="132">
        <v>5.0349999999999999E-2</v>
      </c>
      <c r="X1151" s="3" t="s">
        <v>620</v>
      </c>
      <c r="Y1151" s="3" t="s">
        <v>62</v>
      </c>
      <c r="Z1151" s="131">
        <v>27943.71</v>
      </c>
      <c r="AA1151" s="129">
        <v>1</v>
      </c>
      <c r="AB1151" s="157">
        <v>96.95</v>
      </c>
      <c r="AD1151" s="131">
        <v>27.091000000000001</v>
      </c>
      <c r="AG1151" s="6" t="s">
        <v>17</v>
      </c>
      <c r="AH1151" s="132">
        <v>3.77E-4</v>
      </c>
      <c r="AI1151" s="132">
        <v>9.7617765735274001E-4</v>
      </c>
      <c r="AJ1151" s="132">
        <v>2.2290478297387099E-4</v>
      </c>
    </row>
    <row r="1152" spans="1:36" x14ac:dyDescent="0.2">
      <c r="A1152" s="6">
        <v>559</v>
      </c>
      <c r="B1152" s="6">
        <v>7207</v>
      </c>
      <c r="C1152" s="6" t="s">
        <v>2025</v>
      </c>
      <c r="D1152" s="6" t="s">
        <v>2026</v>
      </c>
      <c r="E1152" s="3" t="s">
        <v>1477</v>
      </c>
      <c r="F1152" s="6" t="s">
        <v>2027</v>
      </c>
      <c r="G1152" s="6" t="s">
        <v>2028</v>
      </c>
      <c r="H1152" s="6" t="s">
        <v>76</v>
      </c>
      <c r="I1152" s="6" t="s">
        <v>229</v>
      </c>
      <c r="J1152" s="6" t="s">
        <v>53</v>
      </c>
      <c r="K1152" s="6" t="s">
        <v>53</v>
      </c>
      <c r="L1152" s="6" t="s">
        <v>805</v>
      </c>
      <c r="M1152" s="6" t="s">
        <v>102</v>
      </c>
      <c r="N1152" s="6" t="s">
        <v>631</v>
      </c>
      <c r="O1152" s="6" t="s">
        <v>62</v>
      </c>
      <c r="P1152" s="6" t="s">
        <v>298</v>
      </c>
      <c r="Q1152" s="6" t="s">
        <v>298</v>
      </c>
      <c r="R1152" s="6" t="s">
        <v>298</v>
      </c>
      <c r="S1152" s="6" t="s">
        <v>1219</v>
      </c>
      <c r="T1152" s="131">
        <v>3.996</v>
      </c>
      <c r="U1152" s="6" t="s">
        <v>1713</v>
      </c>
      <c r="V1152" s="134">
        <v>4.9000000000000002E-2</v>
      </c>
      <c r="W1152" s="132">
        <v>4.4699999999999997E-2</v>
      </c>
      <c r="X1152" s="3" t="s">
        <v>620</v>
      </c>
      <c r="Y1152" s="3" t="s">
        <v>62</v>
      </c>
      <c r="Z1152" s="131">
        <v>199200</v>
      </c>
      <c r="AA1152" s="129">
        <v>1</v>
      </c>
      <c r="AB1152" s="157">
        <v>103.5</v>
      </c>
      <c r="AD1152" s="131">
        <v>206.172</v>
      </c>
      <c r="AG1152" s="6" t="s">
        <v>17</v>
      </c>
      <c r="AH1152" s="132">
        <v>4.37E-4</v>
      </c>
      <c r="AI1152" s="132">
        <v>7.4289368781945099E-3</v>
      </c>
      <c r="AJ1152" s="132">
        <v>1.69635675441623E-3</v>
      </c>
    </row>
    <row r="1153" spans="1:36" x14ac:dyDescent="0.2">
      <c r="A1153" s="6">
        <v>559</v>
      </c>
      <c r="B1153" s="6">
        <v>7207</v>
      </c>
      <c r="C1153" s="6" t="s">
        <v>2029</v>
      </c>
      <c r="D1153" s="6" t="s">
        <v>2030</v>
      </c>
      <c r="E1153" s="3" t="s">
        <v>78</v>
      </c>
      <c r="F1153" s="6" t="s">
        <v>2031</v>
      </c>
      <c r="G1153" s="6" t="s">
        <v>2032</v>
      </c>
      <c r="H1153" s="6" t="s">
        <v>76</v>
      </c>
      <c r="I1153" s="6" t="s">
        <v>230</v>
      </c>
      <c r="J1153" s="6" t="s">
        <v>53</v>
      </c>
      <c r="K1153" s="6" t="s">
        <v>314</v>
      </c>
      <c r="L1153" s="6" t="s">
        <v>805</v>
      </c>
      <c r="M1153" s="6" t="s">
        <v>311</v>
      </c>
      <c r="N1153" s="6" t="s">
        <v>633</v>
      </c>
      <c r="O1153" s="6" t="s">
        <v>62</v>
      </c>
      <c r="P1153" s="6" t="s">
        <v>1521</v>
      </c>
      <c r="Q1153" s="6" t="s">
        <v>70</v>
      </c>
      <c r="R1153" s="6" t="s">
        <v>57</v>
      </c>
      <c r="S1153" s="6" t="s">
        <v>1219</v>
      </c>
      <c r="T1153" s="131">
        <v>1.1160000000000001</v>
      </c>
      <c r="U1153" s="6" t="s">
        <v>2033</v>
      </c>
      <c r="V1153" s="134">
        <v>7.9135999999999998E-2</v>
      </c>
      <c r="W1153" s="132">
        <v>5.5309999999999998E-2</v>
      </c>
      <c r="X1153" s="3" t="s">
        <v>620</v>
      </c>
      <c r="Y1153" s="3" t="s">
        <v>62</v>
      </c>
      <c r="Z1153" s="131">
        <v>25000</v>
      </c>
      <c r="AA1153" s="129">
        <v>1</v>
      </c>
      <c r="AB1153" s="157">
        <v>95.62</v>
      </c>
      <c r="AD1153" s="131">
        <v>23.905000000000001</v>
      </c>
      <c r="AG1153" s="6" t="s">
        <v>17</v>
      </c>
      <c r="AH1153" s="132">
        <v>5.8999999999999998E-5</v>
      </c>
      <c r="AI1153" s="132">
        <v>8.6136204757794404E-4</v>
      </c>
      <c r="AJ1153" s="132">
        <v>1.9668727186193999E-4</v>
      </c>
    </row>
    <row r="1154" spans="1:36" x14ac:dyDescent="0.2">
      <c r="A1154" s="6">
        <v>559</v>
      </c>
      <c r="B1154" s="6">
        <v>7207</v>
      </c>
      <c r="C1154" s="6" t="s">
        <v>2034</v>
      </c>
      <c r="D1154" s="6" t="s">
        <v>2035</v>
      </c>
      <c r="E1154" s="3" t="s">
        <v>1477</v>
      </c>
      <c r="F1154" s="6" t="s">
        <v>2036</v>
      </c>
      <c r="G1154" s="6" t="s">
        <v>2037</v>
      </c>
      <c r="H1154" s="6" t="s">
        <v>76</v>
      </c>
      <c r="I1154" s="6" t="s">
        <v>229</v>
      </c>
      <c r="J1154" s="6" t="s">
        <v>53</v>
      </c>
      <c r="K1154" s="6" t="s">
        <v>53</v>
      </c>
      <c r="L1154" s="6" t="s">
        <v>805</v>
      </c>
      <c r="M1154" s="6" t="s">
        <v>311</v>
      </c>
      <c r="N1154" s="6" t="s">
        <v>635</v>
      </c>
      <c r="O1154" s="6" t="s">
        <v>62</v>
      </c>
      <c r="P1154" s="6" t="s">
        <v>1965</v>
      </c>
      <c r="Q1154" s="6" t="s">
        <v>70</v>
      </c>
      <c r="R1154" s="6" t="s">
        <v>57</v>
      </c>
      <c r="S1154" s="6" t="s">
        <v>1219</v>
      </c>
      <c r="T1154" s="131">
        <v>2.21</v>
      </c>
      <c r="U1154" s="6" t="s">
        <v>2038</v>
      </c>
      <c r="V1154" s="134">
        <v>1.9599999999999999E-2</v>
      </c>
      <c r="W1154" s="132">
        <v>2.9499999999999998E-2</v>
      </c>
      <c r="X1154" s="3" t="s">
        <v>620</v>
      </c>
      <c r="Y1154" s="3" t="s">
        <v>62</v>
      </c>
      <c r="Z1154" s="131">
        <v>200000.06</v>
      </c>
      <c r="AA1154" s="129">
        <v>1</v>
      </c>
      <c r="AB1154" s="157">
        <v>115.75</v>
      </c>
      <c r="AD1154" s="131">
        <v>231.5</v>
      </c>
      <c r="AG1154" s="6" t="s">
        <v>17</v>
      </c>
      <c r="AH1154" s="132">
        <v>1.75E-4</v>
      </c>
      <c r="AI1154" s="132">
        <v>8.3415759814218001E-3</v>
      </c>
      <c r="AJ1154" s="132">
        <v>1.90475285906589E-3</v>
      </c>
    </row>
    <row r="1155" spans="1:36" x14ac:dyDescent="0.2">
      <c r="A1155" s="6">
        <v>559</v>
      </c>
      <c r="B1155" s="6">
        <v>7207</v>
      </c>
      <c r="C1155" s="6" t="s">
        <v>2034</v>
      </c>
      <c r="D1155" s="6" t="s">
        <v>2035</v>
      </c>
      <c r="E1155" s="3" t="s">
        <v>1477</v>
      </c>
      <c r="F1155" s="6" t="s">
        <v>2039</v>
      </c>
      <c r="G1155" s="6" t="s">
        <v>2040</v>
      </c>
      <c r="H1155" s="6" t="s">
        <v>76</v>
      </c>
      <c r="I1155" s="6" t="s">
        <v>229</v>
      </c>
      <c r="J1155" s="6" t="s">
        <v>53</v>
      </c>
      <c r="K1155" s="6" t="s">
        <v>53</v>
      </c>
      <c r="L1155" s="6" t="s">
        <v>805</v>
      </c>
      <c r="M1155" s="6" t="s">
        <v>311</v>
      </c>
      <c r="N1155" s="6" t="s">
        <v>635</v>
      </c>
      <c r="O1155" s="6" t="s">
        <v>62</v>
      </c>
      <c r="P1155" s="6" t="s">
        <v>1965</v>
      </c>
      <c r="Q1155" s="6" t="s">
        <v>70</v>
      </c>
      <c r="R1155" s="6" t="s">
        <v>57</v>
      </c>
      <c r="S1155" s="6" t="s">
        <v>1219</v>
      </c>
      <c r="T1155" s="131">
        <v>5.9009999999999998</v>
      </c>
      <c r="U1155" s="6" t="s">
        <v>2041</v>
      </c>
      <c r="V1155" s="134">
        <v>1.5800000000000002E-2</v>
      </c>
      <c r="W1155" s="132">
        <v>3.0099999999999998E-2</v>
      </c>
      <c r="X1155" s="3" t="s">
        <v>620</v>
      </c>
      <c r="Y1155" s="3" t="s">
        <v>62</v>
      </c>
      <c r="Z1155" s="131">
        <v>175000.93</v>
      </c>
      <c r="AA1155" s="129">
        <v>1</v>
      </c>
      <c r="AB1155" s="157">
        <v>108.34</v>
      </c>
      <c r="AD1155" s="131">
        <v>189.596</v>
      </c>
      <c r="AG1155" s="6" t="s">
        <v>17</v>
      </c>
      <c r="AH1155" s="132">
        <v>1.5899999999999999E-4</v>
      </c>
      <c r="AI1155" s="132">
        <v>6.8316588699522101E-3</v>
      </c>
      <c r="AJ1155" s="132">
        <v>1.5599716161173601E-3</v>
      </c>
    </row>
    <row r="1156" spans="1:36" x14ac:dyDescent="0.2">
      <c r="A1156" s="6">
        <v>559</v>
      </c>
      <c r="B1156" s="6">
        <v>7207</v>
      </c>
      <c r="C1156" s="6" t="s">
        <v>2034</v>
      </c>
      <c r="D1156" s="6" t="s">
        <v>2035</v>
      </c>
      <c r="E1156" s="3" t="s">
        <v>1477</v>
      </c>
      <c r="F1156" s="6" t="s">
        <v>2042</v>
      </c>
      <c r="G1156" s="6" t="s">
        <v>2043</v>
      </c>
      <c r="H1156" s="6" t="s">
        <v>76</v>
      </c>
      <c r="I1156" s="6" t="s">
        <v>229</v>
      </c>
      <c r="J1156" s="6" t="s">
        <v>53</v>
      </c>
      <c r="K1156" s="6" t="s">
        <v>53</v>
      </c>
      <c r="L1156" s="6" t="s">
        <v>805</v>
      </c>
      <c r="M1156" s="6" t="s">
        <v>1227</v>
      </c>
      <c r="N1156" s="6" t="s">
        <v>635</v>
      </c>
      <c r="O1156" s="6" t="s">
        <v>62</v>
      </c>
      <c r="P1156" s="6" t="s">
        <v>1533</v>
      </c>
      <c r="Q1156" s="6" t="s">
        <v>65</v>
      </c>
      <c r="R1156" s="6" t="s">
        <v>57</v>
      </c>
      <c r="S1156" s="6" t="s">
        <v>1219</v>
      </c>
      <c r="T1156" s="131">
        <v>7.1980000000000004</v>
      </c>
      <c r="U1156" s="6" t="s">
        <v>2044</v>
      </c>
      <c r="V1156" s="134">
        <v>0.03</v>
      </c>
      <c r="W1156" s="132">
        <v>3.1690000000000003E-2</v>
      </c>
      <c r="X1156" s="3" t="s">
        <v>620</v>
      </c>
      <c r="Y1156" s="3" t="s">
        <v>62</v>
      </c>
      <c r="Z1156" s="131">
        <v>96000</v>
      </c>
      <c r="AA1156" s="129">
        <v>1</v>
      </c>
      <c r="AB1156" s="157">
        <v>104.37</v>
      </c>
      <c r="AD1156" s="131">
        <v>100.19499999999999</v>
      </c>
      <c r="AG1156" s="6" t="s">
        <v>17</v>
      </c>
      <c r="AH1156" s="132">
        <v>2.1699999999999999E-4</v>
      </c>
      <c r="AI1156" s="132">
        <v>3.6103050671190801E-3</v>
      </c>
      <c r="AJ1156" s="132">
        <v>8.2439324583398802E-4</v>
      </c>
    </row>
    <row r="1157" spans="1:36" x14ac:dyDescent="0.2">
      <c r="A1157" s="6">
        <v>559</v>
      </c>
      <c r="B1157" s="6">
        <v>7207</v>
      </c>
      <c r="C1157" s="6" t="s">
        <v>2045</v>
      </c>
      <c r="D1157" s="6" t="s">
        <v>2046</v>
      </c>
      <c r="E1157" s="3" t="s">
        <v>1477</v>
      </c>
      <c r="F1157" s="6" t="s">
        <v>2047</v>
      </c>
      <c r="G1157" s="6" t="s">
        <v>2048</v>
      </c>
      <c r="H1157" s="6" t="s">
        <v>76</v>
      </c>
      <c r="I1157" s="6" t="s">
        <v>228</v>
      </c>
      <c r="J1157" s="6" t="s">
        <v>53</v>
      </c>
      <c r="K1157" s="6" t="s">
        <v>53</v>
      </c>
      <c r="L1157" s="6" t="s">
        <v>805</v>
      </c>
      <c r="M1157" s="6" t="s">
        <v>311</v>
      </c>
      <c r="N1157" s="6" t="s">
        <v>260</v>
      </c>
      <c r="O1157" s="6" t="s">
        <v>62</v>
      </c>
      <c r="P1157" s="6" t="s">
        <v>1493</v>
      </c>
      <c r="Q1157" s="6" t="s">
        <v>65</v>
      </c>
      <c r="R1157" s="6" t="s">
        <v>57</v>
      </c>
      <c r="S1157" s="6" t="s">
        <v>1219</v>
      </c>
      <c r="T1157" s="131">
        <v>1.0999999999999999E-2</v>
      </c>
      <c r="U1157" s="6" t="s">
        <v>2049</v>
      </c>
      <c r="V1157" s="134">
        <v>4.1399999999999999E-2</v>
      </c>
      <c r="W1157" s="132">
        <v>0.11332</v>
      </c>
      <c r="X1157" s="3" t="s">
        <v>620</v>
      </c>
      <c r="Y1157" s="3" t="s">
        <v>62</v>
      </c>
      <c r="Z1157" s="131">
        <v>69000</v>
      </c>
      <c r="AA1157" s="129">
        <v>1</v>
      </c>
      <c r="AB1157" s="157">
        <v>101.95</v>
      </c>
      <c r="AD1157" s="131">
        <v>70.346000000000004</v>
      </c>
      <c r="AG1157" s="6" t="s">
        <v>17</v>
      </c>
      <c r="AH1157" s="132">
        <v>6.1300000000000005E-4</v>
      </c>
      <c r="AI1157" s="132">
        <v>2.5347393397989601E-3</v>
      </c>
      <c r="AJ1157" s="132">
        <v>5.7879374535720995E-4</v>
      </c>
    </row>
    <row r="1158" spans="1:36" x14ac:dyDescent="0.2">
      <c r="A1158" s="6">
        <v>559</v>
      </c>
      <c r="B1158" s="6">
        <v>7207</v>
      </c>
      <c r="C1158" s="6" t="s">
        <v>2050</v>
      </c>
      <c r="D1158" s="6" t="s">
        <v>2051</v>
      </c>
      <c r="E1158" s="3" t="s">
        <v>767</v>
      </c>
      <c r="F1158" s="6" t="s">
        <v>2052</v>
      </c>
      <c r="G1158" s="6" t="s">
        <v>2053</v>
      </c>
      <c r="H1158" s="6" t="s">
        <v>76</v>
      </c>
      <c r="I1158" s="6" t="s">
        <v>228</v>
      </c>
      <c r="J1158" s="6" t="s">
        <v>53</v>
      </c>
      <c r="K1158" s="6" t="s">
        <v>53</v>
      </c>
      <c r="L1158" s="6" t="s">
        <v>805</v>
      </c>
      <c r="M1158" s="6" t="s">
        <v>1227</v>
      </c>
      <c r="N1158" s="6" t="s">
        <v>636</v>
      </c>
      <c r="O1158" s="6" t="s">
        <v>62</v>
      </c>
      <c r="P1158" s="6" t="s">
        <v>1493</v>
      </c>
      <c r="Q1158" s="6" t="s">
        <v>65</v>
      </c>
      <c r="R1158" s="6" t="s">
        <v>57</v>
      </c>
      <c r="S1158" s="6" t="s">
        <v>1219</v>
      </c>
      <c r="T1158" s="131">
        <v>2.948</v>
      </c>
      <c r="U1158" s="6" t="s">
        <v>2054</v>
      </c>
      <c r="V1158" s="134">
        <v>6.3899999999999998E-2</v>
      </c>
      <c r="W1158" s="132">
        <v>5.4820000000000001E-2</v>
      </c>
      <c r="X1158" s="3" t="s">
        <v>620</v>
      </c>
      <c r="Y1158" s="3" t="s">
        <v>62</v>
      </c>
      <c r="Z1158" s="131">
        <v>51000</v>
      </c>
      <c r="AA1158" s="129">
        <v>1</v>
      </c>
      <c r="AB1158" s="157">
        <v>104.47</v>
      </c>
      <c r="AD1158" s="131">
        <v>53.28</v>
      </c>
      <c r="AG1158" s="6" t="s">
        <v>17</v>
      </c>
      <c r="AH1158" s="132">
        <v>1.2400000000000001E-4</v>
      </c>
      <c r="AI1158" s="132">
        <v>1.91981223536242E-3</v>
      </c>
      <c r="AJ1158" s="132">
        <v>4.3837853330360197E-4</v>
      </c>
    </row>
    <row r="1159" spans="1:36" x14ac:dyDescent="0.2">
      <c r="A1159" s="6">
        <v>559</v>
      </c>
      <c r="B1159" s="6">
        <v>7207</v>
      </c>
      <c r="C1159" s="6" t="s">
        <v>2050</v>
      </c>
      <c r="D1159" s="6" t="s">
        <v>2051</v>
      </c>
      <c r="E1159" s="3" t="s">
        <v>767</v>
      </c>
      <c r="F1159" s="6" t="s">
        <v>2055</v>
      </c>
      <c r="G1159" s="6" t="s">
        <v>2056</v>
      </c>
      <c r="H1159" s="6" t="s">
        <v>76</v>
      </c>
      <c r="I1159" s="6" t="s">
        <v>228</v>
      </c>
      <c r="J1159" s="6" t="s">
        <v>53</v>
      </c>
      <c r="K1159" s="6" t="s">
        <v>314</v>
      </c>
      <c r="L1159" s="6" t="s">
        <v>805</v>
      </c>
      <c r="M1159" s="6" t="s">
        <v>102</v>
      </c>
      <c r="N1159" s="6" t="s">
        <v>636</v>
      </c>
      <c r="O1159" s="6" t="s">
        <v>62</v>
      </c>
      <c r="P1159" s="6" t="s">
        <v>1493</v>
      </c>
      <c r="Q1159" s="6" t="s">
        <v>65</v>
      </c>
      <c r="R1159" s="6" t="s">
        <v>57</v>
      </c>
      <c r="S1159" s="6" t="s">
        <v>1219</v>
      </c>
      <c r="T1159" s="131">
        <v>2.097</v>
      </c>
      <c r="U1159" s="6" t="s">
        <v>1280</v>
      </c>
      <c r="V1159" s="134">
        <v>6.4399999999999999E-2</v>
      </c>
      <c r="W1159" s="132">
        <v>5.6160000000000002E-2</v>
      </c>
      <c r="X1159" s="3" t="s">
        <v>620</v>
      </c>
      <c r="Y1159" s="3" t="s">
        <v>62</v>
      </c>
      <c r="Z1159" s="131">
        <v>65385.2</v>
      </c>
      <c r="AA1159" s="129">
        <v>1</v>
      </c>
      <c r="AB1159" s="157">
        <v>103.5</v>
      </c>
      <c r="AD1159" s="131">
        <v>67.674000000000007</v>
      </c>
      <c r="AG1159" s="6" t="s">
        <v>17</v>
      </c>
      <c r="AH1159" s="132">
        <v>1.47E-4</v>
      </c>
      <c r="AI1159" s="132">
        <v>2.4384664837757198E-3</v>
      </c>
      <c r="AJ1159" s="132">
        <v>5.5681036977337298E-4</v>
      </c>
    </row>
    <row r="1160" spans="1:36" x14ac:dyDescent="0.2">
      <c r="A1160" s="6">
        <v>559</v>
      </c>
      <c r="B1160" s="6">
        <v>7207</v>
      </c>
      <c r="C1160" s="6" t="s">
        <v>2057</v>
      </c>
      <c r="D1160" s="6" t="s">
        <v>2058</v>
      </c>
      <c r="E1160" s="3" t="s">
        <v>1477</v>
      </c>
      <c r="F1160" s="6" t="s">
        <v>2059</v>
      </c>
      <c r="G1160" s="6" t="s">
        <v>2060</v>
      </c>
      <c r="H1160" s="6" t="s">
        <v>76</v>
      </c>
      <c r="I1160" s="6" t="s">
        <v>229</v>
      </c>
      <c r="J1160" s="6" t="s">
        <v>53</v>
      </c>
      <c r="K1160" s="6" t="s">
        <v>53</v>
      </c>
      <c r="L1160" s="6" t="s">
        <v>805</v>
      </c>
      <c r="M1160" s="6" t="s">
        <v>311</v>
      </c>
      <c r="N1160" s="6" t="s">
        <v>635</v>
      </c>
      <c r="O1160" s="6" t="s">
        <v>62</v>
      </c>
      <c r="P1160" s="6" t="s">
        <v>1339</v>
      </c>
      <c r="Q1160" s="6" t="s">
        <v>65</v>
      </c>
      <c r="R1160" s="6" t="s">
        <v>57</v>
      </c>
      <c r="S1160" s="6" t="s">
        <v>1219</v>
      </c>
      <c r="T1160" s="131">
        <v>2.6779999999999999</v>
      </c>
      <c r="U1160" s="6" t="s">
        <v>2061</v>
      </c>
      <c r="V1160" s="134">
        <v>1.34E-2</v>
      </c>
      <c r="W1160" s="132">
        <v>2.8029999999999999E-2</v>
      </c>
      <c r="X1160" s="3" t="s">
        <v>620</v>
      </c>
      <c r="Y1160" s="3" t="s">
        <v>62</v>
      </c>
      <c r="Z1160" s="131">
        <v>310000.32</v>
      </c>
      <c r="AA1160" s="129">
        <v>1</v>
      </c>
      <c r="AB1160" s="157">
        <v>114.07</v>
      </c>
      <c r="AC1160" s="131">
        <v>39.463999999999999</v>
      </c>
      <c r="AD1160" s="131">
        <v>393.08100000000002</v>
      </c>
      <c r="AG1160" s="6" t="s">
        <v>17</v>
      </c>
      <c r="AH1160" s="132">
        <v>1.3999999999999999E-4</v>
      </c>
      <c r="AI1160" s="132">
        <v>1.4163785480829199E-2</v>
      </c>
      <c r="AJ1160" s="132">
        <v>3.2342222800453299E-3</v>
      </c>
    </row>
    <row r="1161" spans="1:36" x14ac:dyDescent="0.2">
      <c r="A1161" s="6">
        <v>559</v>
      </c>
      <c r="B1161" s="6">
        <v>7207</v>
      </c>
      <c r="C1161" s="6" t="s">
        <v>2057</v>
      </c>
      <c r="D1161" s="6" t="s">
        <v>2058</v>
      </c>
      <c r="E1161" s="3" t="s">
        <v>1477</v>
      </c>
      <c r="F1161" s="6" t="s">
        <v>2062</v>
      </c>
      <c r="G1161" s="6" t="s">
        <v>2063</v>
      </c>
      <c r="H1161" s="6" t="s">
        <v>76</v>
      </c>
      <c r="I1161" s="6" t="s">
        <v>229</v>
      </c>
      <c r="J1161" s="6" t="s">
        <v>53</v>
      </c>
      <c r="K1161" s="6" t="s">
        <v>53</v>
      </c>
      <c r="L1161" s="6" t="s">
        <v>805</v>
      </c>
      <c r="M1161" s="6" t="s">
        <v>311</v>
      </c>
      <c r="N1161" s="6" t="s">
        <v>635</v>
      </c>
      <c r="O1161" s="6" t="s">
        <v>62</v>
      </c>
      <c r="P1161" s="6" t="s">
        <v>2024</v>
      </c>
      <c r="Q1161" s="6" t="s">
        <v>70</v>
      </c>
      <c r="R1161" s="6" t="s">
        <v>57</v>
      </c>
      <c r="S1161" s="6" t="s">
        <v>1219</v>
      </c>
      <c r="T1161" s="131">
        <v>1.9570000000000001</v>
      </c>
      <c r="U1161" s="6" t="s">
        <v>1544</v>
      </c>
      <c r="V1161" s="134">
        <v>1.77E-2</v>
      </c>
      <c r="W1161" s="132">
        <v>2.8219999999999999E-2</v>
      </c>
      <c r="X1161" s="3" t="s">
        <v>620</v>
      </c>
      <c r="Y1161" s="3" t="s">
        <v>62</v>
      </c>
      <c r="Z1161" s="131">
        <v>153750.64000000001</v>
      </c>
      <c r="AA1161" s="129">
        <v>1</v>
      </c>
      <c r="AB1161" s="157">
        <v>114.73</v>
      </c>
      <c r="AD1161" s="131">
        <v>176.398</v>
      </c>
      <c r="AG1161" s="6" t="s">
        <v>17</v>
      </c>
      <c r="AH1161" s="132">
        <v>6.3E-5</v>
      </c>
      <c r="AI1161" s="132">
        <v>6.3561027647524703E-3</v>
      </c>
      <c r="AJ1161" s="132">
        <v>1.45138100289956E-3</v>
      </c>
    </row>
    <row r="1162" spans="1:36" x14ac:dyDescent="0.2">
      <c r="A1162" s="6">
        <v>559</v>
      </c>
      <c r="B1162" s="6">
        <v>7207</v>
      </c>
      <c r="C1162" s="6" t="s">
        <v>2064</v>
      </c>
      <c r="D1162" s="6" t="s">
        <v>2065</v>
      </c>
      <c r="E1162" s="3" t="s">
        <v>1477</v>
      </c>
      <c r="F1162" s="6" t="s">
        <v>2066</v>
      </c>
      <c r="G1162" s="6" t="s">
        <v>2067</v>
      </c>
      <c r="H1162" s="6" t="s">
        <v>76</v>
      </c>
      <c r="I1162" s="6" t="s">
        <v>228</v>
      </c>
      <c r="J1162" s="6" t="s">
        <v>53</v>
      </c>
      <c r="K1162" s="6" t="s">
        <v>53</v>
      </c>
      <c r="L1162" s="6" t="s">
        <v>805</v>
      </c>
      <c r="M1162" s="6" t="s">
        <v>311</v>
      </c>
      <c r="N1162" s="6" t="s">
        <v>635</v>
      </c>
      <c r="O1162" s="6" t="s">
        <v>62</v>
      </c>
      <c r="P1162" s="6" t="s">
        <v>1213</v>
      </c>
      <c r="Q1162" s="6" t="s">
        <v>65</v>
      </c>
      <c r="R1162" s="6" t="s">
        <v>57</v>
      </c>
      <c r="S1162" s="6" t="s">
        <v>1219</v>
      </c>
      <c r="T1162" s="131">
        <v>1.4550000000000001</v>
      </c>
      <c r="U1162" s="6" t="s">
        <v>1733</v>
      </c>
      <c r="V1162" s="134">
        <v>1.44E-2</v>
      </c>
      <c r="W1162" s="132">
        <v>4.3180000000000003E-2</v>
      </c>
      <c r="X1162" s="3" t="s">
        <v>620</v>
      </c>
      <c r="Y1162" s="3" t="s">
        <v>62</v>
      </c>
      <c r="Z1162" s="131">
        <v>444000.68</v>
      </c>
      <c r="AA1162" s="129">
        <v>1</v>
      </c>
      <c r="AB1162" s="157">
        <v>96.34</v>
      </c>
      <c r="AD1162" s="131">
        <v>427.75</v>
      </c>
      <c r="AG1162" s="6" t="s">
        <v>17</v>
      </c>
      <c r="AH1162" s="132">
        <v>1.48E-3</v>
      </c>
      <c r="AI1162" s="132">
        <v>1.54130029531588E-2</v>
      </c>
      <c r="AJ1162" s="132">
        <v>3.51947419854542E-3</v>
      </c>
    </row>
    <row r="1163" spans="1:36" x14ac:dyDescent="0.2">
      <c r="A1163" s="6">
        <v>559</v>
      </c>
      <c r="B1163" s="6">
        <v>7207</v>
      </c>
      <c r="C1163" s="6" t="s">
        <v>2068</v>
      </c>
      <c r="D1163" s="6" t="s">
        <v>2069</v>
      </c>
      <c r="E1163" s="3" t="s">
        <v>1477</v>
      </c>
      <c r="F1163" s="6" t="s">
        <v>2070</v>
      </c>
      <c r="G1163" s="6" t="s">
        <v>2071</v>
      </c>
      <c r="H1163" s="6" t="s">
        <v>76</v>
      </c>
      <c r="I1163" s="6" t="s">
        <v>228</v>
      </c>
      <c r="J1163" s="6" t="s">
        <v>53</v>
      </c>
      <c r="K1163" s="6" t="s">
        <v>53</v>
      </c>
      <c r="L1163" s="6" t="s">
        <v>805</v>
      </c>
      <c r="M1163" s="6" t="s">
        <v>311</v>
      </c>
      <c r="N1163" s="6" t="s">
        <v>140</v>
      </c>
      <c r="O1163" s="6" t="s">
        <v>62</v>
      </c>
      <c r="P1163" s="6" t="s">
        <v>1604</v>
      </c>
      <c r="Q1163" s="6" t="s">
        <v>70</v>
      </c>
      <c r="R1163" s="6" t="s">
        <v>57</v>
      </c>
      <c r="S1163" s="6" t="s">
        <v>1219</v>
      </c>
      <c r="T1163" s="131">
        <v>1.5840000000000001</v>
      </c>
      <c r="U1163" s="6" t="s">
        <v>1605</v>
      </c>
      <c r="V1163" s="134">
        <v>7.3999999999999996E-2</v>
      </c>
      <c r="W1163" s="132">
        <v>5.2659999999999998E-2</v>
      </c>
      <c r="X1163" s="3" t="s">
        <v>620</v>
      </c>
      <c r="Y1163" s="3" t="s">
        <v>62</v>
      </c>
      <c r="Z1163" s="131">
        <v>7000</v>
      </c>
      <c r="AA1163" s="129">
        <v>1</v>
      </c>
      <c r="AB1163" s="157">
        <v>103.44</v>
      </c>
      <c r="AD1163" s="131">
        <v>7.2409999999999997</v>
      </c>
      <c r="AG1163" s="6" t="s">
        <v>17</v>
      </c>
      <c r="AH1163" s="132">
        <v>6.7000000000000002E-5</v>
      </c>
      <c r="AI1163" s="132">
        <v>2.60905681409846E-4</v>
      </c>
      <c r="AJ1163" s="132">
        <v>5.9576373064126202E-5</v>
      </c>
    </row>
    <row r="1164" spans="1:36" x14ac:dyDescent="0.2">
      <c r="A1164" s="6">
        <v>559</v>
      </c>
      <c r="B1164" s="6">
        <v>7207</v>
      </c>
      <c r="C1164" s="6" t="s">
        <v>2072</v>
      </c>
      <c r="D1164" s="6" t="s">
        <v>2073</v>
      </c>
      <c r="E1164" s="3" t="s">
        <v>1477</v>
      </c>
      <c r="F1164" s="6" t="s">
        <v>2074</v>
      </c>
      <c r="G1164" s="6" t="s">
        <v>2075</v>
      </c>
      <c r="H1164" s="6" t="s">
        <v>76</v>
      </c>
      <c r="I1164" s="6" t="s">
        <v>228</v>
      </c>
      <c r="J1164" s="6" t="s">
        <v>53</v>
      </c>
      <c r="K1164" s="6" t="s">
        <v>53</v>
      </c>
      <c r="L1164" s="6" t="s">
        <v>805</v>
      </c>
      <c r="M1164" s="6" t="s">
        <v>102</v>
      </c>
      <c r="N1164" s="6" t="s">
        <v>256</v>
      </c>
      <c r="O1164" s="6" t="s">
        <v>62</v>
      </c>
      <c r="P1164" s="6" t="s">
        <v>1213</v>
      </c>
      <c r="Q1164" s="6" t="s">
        <v>65</v>
      </c>
      <c r="R1164" s="6" t="s">
        <v>57</v>
      </c>
      <c r="S1164" s="6" t="s">
        <v>1219</v>
      </c>
      <c r="T1164" s="131">
        <v>4.7919999999999998</v>
      </c>
      <c r="U1164" s="6" t="s">
        <v>2076</v>
      </c>
      <c r="V1164" s="134">
        <v>4.8800000000000003E-2</v>
      </c>
      <c r="W1164" s="132">
        <v>4.4699999999999997E-2</v>
      </c>
      <c r="X1164" s="3" t="s">
        <v>620</v>
      </c>
      <c r="Y1164" s="3" t="s">
        <v>62</v>
      </c>
      <c r="Z1164" s="131">
        <v>235000</v>
      </c>
      <c r="AA1164" s="129">
        <v>1</v>
      </c>
      <c r="AB1164" s="157">
        <v>102.07</v>
      </c>
      <c r="AD1164" s="131">
        <v>239.864</v>
      </c>
      <c r="AG1164" s="6" t="s">
        <v>17</v>
      </c>
      <c r="AH1164" s="132">
        <v>1.4899999999999999E-4</v>
      </c>
      <c r="AI1164" s="132">
        <v>8.6429691219937106E-3</v>
      </c>
      <c r="AJ1164" s="132">
        <v>1.9735743200806699E-3</v>
      </c>
    </row>
    <row r="1165" spans="1:36" x14ac:dyDescent="0.2">
      <c r="A1165" s="6">
        <v>559</v>
      </c>
      <c r="B1165" s="6">
        <v>7207</v>
      </c>
      <c r="C1165" s="6" t="s">
        <v>2072</v>
      </c>
      <c r="D1165" s="6" t="s">
        <v>2073</v>
      </c>
      <c r="E1165" s="3" t="s">
        <v>1477</v>
      </c>
      <c r="F1165" s="6" t="s">
        <v>2077</v>
      </c>
      <c r="G1165" s="6" t="s">
        <v>2078</v>
      </c>
      <c r="H1165" s="6" t="s">
        <v>76</v>
      </c>
      <c r="I1165" s="6" t="s">
        <v>229</v>
      </c>
      <c r="J1165" s="6" t="s">
        <v>53</v>
      </c>
      <c r="K1165" s="6" t="s">
        <v>53</v>
      </c>
      <c r="L1165" s="6" t="s">
        <v>805</v>
      </c>
      <c r="M1165" s="6" t="s">
        <v>311</v>
      </c>
      <c r="N1165" s="6" t="s">
        <v>256</v>
      </c>
      <c r="O1165" s="6" t="s">
        <v>62</v>
      </c>
      <c r="P1165" s="6" t="s">
        <v>1213</v>
      </c>
      <c r="Q1165" s="6" t="s">
        <v>65</v>
      </c>
      <c r="R1165" s="6" t="s">
        <v>57</v>
      </c>
      <c r="S1165" s="6" t="s">
        <v>1219</v>
      </c>
      <c r="T1165" s="131">
        <v>3.335</v>
      </c>
      <c r="U1165" s="6" t="s">
        <v>2079</v>
      </c>
      <c r="V1165" s="134">
        <v>1E-3</v>
      </c>
      <c r="W1165" s="132">
        <v>2.5729999999999999E-2</v>
      </c>
      <c r="X1165" s="3" t="s">
        <v>620</v>
      </c>
      <c r="Y1165" s="3" t="s">
        <v>62</v>
      </c>
      <c r="Z1165" s="131">
        <v>169458.34</v>
      </c>
      <c r="AA1165" s="129">
        <v>1</v>
      </c>
      <c r="AB1165" s="157">
        <v>105.19</v>
      </c>
      <c r="AD1165" s="131">
        <v>178.25299999999999</v>
      </c>
      <c r="AG1165" s="6" t="s">
        <v>17</v>
      </c>
      <c r="AH1165" s="132">
        <v>1.7200000000000001E-4</v>
      </c>
      <c r="AI1165" s="132">
        <v>6.4229477232716301E-3</v>
      </c>
      <c r="AJ1165" s="132">
        <v>1.4666446804273E-3</v>
      </c>
    </row>
    <row r="1166" spans="1:36" x14ac:dyDescent="0.2">
      <c r="A1166" s="6">
        <v>559</v>
      </c>
      <c r="B1166" s="6">
        <v>7207</v>
      </c>
      <c r="C1166" s="6" t="s">
        <v>2072</v>
      </c>
      <c r="D1166" s="6" t="s">
        <v>2073</v>
      </c>
      <c r="E1166" s="3" t="s">
        <v>1477</v>
      </c>
      <c r="F1166" s="6" t="s">
        <v>2080</v>
      </c>
      <c r="G1166" s="6" t="s">
        <v>2081</v>
      </c>
      <c r="H1166" s="6" t="s">
        <v>76</v>
      </c>
      <c r="I1166" s="6" t="s">
        <v>229</v>
      </c>
      <c r="J1166" s="6" t="s">
        <v>53</v>
      </c>
      <c r="K1166" s="6" t="s">
        <v>53</v>
      </c>
      <c r="L1166" s="6" t="s">
        <v>805</v>
      </c>
      <c r="M1166" s="6" t="s">
        <v>311</v>
      </c>
      <c r="N1166" s="6" t="s">
        <v>256</v>
      </c>
      <c r="O1166" s="6" t="s">
        <v>62</v>
      </c>
      <c r="P1166" s="6" t="s">
        <v>1213</v>
      </c>
      <c r="Q1166" s="6" t="s">
        <v>65</v>
      </c>
      <c r="R1166" s="6" t="s">
        <v>57</v>
      </c>
      <c r="S1166" s="6" t="s">
        <v>1219</v>
      </c>
      <c r="T1166" s="131">
        <v>3.7149999999999999</v>
      </c>
      <c r="U1166" s="6" t="s">
        <v>2082</v>
      </c>
      <c r="V1166" s="134">
        <v>1.3899999999999999E-2</v>
      </c>
      <c r="W1166" s="132">
        <v>2.511E-2</v>
      </c>
      <c r="X1166" s="3" t="s">
        <v>620</v>
      </c>
      <c r="Y1166" s="3" t="s">
        <v>62</v>
      </c>
      <c r="Z1166" s="131">
        <v>261000.89</v>
      </c>
      <c r="AA1166" s="129">
        <v>1</v>
      </c>
      <c r="AB1166" s="157">
        <v>105.13</v>
      </c>
      <c r="AD1166" s="131">
        <v>274.39</v>
      </c>
      <c r="AG1166" s="6" t="s">
        <v>17</v>
      </c>
      <c r="AH1166" s="132">
        <v>1.63E-4</v>
      </c>
      <c r="AI1166" s="132">
        <v>9.8870251085926807E-3</v>
      </c>
      <c r="AJ1166" s="132">
        <v>2.2576476417875001E-3</v>
      </c>
    </row>
    <row r="1167" spans="1:36" x14ac:dyDescent="0.2">
      <c r="A1167" s="6">
        <v>559</v>
      </c>
      <c r="B1167" s="6">
        <v>7207</v>
      </c>
      <c r="C1167" s="6" t="s">
        <v>2072</v>
      </c>
      <c r="D1167" s="6" t="s">
        <v>2073</v>
      </c>
      <c r="E1167" s="3" t="s">
        <v>1477</v>
      </c>
      <c r="F1167" s="6" t="s">
        <v>2083</v>
      </c>
      <c r="G1167" s="6" t="s">
        <v>2084</v>
      </c>
      <c r="H1167" s="6" t="s">
        <v>76</v>
      </c>
      <c r="I1167" s="6" t="s">
        <v>229</v>
      </c>
      <c r="J1167" s="6" t="s">
        <v>53</v>
      </c>
      <c r="K1167" s="6" t="s">
        <v>53</v>
      </c>
      <c r="L1167" s="6" t="s">
        <v>805</v>
      </c>
      <c r="M1167" s="6" t="s">
        <v>311</v>
      </c>
      <c r="N1167" s="6" t="s">
        <v>256</v>
      </c>
      <c r="O1167" s="6" t="s">
        <v>62</v>
      </c>
      <c r="P1167" s="6" t="s">
        <v>1213</v>
      </c>
      <c r="Q1167" s="6" t="s">
        <v>65</v>
      </c>
      <c r="R1167" s="6" t="s">
        <v>57</v>
      </c>
      <c r="S1167" s="6" t="s">
        <v>1219</v>
      </c>
      <c r="T1167" s="131">
        <v>1.806</v>
      </c>
      <c r="U1167" s="6" t="s">
        <v>2085</v>
      </c>
      <c r="V1167" s="134">
        <v>6.0000000000000001E-3</v>
      </c>
      <c r="W1167" s="132">
        <v>2.4760000000000001E-2</v>
      </c>
      <c r="X1167" s="3" t="s">
        <v>620</v>
      </c>
      <c r="Y1167" s="3" t="s">
        <v>62</v>
      </c>
      <c r="Z1167" s="131">
        <v>301000.19</v>
      </c>
      <c r="AA1167" s="129">
        <v>1</v>
      </c>
      <c r="AB1167" s="157">
        <v>114.32</v>
      </c>
      <c r="AD1167" s="131">
        <v>344.10300000000001</v>
      </c>
      <c r="AG1167" s="6" t="s">
        <v>17</v>
      </c>
      <c r="AH1167" s="132">
        <v>4.5100000000000001E-4</v>
      </c>
      <c r="AI1167" s="132">
        <v>1.2398980298048499E-2</v>
      </c>
      <c r="AJ1167" s="132">
        <v>2.8312387521025901E-3</v>
      </c>
    </row>
    <row r="1168" spans="1:36" x14ac:dyDescent="0.2">
      <c r="A1168" s="6">
        <v>559</v>
      </c>
      <c r="B1168" s="6">
        <v>7207</v>
      </c>
      <c r="C1168" s="6" t="s">
        <v>2072</v>
      </c>
      <c r="D1168" s="6" t="s">
        <v>2073</v>
      </c>
      <c r="E1168" s="3" t="s">
        <v>1477</v>
      </c>
      <c r="F1168" s="6" t="s">
        <v>2086</v>
      </c>
      <c r="G1168" s="6" t="s">
        <v>2087</v>
      </c>
      <c r="H1168" s="6" t="s">
        <v>76</v>
      </c>
      <c r="I1168" s="6" t="s">
        <v>229</v>
      </c>
      <c r="J1168" s="6" t="s">
        <v>53</v>
      </c>
      <c r="K1168" s="6" t="s">
        <v>53</v>
      </c>
      <c r="L1168" s="6" t="s">
        <v>805</v>
      </c>
      <c r="M1168" s="6" t="s">
        <v>311</v>
      </c>
      <c r="N1168" s="6" t="s">
        <v>256</v>
      </c>
      <c r="O1168" s="6" t="s">
        <v>62</v>
      </c>
      <c r="P1168" s="6" t="s">
        <v>1213</v>
      </c>
      <c r="Q1168" s="6" t="s">
        <v>65</v>
      </c>
      <c r="R1168" s="6" t="s">
        <v>57</v>
      </c>
      <c r="S1168" s="6" t="s">
        <v>1219</v>
      </c>
      <c r="T1168" s="131">
        <v>2.8039999999999998</v>
      </c>
      <c r="U1168" s="6" t="s">
        <v>2088</v>
      </c>
      <c r="V1168" s="134">
        <v>1.7500000000000002E-2</v>
      </c>
      <c r="W1168" s="132">
        <v>2.4469999999999999E-2</v>
      </c>
      <c r="X1168" s="3" t="s">
        <v>620</v>
      </c>
      <c r="Y1168" s="3" t="s">
        <v>62</v>
      </c>
      <c r="Z1168" s="131">
        <v>778000.83</v>
      </c>
      <c r="AA1168" s="129">
        <v>1</v>
      </c>
      <c r="AB1168" s="157">
        <v>115.29</v>
      </c>
      <c r="AD1168" s="131">
        <v>896.95699999999999</v>
      </c>
      <c r="AG1168" s="6" t="s">
        <v>17</v>
      </c>
      <c r="AH1168" s="132">
        <v>3.4900000000000003E-4</v>
      </c>
      <c r="AI1168" s="132">
        <v>3.2319801433302799E-2</v>
      </c>
      <c r="AJ1168" s="132">
        <v>7.3800483651570801E-3</v>
      </c>
    </row>
    <row r="1169" spans="1:36" x14ac:dyDescent="0.2">
      <c r="A1169" s="6">
        <v>559</v>
      </c>
      <c r="B1169" s="6">
        <v>7207</v>
      </c>
      <c r="C1169" s="6" t="s">
        <v>2089</v>
      </c>
      <c r="D1169" s="6" t="s">
        <v>2090</v>
      </c>
      <c r="E1169" s="3" t="s">
        <v>1477</v>
      </c>
      <c r="F1169" s="6" t="s">
        <v>2091</v>
      </c>
      <c r="G1169" s="6" t="s">
        <v>2092</v>
      </c>
      <c r="H1169" s="6" t="s">
        <v>76</v>
      </c>
      <c r="I1169" s="6" t="s">
        <v>228</v>
      </c>
      <c r="J1169" s="6" t="s">
        <v>53</v>
      </c>
      <c r="K1169" s="6" t="s">
        <v>53</v>
      </c>
      <c r="L1169" s="6" t="s">
        <v>805</v>
      </c>
      <c r="M1169" s="6" t="s">
        <v>311</v>
      </c>
      <c r="N1169" s="6" t="s">
        <v>252</v>
      </c>
      <c r="O1169" s="6" t="s">
        <v>62</v>
      </c>
      <c r="P1169" s="6" t="s">
        <v>1577</v>
      </c>
      <c r="Q1169" s="6" t="s">
        <v>65</v>
      </c>
      <c r="R1169" s="6" t="s">
        <v>57</v>
      </c>
      <c r="S1169" s="6" t="s">
        <v>1219</v>
      </c>
      <c r="T1169" s="131">
        <v>0.90200000000000002</v>
      </c>
      <c r="U1169" s="6" t="s">
        <v>2093</v>
      </c>
      <c r="V1169" s="134">
        <v>2.29E-2</v>
      </c>
      <c r="W1169" s="132">
        <v>4.7030000000000002E-2</v>
      </c>
      <c r="X1169" s="3" t="s">
        <v>620</v>
      </c>
      <c r="Y1169" s="3" t="s">
        <v>62</v>
      </c>
      <c r="Z1169" s="131">
        <v>207000.15</v>
      </c>
      <c r="AA1169" s="129">
        <v>1</v>
      </c>
      <c r="AB1169" s="157">
        <v>98.11</v>
      </c>
      <c r="AD1169" s="131">
        <v>203.08799999999999</v>
      </c>
      <c r="AG1169" s="6" t="s">
        <v>17</v>
      </c>
      <c r="AH1169" s="132">
        <v>6.2500000000000001E-4</v>
      </c>
      <c r="AI1169" s="132">
        <v>7.3178064786547101E-3</v>
      </c>
      <c r="AJ1169" s="132">
        <v>1.6709807407319999E-3</v>
      </c>
    </row>
    <row r="1170" spans="1:36" x14ac:dyDescent="0.2">
      <c r="A1170" s="6">
        <v>559</v>
      </c>
      <c r="B1170" s="6">
        <v>7207</v>
      </c>
      <c r="C1170" s="6" t="s">
        <v>2094</v>
      </c>
      <c r="D1170" s="6" t="s">
        <v>2095</v>
      </c>
      <c r="E1170" s="3" t="s">
        <v>1477</v>
      </c>
      <c r="F1170" s="6" t="s">
        <v>2373</v>
      </c>
      <c r="G1170" s="6" t="s">
        <v>2374</v>
      </c>
      <c r="H1170" s="6" t="s">
        <v>76</v>
      </c>
      <c r="I1170" s="6" t="s">
        <v>228</v>
      </c>
      <c r="J1170" s="6" t="s">
        <v>53</v>
      </c>
      <c r="K1170" s="6" t="s">
        <v>53</v>
      </c>
      <c r="L1170" s="6" t="s">
        <v>805</v>
      </c>
      <c r="M1170" s="6" t="s">
        <v>311</v>
      </c>
      <c r="N1170" s="6" t="s">
        <v>156</v>
      </c>
      <c r="O1170" s="6" t="s">
        <v>62</v>
      </c>
      <c r="P1170" s="6" t="s">
        <v>298</v>
      </c>
      <c r="Q1170" s="6" t="s">
        <v>298</v>
      </c>
      <c r="R1170" s="6" t="s">
        <v>298</v>
      </c>
      <c r="S1170" s="6" t="s">
        <v>1219</v>
      </c>
      <c r="T1170" s="131">
        <v>1.827</v>
      </c>
      <c r="U1170" s="6" t="s">
        <v>2375</v>
      </c>
      <c r="V1170" s="134">
        <v>7.4999999999999997E-2</v>
      </c>
      <c r="W1170" s="132">
        <v>5.4579999999999997E-2</v>
      </c>
      <c r="X1170" s="3" t="s">
        <v>620</v>
      </c>
      <c r="Y1170" s="3" t="s">
        <v>62</v>
      </c>
      <c r="Z1170" s="131">
        <v>9814.2199999999993</v>
      </c>
      <c r="AA1170" s="129">
        <v>1</v>
      </c>
      <c r="AB1170" s="157">
        <v>122.27</v>
      </c>
      <c r="AD1170" s="131">
        <v>12</v>
      </c>
      <c r="AG1170" s="6" t="s">
        <v>17</v>
      </c>
      <c r="AH1170" s="132">
        <v>9.0000000000000006E-5</v>
      </c>
      <c r="AI1170" s="132">
        <v>4.3238705731443001E-4</v>
      </c>
      <c r="AJ1170" s="132">
        <v>9.8733199275177094E-5</v>
      </c>
    </row>
    <row r="1171" spans="1:36" x14ac:dyDescent="0.2">
      <c r="A1171" s="6">
        <v>559</v>
      </c>
      <c r="B1171" s="6">
        <v>7207</v>
      </c>
      <c r="C1171" s="6" t="s">
        <v>2094</v>
      </c>
      <c r="D1171" s="6" t="s">
        <v>2095</v>
      </c>
      <c r="E1171" s="3" t="s">
        <v>1477</v>
      </c>
      <c r="F1171" s="6" t="s">
        <v>2096</v>
      </c>
      <c r="G1171" s="6" t="s">
        <v>2097</v>
      </c>
      <c r="H1171" s="6" t="s">
        <v>76</v>
      </c>
      <c r="I1171" s="6" t="s">
        <v>228</v>
      </c>
      <c r="J1171" s="6" t="s">
        <v>53</v>
      </c>
      <c r="K1171" s="6" t="s">
        <v>53</v>
      </c>
      <c r="L1171" s="6" t="s">
        <v>805</v>
      </c>
      <c r="M1171" s="6" t="s">
        <v>311</v>
      </c>
      <c r="N1171" s="6" t="s">
        <v>156</v>
      </c>
      <c r="O1171" s="6" t="s">
        <v>62</v>
      </c>
      <c r="P1171" s="6" t="s">
        <v>298</v>
      </c>
      <c r="Q1171" s="6" t="s">
        <v>298</v>
      </c>
      <c r="R1171" s="6" t="s">
        <v>298</v>
      </c>
      <c r="S1171" s="6" t="s">
        <v>1219</v>
      </c>
      <c r="T1171" s="131">
        <v>2.0819999999999999</v>
      </c>
      <c r="U1171" s="6" t="s">
        <v>1634</v>
      </c>
      <c r="V1171" s="134">
        <v>0.10539999999999999</v>
      </c>
      <c r="W1171" s="132">
        <v>4.4450000000000003E-2</v>
      </c>
      <c r="X1171" s="3" t="s">
        <v>620</v>
      </c>
      <c r="Y1171" s="3" t="s">
        <v>62</v>
      </c>
      <c r="Z1171" s="131">
        <v>15000</v>
      </c>
      <c r="AA1171" s="129">
        <v>1</v>
      </c>
      <c r="AB1171" s="157">
        <v>138.33000000000001</v>
      </c>
      <c r="AD1171" s="131">
        <v>20.75</v>
      </c>
      <c r="AG1171" s="6" t="s">
        <v>17</v>
      </c>
      <c r="AH1171" s="132">
        <v>7.2999999999999999E-5</v>
      </c>
      <c r="AI1171" s="132">
        <v>7.4766081598906303E-4</v>
      </c>
      <c r="AJ1171" s="132">
        <v>1.7072422286129799E-4</v>
      </c>
    </row>
    <row r="1172" spans="1:36" x14ac:dyDescent="0.2">
      <c r="A1172" s="6">
        <v>559</v>
      </c>
      <c r="B1172" s="6">
        <v>7207</v>
      </c>
      <c r="C1172" s="6" t="s">
        <v>2376</v>
      </c>
      <c r="D1172" s="6" t="s">
        <v>2377</v>
      </c>
      <c r="E1172" s="3" t="s">
        <v>767</v>
      </c>
      <c r="F1172" s="6" t="s">
        <v>2378</v>
      </c>
      <c r="G1172" s="6" t="s">
        <v>2379</v>
      </c>
      <c r="H1172" s="6" t="s">
        <v>76</v>
      </c>
      <c r="I1172" s="6" t="s">
        <v>229</v>
      </c>
      <c r="J1172" s="6" t="s">
        <v>53</v>
      </c>
      <c r="K1172" s="6" t="s">
        <v>53</v>
      </c>
      <c r="L1172" s="6" t="s">
        <v>805</v>
      </c>
      <c r="M1172" s="6" t="s">
        <v>311</v>
      </c>
      <c r="N1172" s="6" t="s">
        <v>140</v>
      </c>
      <c r="O1172" s="6" t="s">
        <v>62</v>
      </c>
      <c r="P1172" s="6" t="s">
        <v>298</v>
      </c>
      <c r="Q1172" s="6" t="s">
        <v>298</v>
      </c>
      <c r="R1172" s="6" t="s">
        <v>298</v>
      </c>
      <c r="S1172" s="6" t="s">
        <v>1219</v>
      </c>
      <c r="T1172" s="131">
        <v>3.1139999999999999</v>
      </c>
      <c r="U1172" s="6" t="s">
        <v>2380</v>
      </c>
      <c r="V1172" s="134">
        <v>0.06</v>
      </c>
      <c r="W1172" s="132">
        <v>1E-4</v>
      </c>
      <c r="X1172" s="3" t="s">
        <v>620</v>
      </c>
      <c r="Y1172" s="3" t="s">
        <v>55</v>
      </c>
      <c r="Z1172" s="131">
        <v>125639.11</v>
      </c>
      <c r="AA1172" s="129">
        <v>1</v>
      </c>
      <c r="AB1172" s="157">
        <v>9.77</v>
      </c>
      <c r="AD1172" s="131">
        <v>12.275</v>
      </c>
      <c r="AG1172" s="6" t="s">
        <v>17</v>
      </c>
      <c r="AH1172" s="132">
        <v>1.067E-3</v>
      </c>
      <c r="AI1172" s="132">
        <v>4.42299450079166E-4</v>
      </c>
      <c r="AJ1172" s="132">
        <v>1.00996639481304E-4</v>
      </c>
    </row>
    <row r="1173" spans="1:36" x14ac:dyDescent="0.2">
      <c r="A1173" s="6">
        <v>559</v>
      </c>
      <c r="B1173" s="6">
        <v>7207</v>
      </c>
      <c r="C1173" s="6" t="s">
        <v>2376</v>
      </c>
      <c r="D1173" s="6" t="s">
        <v>2377</v>
      </c>
      <c r="E1173" s="3" t="s">
        <v>767</v>
      </c>
      <c r="F1173" s="6" t="s">
        <v>2381</v>
      </c>
      <c r="G1173" s="6" t="s">
        <v>2382</v>
      </c>
      <c r="H1173" s="6" t="s">
        <v>76</v>
      </c>
      <c r="I1173" s="6" t="s">
        <v>229</v>
      </c>
      <c r="J1173" s="6" t="s">
        <v>53</v>
      </c>
      <c r="K1173" s="6" t="s">
        <v>53</v>
      </c>
      <c r="L1173" s="6" t="s">
        <v>805</v>
      </c>
      <c r="M1173" s="6" t="s">
        <v>311</v>
      </c>
      <c r="N1173" s="6" t="s">
        <v>140</v>
      </c>
      <c r="O1173" s="6" t="s">
        <v>62</v>
      </c>
      <c r="P1173" s="6" t="s">
        <v>298</v>
      </c>
      <c r="Q1173" s="6" t="s">
        <v>298</v>
      </c>
      <c r="R1173" s="6" t="s">
        <v>298</v>
      </c>
      <c r="S1173" s="6" t="s">
        <v>1219</v>
      </c>
      <c r="T1173" s="131">
        <v>2.9289999999999998</v>
      </c>
      <c r="U1173" s="6" t="s">
        <v>2380</v>
      </c>
      <c r="V1173" s="134">
        <v>6.9000000000000006E-2</v>
      </c>
      <c r="W1173" s="132">
        <v>1E-4</v>
      </c>
      <c r="X1173" s="3" t="s">
        <v>620</v>
      </c>
      <c r="Y1173" s="3" t="s">
        <v>55</v>
      </c>
      <c r="Z1173" s="131">
        <v>74169.070000000007</v>
      </c>
      <c r="AA1173" s="129">
        <v>1</v>
      </c>
      <c r="AB1173" s="157">
        <v>10.5</v>
      </c>
      <c r="AD1173" s="131">
        <v>7.7880000000000003</v>
      </c>
      <c r="AG1173" s="6" t="s">
        <v>17</v>
      </c>
      <c r="AH1173" s="132">
        <v>4.2900000000000002E-4</v>
      </c>
      <c r="AI1173" s="132">
        <v>2.8061385945308301E-4</v>
      </c>
      <c r="AJ1173" s="132">
        <v>6.4076626800163694E-5</v>
      </c>
    </row>
    <row r="1174" spans="1:36" x14ac:dyDescent="0.2">
      <c r="A1174" s="6">
        <v>559</v>
      </c>
      <c r="B1174" s="6">
        <v>7207</v>
      </c>
      <c r="C1174" s="6" t="s">
        <v>2098</v>
      </c>
      <c r="D1174" s="6" t="s">
        <v>2099</v>
      </c>
      <c r="E1174" s="3" t="s">
        <v>1477</v>
      </c>
      <c r="F1174" s="6" t="s">
        <v>2100</v>
      </c>
      <c r="G1174" s="6" t="s">
        <v>2101</v>
      </c>
      <c r="H1174" s="6" t="s">
        <v>76</v>
      </c>
      <c r="I1174" s="6" t="s">
        <v>228</v>
      </c>
      <c r="J1174" s="6" t="s">
        <v>53</v>
      </c>
      <c r="K1174" s="6" t="s">
        <v>53</v>
      </c>
      <c r="L1174" s="6" t="s">
        <v>805</v>
      </c>
      <c r="M1174" s="6" t="s">
        <v>311</v>
      </c>
      <c r="N1174" s="6" t="s">
        <v>269</v>
      </c>
      <c r="O1174" s="6" t="s">
        <v>62</v>
      </c>
      <c r="P1174" s="6" t="s">
        <v>1533</v>
      </c>
      <c r="Q1174" s="6" t="s">
        <v>65</v>
      </c>
      <c r="R1174" s="6" t="s">
        <v>57</v>
      </c>
      <c r="S1174" s="6" t="s">
        <v>1219</v>
      </c>
      <c r="T1174" s="131">
        <v>7.9000000000000001E-2</v>
      </c>
      <c r="U1174" s="6" t="s">
        <v>2102</v>
      </c>
      <c r="V1174" s="134">
        <v>3.61E-2</v>
      </c>
      <c r="W1174" s="132">
        <v>5.4059999999999997E-2</v>
      </c>
      <c r="X1174" s="3" t="s">
        <v>620</v>
      </c>
      <c r="Y1174" s="3" t="s">
        <v>62</v>
      </c>
      <c r="Z1174" s="131">
        <v>126000</v>
      </c>
      <c r="AA1174" s="129">
        <v>1</v>
      </c>
      <c r="AB1174" s="157">
        <v>101.38</v>
      </c>
      <c r="AD1174" s="131">
        <v>127.739</v>
      </c>
      <c r="AG1174" s="6" t="s">
        <v>17</v>
      </c>
      <c r="AH1174" s="132">
        <v>1.64E-4</v>
      </c>
      <c r="AI1174" s="132">
        <v>4.6027757508115196E-3</v>
      </c>
      <c r="AJ1174" s="132">
        <v>1.05101845149207E-3</v>
      </c>
    </row>
    <row r="1175" spans="1:36" x14ac:dyDescent="0.2">
      <c r="A1175" s="6">
        <v>559</v>
      </c>
      <c r="B1175" s="6">
        <v>7207</v>
      </c>
      <c r="C1175" s="6" t="s">
        <v>2103</v>
      </c>
      <c r="D1175" s="6" t="s">
        <v>2104</v>
      </c>
      <c r="E1175" s="3" t="s">
        <v>1477</v>
      </c>
      <c r="F1175" s="6" t="s">
        <v>2105</v>
      </c>
      <c r="G1175" s="6" t="s">
        <v>2106</v>
      </c>
      <c r="H1175" s="6" t="s">
        <v>76</v>
      </c>
      <c r="I1175" s="6" t="s">
        <v>228</v>
      </c>
      <c r="J1175" s="6" t="s">
        <v>53</v>
      </c>
      <c r="K1175" s="6" t="s">
        <v>317</v>
      </c>
      <c r="L1175" s="6" t="s">
        <v>805</v>
      </c>
      <c r="M1175" s="6" t="s">
        <v>311</v>
      </c>
      <c r="N1175" s="6" t="s">
        <v>254</v>
      </c>
      <c r="O1175" s="6" t="s">
        <v>62</v>
      </c>
      <c r="P1175" s="6" t="s">
        <v>298</v>
      </c>
      <c r="Q1175" s="6" t="s">
        <v>298</v>
      </c>
      <c r="R1175" s="6" t="s">
        <v>298</v>
      </c>
      <c r="S1175" s="6" t="s">
        <v>1219</v>
      </c>
      <c r="T1175" s="131">
        <v>0.499</v>
      </c>
      <c r="U1175" s="6" t="s">
        <v>1499</v>
      </c>
      <c r="V1175" s="134">
        <v>1.9900000000000001E-2</v>
      </c>
      <c r="W1175" s="132">
        <v>5.1869999999999999E-2</v>
      </c>
      <c r="X1175" s="3" t="s">
        <v>620</v>
      </c>
      <c r="Y1175" s="3" t="s">
        <v>62</v>
      </c>
      <c r="Z1175" s="131">
        <v>21000</v>
      </c>
      <c r="AA1175" s="129">
        <v>1</v>
      </c>
      <c r="AB1175" s="157">
        <v>98.48</v>
      </c>
      <c r="AD1175" s="131">
        <v>20.681000000000001</v>
      </c>
      <c r="AG1175" s="6" t="s">
        <v>17</v>
      </c>
      <c r="AH1175" s="132">
        <v>1.3999999999999999E-4</v>
      </c>
      <c r="AI1175" s="132">
        <v>7.4518536848148598E-4</v>
      </c>
      <c r="AJ1175" s="132">
        <v>1.70158968078746E-4</v>
      </c>
    </row>
    <row r="1176" spans="1:36" x14ac:dyDescent="0.2">
      <c r="A1176" s="6">
        <v>559</v>
      </c>
      <c r="B1176" s="6">
        <v>7207</v>
      </c>
      <c r="C1176" s="6" t="s">
        <v>2107</v>
      </c>
      <c r="D1176" s="6" t="s">
        <v>2108</v>
      </c>
      <c r="E1176" s="3" t="s">
        <v>1477</v>
      </c>
      <c r="F1176" s="6" t="s">
        <v>2109</v>
      </c>
      <c r="G1176" s="6" t="s">
        <v>2110</v>
      </c>
      <c r="H1176" s="6" t="s">
        <v>76</v>
      </c>
      <c r="I1176" s="6" t="s">
        <v>607</v>
      </c>
      <c r="J1176" s="6" t="s">
        <v>53</v>
      </c>
      <c r="K1176" s="6" t="s">
        <v>53</v>
      </c>
      <c r="L1176" s="6" t="s">
        <v>805</v>
      </c>
      <c r="M1176" s="6" t="s">
        <v>311</v>
      </c>
      <c r="N1176" s="6" t="s">
        <v>631</v>
      </c>
      <c r="O1176" s="6" t="s">
        <v>62</v>
      </c>
      <c r="P1176" s="6" t="s">
        <v>298</v>
      </c>
      <c r="Q1176" s="6" t="s">
        <v>298</v>
      </c>
      <c r="R1176" s="6" t="s">
        <v>298</v>
      </c>
      <c r="S1176" s="6" t="s">
        <v>1219</v>
      </c>
      <c r="T1176" s="131">
        <v>0.98699999999999999</v>
      </c>
      <c r="U1176" s="6" t="s">
        <v>1595</v>
      </c>
      <c r="V1176" s="134">
        <v>0.03</v>
      </c>
      <c r="W1176" s="132">
        <v>5.7160000000000002E-2</v>
      </c>
      <c r="X1176" s="3" t="s">
        <v>620</v>
      </c>
      <c r="Y1176" s="3" t="s">
        <v>62</v>
      </c>
      <c r="Z1176" s="131">
        <v>9000</v>
      </c>
      <c r="AA1176" s="129">
        <v>1</v>
      </c>
      <c r="AB1176" s="157">
        <v>97.5</v>
      </c>
      <c r="AD1176" s="131">
        <v>8.7750000000000004</v>
      </c>
      <c r="AG1176" s="6" t="s">
        <v>17</v>
      </c>
      <c r="AH1176" s="132">
        <v>3.1599999999999998E-4</v>
      </c>
      <c r="AI1176" s="132">
        <v>3.1618707247422898E-4</v>
      </c>
      <c r="AJ1176" s="132">
        <v>7.2199573753964604E-5</v>
      </c>
    </row>
    <row r="1177" spans="1:36" x14ac:dyDescent="0.2">
      <c r="A1177" s="6">
        <v>559</v>
      </c>
      <c r="B1177" s="6">
        <v>7207</v>
      </c>
      <c r="C1177" s="6" t="s">
        <v>2107</v>
      </c>
      <c r="D1177" s="6" t="s">
        <v>2108</v>
      </c>
      <c r="E1177" s="3" t="s">
        <v>1477</v>
      </c>
      <c r="F1177" s="6" t="s">
        <v>2383</v>
      </c>
      <c r="G1177" s="6" t="s">
        <v>2384</v>
      </c>
      <c r="H1177" s="6" t="s">
        <v>76</v>
      </c>
      <c r="I1177" s="6" t="s">
        <v>229</v>
      </c>
      <c r="J1177" s="6" t="s">
        <v>53</v>
      </c>
      <c r="K1177" s="6" t="s">
        <v>53</v>
      </c>
      <c r="L1177" s="6" t="s">
        <v>805</v>
      </c>
      <c r="M1177" s="6" t="s">
        <v>311</v>
      </c>
      <c r="N1177" s="6" t="s">
        <v>631</v>
      </c>
      <c r="O1177" s="6" t="s">
        <v>62</v>
      </c>
      <c r="P1177" s="6" t="s">
        <v>298</v>
      </c>
      <c r="Q1177" s="6" t="s">
        <v>298</v>
      </c>
      <c r="R1177" s="6" t="s">
        <v>298</v>
      </c>
      <c r="S1177" s="6" t="s">
        <v>1219</v>
      </c>
      <c r="T1177" s="131">
        <v>2.06</v>
      </c>
      <c r="U1177" s="6" t="s">
        <v>1544</v>
      </c>
      <c r="V1177" s="134">
        <v>0.04</v>
      </c>
      <c r="W1177" s="132">
        <v>3.6859999999999997E-2</v>
      </c>
      <c r="X1177" s="3" t="s">
        <v>620</v>
      </c>
      <c r="Y1177" s="3" t="s">
        <v>62</v>
      </c>
      <c r="Z1177" s="131">
        <v>23100</v>
      </c>
      <c r="AA1177" s="129">
        <v>1</v>
      </c>
      <c r="AB1177" s="157">
        <v>114.78</v>
      </c>
      <c r="AD1177" s="131">
        <v>26.513999999999999</v>
      </c>
      <c r="AG1177" s="6" t="s">
        <v>17</v>
      </c>
      <c r="AH1177" s="132">
        <v>3.5599999999999998E-4</v>
      </c>
      <c r="AI1177" s="132">
        <v>9.5537788641079902E-4</v>
      </c>
      <c r="AJ1177" s="132">
        <v>2.1815527002118501E-4</v>
      </c>
    </row>
    <row r="1178" spans="1:36" x14ac:dyDescent="0.2">
      <c r="A1178" s="6">
        <v>559</v>
      </c>
      <c r="B1178" s="6">
        <v>7207</v>
      </c>
      <c r="C1178" s="6" t="s">
        <v>2111</v>
      </c>
      <c r="D1178" s="6" t="s">
        <v>2112</v>
      </c>
      <c r="E1178" s="3" t="s">
        <v>1477</v>
      </c>
      <c r="F1178" s="6" t="s">
        <v>2113</v>
      </c>
      <c r="G1178" s="6" t="s">
        <v>2114</v>
      </c>
      <c r="H1178" s="6" t="s">
        <v>76</v>
      </c>
      <c r="I1178" s="6" t="s">
        <v>228</v>
      </c>
      <c r="J1178" s="6" t="s">
        <v>53</v>
      </c>
      <c r="K1178" s="6" t="s">
        <v>53</v>
      </c>
      <c r="L1178" s="6" t="s">
        <v>805</v>
      </c>
      <c r="M1178" s="6" t="s">
        <v>1227</v>
      </c>
      <c r="N1178" s="6" t="s">
        <v>140</v>
      </c>
      <c r="O1178" s="6" t="s">
        <v>62</v>
      </c>
      <c r="P1178" s="6" t="s">
        <v>1527</v>
      </c>
      <c r="Q1178" s="6" t="s">
        <v>70</v>
      </c>
      <c r="R1178" s="6" t="s">
        <v>57</v>
      </c>
      <c r="S1178" s="6" t="s">
        <v>1219</v>
      </c>
      <c r="T1178" s="131">
        <v>4.7699999999999996</v>
      </c>
      <c r="U1178" s="6" t="s">
        <v>2006</v>
      </c>
      <c r="V1178" s="134">
        <v>5.8799999999999998E-2</v>
      </c>
      <c r="W1178" s="132">
        <v>5.3900000000000003E-2</v>
      </c>
      <c r="X1178" s="3" t="s">
        <v>620</v>
      </c>
      <c r="Y1178" s="3" t="s">
        <v>62</v>
      </c>
      <c r="Z1178" s="131">
        <v>51000</v>
      </c>
      <c r="AA1178" s="129">
        <v>1</v>
      </c>
      <c r="AB1178" s="157">
        <v>102.87</v>
      </c>
      <c r="AD1178" s="131">
        <v>52.463999999999999</v>
      </c>
      <c r="AG1178" s="6" t="s">
        <v>17</v>
      </c>
      <c r="AH1178" s="132">
        <v>1.7000000000000001E-4</v>
      </c>
      <c r="AI1178" s="132">
        <v>1.89040954007592E-3</v>
      </c>
      <c r="AJ1178" s="132">
        <v>4.31664590034858E-4</v>
      </c>
    </row>
    <row r="1179" spans="1:36" x14ac:dyDescent="0.2">
      <c r="A1179" s="6">
        <v>559</v>
      </c>
      <c r="B1179" s="6">
        <v>7207</v>
      </c>
      <c r="C1179" s="6" t="s">
        <v>2115</v>
      </c>
      <c r="D1179" s="6" t="s">
        <v>2116</v>
      </c>
      <c r="E1179" s="3" t="s">
        <v>1477</v>
      </c>
      <c r="F1179" s="6" t="s">
        <v>2117</v>
      </c>
      <c r="G1179" s="6" t="s">
        <v>2118</v>
      </c>
      <c r="H1179" s="6" t="s">
        <v>76</v>
      </c>
      <c r="I1179" s="6" t="s">
        <v>228</v>
      </c>
      <c r="J1179" s="6" t="s">
        <v>53</v>
      </c>
      <c r="K1179" s="6" t="s">
        <v>53</v>
      </c>
      <c r="L1179" s="6" t="s">
        <v>805</v>
      </c>
      <c r="M1179" s="6" t="s">
        <v>311</v>
      </c>
      <c r="N1179" s="6" t="s">
        <v>636</v>
      </c>
      <c r="O1179" s="6" t="s">
        <v>62</v>
      </c>
      <c r="P1179" s="6" t="s">
        <v>1527</v>
      </c>
      <c r="Q1179" s="6" t="s">
        <v>70</v>
      </c>
      <c r="R1179" s="6" t="s">
        <v>57</v>
      </c>
      <c r="S1179" s="6" t="s">
        <v>1219</v>
      </c>
      <c r="T1179" s="131">
        <v>0.121</v>
      </c>
      <c r="U1179" s="6" t="s">
        <v>2119</v>
      </c>
      <c r="V1179" s="134">
        <v>3.5000000000000003E-2</v>
      </c>
      <c r="W1179" s="132">
        <v>2.7310000000000001E-2</v>
      </c>
      <c r="X1179" s="3" t="s">
        <v>620</v>
      </c>
      <c r="Y1179" s="3" t="s">
        <v>62</v>
      </c>
      <c r="Z1179" s="131">
        <v>14000</v>
      </c>
      <c r="AA1179" s="129">
        <v>1</v>
      </c>
      <c r="AB1179" s="157">
        <v>101.42</v>
      </c>
      <c r="AD1179" s="131">
        <v>14.199</v>
      </c>
      <c r="AG1179" s="6" t="s">
        <v>17</v>
      </c>
      <c r="AH1179" s="132">
        <v>2.92E-4</v>
      </c>
      <c r="AI1179" s="132">
        <v>5.1162131107089298E-4</v>
      </c>
      <c r="AJ1179" s="132">
        <v>1.1682590402482E-4</v>
      </c>
    </row>
    <row r="1180" spans="1:36" x14ac:dyDescent="0.2">
      <c r="A1180" s="6">
        <v>559</v>
      </c>
      <c r="B1180" s="6">
        <v>7207</v>
      </c>
      <c r="C1180" s="6" t="s">
        <v>2115</v>
      </c>
      <c r="D1180" s="6" t="s">
        <v>2116</v>
      </c>
      <c r="E1180" s="3" t="s">
        <v>1477</v>
      </c>
      <c r="F1180" s="6" t="s">
        <v>2120</v>
      </c>
      <c r="G1180" s="6" t="s">
        <v>2121</v>
      </c>
      <c r="H1180" s="6" t="s">
        <v>76</v>
      </c>
      <c r="I1180" s="6" t="s">
        <v>228</v>
      </c>
      <c r="J1180" s="6" t="s">
        <v>53</v>
      </c>
      <c r="K1180" s="6" t="s">
        <v>53</v>
      </c>
      <c r="L1180" s="6" t="s">
        <v>805</v>
      </c>
      <c r="M1180" s="6" t="s">
        <v>311</v>
      </c>
      <c r="N1180" s="6" t="s">
        <v>636</v>
      </c>
      <c r="O1180" s="6" t="s">
        <v>62</v>
      </c>
      <c r="P1180" s="6" t="s">
        <v>1527</v>
      </c>
      <c r="Q1180" s="6" t="s">
        <v>70</v>
      </c>
      <c r="R1180" s="6" t="s">
        <v>57</v>
      </c>
      <c r="S1180" s="6" t="s">
        <v>1219</v>
      </c>
      <c r="T1180" s="131">
        <v>1.014</v>
      </c>
      <c r="U1180" s="6" t="s">
        <v>1578</v>
      </c>
      <c r="V1180" s="134">
        <v>4.99E-2</v>
      </c>
      <c r="W1180" s="132">
        <v>4.6120000000000001E-2</v>
      </c>
      <c r="X1180" s="3" t="s">
        <v>620</v>
      </c>
      <c r="Y1180" s="3" t="s">
        <v>62</v>
      </c>
      <c r="Z1180" s="131">
        <v>178000.48</v>
      </c>
      <c r="AA1180" s="129">
        <v>1</v>
      </c>
      <c r="AB1180" s="157">
        <v>101.69</v>
      </c>
      <c r="AD1180" s="131">
        <v>181.00899999999999</v>
      </c>
      <c r="AG1180" s="6" t="s">
        <v>17</v>
      </c>
      <c r="AH1180" s="132">
        <v>7.1900000000000002E-4</v>
      </c>
      <c r="AI1180" s="132">
        <v>6.52223443721187E-3</v>
      </c>
      <c r="AJ1180" s="132">
        <v>1.48931625384054E-3</v>
      </c>
    </row>
    <row r="1181" spans="1:36" x14ac:dyDescent="0.2">
      <c r="A1181" s="6">
        <v>559</v>
      </c>
      <c r="B1181" s="6">
        <v>7207</v>
      </c>
      <c r="C1181" s="6" t="s">
        <v>2122</v>
      </c>
      <c r="D1181" s="6" t="s">
        <v>2123</v>
      </c>
      <c r="E1181" s="3" t="s">
        <v>1477</v>
      </c>
      <c r="F1181" s="6" t="s">
        <v>2124</v>
      </c>
      <c r="G1181" s="6" t="s">
        <v>2125</v>
      </c>
      <c r="H1181" s="6" t="s">
        <v>76</v>
      </c>
      <c r="I1181" s="6" t="s">
        <v>228</v>
      </c>
      <c r="J1181" s="6" t="s">
        <v>53</v>
      </c>
      <c r="K1181" s="6" t="s">
        <v>53</v>
      </c>
      <c r="L1181" s="6" t="s">
        <v>805</v>
      </c>
      <c r="M1181" s="6" t="s">
        <v>311</v>
      </c>
      <c r="N1181" s="6" t="s">
        <v>259</v>
      </c>
      <c r="O1181" s="6" t="s">
        <v>62</v>
      </c>
      <c r="P1181" s="6" t="s">
        <v>1527</v>
      </c>
      <c r="Q1181" s="6" t="s">
        <v>70</v>
      </c>
      <c r="R1181" s="6" t="s">
        <v>57</v>
      </c>
      <c r="S1181" s="6" t="s">
        <v>1219</v>
      </c>
      <c r="T1181" s="131">
        <v>0.98399999999999999</v>
      </c>
      <c r="U1181" s="6" t="s">
        <v>1516</v>
      </c>
      <c r="V1181" s="134">
        <v>3.2500000000000001E-2</v>
      </c>
      <c r="W1181" s="132">
        <v>4.8820000000000002E-2</v>
      </c>
      <c r="X1181" s="3" t="s">
        <v>620</v>
      </c>
      <c r="Y1181" s="3" t="s">
        <v>62</v>
      </c>
      <c r="Z1181" s="131">
        <v>36019.01</v>
      </c>
      <c r="AA1181" s="129">
        <v>1</v>
      </c>
      <c r="AB1181" s="157">
        <v>98.5</v>
      </c>
      <c r="AD1181" s="131">
        <v>35.478999999999999</v>
      </c>
      <c r="AG1181" s="6" t="s">
        <v>17</v>
      </c>
      <c r="AH1181" s="132">
        <v>2.2699999999999999E-4</v>
      </c>
      <c r="AI1181" s="132">
        <v>1.2783947744091401E-3</v>
      </c>
      <c r="AJ1181" s="132">
        <v>2.9191439447341199E-4</v>
      </c>
    </row>
    <row r="1182" spans="1:36" x14ac:dyDescent="0.2">
      <c r="A1182" s="6">
        <v>559</v>
      </c>
      <c r="B1182" s="6">
        <v>7207</v>
      </c>
      <c r="C1182" s="6" t="s">
        <v>2126</v>
      </c>
      <c r="D1182" s="6" t="s">
        <v>2127</v>
      </c>
      <c r="E1182" s="3" t="s">
        <v>1477</v>
      </c>
      <c r="F1182" s="6" t="s">
        <v>2128</v>
      </c>
      <c r="G1182" s="6" t="s">
        <v>2129</v>
      </c>
      <c r="H1182" s="6" t="s">
        <v>76</v>
      </c>
      <c r="I1182" s="6" t="s">
        <v>229</v>
      </c>
      <c r="J1182" s="6" t="s">
        <v>53</v>
      </c>
      <c r="K1182" s="6" t="s">
        <v>53</v>
      </c>
      <c r="L1182" s="6" t="s">
        <v>805</v>
      </c>
      <c r="M1182" s="6" t="s">
        <v>311</v>
      </c>
      <c r="N1182" s="6" t="s">
        <v>140</v>
      </c>
      <c r="O1182" s="6" t="s">
        <v>62</v>
      </c>
      <c r="P1182" s="6" t="s">
        <v>298</v>
      </c>
      <c r="Q1182" s="6" t="s">
        <v>298</v>
      </c>
      <c r="R1182" s="6" t="s">
        <v>298</v>
      </c>
      <c r="S1182" s="6" t="s">
        <v>1219</v>
      </c>
      <c r="T1182" s="131">
        <v>0.93500000000000005</v>
      </c>
      <c r="U1182" s="6" t="s">
        <v>1629</v>
      </c>
      <c r="V1182" s="134">
        <v>2.8500000000000001E-2</v>
      </c>
      <c r="W1182" s="132">
        <v>1E-4</v>
      </c>
      <c r="X1182" s="3" t="s">
        <v>620</v>
      </c>
      <c r="Y1182" s="3" t="s">
        <v>62</v>
      </c>
      <c r="Z1182" s="131">
        <v>96552.87</v>
      </c>
      <c r="AA1182" s="129">
        <v>1</v>
      </c>
      <c r="AB1182" s="157">
        <v>122.1</v>
      </c>
      <c r="AD1182" s="131">
        <v>117.89100000000001</v>
      </c>
      <c r="AG1182" s="6" t="s">
        <v>17</v>
      </c>
      <c r="AH1182" s="132">
        <v>7.8299999999999995E-4</v>
      </c>
      <c r="AI1182" s="132">
        <v>4.2479347373825397E-3</v>
      </c>
      <c r="AJ1182" s="132">
        <v>9.6999246355550001E-4</v>
      </c>
    </row>
    <row r="1183" spans="1:36" x14ac:dyDescent="0.2">
      <c r="A1183" s="6">
        <v>559</v>
      </c>
      <c r="B1183" s="6">
        <v>7207</v>
      </c>
      <c r="C1183" s="6" t="s">
        <v>2126</v>
      </c>
      <c r="D1183" s="6" t="s">
        <v>2127</v>
      </c>
      <c r="E1183" s="3" t="s">
        <v>1477</v>
      </c>
      <c r="F1183" s="6" t="s">
        <v>2385</v>
      </c>
      <c r="G1183" s="6" t="s">
        <v>2386</v>
      </c>
      <c r="H1183" s="6" t="s">
        <v>76</v>
      </c>
      <c r="I1183" s="6" t="s">
        <v>229</v>
      </c>
      <c r="J1183" s="6" t="s">
        <v>53</v>
      </c>
      <c r="K1183" s="6" t="s">
        <v>53</v>
      </c>
      <c r="L1183" s="6" t="s">
        <v>805</v>
      </c>
      <c r="M1183" s="6" t="s">
        <v>311</v>
      </c>
      <c r="N1183" s="6" t="s">
        <v>140</v>
      </c>
      <c r="O1183" s="6" t="s">
        <v>62</v>
      </c>
      <c r="P1183" s="6" t="s">
        <v>298</v>
      </c>
      <c r="Q1183" s="6" t="s">
        <v>298</v>
      </c>
      <c r="R1183" s="6" t="s">
        <v>298</v>
      </c>
      <c r="S1183" s="6" t="s">
        <v>1219</v>
      </c>
      <c r="T1183" s="131">
        <v>2.7589999999999999</v>
      </c>
      <c r="U1183" s="6" t="s">
        <v>2144</v>
      </c>
      <c r="V1183" s="134">
        <v>3.7900000000000003E-2</v>
      </c>
      <c r="W1183" s="132">
        <v>2.7040000000000002E-2</v>
      </c>
      <c r="X1183" s="3" t="s">
        <v>620</v>
      </c>
      <c r="Y1183" s="3" t="s">
        <v>62</v>
      </c>
      <c r="Z1183" s="131">
        <v>17451.8</v>
      </c>
      <c r="AA1183" s="129">
        <v>1</v>
      </c>
      <c r="AB1183" s="157">
        <v>114.2</v>
      </c>
      <c r="AD1183" s="131">
        <v>19.93</v>
      </c>
      <c r="AG1183" s="6" t="s">
        <v>17</v>
      </c>
      <c r="AH1183" s="132">
        <v>1.4799999999999999E-4</v>
      </c>
      <c r="AI1183" s="132">
        <v>7.1813040634819097E-4</v>
      </c>
      <c r="AJ1183" s="132">
        <v>1.63981116724267E-4</v>
      </c>
    </row>
    <row r="1184" spans="1:36" x14ac:dyDescent="0.2">
      <c r="A1184" s="6">
        <v>559</v>
      </c>
      <c r="B1184" s="6">
        <v>7207</v>
      </c>
      <c r="C1184" s="6" t="s">
        <v>2130</v>
      </c>
      <c r="D1184" s="6" t="s">
        <v>2131</v>
      </c>
      <c r="E1184" s="3" t="s">
        <v>1477</v>
      </c>
      <c r="F1184" s="6" t="s">
        <v>2132</v>
      </c>
      <c r="G1184" s="6" t="s">
        <v>2133</v>
      </c>
      <c r="H1184" s="6" t="s">
        <v>76</v>
      </c>
      <c r="I1184" s="6" t="s">
        <v>228</v>
      </c>
      <c r="J1184" s="6" t="s">
        <v>53</v>
      </c>
      <c r="K1184" s="6" t="s">
        <v>53</v>
      </c>
      <c r="L1184" s="6" t="s">
        <v>805</v>
      </c>
      <c r="M1184" s="6" t="s">
        <v>311</v>
      </c>
      <c r="N1184" s="6" t="s">
        <v>140</v>
      </c>
      <c r="O1184" s="6" t="s">
        <v>62</v>
      </c>
      <c r="P1184" s="6" t="s">
        <v>1515</v>
      </c>
      <c r="Q1184" s="6" t="s">
        <v>65</v>
      </c>
      <c r="R1184" s="6" t="s">
        <v>57</v>
      </c>
      <c r="S1184" s="6" t="s">
        <v>1219</v>
      </c>
      <c r="T1184" s="131">
        <v>0.499</v>
      </c>
      <c r="U1184" s="6" t="s">
        <v>1499</v>
      </c>
      <c r="V1184" s="134">
        <v>4.9500000000000002E-2</v>
      </c>
      <c r="W1184" s="132">
        <v>6.0859999999999997E-2</v>
      </c>
      <c r="X1184" s="3" t="s">
        <v>620</v>
      </c>
      <c r="Y1184" s="3" t="s">
        <v>62</v>
      </c>
      <c r="Z1184" s="131">
        <v>6600</v>
      </c>
      <c r="AA1184" s="129">
        <v>1</v>
      </c>
      <c r="AB1184" s="157">
        <v>99.5</v>
      </c>
      <c r="AD1184" s="131">
        <v>6.5670000000000002</v>
      </c>
      <c r="AG1184" s="6" t="s">
        <v>17</v>
      </c>
      <c r="AH1184" s="132">
        <v>2.9999999999999997E-4</v>
      </c>
      <c r="AI1184" s="132">
        <v>2.3662683816960301E-4</v>
      </c>
      <c r="AJ1184" s="132">
        <v>5.4032433144420003E-5</v>
      </c>
    </row>
    <row r="1185" spans="1:36" x14ac:dyDescent="0.2">
      <c r="A1185" s="6">
        <v>559</v>
      </c>
      <c r="B1185" s="6">
        <v>7207</v>
      </c>
      <c r="C1185" s="6" t="s">
        <v>2134</v>
      </c>
      <c r="D1185" s="6" t="s">
        <v>2135</v>
      </c>
      <c r="E1185" s="3" t="s">
        <v>1477</v>
      </c>
      <c r="F1185" s="6" t="s">
        <v>2136</v>
      </c>
      <c r="G1185" s="6" t="s">
        <v>2137</v>
      </c>
      <c r="H1185" s="6" t="s">
        <v>76</v>
      </c>
      <c r="I1185" s="6" t="s">
        <v>228</v>
      </c>
      <c r="J1185" s="6" t="s">
        <v>53</v>
      </c>
      <c r="K1185" s="6" t="s">
        <v>53</v>
      </c>
      <c r="L1185" s="6" t="s">
        <v>805</v>
      </c>
      <c r="M1185" s="6" t="s">
        <v>102</v>
      </c>
      <c r="N1185" s="6" t="s">
        <v>692</v>
      </c>
      <c r="O1185" s="6" t="s">
        <v>62</v>
      </c>
      <c r="P1185" s="6" t="s">
        <v>1493</v>
      </c>
      <c r="Q1185" s="6" t="s">
        <v>65</v>
      </c>
      <c r="R1185" s="6" t="s">
        <v>57</v>
      </c>
      <c r="S1185" s="6" t="s">
        <v>1219</v>
      </c>
      <c r="T1185" s="131">
        <v>4.9429999999999996</v>
      </c>
      <c r="U1185" s="6" t="s">
        <v>1522</v>
      </c>
      <c r="V1185" s="134">
        <v>5.8799999999999998E-2</v>
      </c>
      <c r="W1185" s="132">
        <v>5.5820000000000002E-2</v>
      </c>
      <c r="X1185" s="3" t="s">
        <v>620</v>
      </c>
      <c r="Y1185" s="3" t="s">
        <v>62</v>
      </c>
      <c r="Z1185" s="131">
        <v>60000</v>
      </c>
      <c r="AA1185" s="129">
        <v>1</v>
      </c>
      <c r="AB1185" s="157">
        <v>103.90900000000001</v>
      </c>
      <c r="AD1185" s="131">
        <v>62.344999999999999</v>
      </c>
      <c r="AG1185" s="6" t="s">
        <v>17</v>
      </c>
      <c r="AH1185" s="132">
        <v>0</v>
      </c>
      <c r="AI1185" s="132">
        <v>2.24647533337068E-3</v>
      </c>
      <c r="AJ1185" s="132">
        <v>5.1297024969728397E-4</v>
      </c>
    </row>
    <row r="1186" spans="1:36" x14ac:dyDescent="0.2">
      <c r="A1186" s="6">
        <v>559</v>
      </c>
      <c r="B1186" s="6">
        <v>7207</v>
      </c>
      <c r="C1186" s="6" t="s">
        <v>2138</v>
      </c>
      <c r="D1186" s="6" t="s">
        <v>2139</v>
      </c>
      <c r="E1186" s="3" t="s">
        <v>1477</v>
      </c>
      <c r="F1186" s="6" t="s">
        <v>2140</v>
      </c>
      <c r="G1186" s="6" t="s">
        <v>2141</v>
      </c>
      <c r="H1186" s="6" t="s">
        <v>76</v>
      </c>
      <c r="I1186" s="6" t="s">
        <v>228</v>
      </c>
      <c r="J1186" s="6" t="s">
        <v>53</v>
      </c>
      <c r="K1186" s="6" t="s">
        <v>53</v>
      </c>
      <c r="L1186" s="6" t="s">
        <v>805</v>
      </c>
      <c r="M1186" s="6" t="s">
        <v>311</v>
      </c>
      <c r="N1186" s="6" t="s">
        <v>75</v>
      </c>
      <c r="O1186" s="6" t="s">
        <v>62</v>
      </c>
      <c r="P1186" s="6" t="s">
        <v>1577</v>
      </c>
      <c r="Q1186" s="6" t="s">
        <v>65</v>
      </c>
      <c r="R1186" s="6" t="s">
        <v>57</v>
      </c>
      <c r="S1186" s="6" t="s">
        <v>1219</v>
      </c>
      <c r="T1186" s="131">
        <v>0.65700000000000003</v>
      </c>
      <c r="U1186" s="6" t="s">
        <v>1621</v>
      </c>
      <c r="V1186" s="134">
        <v>2.75E-2</v>
      </c>
      <c r="W1186" s="132">
        <v>5.0619999999999998E-2</v>
      </c>
      <c r="X1186" s="3" t="s">
        <v>620</v>
      </c>
      <c r="Y1186" s="3" t="s">
        <v>62</v>
      </c>
      <c r="Z1186" s="131">
        <v>73289.570000000007</v>
      </c>
      <c r="AA1186" s="129">
        <v>1</v>
      </c>
      <c r="AB1186" s="157">
        <v>99.46</v>
      </c>
      <c r="AD1186" s="131">
        <v>72.894000000000005</v>
      </c>
      <c r="AG1186" s="6" t="s">
        <v>17</v>
      </c>
      <c r="AH1186" s="132">
        <v>5.4100000000000003E-4</v>
      </c>
      <c r="AI1186" s="132">
        <v>2.6265617347528999E-3</v>
      </c>
      <c r="AJ1186" s="132">
        <v>5.9976088270683196E-4</v>
      </c>
    </row>
    <row r="1187" spans="1:36" x14ac:dyDescent="0.2">
      <c r="A1187" s="6">
        <v>559</v>
      </c>
      <c r="B1187" s="6">
        <v>7207</v>
      </c>
      <c r="C1187" s="6" t="s">
        <v>2138</v>
      </c>
      <c r="D1187" s="6" t="s">
        <v>2139</v>
      </c>
      <c r="E1187" s="3" t="s">
        <v>1477</v>
      </c>
      <c r="F1187" s="6" t="s">
        <v>2142</v>
      </c>
      <c r="G1187" s="6" t="s">
        <v>2143</v>
      </c>
      <c r="H1187" s="6" t="s">
        <v>76</v>
      </c>
      <c r="I1187" s="6" t="s">
        <v>228</v>
      </c>
      <c r="J1187" s="6" t="s">
        <v>53</v>
      </c>
      <c r="K1187" s="6" t="s">
        <v>53</v>
      </c>
      <c r="L1187" s="6" t="s">
        <v>805</v>
      </c>
      <c r="M1187" s="6" t="s">
        <v>311</v>
      </c>
      <c r="N1187" s="6" t="s">
        <v>75</v>
      </c>
      <c r="O1187" s="6" t="s">
        <v>62</v>
      </c>
      <c r="P1187" s="6" t="s">
        <v>1577</v>
      </c>
      <c r="Q1187" s="6" t="s">
        <v>65</v>
      </c>
      <c r="R1187" s="6" t="s">
        <v>57</v>
      </c>
      <c r="S1187" s="6" t="s">
        <v>1219</v>
      </c>
      <c r="T1187" s="131">
        <v>1.694</v>
      </c>
      <c r="U1187" s="6" t="s">
        <v>2144</v>
      </c>
      <c r="V1187" s="134">
        <v>2.1499999999999998E-2</v>
      </c>
      <c r="W1187" s="132">
        <v>4.9500000000000002E-2</v>
      </c>
      <c r="X1187" s="3" t="s">
        <v>620</v>
      </c>
      <c r="Y1187" s="3" t="s">
        <v>62</v>
      </c>
      <c r="Z1187" s="131">
        <v>88732.98</v>
      </c>
      <c r="AA1187" s="129">
        <v>1</v>
      </c>
      <c r="AB1187" s="157">
        <v>95.52</v>
      </c>
      <c r="AC1187" s="131">
        <v>7.3230000000000004</v>
      </c>
      <c r="AD1187" s="131">
        <v>92.081000000000003</v>
      </c>
      <c r="AG1187" s="6" t="s">
        <v>17</v>
      </c>
      <c r="AH1187" s="132">
        <v>1.26E-4</v>
      </c>
      <c r="AI1187" s="132">
        <v>3.3179342677645599E-3</v>
      </c>
      <c r="AJ1187" s="132">
        <v>7.5763198666447401E-4</v>
      </c>
    </row>
    <row r="1188" spans="1:36" x14ac:dyDescent="0.2">
      <c r="A1188" s="6">
        <v>559</v>
      </c>
      <c r="B1188" s="6">
        <v>7207</v>
      </c>
      <c r="C1188" s="6" t="s">
        <v>2145</v>
      </c>
      <c r="D1188" s="6" t="s">
        <v>2146</v>
      </c>
      <c r="E1188" s="3" t="s">
        <v>1477</v>
      </c>
      <c r="F1188" s="6" t="s">
        <v>2147</v>
      </c>
      <c r="G1188" s="6" t="s">
        <v>2148</v>
      </c>
      <c r="H1188" s="6" t="s">
        <v>76</v>
      </c>
      <c r="I1188" s="6" t="s">
        <v>229</v>
      </c>
      <c r="J1188" s="6" t="s">
        <v>53</v>
      </c>
      <c r="K1188" s="6" t="s">
        <v>53</v>
      </c>
      <c r="L1188" s="6" t="s">
        <v>805</v>
      </c>
      <c r="M1188" s="6" t="s">
        <v>311</v>
      </c>
      <c r="N1188" s="6" t="s">
        <v>635</v>
      </c>
      <c r="O1188" s="6" t="s">
        <v>62</v>
      </c>
      <c r="P1188" s="6" t="s">
        <v>1533</v>
      </c>
      <c r="Q1188" s="6" t="s">
        <v>65</v>
      </c>
      <c r="R1188" s="6" t="s">
        <v>57</v>
      </c>
      <c r="S1188" s="6" t="s">
        <v>1219</v>
      </c>
      <c r="T1188" s="131">
        <v>0.91700000000000004</v>
      </c>
      <c r="U1188" s="6" t="s">
        <v>2149</v>
      </c>
      <c r="V1188" s="134">
        <v>1.6E-2</v>
      </c>
      <c r="W1188" s="132">
        <v>2.7320000000000001E-2</v>
      </c>
      <c r="X1188" s="3" t="s">
        <v>620</v>
      </c>
      <c r="Y1188" s="3" t="s">
        <v>62</v>
      </c>
      <c r="Z1188" s="131">
        <v>164914.66</v>
      </c>
      <c r="AA1188" s="129">
        <v>1</v>
      </c>
      <c r="AB1188" s="157">
        <v>117.65</v>
      </c>
      <c r="AD1188" s="131">
        <v>194.02199999999999</v>
      </c>
      <c r="AG1188" s="6" t="s">
        <v>17</v>
      </c>
      <c r="AH1188" s="132">
        <v>5.8100000000000003E-4</v>
      </c>
      <c r="AI1188" s="132">
        <v>6.9911429060595604E-3</v>
      </c>
      <c r="AJ1188" s="132">
        <v>1.5963889159690201E-3</v>
      </c>
    </row>
    <row r="1189" spans="1:36" x14ac:dyDescent="0.2">
      <c r="A1189" s="6">
        <v>559</v>
      </c>
      <c r="B1189" s="6">
        <v>7207</v>
      </c>
      <c r="C1189" s="6" t="s">
        <v>2145</v>
      </c>
      <c r="D1189" s="6" t="s">
        <v>2146</v>
      </c>
      <c r="E1189" s="3" t="s">
        <v>1477</v>
      </c>
      <c r="F1189" s="6" t="s">
        <v>2150</v>
      </c>
      <c r="G1189" s="6" t="s">
        <v>2151</v>
      </c>
      <c r="H1189" s="6" t="s">
        <v>76</v>
      </c>
      <c r="I1189" s="6" t="s">
        <v>229</v>
      </c>
      <c r="J1189" s="6" t="s">
        <v>53</v>
      </c>
      <c r="K1189" s="6" t="s">
        <v>53</v>
      </c>
      <c r="L1189" s="6" t="s">
        <v>805</v>
      </c>
      <c r="M1189" s="6" t="s">
        <v>311</v>
      </c>
      <c r="N1189" s="6" t="s">
        <v>635</v>
      </c>
      <c r="O1189" s="6" t="s">
        <v>62</v>
      </c>
      <c r="P1189" s="6" t="s">
        <v>1533</v>
      </c>
      <c r="Q1189" s="6" t="s">
        <v>65</v>
      </c>
      <c r="R1189" s="6" t="s">
        <v>57</v>
      </c>
      <c r="S1189" s="6" t="s">
        <v>1219</v>
      </c>
      <c r="T1189" s="131">
        <v>2.0529999999999999</v>
      </c>
      <c r="U1189" s="6" t="s">
        <v>1311</v>
      </c>
      <c r="V1189" s="134">
        <v>1.4200000000000001E-2</v>
      </c>
      <c r="W1189" s="132">
        <v>2.8410000000000001E-2</v>
      </c>
      <c r="X1189" s="3" t="s">
        <v>620</v>
      </c>
      <c r="Y1189" s="3" t="s">
        <v>62</v>
      </c>
      <c r="Z1189" s="131">
        <v>133992.76</v>
      </c>
      <c r="AA1189" s="129">
        <v>1</v>
      </c>
      <c r="AB1189" s="157">
        <v>114.01</v>
      </c>
      <c r="AD1189" s="131">
        <v>152.76499999999999</v>
      </c>
      <c r="AG1189" s="6" t="s">
        <v>17</v>
      </c>
      <c r="AH1189" s="132">
        <v>1.3200000000000001E-4</v>
      </c>
      <c r="AI1189" s="132">
        <v>5.5045429273383002E-3</v>
      </c>
      <c r="AJ1189" s="132">
        <v>1.25693201165465E-3</v>
      </c>
    </row>
    <row r="1190" spans="1:36" x14ac:dyDescent="0.2">
      <c r="A1190" s="6">
        <v>559</v>
      </c>
      <c r="B1190" s="6">
        <v>7207</v>
      </c>
      <c r="C1190" s="6" t="s">
        <v>2152</v>
      </c>
      <c r="D1190" s="6" t="s">
        <v>2153</v>
      </c>
      <c r="E1190" s="3" t="s">
        <v>1477</v>
      </c>
      <c r="F1190" s="6" t="s">
        <v>2154</v>
      </c>
      <c r="G1190" s="6" t="s">
        <v>2155</v>
      </c>
      <c r="H1190" s="6" t="s">
        <v>76</v>
      </c>
      <c r="I1190" s="6" t="s">
        <v>228</v>
      </c>
      <c r="J1190" s="6" t="s">
        <v>53</v>
      </c>
      <c r="K1190" s="6" t="s">
        <v>53</v>
      </c>
      <c r="L1190" s="6" t="s">
        <v>805</v>
      </c>
      <c r="M1190" s="6" t="s">
        <v>311</v>
      </c>
      <c r="N1190" s="6" t="s">
        <v>140</v>
      </c>
      <c r="O1190" s="6" t="s">
        <v>62</v>
      </c>
      <c r="P1190" s="6" t="s">
        <v>1604</v>
      </c>
      <c r="Q1190" s="6" t="s">
        <v>70</v>
      </c>
      <c r="R1190" s="6" t="s">
        <v>57</v>
      </c>
      <c r="S1190" s="6" t="s">
        <v>1219</v>
      </c>
      <c r="T1190" s="131">
        <v>3.3000000000000002E-2</v>
      </c>
      <c r="U1190" s="6" t="s">
        <v>2156</v>
      </c>
      <c r="V1190" s="134">
        <v>4.3499999999999997E-2</v>
      </c>
      <c r="W1190" s="132">
        <v>9.1929999999999998E-2</v>
      </c>
      <c r="X1190" s="3" t="s">
        <v>620</v>
      </c>
      <c r="Y1190" s="3" t="s">
        <v>62</v>
      </c>
      <c r="Z1190" s="131">
        <v>6666.66</v>
      </c>
      <c r="AA1190" s="129">
        <v>1</v>
      </c>
      <c r="AB1190" s="157">
        <v>101.88</v>
      </c>
      <c r="AD1190" s="131">
        <v>6.7919999999999998</v>
      </c>
      <c r="AG1190" s="6" t="s">
        <v>17</v>
      </c>
      <c r="AH1190" s="132">
        <v>2.7799999999999998E-4</v>
      </c>
      <c r="AI1190" s="132">
        <v>2.4473395426807598E-4</v>
      </c>
      <c r="AJ1190" s="132">
        <v>5.5883648382612303E-5</v>
      </c>
    </row>
    <row r="1191" spans="1:36" x14ac:dyDescent="0.2">
      <c r="A1191" s="6">
        <v>559</v>
      </c>
      <c r="B1191" s="6">
        <v>7207</v>
      </c>
      <c r="C1191" s="6" t="s">
        <v>2157</v>
      </c>
      <c r="D1191" s="6" t="s">
        <v>2158</v>
      </c>
      <c r="E1191" s="3" t="s">
        <v>1477</v>
      </c>
      <c r="F1191" s="6" t="s">
        <v>2159</v>
      </c>
      <c r="G1191" s="6" t="s">
        <v>2160</v>
      </c>
      <c r="H1191" s="6" t="s">
        <v>76</v>
      </c>
      <c r="I1191" s="6" t="s">
        <v>229</v>
      </c>
      <c r="J1191" s="6" t="s">
        <v>53</v>
      </c>
      <c r="K1191" s="6" t="s">
        <v>53</v>
      </c>
      <c r="L1191" s="6" t="s">
        <v>805</v>
      </c>
      <c r="M1191" s="6" t="s">
        <v>311</v>
      </c>
      <c r="N1191" s="6" t="s">
        <v>635</v>
      </c>
      <c r="O1191" s="6" t="s">
        <v>62</v>
      </c>
      <c r="P1191" s="6" t="s">
        <v>1533</v>
      </c>
      <c r="Q1191" s="6" t="s">
        <v>65</v>
      </c>
      <c r="R1191" s="6" t="s">
        <v>57</v>
      </c>
      <c r="S1191" s="6" t="s">
        <v>1219</v>
      </c>
      <c r="T1191" s="131">
        <v>3.0139999999999998</v>
      </c>
      <c r="U1191" s="6" t="s">
        <v>2161</v>
      </c>
      <c r="V1191" s="134">
        <v>3.5000000000000003E-2</v>
      </c>
      <c r="W1191" s="132">
        <v>2.8129999999999999E-2</v>
      </c>
      <c r="X1191" s="3" t="s">
        <v>620</v>
      </c>
      <c r="Y1191" s="3" t="s">
        <v>62</v>
      </c>
      <c r="Z1191" s="131">
        <v>206000.32</v>
      </c>
      <c r="AA1191" s="129">
        <v>1</v>
      </c>
      <c r="AB1191" s="157">
        <v>122.62</v>
      </c>
      <c r="AD1191" s="131">
        <v>252.59800000000001</v>
      </c>
      <c r="AG1191" s="6" t="s">
        <v>17</v>
      </c>
      <c r="AH1191" s="132">
        <v>2.5799999999999998E-4</v>
      </c>
      <c r="AI1191" s="132">
        <v>9.1017770085396795E-3</v>
      </c>
      <c r="AJ1191" s="132">
        <v>2.0783405699604002E-3</v>
      </c>
    </row>
    <row r="1192" spans="1:36" x14ac:dyDescent="0.2">
      <c r="A1192" s="6">
        <v>559</v>
      </c>
      <c r="B1192" s="6">
        <v>7207</v>
      </c>
      <c r="C1192" s="6" t="s">
        <v>2157</v>
      </c>
      <c r="D1192" s="6" t="s">
        <v>2158</v>
      </c>
      <c r="E1192" s="3" t="s">
        <v>1477</v>
      </c>
      <c r="F1192" s="6" t="s">
        <v>2162</v>
      </c>
      <c r="G1192" s="6" t="s">
        <v>2163</v>
      </c>
      <c r="H1192" s="6" t="s">
        <v>76</v>
      </c>
      <c r="I1192" s="6" t="s">
        <v>229</v>
      </c>
      <c r="J1192" s="6" t="s">
        <v>53</v>
      </c>
      <c r="K1192" s="6" t="s">
        <v>53</v>
      </c>
      <c r="L1192" s="6" t="s">
        <v>805</v>
      </c>
      <c r="M1192" s="6" t="s">
        <v>311</v>
      </c>
      <c r="N1192" s="6" t="s">
        <v>635</v>
      </c>
      <c r="O1192" s="6" t="s">
        <v>62</v>
      </c>
      <c r="P1192" s="6" t="s">
        <v>1533</v>
      </c>
      <c r="Q1192" s="6" t="s">
        <v>65</v>
      </c>
      <c r="R1192" s="6" t="s">
        <v>57</v>
      </c>
      <c r="S1192" s="6" t="s">
        <v>1219</v>
      </c>
      <c r="T1192" s="131">
        <v>1.6539999999999999</v>
      </c>
      <c r="U1192" s="6" t="s">
        <v>2164</v>
      </c>
      <c r="V1192" s="134">
        <v>0.04</v>
      </c>
      <c r="W1192" s="132">
        <v>2.929E-2</v>
      </c>
      <c r="X1192" s="3" t="s">
        <v>620</v>
      </c>
      <c r="Y1192" s="3" t="s">
        <v>62</v>
      </c>
      <c r="Z1192" s="131">
        <v>185064.7</v>
      </c>
      <c r="AA1192" s="129">
        <v>1</v>
      </c>
      <c r="AB1192" s="157">
        <v>121.17</v>
      </c>
      <c r="AD1192" s="131">
        <v>224.24299999999999</v>
      </c>
      <c r="AG1192" s="6" t="s">
        <v>17</v>
      </c>
      <c r="AH1192" s="132">
        <v>2.2000000000000001E-4</v>
      </c>
      <c r="AI1192" s="132">
        <v>8.0800803558300008E-3</v>
      </c>
      <c r="AJ1192" s="132">
        <v>1.84504177550225E-3</v>
      </c>
    </row>
    <row r="1193" spans="1:36" x14ac:dyDescent="0.2">
      <c r="A1193" s="6">
        <v>559</v>
      </c>
      <c r="B1193" s="6">
        <v>7207</v>
      </c>
      <c r="C1193" s="6" t="s">
        <v>2165</v>
      </c>
      <c r="D1193" s="6" t="s">
        <v>2166</v>
      </c>
      <c r="E1193" s="3" t="s">
        <v>1477</v>
      </c>
      <c r="F1193" s="6" t="s">
        <v>2167</v>
      </c>
      <c r="G1193" s="6" t="s">
        <v>2168</v>
      </c>
      <c r="H1193" s="6" t="s">
        <v>76</v>
      </c>
      <c r="I1193" s="6" t="s">
        <v>228</v>
      </c>
      <c r="J1193" s="6" t="s">
        <v>53</v>
      </c>
      <c r="K1193" s="6" t="s">
        <v>53</v>
      </c>
      <c r="L1193" s="6" t="s">
        <v>805</v>
      </c>
      <c r="M1193" s="6" t="s">
        <v>102</v>
      </c>
      <c r="N1193" s="6" t="s">
        <v>635</v>
      </c>
      <c r="O1193" s="6" t="s">
        <v>62</v>
      </c>
      <c r="P1193" s="6" t="s">
        <v>298</v>
      </c>
      <c r="Q1193" s="6" t="s">
        <v>298</v>
      </c>
      <c r="R1193" s="6" t="s">
        <v>298</v>
      </c>
      <c r="S1193" s="6" t="s">
        <v>1219</v>
      </c>
      <c r="T1193" s="131">
        <v>3.1549999999999998</v>
      </c>
      <c r="U1193" s="6" t="s">
        <v>1713</v>
      </c>
      <c r="V1193" s="134">
        <v>6.3500000000000001E-2</v>
      </c>
      <c r="W1193" s="132">
        <v>6.0040000000000003E-2</v>
      </c>
      <c r="X1193" s="3" t="s">
        <v>620</v>
      </c>
      <c r="Y1193" s="3" t="s">
        <v>62</v>
      </c>
      <c r="Z1193" s="131">
        <v>60000</v>
      </c>
      <c r="AA1193" s="129">
        <v>1</v>
      </c>
      <c r="AB1193" s="157">
        <v>101.72</v>
      </c>
      <c r="AD1193" s="131">
        <v>61.031999999999996</v>
      </c>
      <c r="AG1193" s="6" t="s">
        <v>17</v>
      </c>
      <c r="AH1193" s="132">
        <v>3.0699999999999998E-4</v>
      </c>
      <c r="AI1193" s="132">
        <v>2.1991486503985399E-3</v>
      </c>
      <c r="AJ1193" s="132">
        <v>5.0216346271817305E-4</v>
      </c>
    </row>
    <row r="1194" spans="1:36" x14ac:dyDescent="0.2">
      <c r="A1194" s="6">
        <v>559</v>
      </c>
      <c r="B1194" s="6">
        <v>7207</v>
      </c>
      <c r="C1194" s="6" t="s">
        <v>2169</v>
      </c>
      <c r="D1194" s="6" t="s">
        <v>2170</v>
      </c>
      <c r="E1194" s="3" t="s">
        <v>1477</v>
      </c>
      <c r="F1194" s="6" t="s">
        <v>2171</v>
      </c>
      <c r="G1194" s="6" t="s">
        <v>2172</v>
      </c>
      <c r="H1194" s="6" t="s">
        <v>76</v>
      </c>
      <c r="I1194" s="6" t="s">
        <v>229</v>
      </c>
      <c r="J1194" s="6" t="s">
        <v>53</v>
      </c>
      <c r="K1194" s="6" t="s">
        <v>53</v>
      </c>
      <c r="L1194" s="6" t="s">
        <v>805</v>
      </c>
      <c r="M1194" s="6" t="s">
        <v>311</v>
      </c>
      <c r="N1194" s="6" t="s">
        <v>258</v>
      </c>
      <c r="O1194" s="6" t="s">
        <v>62</v>
      </c>
      <c r="P1194" s="6" t="s">
        <v>1213</v>
      </c>
      <c r="Q1194" s="6" t="s">
        <v>65</v>
      </c>
      <c r="R1194" s="6" t="s">
        <v>57</v>
      </c>
      <c r="S1194" s="6" t="s">
        <v>1219</v>
      </c>
      <c r="T1194" s="131">
        <v>3.4020000000000001</v>
      </c>
      <c r="U1194" s="6" t="s">
        <v>2173</v>
      </c>
      <c r="V1194" s="134">
        <v>7.0000000000000001E-3</v>
      </c>
      <c r="W1194" s="132">
        <v>2.5940000000000001E-2</v>
      </c>
      <c r="X1194" s="3" t="s">
        <v>620</v>
      </c>
      <c r="Y1194" s="3" t="s">
        <v>62</v>
      </c>
      <c r="Z1194" s="131">
        <v>126272.09</v>
      </c>
      <c r="AA1194" s="129">
        <v>1</v>
      </c>
      <c r="AB1194" s="157">
        <v>108.28</v>
      </c>
      <c r="AD1194" s="131">
        <v>136.727</v>
      </c>
      <c r="AG1194" s="6" t="s">
        <v>17</v>
      </c>
      <c r="AH1194" s="132">
        <v>2.1050000000000001E-3</v>
      </c>
      <c r="AI1194" s="132">
        <v>4.9266600976648504E-3</v>
      </c>
      <c r="AJ1194" s="132">
        <v>1.1249756553885E-3</v>
      </c>
    </row>
    <row r="1195" spans="1:36" x14ac:dyDescent="0.2">
      <c r="A1195" s="6">
        <v>559</v>
      </c>
      <c r="B1195" s="6">
        <v>7207</v>
      </c>
      <c r="C1195" s="6" t="s">
        <v>2391</v>
      </c>
      <c r="D1195" s="6" t="s">
        <v>2392</v>
      </c>
      <c r="E1195" s="3" t="s">
        <v>1477</v>
      </c>
      <c r="F1195" s="6" t="s">
        <v>2393</v>
      </c>
      <c r="G1195" s="6" t="s">
        <v>2394</v>
      </c>
      <c r="H1195" s="6" t="s">
        <v>76</v>
      </c>
      <c r="I1195" s="6" t="s">
        <v>230</v>
      </c>
      <c r="J1195" s="6" t="s">
        <v>53</v>
      </c>
      <c r="K1195" s="6" t="s">
        <v>53</v>
      </c>
      <c r="L1195" s="6" t="s">
        <v>805</v>
      </c>
      <c r="M1195" s="6" t="s">
        <v>311</v>
      </c>
      <c r="N1195" s="6" t="s">
        <v>267</v>
      </c>
      <c r="O1195" s="6" t="s">
        <v>62</v>
      </c>
      <c r="P1195" s="6" t="s">
        <v>298</v>
      </c>
      <c r="Q1195" s="6" t="s">
        <v>298</v>
      </c>
      <c r="R1195" s="6" t="s">
        <v>298</v>
      </c>
      <c r="S1195" s="6" t="s">
        <v>1219</v>
      </c>
      <c r="T1195" s="131">
        <v>2.3260000000000001</v>
      </c>
      <c r="U1195" s="6" t="s">
        <v>2395</v>
      </c>
      <c r="V1195" s="134">
        <v>5.7000000000000002E-2</v>
      </c>
      <c r="W1195" s="132">
        <v>6.6570000000000004E-2</v>
      </c>
      <c r="X1195" s="3" t="s">
        <v>620</v>
      </c>
      <c r="Y1195" s="3" t="s">
        <v>62</v>
      </c>
      <c r="Z1195" s="131">
        <v>5320</v>
      </c>
      <c r="AA1195" s="129">
        <v>1</v>
      </c>
      <c r="AB1195" s="157">
        <v>102.58</v>
      </c>
      <c r="AD1195" s="131">
        <v>5.4569999999999999</v>
      </c>
      <c r="AG1195" s="6" t="s">
        <v>17</v>
      </c>
      <c r="AH1195" s="132">
        <v>1.7E-5</v>
      </c>
      <c r="AI1195" s="132">
        <v>1.9663974910341E-4</v>
      </c>
      <c r="AJ1195" s="132">
        <v>4.4901601944873601E-5</v>
      </c>
    </row>
    <row r="1196" spans="1:36" x14ac:dyDescent="0.2">
      <c r="A1196" s="6">
        <v>559</v>
      </c>
      <c r="B1196" s="6">
        <v>7207</v>
      </c>
      <c r="C1196" s="6" t="s">
        <v>2174</v>
      </c>
      <c r="D1196" s="6" t="s">
        <v>2175</v>
      </c>
      <c r="E1196" s="3" t="s">
        <v>1477</v>
      </c>
      <c r="F1196" s="6" t="s">
        <v>2176</v>
      </c>
      <c r="G1196" s="6" t="s">
        <v>2177</v>
      </c>
      <c r="H1196" s="6" t="s">
        <v>76</v>
      </c>
      <c r="I1196" s="6" t="s">
        <v>228</v>
      </c>
      <c r="J1196" s="6" t="s">
        <v>53</v>
      </c>
      <c r="K1196" s="6" t="s">
        <v>53</v>
      </c>
      <c r="L1196" s="6" t="s">
        <v>805</v>
      </c>
      <c r="M1196" s="6" t="s">
        <v>311</v>
      </c>
      <c r="N1196" s="6" t="s">
        <v>261</v>
      </c>
      <c r="O1196" s="6" t="s">
        <v>62</v>
      </c>
      <c r="P1196" s="6" t="s">
        <v>1339</v>
      </c>
      <c r="Q1196" s="6" t="s">
        <v>65</v>
      </c>
      <c r="R1196" s="6" t="s">
        <v>57</v>
      </c>
      <c r="S1196" s="6" t="s">
        <v>1219</v>
      </c>
      <c r="T1196" s="131">
        <v>1.468</v>
      </c>
      <c r="U1196" s="6" t="s">
        <v>1644</v>
      </c>
      <c r="V1196" s="134">
        <v>2.6100000000000002E-2</v>
      </c>
      <c r="W1196" s="132">
        <v>4.471E-2</v>
      </c>
      <c r="X1196" s="3" t="s">
        <v>620</v>
      </c>
      <c r="Y1196" s="3" t="s">
        <v>62</v>
      </c>
      <c r="Z1196" s="131">
        <v>213333.69</v>
      </c>
      <c r="AA1196" s="129">
        <v>1</v>
      </c>
      <c r="AB1196" s="157">
        <v>97.43</v>
      </c>
      <c r="AD1196" s="131">
        <v>207.851</v>
      </c>
      <c r="AG1196" s="6" t="s">
        <v>17</v>
      </c>
      <c r="AH1196" s="132">
        <v>8.8400000000000002E-4</v>
      </c>
      <c r="AI1196" s="132">
        <v>7.4894363168391204E-3</v>
      </c>
      <c r="AJ1196" s="132">
        <v>1.7101714674856599E-3</v>
      </c>
    </row>
    <row r="1197" spans="1:36" x14ac:dyDescent="0.2">
      <c r="A1197" s="6">
        <v>559</v>
      </c>
      <c r="B1197" s="6">
        <v>7207</v>
      </c>
      <c r="C1197" s="6" t="s">
        <v>2174</v>
      </c>
      <c r="D1197" s="6" t="s">
        <v>2175</v>
      </c>
      <c r="E1197" s="3" t="s">
        <v>1477</v>
      </c>
      <c r="F1197" s="6" t="s">
        <v>2178</v>
      </c>
      <c r="G1197" s="6" t="s">
        <v>2179</v>
      </c>
      <c r="H1197" s="6" t="s">
        <v>76</v>
      </c>
      <c r="I1197" s="6" t="s">
        <v>228</v>
      </c>
      <c r="J1197" s="6" t="s">
        <v>53</v>
      </c>
      <c r="K1197" s="6" t="s">
        <v>53</v>
      </c>
      <c r="L1197" s="6" t="s">
        <v>805</v>
      </c>
      <c r="M1197" s="6" t="s">
        <v>311</v>
      </c>
      <c r="N1197" s="6" t="s">
        <v>261</v>
      </c>
      <c r="O1197" s="6" t="s">
        <v>62</v>
      </c>
      <c r="P1197" s="6" t="s">
        <v>1339</v>
      </c>
      <c r="Q1197" s="6" t="s">
        <v>65</v>
      </c>
      <c r="R1197" s="6" t="s">
        <v>57</v>
      </c>
      <c r="S1197" s="6" t="s">
        <v>1219</v>
      </c>
      <c r="T1197" s="131">
        <v>6.056</v>
      </c>
      <c r="U1197" s="6" t="s">
        <v>2180</v>
      </c>
      <c r="V1197" s="134">
        <v>1.9E-2</v>
      </c>
      <c r="W1197" s="132">
        <v>4.6149999999999997E-2</v>
      </c>
      <c r="X1197" s="3" t="s">
        <v>620</v>
      </c>
      <c r="Y1197" s="3" t="s">
        <v>62</v>
      </c>
      <c r="Z1197" s="131">
        <v>56842.11</v>
      </c>
      <c r="AA1197" s="129">
        <v>1</v>
      </c>
      <c r="AB1197" s="157">
        <v>85</v>
      </c>
      <c r="AD1197" s="131">
        <v>48.316000000000003</v>
      </c>
      <c r="AG1197" s="6" t="s">
        <v>17</v>
      </c>
      <c r="AH1197" s="132">
        <v>3.8000000000000002E-5</v>
      </c>
      <c r="AI1197" s="132">
        <v>1.7409492080950901E-3</v>
      </c>
      <c r="AJ1197" s="132">
        <v>3.9753614772473802E-4</v>
      </c>
    </row>
    <row r="1198" spans="1:36" x14ac:dyDescent="0.2">
      <c r="A1198" s="6">
        <v>559</v>
      </c>
      <c r="B1198" s="6">
        <v>7207</v>
      </c>
      <c r="C1198" s="6" t="s">
        <v>2181</v>
      </c>
      <c r="D1198" s="6" t="s">
        <v>2182</v>
      </c>
      <c r="E1198" s="3" t="s">
        <v>1477</v>
      </c>
      <c r="F1198" s="6" t="s">
        <v>2183</v>
      </c>
      <c r="G1198" s="6" t="s">
        <v>2184</v>
      </c>
      <c r="H1198" s="6" t="s">
        <v>76</v>
      </c>
      <c r="I1198" s="6" t="s">
        <v>228</v>
      </c>
      <c r="J1198" s="6" t="s">
        <v>53</v>
      </c>
      <c r="K1198" s="6" t="s">
        <v>53</v>
      </c>
      <c r="L1198" s="6" t="s">
        <v>805</v>
      </c>
      <c r="M1198" s="6" t="s">
        <v>311</v>
      </c>
      <c r="N1198" s="6" t="s">
        <v>258</v>
      </c>
      <c r="O1198" s="6" t="s">
        <v>62</v>
      </c>
      <c r="P1198" s="6" t="s">
        <v>1533</v>
      </c>
      <c r="Q1198" s="6" t="s">
        <v>65</v>
      </c>
      <c r="R1198" s="6" t="s">
        <v>57</v>
      </c>
      <c r="S1198" s="6" t="s">
        <v>1219</v>
      </c>
      <c r="T1198" s="131">
        <v>0.58899999999999997</v>
      </c>
      <c r="U1198" s="6" t="s">
        <v>2185</v>
      </c>
      <c r="V1198" s="134">
        <v>2.7E-2</v>
      </c>
      <c r="W1198" s="132">
        <v>4.5679999999999998E-2</v>
      </c>
      <c r="X1198" s="3" t="s">
        <v>620</v>
      </c>
      <c r="Y1198" s="3" t="s">
        <v>62</v>
      </c>
      <c r="Z1198" s="131">
        <v>123970.48</v>
      </c>
      <c r="AA1198" s="129">
        <v>1</v>
      </c>
      <c r="AB1198" s="157">
        <v>99.04</v>
      </c>
      <c r="AD1198" s="131">
        <v>122.78</v>
      </c>
      <c r="AG1198" s="6" t="s">
        <v>17</v>
      </c>
      <c r="AH1198" s="132">
        <v>1.983E-3</v>
      </c>
      <c r="AI1198" s="132">
        <v>4.4241098186026803E-3</v>
      </c>
      <c r="AJ1198" s="132">
        <v>1.0102210714825401E-3</v>
      </c>
    </row>
    <row r="1199" spans="1:36" x14ac:dyDescent="0.2">
      <c r="A1199" s="6">
        <v>559</v>
      </c>
      <c r="B1199" s="6">
        <v>7207</v>
      </c>
      <c r="C1199" s="6" t="s">
        <v>2181</v>
      </c>
      <c r="D1199" s="6" t="s">
        <v>2182</v>
      </c>
      <c r="E1199" s="3" t="s">
        <v>1477</v>
      </c>
      <c r="F1199" s="6" t="s">
        <v>2186</v>
      </c>
      <c r="G1199" s="6" t="s">
        <v>2187</v>
      </c>
      <c r="H1199" s="6" t="s">
        <v>76</v>
      </c>
      <c r="I1199" s="6" t="s">
        <v>229</v>
      </c>
      <c r="J1199" s="6" t="s">
        <v>53</v>
      </c>
      <c r="K1199" s="6" t="s">
        <v>53</v>
      </c>
      <c r="L1199" s="6" t="s">
        <v>805</v>
      </c>
      <c r="M1199" s="6" t="s">
        <v>311</v>
      </c>
      <c r="N1199" s="6" t="s">
        <v>258</v>
      </c>
      <c r="O1199" s="6" t="s">
        <v>62</v>
      </c>
      <c r="P1199" s="6" t="s">
        <v>1533</v>
      </c>
      <c r="Q1199" s="6" t="s">
        <v>65</v>
      </c>
      <c r="R1199" s="6" t="s">
        <v>57</v>
      </c>
      <c r="S1199" s="6" t="s">
        <v>1219</v>
      </c>
      <c r="T1199" s="131">
        <v>0.59099999999999997</v>
      </c>
      <c r="U1199" s="6" t="s">
        <v>2185</v>
      </c>
      <c r="V1199" s="134">
        <v>1.7999999999999999E-2</v>
      </c>
      <c r="W1199" s="132">
        <v>2.9579999999999999E-2</v>
      </c>
      <c r="X1199" s="3" t="s">
        <v>620</v>
      </c>
      <c r="Y1199" s="3" t="s">
        <v>62</v>
      </c>
      <c r="Z1199" s="131">
        <v>31171.48</v>
      </c>
      <c r="AA1199" s="129">
        <v>1</v>
      </c>
      <c r="AB1199" s="157">
        <v>116.91</v>
      </c>
      <c r="AD1199" s="131">
        <v>36.442999999999998</v>
      </c>
      <c r="AG1199" s="6" t="s">
        <v>17</v>
      </c>
      <c r="AH1199" s="132">
        <v>9.6000000000000002E-5</v>
      </c>
      <c r="AI1199" s="132">
        <v>1.3131249937076699E-3</v>
      </c>
      <c r="AJ1199" s="132">
        <v>2.9984484846102801E-4</v>
      </c>
    </row>
    <row r="1200" spans="1:36" x14ac:dyDescent="0.2">
      <c r="A1200" s="6">
        <v>559</v>
      </c>
      <c r="B1200" s="6">
        <v>7207</v>
      </c>
      <c r="C1200" s="6" t="s">
        <v>2188</v>
      </c>
      <c r="D1200" s="6" t="s">
        <v>2189</v>
      </c>
      <c r="E1200" s="3" t="s">
        <v>767</v>
      </c>
      <c r="F1200" s="6" t="s">
        <v>2190</v>
      </c>
      <c r="G1200" s="6" t="s">
        <v>2191</v>
      </c>
      <c r="H1200" s="6" t="s">
        <v>76</v>
      </c>
      <c r="I1200" s="6" t="s">
        <v>230</v>
      </c>
      <c r="J1200" s="6" t="s">
        <v>53</v>
      </c>
      <c r="K1200" s="6" t="s">
        <v>315</v>
      </c>
      <c r="L1200" s="6" t="s">
        <v>805</v>
      </c>
      <c r="M1200" s="6" t="s">
        <v>311</v>
      </c>
      <c r="N1200" s="6" t="s">
        <v>636</v>
      </c>
      <c r="O1200" s="6" t="s">
        <v>62</v>
      </c>
      <c r="P1200" s="6" t="s">
        <v>1965</v>
      </c>
      <c r="Q1200" s="6" t="s">
        <v>70</v>
      </c>
      <c r="R1200" s="6" t="s">
        <v>57</v>
      </c>
      <c r="S1200" s="6" t="s">
        <v>1219</v>
      </c>
      <c r="T1200" s="131">
        <v>2.456</v>
      </c>
      <c r="U1200" s="6" t="s">
        <v>2192</v>
      </c>
      <c r="V1200" s="134">
        <v>4.2999999999999997E-2</v>
      </c>
      <c r="W1200" s="132">
        <v>7.0510000000000003E-2</v>
      </c>
      <c r="X1200" s="3" t="s">
        <v>620</v>
      </c>
      <c r="Y1200" s="3" t="s">
        <v>62</v>
      </c>
      <c r="Z1200" s="131">
        <v>83036.59</v>
      </c>
      <c r="AA1200" s="129">
        <v>1</v>
      </c>
      <c r="AB1200" s="157">
        <v>91.8</v>
      </c>
      <c r="AD1200" s="131">
        <v>76.227999999999994</v>
      </c>
      <c r="AG1200" s="6" t="s">
        <v>17</v>
      </c>
      <c r="AH1200" s="132">
        <v>7.7999999999999999E-5</v>
      </c>
      <c r="AI1200" s="132">
        <v>2.7466869975743299E-3</v>
      </c>
      <c r="AJ1200" s="132">
        <v>6.2719082380126995E-4</v>
      </c>
    </row>
    <row r="1201" spans="1:36" x14ac:dyDescent="0.2">
      <c r="A1201" s="6">
        <v>559</v>
      </c>
      <c r="B1201" s="6">
        <v>7207</v>
      </c>
      <c r="C1201" s="6" t="s">
        <v>2193</v>
      </c>
      <c r="D1201" s="6" t="s">
        <v>2194</v>
      </c>
      <c r="E1201" s="3" t="s">
        <v>1477</v>
      </c>
      <c r="F1201" s="6" t="s">
        <v>2195</v>
      </c>
      <c r="G1201" s="6" t="s">
        <v>2196</v>
      </c>
      <c r="H1201" s="6" t="s">
        <v>76</v>
      </c>
      <c r="I1201" s="6" t="s">
        <v>228</v>
      </c>
      <c r="J1201" s="6" t="s">
        <v>53</v>
      </c>
      <c r="K1201" s="6" t="s">
        <v>53</v>
      </c>
      <c r="L1201" s="6" t="s">
        <v>805</v>
      </c>
      <c r="M1201" s="6" t="s">
        <v>311</v>
      </c>
      <c r="N1201" s="6" t="s">
        <v>263</v>
      </c>
      <c r="O1201" s="6" t="s">
        <v>62</v>
      </c>
      <c r="P1201" s="6" t="s">
        <v>1493</v>
      </c>
      <c r="Q1201" s="6" t="s">
        <v>65</v>
      </c>
      <c r="R1201" s="6" t="s">
        <v>57</v>
      </c>
      <c r="S1201" s="6" t="s">
        <v>1219</v>
      </c>
      <c r="T1201" s="131">
        <v>0.255</v>
      </c>
      <c r="U1201" s="6" t="s">
        <v>2197</v>
      </c>
      <c r="V1201" s="134">
        <v>3.3500000000000002E-2</v>
      </c>
      <c r="W1201" s="132">
        <v>5.5300000000000002E-2</v>
      </c>
      <c r="X1201" s="3" t="s">
        <v>620</v>
      </c>
      <c r="Y1201" s="3" t="s">
        <v>62</v>
      </c>
      <c r="Z1201" s="131">
        <v>60000.5</v>
      </c>
      <c r="AA1201" s="129">
        <v>1</v>
      </c>
      <c r="AB1201" s="157">
        <v>100.29</v>
      </c>
      <c r="AD1201" s="131">
        <v>60.174999999999997</v>
      </c>
      <c r="AG1201" s="6" t="s">
        <v>17</v>
      </c>
      <c r="AH1201" s="132">
        <v>8.7299999999999997E-4</v>
      </c>
      <c r="AI1201" s="132">
        <v>2.1682506496947902E-3</v>
      </c>
      <c r="AJ1201" s="132">
        <v>4.9510807470624799E-4</v>
      </c>
    </row>
    <row r="1202" spans="1:36" x14ac:dyDescent="0.2">
      <c r="A1202" s="6">
        <v>559</v>
      </c>
      <c r="B1202" s="6">
        <v>7207</v>
      </c>
      <c r="C1202" s="6" t="s">
        <v>2198</v>
      </c>
      <c r="D1202" s="6" t="s">
        <v>2199</v>
      </c>
      <c r="E1202" s="3" t="s">
        <v>1477</v>
      </c>
      <c r="F1202" s="6" t="s">
        <v>2200</v>
      </c>
      <c r="G1202" s="6" t="s">
        <v>2201</v>
      </c>
      <c r="H1202" s="6" t="s">
        <v>76</v>
      </c>
      <c r="I1202" s="6" t="s">
        <v>230</v>
      </c>
      <c r="J1202" s="6" t="s">
        <v>53</v>
      </c>
      <c r="K1202" s="6" t="s">
        <v>53</v>
      </c>
      <c r="L1202" s="6" t="s">
        <v>805</v>
      </c>
      <c r="M1202" s="6" t="s">
        <v>311</v>
      </c>
      <c r="N1202" s="6" t="s">
        <v>267</v>
      </c>
      <c r="O1202" s="6" t="s">
        <v>62</v>
      </c>
      <c r="P1202" s="6" t="s">
        <v>1965</v>
      </c>
      <c r="Q1202" s="6" t="s">
        <v>70</v>
      </c>
      <c r="R1202" s="6" t="s">
        <v>57</v>
      </c>
      <c r="S1202" s="6" t="s">
        <v>1219</v>
      </c>
      <c r="T1202" s="131">
        <v>2.2320000000000002</v>
      </c>
      <c r="U1202" s="6" t="s">
        <v>2202</v>
      </c>
      <c r="V1202" s="134">
        <v>5.4800000000000001E-2</v>
      </c>
      <c r="W1202" s="132">
        <v>5.919E-2</v>
      </c>
      <c r="X1202" s="3" t="s">
        <v>620</v>
      </c>
      <c r="Y1202" s="3" t="s">
        <v>62</v>
      </c>
      <c r="Z1202" s="131">
        <v>69135.360000000001</v>
      </c>
      <c r="AA1202" s="129">
        <v>1</v>
      </c>
      <c r="AB1202" s="157">
        <v>95.79</v>
      </c>
      <c r="AD1202" s="131">
        <v>66.224999999999994</v>
      </c>
      <c r="AG1202" s="6" t="s">
        <v>17</v>
      </c>
      <c r="AH1202" s="132">
        <v>2.5700000000000001E-4</v>
      </c>
      <c r="AI1202" s="132">
        <v>2.3862579389930302E-3</v>
      </c>
      <c r="AJ1202" s="132">
        <v>5.4488883658060795E-4</v>
      </c>
    </row>
    <row r="1203" spans="1:36" x14ac:dyDescent="0.2">
      <c r="A1203" s="6">
        <v>559</v>
      </c>
      <c r="B1203" s="6">
        <v>7207</v>
      </c>
      <c r="C1203" s="6" t="s">
        <v>2203</v>
      </c>
      <c r="D1203" s="6" t="s">
        <v>2204</v>
      </c>
      <c r="E1203" s="3" t="s">
        <v>1477</v>
      </c>
      <c r="F1203" s="6" t="s">
        <v>2205</v>
      </c>
      <c r="G1203" s="6" t="s">
        <v>2206</v>
      </c>
      <c r="H1203" s="6" t="s">
        <v>76</v>
      </c>
      <c r="I1203" s="6" t="s">
        <v>230</v>
      </c>
      <c r="J1203" s="6" t="s">
        <v>53</v>
      </c>
      <c r="K1203" s="6" t="s">
        <v>53</v>
      </c>
      <c r="L1203" s="6" t="s">
        <v>805</v>
      </c>
      <c r="M1203" s="6" t="s">
        <v>311</v>
      </c>
      <c r="N1203" s="6" t="s">
        <v>267</v>
      </c>
      <c r="O1203" s="6" t="s">
        <v>62</v>
      </c>
      <c r="P1203" s="6" t="s">
        <v>1521</v>
      </c>
      <c r="Q1203" s="6" t="s">
        <v>70</v>
      </c>
      <c r="R1203" s="6" t="s">
        <v>57</v>
      </c>
      <c r="S1203" s="6" t="s">
        <v>1219</v>
      </c>
      <c r="T1203" s="131">
        <v>2.4249999999999998</v>
      </c>
      <c r="U1203" s="6" t="s">
        <v>2202</v>
      </c>
      <c r="V1203" s="134">
        <v>4.6899999999999997E-2</v>
      </c>
      <c r="W1203" s="132">
        <v>6.2420000000000003E-2</v>
      </c>
      <c r="X1203" s="3" t="s">
        <v>620</v>
      </c>
      <c r="Y1203" s="3" t="s">
        <v>62</v>
      </c>
      <c r="Z1203" s="131">
        <v>84203.8</v>
      </c>
      <c r="AA1203" s="129">
        <v>1</v>
      </c>
      <c r="AB1203" s="157">
        <v>94.12</v>
      </c>
      <c r="AD1203" s="131">
        <v>79.253</v>
      </c>
      <c r="AG1203" s="6" t="s">
        <v>17</v>
      </c>
      <c r="AH1203" s="132">
        <v>6.2000000000000003E-5</v>
      </c>
      <c r="AI1203" s="132">
        <v>2.8556869306016002E-3</v>
      </c>
      <c r="AJ1203" s="132">
        <v>6.52080357210074E-4</v>
      </c>
    </row>
    <row r="1204" spans="1:36" x14ac:dyDescent="0.2">
      <c r="A1204" s="6">
        <v>559</v>
      </c>
      <c r="B1204" s="6">
        <v>7207</v>
      </c>
      <c r="C1204" s="6" t="s">
        <v>2207</v>
      </c>
      <c r="D1204" s="6" t="s">
        <v>2208</v>
      </c>
      <c r="E1204" s="3" t="s">
        <v>1477</v>
      </c>
      <c r="F1204" s="6" t="s">
        <v>2209</v>
      </c>
      <c r="G1204" s="6" t="s">
        <v>2210</v>
      </c>
      <c r="H1204" s="6" t="s">
        <v>76</v>
      </c>
      <c r="I1204" s="6" t="s">
        <v>228</v>
      </c>
      <c r="J1204" s="6" t="s">
        <v>53</v>
      </c>
      <c r="K1204" s="6" t="s">
        <v>53</v>
      </c>
      <c r="L1204" s="6" t="s">
        <v>805</v>
      </c>
      <c r="M1204" s="6" t="s">
        <v>311</v>
      </c>
      <c r="N1204" s="6" t="s">
        <v>638</v>
      </c>
      <c r="O1204" s="6" t="s">
        <v>62</v>
      </c>
      <c r="P1204" s="6" t="s">
        <v>1213</v>
      </c>
      <c r="Q1204" s="6" t="s">
        <v>65</v>
      </c>
      <c r="R1204" s="6" t="s">
        <v>57</v>
      </c>
      <c r="S1204" s="6" t="s">
        <v>1219</v>
      </c>
      <c r="T1204" s="131">
        <v>0.41599999999999998</v>
      </c>
      <c r="U1204" s="6" t="s">
        <v>1685</v>
      </c>
      <c r="V1204" s="134">
        <v>5.45E-2</v>
      </c>
      <c r="W1204" s="132">
        <v>4.4229999999999998E-2</v>
      </c>
      <c r="X1204" s="3" t="s">
        <v>620</v>
      </c>
      <c r="Y1204" s="3" t="s">
        <v>62</v>
      </c>
      <c r="Z1204" s="131">
        <v>48284.12</v>
      </c>
      <c r="AA1204" s="129">
        <v>1</v>
      </c>
      <c r="AB1204" s="157">
        <v>100.89</v>
      </c>
      <c r="AD1204" s="131">
        <v>48.713999999999999</v>
      </c>
      <c r="AG1204" s="6" t="s">
        <v>17</v>
      </c>
      <c r="AH1204" s="132">
        <v>3.1300000000000002E-4</v>
      </c>
      <c r="AI1204" s="132">
        <v>1.75529221644303E-3</v>
      </c>
      <c r="AJ1204" s="132">
        <v>4.0081129455780501E-4</v>
      </c>
    </row>
    <row r="1205" spans="1:36" x14ac:dyDescent="0.2">
      <c r="A1205" s="6">
        <v>559</v>
      </c>
      <c r="B1205" s="6">
        <v>7207</v>
      </c>
      <c r="C1205" s="6" t="s">
        <v>2211</v>
      </c>
      <c r="D1205" s="6" t="s">
        <v>2212</v>
      </c>
      <c r="E1205" s="3" t="s">
        <v>430</v>
      </c>
      <c r="F1205" s="6" t="s">
        <v>2213</v>
      </c>
      <c r="G1205" s="6" t="s">
        <v>2214</v>
      </c>
      <c r="H1205" s="6" t="s">
        <v>76</v>
      </c>
      <c r="I1205" s="6" t="s">
        <v>230</v>
      </c>
      <c r="J1205" s="6" t="s">
        <v>61</v>
      </c>
      <c r="K1205" s="6" t="s">
        <v>315</v>
      </c>
      <c r="L1205" s="6" t="s">
        <v>805</v>
      </c>
      <c r="M1205" s="6" t="s">
        <v>102</v>
      </c>
      <c r="N1205" s="6" t="s">
        <v>2215</v>
      </c>
      <c r="O1205" s="6" t="s">
        <v>62</v>
      </c>
      <c r="P1205" s="6" t="s">
        <v>2216</v>
      </c>
      <c r="Q1205" s="6" t="s">
        <v>84</v>
      </c>
      <c r="R1205" s="6" t="s">
        <v>57</v>
      </c>
      <c r="S1205" s="6" t="s">
        <v>1217</v>
      </c>
      <c r="T1205" s="131">
        <v>2.9129999999999998</v>
      </c>
      <c r="U1205" s="6" t="s">
        <v>2217</v>
      </c>
      <c r="V1205" s="134">
        <v>8.1250000000000003E-2</v>
      </c>
      <c r="W1205" s="132">
        <v>7.3950000000000002E-2</v>
      </c>
      <c r="X1205" s="3" t="s">
        <v>620</v>
      </c>
      <c r="Y1205" s="3" t="s">
        <v>62</v>
      </c>
      <c r="Z1205" s="131">
        <v>25000</v>
      </c>
      <c r="AA1205" s="129">
        <v>3.3719999999999999</v>
      </c>
      <c r="AB1205" s="157">
        <v>103.986</v>
      </c>
      <c r="AD1205" s="131">
        <v>87.66</v>
      </c>
      <c r="AG1205" s="6" t="s">
        <v>17</v>
      </c>
      <c r="AH1205" s="132">
        <v>3.3000000000000003E-5</v>
      </c>
      <c r="AI1205" s="132">
        <v>3.1586260573680399E-3</v>
      </c>
      <c r="AJ1205" s="132">
        <v>7.2125483564393898E-4</v>
      </c>
    </row>
    <row r="1206" spans="1:36" x14ac:dyDescent="0.2">
      <c r="A1206" s="6">
        <v>559</v>
      </c>
      <c r="B1206" s="6">
        <v>7207</v>
      </c>
      <c r="C1206" s="6" t="s">
        <v>2218</v>
      </c>
      <c r="D1206" s="6" t="s">
        <v>2219</v>
      </c>
      <c r="E1206" s="3" t="s">
        <v>430</v>
      </c>
      <c r="F1206" s="6" t="s">
        <v>2220</v>
      </c>
      <c r="G1206" s="6" t="s">
        <v>2221</v>
      </c>
      <c r="H1206" s="6" t="s">
        <v>76</v>
      </c>
      <c r="I1206" s="6" t="s">
        <v>230</v>
      </c>
      <c r="J1206" s="6" t="s">
        <v>61</v>
      </c>
      <c r="K1206" s="6" t="s">
        <v>314</v>
      </c>
      <c r="L1206" s="6" t="s">
        <v>805</v>
      </c>
      <c r="M1206" s="6" t="s">
        <v>102</v>
      </c>
      <c r="N1206" s="6" t="s">
        <v>2222</v>
      </c>
      <c r="O1206" s="6" t="s">
        <v>62</v>
      </c>
      <c r="P1206" s="6" t="s">
        <v>2223</v>
      </c>
      <c r="Q1206" s="6" t="s">
        <v>96</v>
      </c>
      <c r="R1206" s="6" t="s">
        <v>57</v>
      </c>
      <c r="S1206" s="6" t="s">
        <v>1217</v>
      </c>
      <c r="T1206" s="131">
        <v>2.6230000000000002</v>
      </c>
      <c r="U1206" s="6" t="s">
        <v>2224</v>
      </c>
      <c r="V1206" s="134">
        <v>7.9500000000000001E-2</v>
      </c>
      <c r="W1206" s="132">
        <v>5.6099999999999997E-2</v>
      </c>
      <c r="X1206" s="3" t="s">
        <v>620</v>
      </c>
      <c r="Y1206" s="3" t="s">
        <v>62</v>
      </c>
      <c r="Z1206" s="131">
        <v>13000</v>
      </c>
      <c r="AA1206" s="129">
        <v>3.3719999999999999</v>
      </c>
      <c r="AB1206" s="157">
        <v>106.99299999999999</v>
      </c>
      <c r="AD1206" s="131">
        <v>46.902000000000001</v>
      </c>
      <c r="AG1206" s="6" t="s">
        <v>17</v>
      </c>
      <c r="AH1206" s="132">
        <v>2.0000000000000002E-5</v>
      </c>
      <c r="AI1206" s="132">
        <v>1.68999321086741E-3</v>
      </c>
      <c r="AJ1206" s="132">
        <v>3.8590062685648198E-4</v>
      </c>
    </row>
    <row r="1207" spans="1:36" x14ac:dyDescent="0.2">
      <c r="A1207" s="6">
        <v>559</v>
      </c>
      <c r="B1207" s="6">
        <v>7207</v>
      </c>
      <c r="C1207" s="6" t="s">
        <v>2218</v>
      </c>
      <c r="D1207" s="6" t="s">
        <v>2219</v>
      </c>
      <c r="E1207" s="3" t="s">
        <v>430</v>
      </c>
      <c r="F1207" s="6" t="s">
        <v>2225</v>
      </c>
      <c r="G1207" s="6" t="s">
        <v>2226</v>
      </c>
      <c r="H1207" s="6" t="s">
        <v>76</v>
      </c>
      <c r="I1207" s="6" t="s">
        <v>230</v>
      </c>
      <c r="J1207" s="6" t="s">
        <v>61</v>
      </c>
      <c r="K1207" s="6" t="s">
        <v>314</v>
      </c>
      <c r="L1207" s="6" t="s">
        <v>805</v>
      </c>
      <c r="M1207" s="6" t="s">
        <v>102</v>
      </c>
      <c r="N1207" s="6" t="s">
        <v>2222</v>
      </c>
      <c r="O1207" s="6" t="s">
        <v>62</v>
      </c>
      <c r="P1207" s="6" t="s">
        <v>2223</v>
      </c>
      <c r="Q1207" s="6" t="s">
        <v>96</v>
      </c>
      <c r="R1207" s="6" t="s">
        <v>57</v>
      </c>
      <c r="S1207" s="6" t="s">
        <v>1217</v>
      </c>
      <c r="T1207" s="131">
        <v>4.649</v>
      </c>
      <c r="U1207" s="6" t="s">
        <v>2227</v>
      </c>
      <c r="V1207" s="134">
        <v>6.6500000000000004E-2</v>
      </c>
      <c r="W1207" s="132">
        <v>6.1460000000000001E-2</v>
      </c>
      <c r="X1207" s="3" t="s">
        <v>620</v>
      </c>
      <c r="Y1207" s="3" t="s">
        <v>62</v>
      </c>
      <c r="Z1207" s="131">
        <v>5000</v>
      </c>
      <c r="AA1207" s="129">
        <v>3.3719999999999999</v>
      </c>
      <c r="AB1207" s="157">
        <v>112.43300000000001</v>
      </c>
      <c r="AD1207" s="131">
        <v>18.956</v>
      </c>
      <c r="AG1207" s="6" t="s">
        <v>17</v>
      </c>
      <c r="AH1207" s="132">
        <v>6.9999999999999999E-6</v>
      </c>
      <c r="AI1207" s="132">
        <v>6.8304343684031201E-4</v>
      </c>
      <c r="AJ1207" s="132">
        <v>1.55969200794359E-4</v>
      </c>
    </row>
    <row r="1208" spans="1:36" x14ac:dyDescent="0.2">
      <c r="A1208" s="6">
        <v>559</v>
      </c>
      <c r="B1208" s="6">
        <v>7207</v>
      </c>
      <c r="C1208" s="6" t="s">
        <v>2228</v>
      </c>
      <c r="D1208" s="6" t="s">
        <v>2229</v>
      </c>
      <c r="E1208" s="3" t="s">
        <v>430</v>
      </c>
      <c r="F1208" s="6" t="s">
        <v>2230</v>
      </c>
      <c r="G1208" s="6" t="s">
        <v>2231</v>
      </c>
      <c r="H1208" s="6" t="s">
        <v>76</v>
      </c>
      <c r="I1208" s="6" t="s">
        <v>230</v>
      </c>
      <c r="J1208" s="6" t="s">
        <v>61</v>
      </c>
      <c r="K1208" s="6" t="s">
        <v>313</v>
      </c>
      <c r="L1208" s="6" t="s">
        <v>805</v>
      </c>
      <c r="M1208" s="6" t="s">
        <v>476</v>
      </c>
      <c r="N1208" s="6" t="s">
        <v>865</v>
      </c>
      <c r="O1208" s="6" t="s">
        <v>62</v>
      </c>
      <c r="P1208" s="6" t="s">
        <v>1778</v>
      </c>
      <c r="Q1208" s="6" t="s">
        <v>96</v>
      </c>
      <c r="R1208" s="6" t="s">
        <v>57</v>
      </c>
      <c r="S1208" s="6" t="s">
        <v>1217</v>
      </c>
      <c r="T1208" s="131">
        <v>5.7140000000000004</v>
      </c>
      <c r="U1208" s="6" t="s">
        <v>2232</v>
      </c>
      <c r="V1208" s="134">
        <v>7.3779999999999998E-2</v>
      </c>
      <c r="W1208" s="132">
        <v>5.4050000000000001E-2</v>
      </c>
      <c r="X1208" s="3" t="s">
        <v>620</v>
      </c>
      <c r="Y1208" s="3" t="s">
        <v>62</v>
      </c>
      <c r="Z1208" s="131">
        <v>15000</v>
      </c>
      <c r="AA1208" s="129">
        <v>3.3719999999999999</v>
      </c>
      <c r="AB1208" s="157">
        <v>111.904</v>
      </c>
      <c r="AD1208" s="131">
        <v>56.600999999999999</v>
      </c>
      <c r="AG1208" s="6" t="s">
        <v>17</v>
      </c>
      <c r="AH1208" s="132">
        <v>2.5000000000000001E-5</v>
      </c>
      <c r="AI1208" s="132">
        <v>2.0394845941417499E-3</v>
      </c>
      <c r="AJ1208" s="132">
        <v>4.6570505625846898E-4</v>
      </c>
    </row>
    <row r="1209" spans="1:36" x14ac:dyDescent="0.2">
      <c r="A1209" s="6">
        <v>559</v>
      </c>
      <c r="B1209" s="6">
        <v>7207</v>
      </c>
      <c r="C1209" s="6" t="s">
        <v>2233</v>
      </c>
      <c r="D1209" s="6" t="s">
        <v>2234</v>
      </c>
      <c r="E1209" s="3" t="s">
        <v>430</v>
      </c>
      <c r="F1209" s="6" t="s">
        <v>2235</v>
      </c>
      <c r="G1209" s="6" t="s">
        <v>2236</v>
      </c>
      <c r="H1209" s="6" t="s">
        <v>76</v>
      </c>
      <c r="I1209" s="6" t="s">
        <v>230</v>
      </c>
      <c r="J1209" s="6" t="s">
        <v>61</v>
      </c>
      <c r="K1209" s="6" t="s">
        <v>314</v>
      </c>
      <c r="L1209" s="6" t="s">
        <v>805</v>
      </c>
      <c r="M1209" s="6" t="s">
        <v>102</v>
      </c>
      <c r="N1209" s="6" t="s">
        <v>903</v>
      </c>
      <c r="O1209" s="6" t="s">
        <v>62</v>
      </c>
      <c r="P1209" s="6" t="s">
        <v>1577</v>
      </c>
      <c r="Q1209" s="6" t="s">
        <v>96</v>
      </c>
      <c r="R1209" s="6" t="s">
        <v>57</v>
      </c>
      <c r="S1209" s="6" t="s">
        <v>1217</v>
      </c>
      <c r="T1209" s="131">
        <v>2.641</v>
      </c>
      <c r="U1209" s="6" t="s">
        <v>2237</v>
      </c>
      <c r="V1209" s="134">
        <v>4.5999999999999999E-2</v>
      </c>
      <c r="W1209" s="132">
        <v>3.9879999999999999E-2</v>
      </c>
      <c r="X1209" s="3" t="s">
        <v>620</v>
      </c>
      <c r="Y1209" s="3" t="s">
        <v>62</v>
      </c>
      <c r="Z1209" s="131">
        <v>9000</v>
      </c>
      <c r="AA1209" s="129">
        <v>3.3719999999999999</v>
      </c>
      <c r="AB1209" s="157">
        <v>102.379</v>
      </c>
      <c r="AD1209" s="131">
        <v>31.07</v>
      </c>
      <c r="AG1209" s="6" t="s">
        <v>17</v>
      </c>
      <c r="AH1209" s="132">
        <v>6.0000000000000002E-6</v>
      </c>
      <c r="AI1209" s="132">
        <v>1.11953325958913E-3</v>
      </c>
      <c r="AJ1209" s="132">
        <v>2.5563924392358001E-4</v>
      </c>
    </row>
    <row r="1210" spans="1:36" x14ac:dyDescent="0.2">
      <c r="A1210" s="6">
        <v>559</v>
      </c>
      <c r="B1210" s="6">
        <v>7207</v>
      </c>
      <c r="C1210" s="6" t="s">
        <v>2238</v>
      </c>
      <c r="D1210" s="6" t="s">
        <v>2239</v>
      </c>
      <c r="E1210" s="3" t="s">
        <v>430</v>
      </c>
      <c r="F1210" s="6" t="s">
        <v>2240</v>
      </c>
      <c r="G1210" s="6" t="s">
        <v>2241</v>
      </c>
      <c r="H1210" s="6" t="s">
        <v>76</v>
      </c>
      <c r="I1210" s="6" t="s">
        <v>230</v>
      </c>
      <c r="J1210" s="6" t="s">
        <v>61</v>
      </c>
      <c r="K1210" s="6" t="s">
        <v>314</v>
      </c>
      <c r="L1210" s="6" t="s">
        <v>805</v>
      </c>
      <c r="M1210" s="6" t="s">
        <v>102</v>
      </c>
      <c r="N1210" s="6" t="s">
        <v>882</v>
      </c>
      <c r="O1210" s="6" t="s">
        <v>62</v>
      </c>
      <c r="P1210" s="6" t="s">
        <v>1521</v>
      </c>
      <c r="Q1210" s="6" t="s">
        <v>84</v>
      </c>
      <c r="R1210" s="6" t="s">
        <v>57</v>
      </c>
      <c r="S1210" s="6" t="s">
        <v>1217</v>
      </c>
      <c r="T1210" s="131">
        <v>2.2320000000000002</v>
      </c>
      <c r="U1210" s="6" t="s">
        <v>2242</v>
      </c>
      <c r="V1210" s="134">
        <v>4.5499999999999999E-2</v>
      </c>
      <c r="W1210" s="132">
        <v>4.027E-2</v>
      </c>
      <c r="X1210" s="3" t="s">
        <v>620</v>
      </c>
      <c r="Y1210" s="3" t="s">
        <v>62</v>
      </c>
      <c r="Z1210" s="131">
        <v>30000</v>
      </c>
      <c r="AA1210" s="129">
        <v>3.3719999999999999</v>
      </c>
      <c r="AB1210" s="157">
        <v>101.29600000000001</v>
      </c>
      <c r="AD1210" s="131">
        <v>102.471</v>
      </c>
      <c r="AG1210" s="6" t="s">
        <v>17</v>
      </c>
      <c r="AH1210" s="132">
        <v>1.5E-5</v>
      </c>
      <c r="AI1210" s="132">
        <v>3.6923095301871702E-3</v>
      </c>
      <c r="AJ1210" s="132">
        <v>8.43118512598084E-4</v>
      </c>
    </row>
    <row r="1211" spans="1:36" x14ac:dyDescent="0.2">
      <c r="A1211" s="6">
        <v>559</v>
      </c>
      <c r="B1211" s="6">
        <v>7207</v>
      </c>
      <c r="C1211" s="6" t="s">
        <v>2243</v>
      </c>
      <c r="D1211" s="6" t="s">
        <v>2244</v>
      </c>
      <c r="E1211" s="3" t="s">
        <v>430</v>
      </c>
      <c r="F1211" s="6" t="s">
        <v>2245</v>
      </c>
      <c r="G1211" s="6" t="s">
        <v>2246</v>
      </c>
      <c r="H1211" s="6" t="s">
        <v>76</v>
      </c>
      <c r="I1211" s="6" t="s">
        <v>230</v>
      </c>
      <c r="J1211" s="6" t="s">
        <v>61</v>
      </c>
      <c r="K1211" s="6" t="s">
        <v>314</v>
      </c>
      <c r="L1211" s="6" t="s">
        <v>805</v>
      </c>
      <c r="M1211" s="6" t="s">
        <v>102</v>
      </c>
      <c r="N1211" s="6" t="s">
        <v>1141</v>
      </c>
      <c r="O1211" s="6" t="s">
        <v>62</v>
      </c>
      <c r="P1211" s="6" t="s">
        <v>2223</v>
      </c>
      <c r="Q1211" s="6" t="s">
        <v>96</v>
      </c>
      <c r="R1211" s="6" t="s">
        <v>57</v>
      </c>
      <c r="S1211" s="6" t="s">
        <v>1217</v>
      </c>
      <c r="T1211" s="131">
        <v>3.2919999999999998</v>
      </c>
      <c r="U1211" s="6" t="s">
        <v>2038</v>
      </c>
      <c r="V1211" s="134">
        <v>6.9000000000000006E-2</v>
      </c>
      <c r="W1211" s="132">
        <v>5.6759999999999998E-2</v>
      </c>
      <c r="X1211" s="3" t="s">
        <v>620</v>
      </c>
      <c r="Y1211" s="3" t="s">
        <v>62</v>
      </c>
      <c r="Z1211" s="131">
        <v>20000</v>
      </c>
      <c r="AA1211" s="129">
        <v>3.3719999999999999</v>
      </c>
      <c r="AB1211" s="157">
        <v>105.711</v>
      </c>
      <c r="AD1211" s="131">
        <v>71.292000000000002</v>
      </c>
      <c r="AG1211" s="6" t="s">
        <v>17</v>
      </c>
      <c r="AH1211" s="132">
        <v>2.0000000000000002E-5</v>
      </c>
      <c r="AI1211" s="132">
        <v>2.5688365459051398E-3</v>
      </c>
      <c r="AJ1211" s="132">
        <v>5.86579654274369E-4</v>
      </c>
    </row>
    <row r="1212" spans="1:36" x14ac:dyDescent="0.2">
      <c r="A1212" s="6">
        <v>559</v>
      </c>
      <c r="B1212" s="6">
        <v>7207</v>
      </c>
      <c r="C1212" s="6" t="s">
        <v>2247</v>
      </c>
      <c r="D1212" s="6" t="s">
        <v>2248</v>
      </c>
      <c r="E1212" s="3" t="s">
        <v>430</v>
      </c>
      <c r="F1212" s="6" t="s">
        <v>2249</v>
      </c>
      <c r="G1212" s="6" t="s">
        <v>2250</v>
      </c>
      <c r="H1212" s="6" t="s">
        <v>76</v>
      </c>
      <c r="I1212" s="6" t="s">
        <v>230</v>
      </c>
      <c r="J1212" s="6" t="s">
        <v>61</v>
      </c>
      <c r="K1212" s="6" t="s">
        <v>314</v>
      </c>
      <c r="L1212" s="6" t="s">
        <v>805</v>
      </c>
      <c r="M1212" s="6" t="s">
        <v>102</v>
      </c>
      <c r="N1212" s="6" t="s">
        <v>2251</v>
      </c>
      <c r="O1212" s="6" t="s">
        <v>62</v>
      </c>
      <c r="P1212" s="6" t="s">
        <v>2223</v>
      </c>
      <c r="Q1212" s="6" t="s">
        <v>96</v>
      </c>
      <c r="R1212" s="6" t="s">
        <v>57</v>
      </c>
      <c r="S1212" s="6" t="s">
        <v>1217</v>
      </c>
      <c r="T1212" s="131">
        <v>6.7709999999999999</v>
      </c>
      <c r="U1212" s="6" t="s">
        <v>2252</v>
      </c>
      <c r="V1212" s="134">
        <v>5.8749999999999997E-2</v>
      </c>
      <c r="W1212" s="132">
        <v>5.4800000000000001E-2</v>
      </c>
      <c r="X1212" s="3" t="s">
        <v>620</v>
      </c>
      <c r="Y1212" s="3" t="s">
        <v>62</v>
      </c>
      <c r="Z1212" s="131">
        <v>20000</v>
      </c>
      <c r="AA1212" s="129">
        <v>3.3719999999999999</v>
      </c>
      <c r="AB1212" s="157">
        <v>104.32899999999999</v>
      </c>
      <c r="AD1212" s="131">
        <v>70.358999999999995</v>
      </c>
      <c r="AG1212" s="6" t="s">
        <v>17</v>
      </c>
      <c r="AH1212" s="132">
        <v>4.0000000000000003E-5</v>
      </c>
      <c r="AI1212" s="132">
        <v>2.5352321891177702E-3</v>
      </c>
      <c r="AJ1212" s="132">
        <v>5.7890628478035795E-4</v>
      </c>
    </row>
    <row r="1213" spans="1:36" x14ac:dyDescent="0.2">
      <c r="A1213" s="6">
        <v>559</v>
      </c>
      <c r="B1213" s="6">
        <v>7207</v>
      </c>
      <c r="C1213" s="6" t="s">
        <v>2396</v>
      </c>
      <c r="D1213" s="6" t="s">
        <v>2397</v>
      </c>
      <c r="E1213" s="3" t="s">
        <v>430</v>
      </c>
      <c r="F1213" s="6" t="s">
        <v>2398</v>
      </c>
      <c r="G1213" s="6" t="s">
        <v>2399</v>
      </c>
      <c r="H1213" s="6" t="s">
        <v>76</v>
      </c>
      <c r="I1213" s="6" t="s">
        <v>230</v>
      </c>
      <c r="J1213" s="6" t="s">
        <v>61</v>
      </c>
      <c r="K1213" s="6" t="s">
        <v>196</v>
      </c>
      <c r="L1213" s="6" t="s">
        <v>805</v>
      </c>
      <c r="M1213" s="6" t="s">
        <v>476</v>
      </c>
      <c r="N1213" s="6" t="s">
        <v>915</v>
      </c>
      <c r="O1213" s="6" t="s">
        <v>62</v>
      </c>
      <c r="P1213" s="6" t="s">
        <v>2400</v>
      </c>
      <c r="Q1213" s="6" t="s">
        <v>84</v>
      </c>
      <c r="R1213" s="6" t="s">
        <v>57</v>
      </c>
      <c r="S1213" s="6" t="s">
        <v>1215</v>
      </c>
      <c r="T1213" s="131">
        <v>2.097</v>
      </c>
      <c r="U1213" s="6" t="s">
        <v>2401</v>
      </c>
      <c r="V1213" s="134">
        <v>2.6249999999999999E-2</v>
      </c>
      <c r="W1213" s="132">
        <v>7.1129999999999999E-2</v>
      </c>
      <c r="X1213" s="3" t="s">
        <v>620</v>
      </c>
      <c r="Y1213" s="3" t="s">
        <v>62</v>
      </c>
      <c r="Z1213" s="131">
        <v>10000</v>
      </c>
      <c r="AA1213" s="129">
        <v>3.9552</v>
      </c>
      <c r="AB1213" s="157">
        <v>93.527000000000001</v>
      </c>
      <c r="AD1213" s="131">
        <v>36.991999999999997</v>
      </c>
      <c r="AG1213" s="6" t="s">
        <v>17</v>
      </c>
      <c r="AH1213" s="132">
        <v>4.1999999999999998E-5</v>
      </c>
      <c r="AI1213" s="132">
        <v>1.3329127789344E-3</v>
      </c>
      <c r="AJ1213" s="132">
        <v>3.0436328005826302E-4</v>
      </c>
    </row>
    <row r="1214" spans="1:36" x14ac:dyDescent="0.2">
      <c r="A1214" s="6">
        <v>559</v>
      </c>
      <c r="B1214" s="6">
        <v>7207</v>
      </c>
      <c r="C1214" s="6" t="s">
        <v>2402</v>
      </c>
      <c r="D1214" s="6" t="s">
        <v>2403</v>
      </c>
      <c r="E1214" s="3" t="s">
        <v>430</v>
      </c>
      <c r="F1214" s="6" t="s">
        <v>2404</v>
      </c>
      <c r="G1214" s="6" t="s">
        <v>2405</v>
      </c>
      <c r="H1214" s="6" t="s">
        <v>76</v>
      </c>
      <c r="I1214" s="6" t="s">
        <v>230</v>
      </c>
      <c r="J1214" s="6" t="s">
        <v>61</v>
      </c>
      <c r="K1214" s="6" t="s">
        <v>314</v>
      </c>
      <c r="L1214" s="6" t="s">
        <v>805</v>
      </c>
      <c r="M1214" s="6" t="s">
        <v>102</v>
      </c>
      <c r="N1214" s="6" t="s">
        <v>202</v>
      </c>
      <c r="O1214" s="6" t="s">
        <v>62</v>
      </c>
      <c r="P1214" s="6" t="s">
        <v>1778</v>
      </c>
      <c r="Q1214" s="6" t="s">
        <v>96</v>
      </c>
      <c r="R1214" s="6" t="s">
        <v>57</v>
      </c>
      <c r="S1214" s="6" t="s">
        <v>1217</v>
      </c>
      <c r="T1214" s="131">
        <v>5.21</v>
      </c>
      <c r="U1214" s="6" t="s">
        <v>2406</v>
      </c>
      <c r="V1214" s="134">
        <v>2.4500000000000001E-2</v>
      </c>
      <c r="W1214" s="132">
        <v>4.6370000000000001E-2</v>
      </c>
      <c r="X1214" s="3" t="s">
        <v>620</v>
      </c>
      <c r="Y1214" s="3" t="s">
        <v>62</v>
      </c>
      <c r="Z1214" s="131">
        <v>4000</v>
      </c>
      <c r="AA1214" s="129">
        <v>3.3719999999999999</v>
      </c>
      <c r="AB1214" s="157">
        <v>90.284000000000006</v>
      </c>
      <c r="AD1214" s="131">
        <v>12.177</v>
      </c>
      <c r="AG1214" s="6" t="s">
        <v>17</v>
      </c>
      <c r="AH1214" s="132">
        <v>9.9999999999999995E-7</v>
      </c>
      <c r="AI1214" s="132">
        <v>4.3878643519412101E-4</v>
      </c>
      <c r="AJ1214" s="132">
        <v>1.00194461911846E-4</v>
      </c>
    </row>
    <row r="1215" spans="1:36" x14ac:dyDescent="0.2">
      <c r="A1215" s="6">
        <v>559</v>
      </c>
      <c r="B1215" s="6">
        <v>7207</v>
      </c>
      <c r="C1215" s="6" t="s">
        <v>1220</v>
      </c>
      <c r="D1215" s="6" t="s">
        <v>1483</v>
      </c>
      <c r="E1215" s="3" t="s">
        <v>1477</v>
      </c>
      <c r="F1215" s="6" t="s">
        <v>2407</v>
      </c>
      <c r="G1215" s="6" t="s">
        <v>2408</v>
      </c>
      <c r="H1215" s="6" t="s">
        <v>76</v>
      </c>
      <c r="I1215" s="6" t="s">
        <v>230</v>
      </c>
      <c r="J1215" s="6" t="s">
        <v>61</v>
      </c>
      <c r="K1215" s="6" t="s">
        <v>53</v>
      </c>
      <c r="L1215" s="6" t="s">
        <v>805</v>
      </c>
      <c r="M1215" s="6" t="s">
        <v>102</v>
      </c>
      <c r="N1215" s="6" t="s">
        <v>195</v>
      </c>
      <c r="O1215" s="6" t="s">
        <v>62</v>
      </c>
      <c r="P1215" s="6" t="s">
        <v>1515</v>
      </c>
      <c r="Q1215" s="6" t="s">
        <v>96</v>
      </c>
      <c r="R1215" s="6" t="s">
        <v>57</v>
      </c>
      <c r="S1215" s="6" t="s">
        <v>1217</v>
      </c>
      <c r="T1215" s="131">
        <v>1.8759999999999999</v>
      </c>
      <c r="U1215" s="6" t="s">
        <v>2409</v>
      </c>
      <c r="V1215" s="134">
        <v>5.1249999999999997E-2</v>
      </c>
      <c r="W1215" s="132">
        <v>4.6589999999999999E-2</v>
      </c>
      <c r="X1215" s="3" t="s">
        <v>620</v>
      </c>
      <c r="Y1215" s="3" t="s">
        <v>62</v>
      </c>
      <c r="Z1215" s="131">
        <v>60000</v>
      </c>
      <c r="AA1215" s="129">
        <v>3.3719999999999999</v>
      </c>
      <c r="AB1215" s="157">
        <v>102.059</v>
      </c>
      <c r="AD1215" s="131">
        <v>206.48599999999999</v>
      </c>
      <c r="AG1215" s="6" t="s">
        <v>17</v>
      </c>
      <c r="AH1215" s="132">
        <v>1.2E-4</v>
      </c>
      <c r="AI1215" s="132">
        <v>7.4402667922883999E-3</v>
      </c>
      <c r="AJ1215" s="132">
        <v>1.6989438777981101E-3</v>
      </c>
    </row>
    <row r="1216" spans="1:36" x14ac:dyDescent="0.2">
      <c r="A1216" s="6">
        <v>559</v>
      </c>
      <c r="B1216" s="6">
        <v>7207</v>
      </c>
      <c r="C1216" s="6" t="s">
        <v>2253</v>
      </c>
      <c r="D1216" s="6" t="s">
        <v>2254</v>
      </c>
      <c r="E1216" s="3" t="s">
        <v>430</v>
      </c>
      <c r="F1216" s="6" t="s">
        <v>2255</v>
      </c>
      <c r="G1216" s="6" t="s">
        <v>2256</v>
      </c>
      <c r="H1216" s="6" t="s">
        <v>76</v>
      </c>
      <c r="I1216" s="6" t="s">
        <v>230</v>
      </c>
      <c r="J1216" s="6" t="s">
        <v>61</v>
      </c>
      <c r="K1216" s="6" t="s">
        <v>153</v>
      </c>
      <c r="L1216" s="6" t="s">
        <v>805</v>
      </c>
      <c r="M1216" s="6" t="s">
        <v>102</v>
      </c>
      <c r="N1216" s="6" t="s">
        <v>894</v>
      </c>
      <c r="O1216" s="6" t="s">
        <v>62</v>
      </c>
      <c r="P1216" s="6" t="s">
        <v>1778</v>
      </c>
      <c r="Q1216" s="6" t="s">
        <v>96</v>
      </c>
      <c r="R1216" s="6" t="s">
        <v>57</v>
      </c>
      <c r="S1216" s="6" t="s">
        <v>1217</v>
      </c>
      <c r="T1216" s="131">
        <v>3.2370000000000001</v>
      </c>
      <c r="U1216" s="6" t="s">
        <v>2257</v>
      </c>
      <c r="V1216" s="134">
        <v>4.3749999999999997E-2</v>
      </c>
      <c r="W1216" s="132">
        <v>4.7140000000000001E-2</v>
      </c>
      <c r="X1216" s="3" t="s">
        <v>620</v>
      </c>
      <c r="Y1216" s="3" t="s">
        <v>62</v>
      </c>
      <c r="Z1216" s="131">
        <v>25000</v>
      </c>
      <c r="AA1216" s="129">
        <v>3.3719999999999999</v>
      </c>
      <c r="AB1216" s="157">
        <v>98.981999999999999</v>
      </c>
      <c r="AD1216" s="131">
        <v>83.441999999999993</v>
      </c>
      <c r="AG1216" s="6" t="s">
        <v>17</v>
      </c>
      <c r="AH1216" s="132">
        <v>6.9999999999999999E-6</v>
      </c>
      <c r="AI1216" s="132">
        <v>3.0066443771590602E-3</v>
      </c>
      <c r="AJ1216" s="132">
        <v>6.8655065737493603E-4</v>
      </c>
    </row>
    <row r="1217" spans="1:36" x14ac:dyDescent="0.2">
      <c r="A1217" s="6">
        <v>559</v>
      </c>
      <c r="B1217" s="6">
        <v>7207</v>
      </c>
      <c r="C1217" s="6" t="s">
        <v>2410</v>
      </c>
      <c r="D1217" s="6" t="s">
        <v>2411</v>
      </c>
      <c r="E1217" s="3" t="s">
        <v>430</v>
      </c>
      <c r="F1217" s="6" t="s">
        <v>2412</v>
      </c>
      <c r="G1217" s="6" t="s">
        <v>2413</v>
      </c>
      <c r="H1217" s="6" t="s">
        <v>76</v>
      </c>
      <c r="I1217" s="6" t="s">
        <v>230</v>
      </c>
      <c r="J1217" s="6" t="s">
        <v>61</v>
      </c>
      <c r="K1217" s="6" t="s">
        <v>198</v>
      </c>
      <c r="L1217" s="6" t="s">
        <v>805</v>
      </c>
      <c r="M1217" s="6" t="s">
        <v>486</v>
      </c>
      <c r="N1217" s="6" t="s">
        <v>915</v>
      </c>
      <c r="O1217" s="6" t="s">
        <v>62</v>
      </c>
      <c r="P1217" s="6" t="s">
        <v>2223</v>
      </c>
      <c r="Q1217" s="6" t="s">
        <v>96</v>
      </c>
      <c r="R1217" s="6" t="s">
        <v>57</v>
      </c>
      <c r="S1217" s="6" t="s">
        <v>1215</v>
      </c>
      <c r="T1217" s="131">
        <v>2.6440000000000001</v>
      </c>
      <c r="U1217" s="6" t="s">
        <v>2414</v>
      </c>
      <c r="V1217" s="134">
        <v>1.6250000000000001E-2</v>
      </c>
      <c r="W1217" s="132">
        <v>4.0410000000000001E-2</v>
      </c>
      <c r="X1217" s="3" t="s">
        <v>620</v>
      </c>
      <c r="Y1217" s="3" t="s">
        <v>62</v>
      </c>
      <c r="Z1217" s="131">
        <v>10000</v>
      </c>
      <c r="AA1217" s="129">
        <v>3.9552</v>
      </c>
      <c r="AB1217" s="157">
        <v>94.441000000000003</v>
      </c>
      <c r="AD1217" s="131">
        <v>37.353000000000002</v>
      </c>
      <c r="AG1217" s="6" t="s">
        <v>17</v>
      </c>
      <c r="AH1217" s="132">
        <v>2.9E-5</v>
      </c>
      <c r="AI1217" s="132">
        <v>1.34593705688918E-3</v>
      </c>
      <c r="AJ1217" s="132">
        <v>3.0733730208082799E-4</v>
      </c>
    </row>
    <row r="1218" spans="1:36" x14ac:dyDescent="0.2">
      <c r="A1218" s="6">
        <v>559</v>
      </c>
      <c r="B1218" s="6">
        <v>7207</v>
      </c>
      <c r="C1218" s="6" t="s">
        <v>2415</v>
      </c>
      <c r="D1218" s="6" t="s">
        <v>2416</v>
      </c>
      <c r="E1218" s="3" t="s">
        <v>430</v>
      </c>
      <c r="F1218" s="6" t="s">
        <v>2417</v>
      </c>
      <c r="G1218" s="6" t="s">
        <v>2418</v>
      </c>
      <c r="H1218" s="6" t="s">
        <v>76</v>
      </c>
      <c r="I1218" s="6" t="s">
        <v>230</v>
      </c>
      <c r="J1218" s="6" t="s">
        <v>61</v>
      </c>
      <c r="K1218" s="6" t="s">
        <v>314</v>
      </c>
      <c r="L1218" s="6" t="s">
        <v>805</v>
      </c>
      <c r="M1218" s="6" t="s">
        <v>476</v>
      </c>
      <c r="N1218" s="6" t="s">
        <v>879</v>
      </c>
      <c r="O1218" s="6" t="s">
        <v>62</v>
      </c>
      <c r="P1218" s="6" t="s">
        <v>2216</v>
      </c>
      <c r="Q1218" s="6" t="s">
        <v>84</v>
      </c>
      <c r="R1218" s="6" t="s">
        <v>57</v>
      </c>
      <c r="S1218" s="6" t="s">
        <v>1217</v>
      </c>
      <c r="T1218" s="131">
        <v>5.6879999999999997</v>
      </c>
      <c r="U1218" s="6" t="s">
        <v>1440</v>
      </c>
      <c r="V1218" s="134">
        <v>4.4999999999999998E-2</v>
      </c>
      <c r="W1218" s="132">
        <v>5.0369999999999998E-2</v>
      </c>
      <c r="X1218" s="3" t="s">
        <v>620</v>
      </c>
      <c r="Y1218" s="3" t="s">
        <v>62</v>
      </c>
      <c r="Z1218" s="131">
        <v>10000</v>
      </c>
      <c r="AA1218" s="129">
        <v>3.3719999999999999</v>
      </c>
      <c r="AB1218" s="157">
        <v>99.114000000000004</v>
      </c>
      <c r="AD1218" s="131">
        <v>33.420999999999999</v>
      </c>
      <c r="AG1218" s="6" t="s">
        <v>17</v>
      </c>
      <c r="AH1218" s="132">
        <v>2.9E-5</v>
      </c>
      <c r="AI1218" s="132">
        <v>1.2042580384055001E-3</v>
      </c>
      <c r="AJ1218" s="132">
        <v>2.7498567978217797E-4</v>
      </c>
    </row>
    <row r="1219" spans="1:36" x14ac:dyDescent="0.2">
      <c r="A1219" s="6">
        <v>559</v>
      </c>
      <c r="B1219" s="6">
        <v>7207</v>
      </c>
      <c r="C1219" s="6" t="s">
        <v>2258</v>
      </c>
      <c r="D1219" s="6" t="s">
        <v>2259</v>
      </c>
      <c r="E1219" s="3" t="s">
        <v>430</v>
      </c>
      <c r="F1219" s="6" t="s">
        <v>2260</v>
      </c>
      <c r="G1219" s="6" t="s">
        <v>2261</v>
      </c>
      <c r="H1219" s="6" t="s">
        <v>76</v>
      </c>
      <c r="I1219" s="6" t="s">
        <v>230</v>
      </c>
      <c r="J1219" s="6" t="s">
        <v>61</v>
      </c>
      <c r="K1219" s="6" t="s">
        <v>314</v>
      </c>
      <c r="L1219" s="6" t="s">
        <v>805</v>
      </c>
      <c r="M1219" s="6" t="s">
        <v>476</v>
      </c>
      <c r="N1219" s="6" t="s">
        <v>2262</v>
      </c>
      <c r="O1219" s="6" t="s">
        <v>62</v>
      </c>
      <c r="P1219" s="6" t="s">
        <v>2263</v>
      </c>
      <c r="Q1219" s="6" t="s">
        <v>84</v>
      </c>
      <c r="R1219" s="6" t="s">
        <v>57</v>
      </c>
      <c r="S1219" s="6" t="s">
        <v>1217</v>
      </c>
      <c r="T1219" s="131">
        <v>2.6880000000000002</v>
      </c>
      <c r="U1219" s="6" t="s">
        <v>2264</v>
      </c>
      <c r="V1219" s="134">
        <v>5.1999999999999998E-2</v>
      </c>
      <c r="W1219" s="132">
        <v>4.5629999999999997E-2</v>
      </c>
      <c r="X1219" s="3" t="s">
        <v>620</v>
      </c>
      <c r="Y1219" s="3" t="s">
        <v>62</v>
      </c>
      <c r="Z1219" s="131">
        <v>15000</v>
      </c>
      <c r="AA1219" s="129">
        <v>3.3719999999999999</v>
      </c>
      <c r="AB1219" s="157">
        <v>104.39400000000001</v>
      </c>
      <c r="AD1219" s="131">
        <v>52.802</v>
      </c>
      <c r="AG1219" s="6" t="s">
        <v>17</v>
      </c>
      <c r="AH1219" s="132">
        <v>3.0000000000000001E-5</v>
      </c>
      <c r="AI1219" s="132">
        <v>1.9026128445429401E-3</v>
      </c>
      <c r="AJ1219" s="132">
        <v>4.3445114729038999E-4</v>
      </c>
    </row>
    <row r="1220" spans="1:36" x14ac:dyDescent="0.2">
      <c r="A1220" s="6">
        <v>559</v>
      </c>
      <c r="B1220" s="6">
        <v>7207</v>
      </c>
      <c r="C1220" s="6" t="s">
        <v>2258</v>
      </c>
      <c r="D1220" s="6" t="s">
        <v>2259</v>
      </c>
      <c r="E1220" s="3" t="s">
        <v>430</v>
      </c>
      <c r="F1220" s="6" t="s">
        <v>2265</v>
      </c>
      <c r="G1220" s="6" t="s">
        <v>2266</v>
      </c>
      <c r="H1220" s="6" t="s">
        <v>76</v>
      </c>
      <c r="I1220" s="6" t="s">
        <v>230</v>
      </c>
      <c r="J1220" s="6" t="s">
        <v>61</v>
      </c>
      <c r="K1220" s="6" t="s">
        <v>314</v>
      </c>
      <c r="L1220" s="6" t="s">
        <v>805</v>
      </c>
      <c r="M1220" s="6" t="s">
        <v>476</v>
      </c>
      <c r="N1220" s="6" t="s">
        <v>2262</v>
      </c>
      <c r="O1220" s="6" t="s">
        <v>62</v>
      </c>
      <c r="P1220" s="6" t="s">
        <v>2263</v>
      </c>
      <c r="Q1220" s="6" t="s">
        <v>84</v>
      </c>
      <c r="R1220" s="6" t="s">
        <v>57</v>
      </c>
      <c r="S1220" s="6" t="s">
        <v>1217</v>
      </c>
      <c r="T1220" s="131">
        <v>6.2809999999999997</v>
      </c>
      <c r="U1220" s="6" t="s">
        <v>2267</v>
      </c>
      <c r="V1220" s="134">
        <v>5.45E-2</v>
      </c>
      <c r="W1220" s="132">
        <v>5.203E-2</v>
      </c>
      <c r="X1220" s="3" t="s">
        <v>620</v>
      </c>
      <c r="Y1220" s="3" t="s">
        <v>62</v>
      </c>
      <c r="Z1220" s="131">
        <v>15000</v>
      </c>
      <c r="AA1220" s="129">
        <v>3.3719999999999999</v>
      </c>
      <c r="AB1220" s="157">
        <v>104.78100000000001</v>
      </c>
      <c r="AD1220" s="131">
        <v>52.997999999999998</v>
      </c>
      <c r="AG1220" s="6" t="s">
        <v>17</v>
      </c>
      <c r="AH1220" s="132">
        <v>1.5E-5</v>
      </c>
      <c r="AI1220" s="132">
        <v>1.90967566472377E-3</v>
      </c>
      <c r="AJ1220" s="132">
        <v>4.36063903316645E-4</v>
      </c>
    </row>
    <row r="1221" spans="1:36" x14ac:dyDescent="0.2">
      <c r="A1221" s="6">
        <v>559</v>
      </c>
      <c r="B1221" s="6">
        <v>7207</v>
      </c>
      <c r="C1221" s="6" t="s">
        <v>2419</v>
      </c>
      <c r="D1221" s="6" t="s">
        <v>2420</v>
      </c>
      <c r="E1221" s="3" t="s">
        <v>78</v>
      </c>
      <c r="F1221" s="6" t="s">
        <v>2421</v>
      </c>
      <c r="G1221" s="6" t="s">
        <v>2422</v>
      </c>
      <c r="H1221" s="6" t="s">
        <v>76</v>
      </c>
      <c r="I1221" s="6" t="s">
        <v>230</v>
      </c>
      <c r="J1221" s="6" t="s">
        <v>61</v>
      </c>
      <c r="K1221" s="6" t="s">
        <v>314</v>
      </c>
      <c r="L1221" s="6" t="s">
        <v>805</v>
      </c>
      <c r="M1221" s="6" t="s">
        <v>102</v>
      </c>
      <c r="N1221" s="6" t="s">
        <v>862</v>
      </c>
      <c r="O1221" s="6" t="s">
        <v>62</v>
      </c>
      <c r="P1221" s="6" t="s">
        <v>2223</v>
      </c>
      <c r="Q1221" s="6" t="s">
        <v>96</v>
      </c>
      <c r="R1221" s="6" t="s">
        <v>57</v>
      </c>
      <c r="S1221" s="6" t="s">
        <v>1217</v>
      </c>
      <c r="T1221" s="131">
        <v>4.6710000000000003</v>
      </c>
      <c r="U1221" s="6" t="s">
        <v>2423</v>
      </c>
      <c r="V1221" s="134">
        <v>4.4999999999999998E-2</v>
      </c>
      <c r="W1221" s="132">
        <v>5.287E-2</v>
      </c>
      <c r="X1221" s="3" t="s">
        <v>620</v>
      </c>
      <c r="Y1221" s="3" t="s">
        <v>62</v>
      </c>
      <c r="Z1221" s="131">
        <v>4000</v>
      </c>
      <c r="AA1221" s="129">
        <v>3.3719999999999999</v>
      </c>
      <c r="AB1221" s="157">
        <v>98.24</v>
      </c>
      <c r="AD1221" s="131">
        <v>13.250999999999999</v>
      </c>
      <c r="AG1221" s="6" t="s">
        <v>17</v>
      </c>
      <c r="AH1221" s="132">
        <v>9.639E-3</v>
      </c>
      <c r="AI1221" s="132">
        <v>4.7745549445267602E-4</v>
      </c>
      <c r="AJ1221" s="132">
        <v>1.09024328275728E-4</v>
      </c>
    </row>
    <row r="1222" spans="1:36" x14ac:dyDescent="0.2">
      <c r="A1222" s="6">
        <v>559</v>
      </c>
      <c r="B1222" s="6">
        <v>7207</v>
      </c>
      <c r="C1222" s="6" t="s">
        <v>2424</v>
      </c>
      <c r="D1222" s="6" t="s">
        <v>2425</v>
      </c>
      <c r="E1222" s="3" t="s">
        <v>430</v>
      </c>
      <c r="F1222" s="6" t="s">
        <v>2426</v>
      </c>
      <c r="G1222" s="6" t="s">
        <v>2427</v>
      </c>
      <c r="H1222" s="6" t="s">
        <v>76</v>
      </c>
      <c r="I1222" s="6" t="s">
        <v>230</v>
      </c>
      <c r="J1222" s="6" t="s">
        <v>61</v>
      </c>
      <c r="K1222" s="6" t="s">
        <v>314</v>
      </c>
      <c r="L1222" s="6" t="s">
        <v>805</v>
      </c>
      <c r="M1222" s="6" t="s">
        <v>476</v>
      </c>
      <c r="N1222" s="6" t="s">
        <v>882</v>
      </c>
      <c r="O1222" s="6" t="s">
        <v>62</v>
      </c>
      <c r="P1222" s="6" t="s">
        <v>1778</v>
      </c>
      <c r="Q1222" s="6" t="s">
        <v>96</v>
      </c>
      <c r="R1222" s="6" t="s">
        <v>57</v>
      </c>
      <c r="S1222" s="6" t="s">
        <v>1217</v>
      </c>
      <c r="T1222" s="131">
        <v>5.8239999999999998</v>
      </c>
      <c r="U1222" s="6" t="s">
        <v>2428</v>
      </c>
      <c r="V1222" s="134">
        <v>3.15E-2</v>
      </c>
      <c r="W1222" s="132">
        <v>5.11E-2</v>
      </c>
      <c r="X1222" s="3" t="s">
        <v>620</v>
      </c>
      <c r="Y1222" s="3" t="s">
        <v>62</v>
      </c>
      <c r="Z1222" s="131">
        <v>10000</v>
      </c>
      <c r="AA1222" s="129">
        <v>3.3719999999999999</v>
      </c>
      <c r="AB1222" s="157">
        <v>90.897000000000006</v>
      </c>
      <c r="AD1222" s="131">
        <v>30.65</v>
      </c>
      <c r="AG1222" s="6" t="s">
        <v>17</v>
      </c>
      <c r="AH1222" s="132">
        <v>1.2999999999999999E-5</v>
      </c>
      <c r="AI1222" s="132">
        <v>1.10441654914982E-3</v>
      </c>
      <c r="AJ1222" s="132">
        <v>2.5218742648607401E-4</v>
      </c>
    </row>
    <row r="1223" spans="1:36" x14ac:dyDescent="0.2">
      <c r="A1223" s="6">
        <v>559</v>
      </c>
      <c r="B1223" s="6">
        <v>7207</v>
      </c>
      <c r="C1223" s="6" t="s">
        <v>2268</v>
      </c>
      <c r="D1223" s="6" t="s">
        <v>2269</v>
      </c>
      <c r="E1223" s="3" t="s">
        <v>430</v>
      </c>
      <c r="F1223" s="6" t="s">
        <v>2270</v>
      </c>
      <c r="G1223" s="6" t="s">
        <v>2271</v>
      </c>
      <c r="H1223" s="6" t="s">
        <v>76</v>
      </c>
      <c r="I1223" s="6" t="s">
        <v>230</v>
      </c>
      <c r="J1223" s="6" t="s">
        <v>61</v>
      </c>
      <c r="K1223" s="6" t="s">
        <v>314</v>
      </c>
      <c r="L1223" s="6" t="s">
        <v>805</v>
      </c>
      <c r="M1223" s="6" t="s">
        <v>102</v>
      </c>
      <c r="N1223" s="6" t="s">
        <v>2272</v>
      </c>
      <c r="O1223" s="6" t="s">
        <v>62</v>
      </c>
      <c r="P1223" s="6" t="s">
        <v>2273</v>
      </c>
      <c r="Q1223" s="6" t="s">
        <v>96</v>
      </c>
      <c r="R1223" s="6" t="s">
        <v>57</v>
      </c>
      <c r="S1223" s="6" t="s">
        <v>1217</v>
      </c>
      <c r="T1223" s="131">
        <v>3.6320000000000001</v>
      </c>
      <c r="U1223" s="6" t="s">
        <v>2274</v>
      </c>
      <c r="V1223" s="134">
        <v>6.8750000000000006E-2</v>
      </c>
      <c r="W1223" s="132">
        <v>6.2810000000000005E-2</v>
      </c>
      <c r="X1223" s="3" t="s">
        <v>620</v>
      </c>
      <c r="Y1223" s="3" t="s">
        <v>62</v>
      </c>
      <c r="Z1223" s="131">
        <v>15000</v>
      </c>
      <c r="AA1223" s="129">
        <v>3.3719999999999999</v>
      </c>
      <c r="AB1223" s="157">
        <v>105.73699999999999</v>
      </c>
      <c r="AD1223" s="131">
        <v>53.481999999999999</v>
      </c>
      <c r="AG1223" s="6" t="s">
        <v>17</v>
      </c>
      <c r="AH1223" s="132">
        <v>1.5E-5</v>
      </c>
      <c r="AI1223" s="132">
        <v>1.9270856827454299E-3</v>
      </c>
      <c r="AJ1223" s="132">
        <v>4.4003938488955201E-4</v>
      </c>
    </row>
    <row r="1224" spans="1:36" x14ac:dyDescent="0.2">
      <c r="A1224" s="6">
        <v>559</v>
      </c>
      <c r="B1224" s="6">
        <v>7207</v>
      </c>
      <c r="C1224" s="6" t="s">
        <v>2429</v>
      </c>
      <c r="D1224" s="6" t="s">
        <v>2430</v>
      </c>
      <c r="E1224" s="3" t="s">
        <v>430</v>
      </c>
      <c r="F1224" s="6" t="s">
        <v>2431</v>
      </c>
      <c r="G1224" s="6" t="s">
        <v>2432</v>
      </c>
      <c r="H1224" s="6" t="s">
        <v>76</v>
      </c>
      <c r="I1224" s="6" t="s">
        <v>230</v>
      </c>
      <c r="J1224" s="6" t="s">
        <v>61</v>
      </c>
      <c r="K1224" s="6" t="s">
        <v>314</v>
      </c>
      <c r="L1224" s="6" t="s">
        <v>805</v>
      </c>
      <c r="M1224" s="6" t="s">
        <v>476</v>
      </c>
      <c r="N1224" s="6" t="s">
        <v>882</v>
      </c>
      <c r="O1224" s="6" t="s">
        <v>62</v>
      </c>
      <c r="P1224" s="6" t="s">
        <v>1994</v>
      </c>
      <c r="Q1224" s="6" t="s">
        <v>96</v>
      </c>
      <c r="R1224" s="6" t="s">
        <v>57</v>
      </c>
      <c r="S1224" s="6" t="s">
        <v>1217</v>
      </c>
      <c r="T1224" s="131">
        <v>4.3899999999999997</v>
      </c>
      <c r="U1224" s="6" t="s">
        <v>2433</v>
      </c>
      <c r="V1224" s="134">
        <v>2.7E-2</v>
      </c>
      <c r="W1224" s="132">
        <v>4.5260000000000002E-2</v>
      </c>
      <c r="X1224" s="3" t="s">
        <v>620</v>
      </c>
      <c r="Y1224" s="3" t="s">
        <v>62</v>
      </c>
      <c r="Z1224" s="131">
        <v>10000</v>
      </c>
      <c r="AA1224" s="129">
        <v>3.3719999999999999</v>
      </c>
      <c r="AB1224" s="157">
        <v>93.265000000000001</v>
      </c>
      <c r="AD1224" s="131">
        <v>31.449000000000002</v>
      </c>
      <c r="AG1224" s="6" t="s">
        <v>17</v>
      </c>
      <c r="AH1224" s="132">
        <v>1.1E-5</v>
      </c>
      <c r="AI1224" s="132">
        <v>1.1331925011669501E-3</v>
      </c>
      <c r="AJ1224" s="132">
        <v>2.5875825638668699E-4</v>
      </c>
    </row>
    <row r="1225" spans="1:36" x14ac:dyDescent="0.2">
      <c r="A1225" s="6">
        <v>559</v>
      </c>
      <c r="B1225" s="6">
        <v>7207</v>
      </c>
      <c r="C1225" s="6" t="s">
        <v>2275</v>
      </c>
      <c r="D1225" s="6" t="s">
        <v>2276</v>
      </c>
      <c r="E1225" s="3" t="s">
        <v>430</v>
      </c>
      <c r="F1225" s="6" t="s">
        <v>2277</v>
      </c>
      <c r="G1225" s="6" t="s">
        <v>2278</v>
      </c>
      <c r="H1225" s="6" t="s">
        <v>76</v>
      </c>
      <c r="I1225" s="6" t="s">
        <v>230</v>
      </c>
      <c r="J1225" s="6" t="s">
        <v>61</v>
      </c>
      <c r="K1225" s="6" t="s">
        <v>203</v>
      </c>
      <c r="L1225" s="6" t="s">
        <v>805</v>
      </c>
      <c r="M1225" s="6" t="s">
        <v>102</v>
      </c>
      <c r="N1225" s="6" t="s">
        <v>908</v>
      </c>
      <c r="O1225" s="6" t="s">
        <v>62</v>
      </c>
      <c r="P1225" s="6" t="s">
        <v>1778</v>
      </c>
      <c r="Q1225" s="6" t="s">
        <v>96</v>
      </c>
      <c r="R1225" s="6" t="s">
        <v>57</v>
      </c>
      <c r="S1225" s="6" t="s">
        <v>1217</v>
      </c>
      <c r="T1225" s="131">
        <v>2.6280000000000001</v>
      </c>
      <c r="U1225" s="6" t="s">
        <v>2279</v>
      </c>
      <c r="V1225" s="134">
        <v>5.7000000000000002E-2</v>
      </c>
      <c r="W1225" s="132">
        <v>4.5949999999999998E-2</v>
      </c>
      <c r="X1225" s="3" t="s">
        <v>620</v>
      </c>
      <c r="Y1225" s="3" t="s">
        <v>62</v>
      </c>
      <c r="Z1225" s="131">
        <v>20000</v>
      </c>
      <c r="AA1225" s="129">
        <v>3.3719999999999999</v>
      </c>
      <c r="AB1225" s="157">
        <v>103.504</v>
      </c>
      <c r="AD1225" s="131">
        <v>69.802999999999997</v>
      </c>
      <c r="AG1225" s="6" t="s">
        <v>17</v>
      </c>
      <c r="AH1225" s="132">
        <v>2.0000000000000002E-5</v>
      </c>
      <c r="AI1225" s="132">
        <v>2.5151910627794201E-3</v>
      </c>
      <c r="AJ1225" s="132">
        <v>5.7433000413783901E-4</v>
      </c>
    </row>
    <row r="1226" spans="1:36" x14ac:dyDescent="0.2">
      <c r="A1226" s="6">
        <v>559</v>
      </c>
      <c r="B1226" s="6">
        <v>7207</v>
      </c>
      <c r="C1226" s="6" t="s">
        <v>2275</v>
      </c>
      <c r="D1226" s="6" t="s">
        <v>2276</v>
      </c>
      <c r="E1226" s="3" t="s">
        <v>430</v>
      </c>
      <c r="F1226" s="6" t="s">
        <v>2280</v>
      </c>
      <c r="G1226" s="6" t="s">
        <v>2281</v>
      </c>
      <c r="H1226" s="6" t="s">
        <v>76</v>
      </c>
      <c r="I1226" s="6" t="s">
        <v>230</v>
      </c>
      <c r="J1226" s="6" t="s">
        <v>61</v>
      </c>
      <c r="K1226" s="6" t="s">
        <v>314</v>
      </c>
      <c r="L1226" s="6" t="s">
        <v>805</v>
      </c>
      <c r="M1226" s="6" t="s">
        <v>102</v>
      </c>
      <c r="N1226" s="6" t="s">
        <v>908</v>
      </c>
      <c r="O1226" s="6" t="s">
        <v>62</v>
      </c>
      <c r="P1226" s="6" t="s">
        <v>1778</v>
      </c>
      <c r="Q1226" s="6" t="s">
        <v>96</v>
      </c>
      <c r="R1226" s="6" t="s">
        <v>57</v>
      </c>
      <c r="S1226" s="6" t="s">
        <v>1217</v>
      </c>
      <c r="T1226" s="131">
        <v>2.6280000000000001</v>
      </c>
      <c r="U1226" s="6" t="s">
        <v>2279</v>
      </c>
      <c r="V1226" s="134">
        <v>5.7000000000000002E-2</v>
      </c>
      <c r="W1226" s="132">
        <v>4.5949999999999998E-2</v>
      </c>
      <c r="X1226" s="3" t="s">
        <v>620</v>
      </c>
      <c r="Y1226" s="3" t="s">
        <v>62</v>
      </c>
      <c r="Z1226" s="131">
        <v>15000</v>
      </c>
      <c r="AA1226" s="129">
        <v>3.3719999999999999</v>
      </c>
      <c r="AB1226" s="157">
        <v>103.47499999999999</v>
      </c>
      <c r="AD1226" s="131">
        <v>52.338000000000001</v>
      </c>
      <c r="AG1226" s="6" t="s">
        <v>17</v>
      </c>
      <c r="AH1226" s="132">
        <v>1.5E-5</v>
      </c>
      <c r="AI1226" s="132">
        <v>1.8858647589796E-3</v>
      </c>
      <c r="AJ1226" s="132">
        <v>4.3062681434279099E-4</v>
      </c>
    </row>
    <row r="1227" spans="1:36" x14ac:dyDescent="0.2">
      <c r="A1227" s="6">
        <v>559</v>
      </c>
      <c r="B1227" s="6">
        <v>7207</v>
      </c>
      <c r="C1227" s="6" t="s">
        <v>2434</v>
      </c>
      <c r="D1227" s="6" t="s">
        <v>2435</v>
      </c>
      <c r="E1227" s="3" t="s">
        <v>430</v>
      </c>
      <c r="F1227" s="6" t="s">
        <v>2436</v>
      </c>
      <c r="G1227" s="6" t="s">
        <v>2437</v>
      </c>
      <c r="H1227" s="6" t="s">
        <v>76</v>
      </c>
      <c r="I1227" s="6" t="s">
        <v>307</v>
      </c>
      <c r="J1227" s="6" t="s">
        <v>61</v>
      </c>
      <c r="K1227" s="6" t="s">
        <v>315</v>
      </c>
      <c r="L1227" s="6" t="s">
        <v>805</v>
      </c>
      <c r="M1227" s="6" t="s">
        <v>102</v>
      </c>
      <c r="N1227" s="6" t="s">
        <v>862</v>
      </c>
      <c r="O1227" s="6" t="s">
        <v>62</v>
      </c>
      <c r="P1227" s="6" t="s">
        <v>2438</v>
      </c>
      <c r="Q1227" s="6" t="s">
        <v>96</v>
      </c>
      <c r="R1227" s="6" t="s">
        <v>57</v>
      </c>
      <c r="S1227" s="6" t="s">
        <v>1217</v>
      </c>
      <c r="T1227" s="131">
        <v>1.7370000000000001</v>
      </c>
      <c r="U1227" s="6" t="s">
        <v>2375</v>
      </c>
      <c r="V1227" s="134">
        <v>6.5000000000000002E-2</v>
      </c>
      <c r="W1227" s="132">
        <v>7.8329999999999997E-2</v>
      </c>
      <c r="X1227" s="3" t="s">
        <v>620</v>
      </c>
      <c r="Y1227" s="3" t="s">
        <v>62</v>
      </c>
      <c r="Z1227" s="131">
        <v>10000</v>
      </c>
      <c r="AA1227" s="129">
        <v>3.3719999999999999</v>
      </c>
      <c r="AB1227" s="157">
        <v>98.903999999999996</v>
      </c>
      <c r="AD1227" s="131">
        <v>33.350999999999999</v>
      </c>
      <c r="AG1227" s="6" t="s">
        <v>17</v>
      </c>
      <c r="AH1227" s="132">
        <v>2.1999999999999999E-5</v>
      </c>
      <c r="AI1227" s="132">
        <v>1.20171053583131E-3</v>
      </c>
      <c r="AJ1227" s="132">
        <v>2.7440397162265602E-4</v>
      </c>
    </row>
    <row r="1228" spans="1:36" x14ac:dyDescent="0.2">
      <c r="A1228" s="6">
        <v>559</v>
      </c>
      <c r="B1228" s="6">
        <v>7207</v>
      </c>
      <c r="C1228" s="6" t="s">
        <v>2439</v>
      </c>
      <c r="D1228" s="6" t="s">
        <v>2440</v>
      </c>
      <c r="E1228" s="3" t="s">
        <v>430</v>
      </c>
      <c r="F1228" s="6" t="s">
        <v>2441</v>
      </c>
      <c r="G1228" s="6" t="s">
        <v>2442</v>
      </c>
      <c r="H1228" s="6" t="s">
        <v>76</v>
      </c>
      <c r="I1228" s="6" t="s">
        <v>230</v>
      </c>
      <c r="J1228" s="6" t="s">
        <v>61</v>
      </c>
      <c r="K1228" s="6" t="s">
        <v>314</v>
      </c>
      <c r="L1228" s="6" t="s">
        <v>805</v>
      </c>
      <c r="M1228" s="6" t="s">
        <v>476</v>
      </c>
      <c r="N1228" s="6" t="s">
        <v>878</v>
      </c>
      <c r="O1228" s="6" t="s">
        <v>62</v>
      </c>
      <c r="P1228" s="6" t="s">
        <v>1778</v>
      </c>
      <c r="Q1228" s="6" t="s">
        <v>96</v>
      </c>
      <c r="R1228" s="6" t="s">
        <v>57</v>
      </c>
      <c r="S1228" s="6" t="s">
        <v>1217</v>
      </c>
      <c r="T1228" s="131">
        <v>4.4249999999999998</v>
      </c>
      <c r="U1228" s="6" t="s">
        <v>2443</v>
      </c>
      <c r="V1228" s="134">
        <v>4.2500000000000003E-2</v>
      </c>
      <c r="W1228" s="132">
        <v>4.6059999999999997E-2</v>
      </c>
      <c r="X1228" s="3" t="s">
        <v>620</v>
      </c>
      <c r="Y1228" s="3" t="s">
        <v>62</v>
      </c>
      <c r="Z1228" s="131">
        <v>10000</v>
      </c>
      <c r="AA1228" s="129">
        <v>3.3719999999999999</v>
      </c>
      <c r="AB1228" s="157">
        <v>99.468000000000004</v>
      </c>
      <c r="AD1228" s="131">
        <v>33.54</v>
      </c>
      <c r="AG1228" s="6" t="s">
        <v>17</v>
      </c>
      <c r="AH1228" s="132">
        <v>2.9E-5</v>
      </c>
      <c r="AI1228" s="132">
        <v>1.20855455464447E-3</v>
      </c>
      <c r="AJ1228" s="132">
        <v>2.7596676556361998E-4</v>
      </c>
    </row>
    <row r="1229" spans="1:36" x14ac:dyDescent="0.2">
      <c r="A1229" s="6">
        <v>559</v>
      </c>
      <c r="B1229" s="6">
        <v>7207</v>
      </c>
      <c r="C1229" s="6" t="s">
        <v>2444</v>
      </c>
      <c r="D1229" s="6" t="s">
        <v>2445</v>
      </c>
      <c r="E1229" s="3" t="s">
        <v>430</v>
      </c>
      <c r="F1229" s="6" t="s">
        <v>2446</v>
      </c>
      <c r="G1229" s="6" t="s">
        <v>2447</v>
      </c>
      <c r="H1229" s="6" t="s">
        <v>76</v>
      </c>
      <c r="I1229" s="6" t="s">
        <v>230</v>
      </c>
      <c r="J1229" s="6" t="s">
        <v>61</v>
      </c>
      <c r="K1229" s="6" t="s">
        <v>314</v>
      </c>
      <c r="L1229" s="6" t="s">
        <v>805</v>
      </c>
      <c r="M1229" s="6" t="s">
        <v>476</v>
      </c>
      <c r="N1229" s="6" t="s">
        <v>2448</v>
      </c>
      <c r="O1229" s="6" t="s">
        <v>62</v>
      </c>
      <c r="P1229" s="6" t="s">
        <v>2263</v>
      </c>
      <c r="Q1229" s="6" t="s">
        <v>84</v>
      </c>
      <c r="R1229" s="6" t="s">
        <v>57</v>
      </c>
      <c r="S1229" s="6" t="s">
        <v>1217</v>
      </c>
      <c r="T1229" s="131">
        <v>3.1139999999999999</v>
      </c>
      <c r="U1229" s="6" t="s">
        <v>2449</v>
      </c>
      <c r="V1229" s="134">
        <v>3.125E-2</v>
      </c>
      <c r="W1229" s="132">
        <v>6.0909999999999999E-2</v>
      </c>
      <c r="X1229" s="3" t="s">
        <v>620</v>
      </c>
      <c r="Y1229" s="3" t="s">
        <v>62</v>
      </c>
      <c r="Z1229" s="131">
        <v>15000</v>
      </c>
      <c r="AA1229" s="129">
        <v>3.3719999999999999</v>
      </c>
      <c r="AB1229" s="157">
        <v>92.18</v>
      </c>
      <c r="AD1229" s="131">
        <v>46.625</v>
      </c>
      <c r="AG1229" s="6" t="s">
        <v>17</v>
      </c>
      <c r="AH1229" s="132">
        <v>2.0000000000000002E-5</v>
      </c>
      <c r="AI1229" s="132">
        <v>1.68001924383578E-3</v>
      </c>
      <c r="AJ1229" s="132">
        <v>3.8362312650618501E-4</v>
      </c>
    </row>
    <row r="1230" spans="1:36" x14ac:dyDescent="0.2">
      <c r="A1230" s="6">
        <v>559</v>
      </c>
      <c r="B1230" s="6">
        <v>7207</v>
      </c>
      <c r="C1230" s="6" t="s">
        <v>2282</v>
      </c>
      <c r="D1230" s="6" t="s">
        <v>2283</v>
      </c>
      <c r="E1230" s="3" t="s">
        <v>430</v>
      </c>
      <c r="F1230" s="6" t="s">
        <v>2284</v>
      </c>
      <c r="G1230" s="6" t="s">
        <v>2285</v>
      </c>
      <c r="H1230" s="6" t="s">
        <v>76</v>
      </c>
      <c r="I1230" s="6" t="s">
        <v>230</v>
      </c>
      <c r="J1230" s="6" t="s">
        <v>61</v>
      </c>
      <c r="K1230" s="6" t="s">
        <v>314</v>
      </c>
      <c r="L1230" s="6" t="s">
        <v>805</v>
      </c>
      <c r="M1230" s="6" t="s">
        <v>102</v>
      </c>
      <c r="N1230" s="6" t="s">
        <v>1141</v>
      </c>
      <c r="O1230" s="6" t="s">
        <v>62</v>
      </c>
      <c r="P1230" s="6" t="s">
        <v>2223</v>
      </c>
      <c r="Q1230" s="6" t="s">
        <v>96</v>
      </c>
      <c r="R1230" s="6" t="s">
        <v>57</v>
      </c>
      <c r="S1230" s="6" t="s">
        <v>1217</v>
      </c>
      <c r="T1230" s="131">
        <v>3.722</v>
      </c>
      <c r="U1230" s="6" t="s">
        <v>2286</v>
      </c>
      <c r="V1230" s="134">
        <v>5.8000000000000003E-2</v>
      </c>
      <c r="W1230" s="132">
        <v>5.8549999999999998E-2</v>
      </c>
      <c r="X1230" s="3" t="s">
        <v>620</v>
      </c>
      <c r="Y1230" s="3" t="s">
        <v>62</v>
      </c>
      <c r="Z1230" s="131">
        <v>5000</v>
      </c>
      <c r="AA1230" s="129">
        <v>3.3719999999999999</v>
      </c>
      <c r="AB1230" s="157">
        <v>101.224</v>
      </c>
      <c r="AD1230" s="131">
        <v>17.065999999999999</v>
      </c>
      <c r="AG1230" s="6" t="s">
        <v>17</v>
      </c>
      <c r="AH1230" s="132">
        <v>1.7007000000000001E-2</v>
      </c>
      <c r="AI1230" s="132">
        <v>6.1494751336621696E-4</v>
      </c>
      <c r="AJ1230" s="132">
        <v>1.40419872320112E-4</v>
      </c>
    </row>
    <row r="1231" spans="1:36" x14ac:dyDescent="0.2">
      <c r="A1231" s="6">
        <v>559</v>
      </c>
      <c r="B1231" s="6">
        <v>7207</v>
      </c>
      <c r="C1231" s="6" t="s">
        <v>2282</v>
      </c>
      <c r="D1231" s="6" t="s">
        <v>2283</v>
      </c>
      <c r="E1231" s="3" t="s">
        <v>430</v>
      </c>
      <c r="F1231" s="6" t="s">
        <v>2287</v>
      </c>
      <c r="G1231" s="6" t="s">
        <v>2288</v>
      </c>
      <c r="H1231" s="6" t="s">
        <v>76</v>
      </c>
      <c r="I1231" s="6" t="s">
        <v>230</v>
      </c>
      <c r="J1231" s="6" t="s">
        <v>61</v>
      </c>
      <c r="K1231" s="6" t="s">
        <v>314</v>
      </c>
      <c r="L1231" s="6" t="s">
        <v>805</v>
      </c>
      <c r="M1231" s="6" t="s">
        <v>102</v>
      </c>
      <c r="N1231" s="6" t="s">
        <v>1141</v>
      </c>
      <c r="O1231" s="6" t="s">
        <v>62</v>
      </c>
      <c r="P1231" s="6" t="s">
        <v>2223</v>
      </c>
      <c r="Q1231" s="6" t="s">
        <v>96</v>
      </c>
      <c r="R1231" s="6" t="s">
        <v>57</v>
      </c>
      <c r="S1231" s="6" t="s">
        <v>1217</v>
      </c>
      <c r="T1231" s="131">
        <v>4.1929999999999996</v>
      </c>
      <c r="U1231" s="6" t="s">
        <v>2289</v>
      </c>
      <c r="V1231" s="134">
        <v>5.8749999999999997E-2</v>
      </c>
      <c r="W1231" s="132">
        <v>6.5129999999999993E-2</v>
      </c>
      <c r="X1231" s="3" t="s">
        <v>620</v>
      </c>
      <c r="Y1231" s="3" t="s">
        <v>62</v>
      </c>
      <c r="Z1231" s="131">
        <v>5000</v>
      </c>
      <c r="AA1231" s="129">
        <v>3.3719999999999999</v>
      </c>
      <c r="AB1231" s="157">
        <v>100.97499999999999</v>
      </c>
      <c r="AD1231" s="131">
        <v>17.024000000000001</v>
      </c>
      <c r="AG1231" s="6" t="s">
        <v>17</v>
      </c>
      <c r="AH1231" s="132">
        <v>1.0000000000000001E-5</v>
      </c>
      <c r="AI1231" s="132">
        <v>6.1343632833154302E-4</v>
      </c>
      <c r="AJ1231" s="132">
        <v>1.4007480155389399E-4</v>
      </c>
    </row>
    <row r="1232" spans="1:36" x14ac:dyDescent="0.2">
      <c r="A1232" s="6">
        <v>559</v>
      </c>
      <c r="B1232" s="6">
        <v>7207</v>
      </c>
      <c r="C1232" s="6" t="s">
        <v>2290</v>
      </c>
      <c r="D1232" s="6" t="s">
        <v>2291</v>
      </c>
      <c r="E1232" s="3" t="s">
        <v>430</v>
      </c>
      <c r="F1232" s="6" t="s">
        <v>2292</v>
      </c>
      <c r="G1232" s="6" t="s">
        <v>2293</v>
      </c>
      <c r="H1232" s="6" t="s">
        <v>76</v>
      </c>
      <c r="I1232" s="6" t="s">
        <v>230</v>
      </c>
      <c r="J1232" s="6" t="s">
        <v>61</v>
      </c>
      <c r="K1232" s="6" t="s">
        <v>173</v>
      </c>
      <c r="L1232" s="6" t="s">
        <v>805</v>
      </c>
      <c r="M1232" s="6" t="s">
        <v>486</v>
      </c>
      <c r="N1232" s="6" t="s">
        <v>915</v>
      </c>
      <c r="O1232" s="6" t="s">
        <v>62</v>
      </c>
      <c r="P1232" s="6" t="s">
        <v>1994</v>
      </c>
      <c r="Q1232" s="6" t="s">
        <v>96</v>
      </c>
      <c r="R1232" s="6" t="s">
        <v>57</v>
      </c>
      <c r="S1232" s="6" t="s">
        <v>1215</v>
      </c>
      <c r="T1232" s="131">
        <v>2.5249999999999999</v>
      </c>
      <c r="U1232" s="6" t="s">
        <v>2294</v>
      </c>
      <c r="V1232" s="134">
        <v>1.25E-3</v>
      </c>
      <c r="W1232" s="132">
        <v>3.0190000000000002E-2</v>
      </c>
      <c r="X1232" s="3" t="s">
        <v>620</v>
      </c>
      <c r="Y1232" s="3" t="s">
        <v>62</v>
      </c>
      <c r="Z1232" s="131">
        <v>20000</v>
      </c>
      <c r="AA1232" s="129">
        <v>3.9552</v>
      </c>
      <c r="AB1232" s="157">
        <v>93.034999999999997</v>
      </c>
      <c r="AD1232" s="131">
        <v>73.594999999999999</v>
      </c>
      <c r="AG1232" s="6" t="s">
        <v>17</v>
      </c>
      <c r="AH1232" s="132">
        <v>2.0000000000000002E-5</v>
      </c>
      <c r="AI1232" s="132">
        <v>2.6518124997874501E-3</v>
      </c>
      <c r="AJ1232" s="132">
        <v>6.0552675560666405E-4</v>
      </c>
    </row>
    <row r="1233" spans="1:36" x14ac:dyDescent="0.2">
      <c r="A1233" s="6">
        <v>559</v>
      </c>
      <c r="B1233" s="6">
        <v>7207</v>
      </c>
      <c r="C1233" s="6" t="s">
        <v>2295</v>
      </c>
      <c r="D1233" s="6" t="s">
        <v>2296</v>
      </c>
      <c r="E1233" s="3" t="s">
        <v>1477</v>
      </c>
      <c r="F1233" s="6" t="s">
        <v>2297</v>
      </c>
      <c r="G1233" s="6" t="s">
        <v>2298</v>
      </c>
      <c r="H1233" s="6" t="s">
        <v>76</v>
      </c>
      <c r="I1233" s="6" t="s">
        <v>230</v>
      </c>
      <c r="J1233" s="6" t="s">
        <v>53</v>
      </c>
      <c r="K1233" s="6" t="s">
        <v>53</v>
      </c>
      <c r="L1233" s="6" t="s">
        <v>805</v>
      </c>
      <c r="M1233" s="6" t="s">
        <v>102</v>
      </c>
      <c r="N1233" s="6" t="s">
        <v>195</v>
      </c>
      <c r="O1233" s="6" t="s">
        <v>62</v>
      </c>
      <c r="P1233" s="6" t="s">
        <v>1355</v>
      </c>
      <c r="Q1233" s="6" t="s">
        <v>84</v>
      </c>
      <c r="R1233" s="6" t="s">
        <v>57</v>
      </c>
      <c r="S1233" s="6" t="s">
        <v>1217</v>
      </c>
      <c r="T1233" s="131">
        <v>2.3769999999999998</v>
      </c>
      <c r="U1233" s="6" t="s">
        <v>2299</v>
      </c>
      <c r="V1233" s="134">
        <v>5.3749999999999999E-2</v>
      </c>
      <c r="W1233" s="132">
        <v>5.4789999999999998E-2</v>
      </c>
      <c r="X1233" s="3" t="s">
        <v>620</v>
      </c>
      <c r="Y1233" s="3" t="s">
        <v>62</v>
      </c>
      <c r="Z1233" s="131">
        <v>50000</v>
      </c>
      <c r="AA1233" s="129">
        <v>3.3719999999999999</v>
      </c>
      <c r="AB1233" s="157">
        <v>102.18</v>
      </c>
      <c r="AD1233" s="131">
        <v>172.27600000000001</v>
      </c>
      <c r="AG1233" s="6" t="s">
        <v>17</v>
      </c>
      <c r="AH1233" s="132">
        <v>6.3E-5</v>
      </c>
      <c r="AI1233" s="132">
        <v>6.2075718054730201E-3</v>
      </c>
      <c r="AJ1233" s="132">
        <v>1.4174647777189201E-3</v>
      </c>
    </row>
    <row r="1234" spans="1:36" x14ac:dyDescent="0.2">
      <c r="A1234" s="6">
        <v>559</v>
      </c>
      <c r="B1234" s="6">
        <v>7207</v>
      </c>
      <c r="C1234" s="6" t="s">
        <v>2300</v>
      </c>
      <c r="D1234" s="6" t="s">
        <v>2301</v>
      </c>
      <c r="E1234" s="3" t="s">
        <v>430</v>
      </c>
      <c r="F1234" s="6" t="s">
        <v>2302</v>
      </c>
      <c r="G1234" s="6" t="s">
        <v>2303</v>
      </c>
      <c r="H1234" s="6" t="s">
        <v>76</v>
      </c>
      <c r="I1234" s="6" t="s">
        <v>230</v>
      </c>
      <c r="J1234" s="6" t="s">
        <v>61</v>
      </c>
      <c r="K1234" s="6" t="s">
        <v>314</v>
      </c>
      <c r="L1234" s="6" t="s">
        <v>805</v>
      </c>
      <c r="M1234" s="6" t="s">
        <v>102</v>
      </c>
      <c r="N1234" s="6" t="s">
        <v>202</v>
      </c>
      <c r="O1234" s="6" t="s">
        <v>62</v>
      </c>
      <c r="P1234" s="6" t="s">
        <v>1994</v>
      </c>
      <c r="Q1234" s="6" t="s">
        <v>96</v>
      </c>
      <c r="R1234" s="6" t="s">
        <v>57</v>
      </c>
      <c r="S1234" s="6" t="s">
        <v>1217</v>
      </c>
      <c r="T1234" s="131">
        <v>0.59599999999999997</v>
      </c>
      <c r="U1234" s="6" t="s">
        <v>2304</v>
      </c>
      <c r="V1234" s="134">
        <v>4.8750000000000002E-2</v>
      </c>
      <c r="W1234" s="132">
        <v>4.7559999999999998E-2</v>
      </c>
      <c r="X1234" s="3" t="s">
        <v>620</v>
      </c>
      <c r="Y1234" s="3" t="s">
        <v>62</v>
      </c>
      <c r="Z1234" s="131">
        <v>10000</v>
      </c>
      <c r="AA1234" s="129">
        <v>3.3719999999999999</v>
      </c>
      <c r="AB1234" s="157">
        <v>101.84</v>
      </c>
      <c r="AD1234" s="131">
        <v>34.340000000000003</v>
      </c>
      <c r="AG1234" s="6" t="s">
        <v>17</v>
      </c>
      <c r="AH1234" s="132">
        <v>6.9999999999999999E-6</v>
      </c>
      <c r="AI1234" s="132">
        <v>1.2373775402074801E-3</v>
      </c>
      <c r="AJ1234" s="132">
        <v>2.8254833531497601E-4</v>
      </c>
    </row>
    <row r="1235" spans="1:36" x14ac:dyDescent="0.2">
      <c r="A1235" s="6">
        <v>559</v>
      </c>
      <c r="B1235" s="6">
        <v>7207</v>
      </c>
      <c r="C1235" s="6" t="s">
        <v>2305</v>
      </c>
      <c r="D1235" s="6" t="s">
        <v>2306</v>
      </c>
      <c r="E1235" s="3" t="s">
        <v>430</v>
      </c>
      <c r="F1235" s="6" t="s">
        <v>2307</v>
      </c>
      <c r="G1235" s="6" t="s">
        <v>2308</v>
      </c>
      <c r="H1235" s="6" t="s">
        <v>76</v>
      </c>
      <c r="I1235" s="6" t="s">
        <v>230</v>
      </c>
      <c r="J1235" s="6" t="s">
        <v>61</v>
      </c>
      <c r="K1235" s="6" t="s">
        <v>314</v>
      </c>
      <c r="L1235" s="6" t="s">
        <v>805</v>
      </c>
      <c r="M1235" s="6" t="s">
        <v>102</v>
      </c>
      <c r="N1235" s="6" t="s">
        <v>890</v>
      </c>
      <c r="O1235" s="6" t="s">
        <v>62</v>
      </c>
      <c r="P1235" s="6" t="s">
        <v>2223</v>
      </c>
      <c r="Q1235" s="6" t="s">
        <v>96</v>
      </c>
      <c r="R1235" s="6" t="s">
        <v>57</v>
      </c>
      <c r="S1235" s="6" t="s">
        <v>1217</v>
      </c>
      <c r="T1235" s="131">
        <v>2.6070000000000002</v>
      </c>
      <c r="U1235" s="6" t="s">
        <v>2237</v>
      </c>
      <c r="V1235" s="134">
        <v>5.7000000000000002E-2</v>
      </c>
      <c r="W1235" s="132">
        <v>4.8579999999999998E-2</v>
      </c>
      <c r="X1235" s="3" t="s">
        <v>620</v>
      </c>
      <c r="Y1235" s="3" t="s">
        <v>62</v>
      </c>
      <c r="Z1235" s="131">
        <v>10000</v>
      </c>
      <c r="AA1235" s="129">
        <v>3.3719999999999999</v>
      </c>
      <c r="AB1235" s="157">
        <v>103.224</v>
      </c>
      <c r="AD1235" s="131">
        <v>34.807000000000002</v>
      </c>
      <c r="AG1235" s="6" t="s">
        <v>17</v>
      </c>
      <c r="AH1235" s="132">
        <v>0.04</v>
      </c>
      <c r="AI1235" s="132">
        <v>1.25420156471728E-3</v>
      </c>
      <c r="AJ1235" s="132">
        <v>2.8639000850208302E-4</v>
      </c>
    </row>
    <row r="1236" spans="1:36" x14ac:dyDescent="0.2">
      <c r="A1236" s="6">
        <v>559</v>
      </c>
      <c r="B1236" s="6">
        <v>7207</v>
      </c>
      <c r="C1236" s="6" t="s">
        <v>2453</v>
      </c>
      <c r="D1236" s="6" t="s">
        <v>2454</v>
      </c>
      <c r="E1236" s="3" t="s">
        <v>430</v>
      </c>
      <c r="F1236" s="6" t="s">
        <v>2455</v>
      </c>
      <c r="G1236" s="6" t="s">
        <v>2456</v>
      </c>
      <c r="H1236" s="6" t="s">
        <v>76</v>
      </c>
      <c r="I1236" s="6" t="s">
        <v>230</v>
      </c>
      <c r="J1236" s="6" t="s">
        <v>61</v>
      </c>
      <c r="K1236" s="6" t="s">
        <v>314</v>
      </c>
      <c r="L1236" s="6" t="s">
        <v>805</v>
      </c>
      <c r="M1236" s="6" t="s">
        <v>102</v>
      </c>
      <c r="N1236" s="6" t="s">
        <v>887</v>
      </c>
      <c r="O1236" s="6" t="s">
        <v>62</v>
      </c>
      <c r="P1236" s="6" t="s">
        <v>1778</v>
      </c>
      <c r="Q1236" s="6" t="s">
        <v>96</v>
      </c>
      <c r="R1236" s="6" t="s">
        <v>57</v>
      </c>
      <c r="S1236" s="6" t="s">
        <v>1217</v>
      </c>
      <c r="T1236" s="131">
        <v>4.3470000000000004</v>
      </c>
      <c r="U1236" s="6" t="s">
        <v>2457</v>
      </c>
      <c r="V1236" s="134">
        <v>3.7499999999999999E-2</v>
      </c>
      <c r="W1236" s="132">
        <v>4.5789999999999997E-2</v>
      </c>
      <c r="X1236" s="3" t="s">
        <v>620</v>
      </c>
      <c r="Y1236" s="3" t="s">
        <v>62</v>
      </c>
      <c r="Z1236" s="131">
        <v>10000</v>
      </c>
      <c r="AA1236" s="129">
        <v>3.3719999999999999</v>
      </c>
      <c r="AB1236" s="157">
        <v>97.596000000000004</v>
      </c>
      <c r="AD1236" s="131">
        <v>32.908999999999999</v>
      </c>
      <c r="AG1236" s="6" t="s">
        <v>17</v>
      </c>
      <c r="AH1236" s="132">
        <v>1.4E-5</v>
      </c>
      <c r="AI1236" s="132">
        <v>1.1858149955570399E-3</v>
      </c>
      <c r="AJ1236" s="132">
        <v>2.7077431268875102E-4</v>
      </c>
    </row>
    <row r="1237" spans="1:36" x14ac:dyDescent="0.2">
      <c r="A1237" s="6">
        <v>559</v>
      </c>
      <c r="B1237" s="6">
        <v>7207</v>
      </c>
      <c r="C1237" s="6" t="s">
        <v>2309</v>
      </c>
      <c r="D1237" s="6" t="s">
        <v>2310</v>
      </c>
      <c r="E1237" s="3" t="s">
        <v>1477</v>
      </c>
      <c r="F1237" s="6" t="s">
        <v>2311</v>
      </c>
      <c r="G1237" s="6" t="s">
        <v>2312</v>
      </c>
      <c r="H1237" s="6" t="s">
        <v>76</v>
      </c>
      <c r="I1237" s="6" t="s">
        <v>230</v>
      </c>
      <c r="J1237" s="6" t="s">
        <v>61</v>
      </c>
      <c r="K1237" s="6" t="s">
        <v>314</v>
      </c>
      <c r="L1237" s="6" t="s">
        <v>805</v>
      </c>
      <c r="M1237" s="6" t="s">
        <v>102</v>
      </c>
      <c r="N1237" s="6" t="s">
        <v>2215</v>
      </c>
      <c r="O1237" s="6" t="s">
        <v>62</v>
      </c>
      <c r="P1237" s="6" t="s">
        <v>2273</v>
      </c>
      <c r="Q1237" s="6" t="s">
        <v>96</v>
      </c>
      <c r="R1237" s="6" t="s">
        <v>57</v>
      </c>
      <c r="S1237" s="6" t="s">
        <v>1217</v>
      </c>
      <c r="T1237" s="131">
        <v>0.13300000000000001</v>
      </c>
      <c r="U1237" s="6" t="s">
        <v>2313</v>
      </c>
      <c r="V1237" s="134">
        <v>6.1249999999999999E-2</v>
      </c>
      <c r="W1237" s="132">
        <v>0.23773</v>
      </c>
      <c r="X1237" s="3" t="s">
        <v>620</v>
      </c>
      <c r="Y1237" s="3" t="s">
        <v>62</v>
      </c>
      <c r="Z1237" s="131">
        <v>0</v>
      </c>
      <c r="AA1237" s="129">
        <v>3.3719999999999999</v>
      </c>
      <c r="AB1237" s="157">
        <v>0</v>
      </c>
      <c r="AC1237" s="131">
        <v>3.3330000000000002</v>
      </c>
      <c r="AD1237" s="131">
        <v>11.24</v>
      </c>
      <c r="AG1237" s="6" t="s">
        <v>17</v>
      </c>
      <c r="AH1237" s="132">
        <v>0</v>
      </c>
      <c r="AI1237" s="132">
        <v>4.0500852450093801E-4</v>
      </c>
      <c r="AJ1237" s="132">
        <v>9.2481462340852504E-5</v>
      </c>
    </row>
    <row r="1238" spans="1:36" x14ac:dyDescent="0.2">
      <c r="A1238" s="6">
        <v>559</v>
      </c>
      <c r="B1238" s="6">
        <v>7207</v>
      </c>
      <c r="C1238" s="6" t="s">
        <v>2458</v>
      </c>
      <c r="D1238" s="6" t="s">
        <v>2459</v>
      </c>
      <c r="E1238" s="3" t="s">
        <v>430</v>
      </c>
      <c r="F1238" s="6" t="s">
        <v>2460</v>
      </c>
      <c r="G1238" s="6" t="s">
        <v>2461</v>
      </c>
      <c r="H1238" s="6" t="s">
        <v>76</v>
      </c>
      <c r="I1238" s="6" t="s">
        <v>230</v>
      </c>
      <c r="J1238" s="6" t="s">
        <v>61</v>
      </c>
      <c r="K1238" s="6" t="s">
        <v>314</v>
      </c>
      <c r="L1238" s="6" t="s">
        <v>805</v>
      </c>
      <c r="M1238" s="6" t="s">
        <v>476</v>
      </c>
      <c r="N1238" s="6" t="s">
        <v>884</v>
      </c>
      <c r="O1238" s="6" t="s">
        <v>62</v>
      </c>
      <c r="P1238" s="6" t="s">
        <v>1994</v>
      </c>
      <c r="Q1238" s="6" t="s">
        <v>96</v>
      </c>
      <c r="R1238" s="6" t="s">
        <v>57</v>
      </c>
      <c r="S1238" s="6" t="s">
        <v>1217</v>
      </c>
      <c r="T1238" s="131">
        <v>4.6130000000000004</v>
      </c>
      <c r="U1238" s="6" t="s">
        <v>1930</v>
      </c>
      <c r="V1238" s="134">
        <v>3.5999999999999997E-2</v>
      </c>
      <c r="W1238" s="132">
        <v>4.3810000000000002E-2</v>
      </c>
      <c r="X1238" s="3" t="s">
        <v>620</v>
      </c>
      <c r="Y1238" s="3" t="s">
        <v>62</v>
      </c>
      <c r="Z1238" s="131">
        <v>10000</v>
      </c>
      <c r="AA1238" s="129">
        <v>3.3719999999999999</v>
      </c>
      <c r="AB1238" s="157">
        <v>96.638999999999996</v>
      </c>
      <c r="AC1238" s="131">
        <v>0.18</v>
      </c>
      <c r="AD1238" s="131">
        <v>33.194000000000003</v>
      </c>
      <c r="AG1238" s="6" t="s">
        <v>17</v>
      </c>
      <c r="AH1238" s="132">
        <v>1.0000000000000001E-5</v>
      </c>
      <c r="AI1238" s="132">
        <v>1.19605663218717E-3</v>
      </c>
      <c r="AJ1238" s="132">
        <v>2.7311293391526798E-4</v>
      </c>
    </row>
    <row r="1239" spans="1:36" x14ac:dyDescent="0.2">
      <c r="A1239" s="6">
        <v>559</v>
      </c>
      <c r="B1239" s="6">
        <v>7207</v>
      </c>
      <c r="C1239" s="6" t="s">
        <v>2462</v>
      </c>
      <c r="D1239" s="6" t="s">
        <v>2463</v>
      </c>
      <c r="E1239" s="3" t="s">
        <v>430</v>
      </c>
      <c r="F1239" s="6" t="s">
        <v>2464</v>
      </c>
      <c r="G1239" s="6" t="s">
        <v>2465</v>
      </c>
      <c r="H1239" s="6" t="s">
        <v>76</v>
      </c>
      <c r="I1239" s="6" t="s">
        <v>230</v>
      </c>
      <c r="J1239" s="6" t="s">
        <v>61</v>
      </c>
      <c r="K1239" s="6" t="s">
        <v>314</v>
      </c>
      <c r="L1239" s="6" t="s">
        <v>805</v>
      </c>
      <c r="M1239" s="6" t="s">
        <v>476</v>
      </c>
      <c r="N1239" s="6" t="s">
        <v>901</v>
      </c>
      <c r="O1239" s="6" t="s">
        <v>62</v>
      </c>
      <c r="P1239" s="6" t="s">
        <v>1778</v>
      </c>
      <c r="Q1239" s="6" t="s">
        <v>96</v>
      </c>
      <c r="R1239" s="6" t="s">
        <v>57</v>
      </c>
      <c r="S1239" s="6" t="s">
        <v>1217</v>
      </c>
      <c r="T1239" s="131">
        <v>3.3809999999999998</v>
      </c>
      <c r="U1239" s="6" t="s">
        <v>2466</v>
      </c>
      <c r="V1239" s="134">
        <v>4.5999999999999999E-2</v>
      </c>
      <c r="W1239" s="132">
        <v>4.5260000000000002E-2</v>
      </c>
      <c r="X1239" s="3" t="s">
        <v>620</v>
      </c>
      <c r="Y1239" s="3" t="s">
        <v>62</v>
      </c>
      <c r="Z1239" s="131">
        <v>10000</v>
      </c>
      <c r="AA1239" s="129">
        <v>3.3719999999999999</v>
      </c>
      <c r="AB1239" s="157">
        <v>100.78700000000001</v>
      </c>
      <c r="AD1239" s="131">
        <v>33.984999999999999</v>
      </c>
      <c r="AG1239" s="6" t="s">
        <v>17</v>
      </c>
      <c r="AH1239" s="132">
        <v>1.2999999999999999E-5</v>
      </c>
      <c r="AI1239" s="132">
        <v>1.2245799808927699E-3</v>
      </c>
      <c r="AJ1239" s="132">
        <v>2.7962608324317998E-4</v>
      </c>
    </row>
    <row r="1240" spans="1:36" x14ac:dyDescent="0.2">
      <c r="A1240" s="6">
        <v>559</v>
      </c>
      <c r="B1240" s="6">
        <v>7207</v>
      </c>
      <c r="C1240" s="6" t="s">
        <v>2467</v>
      </c>
      <c r="D1240" s="6" t="s">
        <v>2468</v>
      </c>
      <c r="E1240" s="3" t="s">
        <v>430</v>
      </c>
      <c r="F1240" s="6" t="s">
        <v>2469</v>
      </c>
      <c r="G1240" s="6" t="s">
        <v>2470</v>
      </c>
      <c r="H1240" s="6" t="s">
        <v>76</v>
      </c>
      <c r="I1240" s="6" t="s">
        <v>230</v>
      </c>
      <c r="J1240" s="6" t="s">
        <v>61</v>
      </c>
      <c r="K1240" s="6" t="s">
        <v>314</v>
      </c>
      <c r="L1240" s="6" t="s">
        <v>805</v>
      </c>
      <c r="M1240" s="6" t="s">
        <v>476</v>
      </c>
      <c r="N1240" s="6" t="s">
        <v>899</v>
      </c>
      <c r="O1240" s="6" t="s">
        <v>62</v>
      </c>
      <c r="P1240" s="6" t="s">
        <v>1778</v>
      </c>
      <c r="Q1240" s="6" t="s">
        <v>96</v>
      </c>
      <c r="R1240" s="6" t="s">
        <v>57</v>
      </c>
      <c r="S1240" s="6" t="s">
        <v>1217</v>
      </c>
      <c r="T1240" s="131">
        <v>2.2919999999999998</v>
      </c>
      <c r="U1240" s="6" t="s">
        <v>2471</v>
      </c>
      <c r="V1240" s="134">
        <v>3.2500000000000001E-2</v>
      </c>
      <c r="W1240" s="132">
        <v>4.3729999999999998E-2</v>
      </c>
      <c r="X1240" s="3" t="s">
        <v>620</v>
      </c>
      <c r="Y1240" s="3" t="s">
        <v>62</v>
      </c>
      <c r="Z1240" s="131">
        <v>10000</v>
      </c>
      <c r="AA1240" s="129">
        <v>3.3719999999999999</v>
      </c>
      <c r="AB1240" s="157">
        <v>98.055999999999997</v>
      </c>
      <c r="AD1240" s="131">
        <v>33.064999999999998</v>
      </c>
      <c r="AG1240" s="6" t="s">
        <v>17</v>
      </c>
      <c r="AH1240" s="132">
        <v>3.9999999999999998E-6</v>
      </c>
      <c r="AI1240" s="132">
        <v>1.19140908361183E-3</v>
      </c>
      <c r="AJ1240" s="132">
        <v>2.7205169183628302E-4</v>
      </c>
    </row>
    <row r="1241" spans="1:36" x14ac:dyDescent="0.2">
      <c r="A1241" s="6">
        <v>559</v>
      </c>
      <c r="B1241" s="6">
        <v>7207</v>
      </c>
      <c r="C1241" s="6" t="s">
        <v>2314</v>
      </c>
      <c r="D1241" s="6" t="s">
        <v>2315</v>
      </c>
      <c r="E1241" s="3" t="s">
        <v>1477</v>
      </c>
      <c r="F1241" s="6" t="s">
        <v>2316</v>
      </c>
      <c r="G1241" s="6" t="s">
        <v>2317</v>
      </c>
      <c r="H1241" s="6" t="s">
        <v>76</v>
      </c>
      <c r="I1241" s="6" t="s">
        <v>307</v>
      </c>
      <c r="J1241" s="6" t="s">
        <v>61</v>
      </c>
      <c r="K1241" s="6" t="s">
        <v>314</v>
      </c>
      <c r="L1241" s="6" t="s">
        <v>805</v>
      </c>
      <c r="M1241" s="6" t="s">
        <v>102</v>
      </c>
      <c r="N1241" s="6" t="s">
        <v>2318</v>
      </c>
      <c r="O1241" s="6" t="s">
        <v>62</v>
      </c>
      <c r="P1241" s="6" t="s">
        <v>298</v>
      </c>
      <c r="Q1241" s="6" t="s">
        <v>298</v>
      </c>
      <c r="R1241" s="6" t="s">
        <v>298</v>
      </c>
      <c r="S1241" s="6" t="s">
        <v>1217</v>
      </c>
      <c r="T1241" s="131">
        <v>0.159</v>
      </c>
      <c r="U1241" s="6" t="s">
        <v>2319</v>
      </c>
      <c r="V1241" s="134">
        <v>2.5000000000000001E-2</v>
      </c>
      <c r="W1241" s="132">
        <v>-1.9959999999999999E-2</v>
      </c>
      <c r="X1241" s="3" t="s">
        <v>620</v>
      </c>
      <c r="Y1241" s="3" t="s">
        <v>62</v>
      </c>
      <c r="Z1241" s="131">
        <v>35000</v>
      </c>
      <c r="AA1241" s="129">
        <v>3.3719999999999999</v>
      </c>
      <c r="AB1241" s="157">
        <v>112.158</v>
      </c>
      <c r="AD1241" s="131">
        <v>132.36799999999999</v>
      </c>
      <c r="AG1241" s="6" t="s">
        <v>17</v>
      </c>
      <c r="AH1241" s="132">
        <v>8.1000000000000004E-5</v>
      </c>
      <c r="AI1241" s="132">
        <v>4.7695942115859704E-3</v>
      </c>
      <c r="AJ1241" s="132">
        <v>1.08911052675612E-3</v>
      </c>
    </row>
    <row r="1242" spans="1:36" x14ac:dyDescent="0.2">
      <c r="A1242" s="6">
        <v>559</v>
      </c>
      <c r="B1242" s="6">
        <v>7207</v>
      </c>
      <c r="C1242" s="6" t="s">
        <v>2320</v>
      </c>
      <c r="D1242" s="6" t="s">
        <v>2321</v>
      </c>
      <c r="E1242" s="3" t="s">
        <v>430</v>
      </c>
      <c r="F1242" s="6" t="s">
        <v>2322</v>
      </c>
      <c r="G1242" s="6" t="s">
        <v>2323</v>
      </c>
      <c r="H1242" s="6" t="s">
        <v>76</v>
      </c>
      <c r="I1242" s="6" t="s">
        <v>230</v>
      </c>
      <c r="J1242" s="6" t="s">
        <v>61</v>
      </c>
      <c r="K1242" s="6" t="s">
        <v>314</v>
      </c>
      <c r="L1242" s="6" t="s">
        <v>805</v>
      </c>
      <c r="M1242" s="6" t="s">
        <v>102</v>
      </c>
      <c r="N1242" s="6" t="s">
        <v>2215</v>
      </c>
      <c r="O1242" s="6" t="s">
        <v>62</v>
      </c>
      <c r="P1242" s="6" t="s">
        <v>2223</v>
      </c>
      <c r="Q1242" s="6" t="s">
        <v>96</v>
      </c>
      <c r="R1242" s="6" t="s">
        <v>57</v>
      </c>
      <c r="S1242" s="6" t="s">
        <v>1217</v>
      </c>
      <c r="T1242" s="131">
        <v>3.7719999999999998</v>
      </c>
      <c r="U1242" s="6" t="s">
        <v>2324</v>
      </c>
      <c r="V1242" s="134">
        <v>5.0259999999999999E-2</v>
      </c>
      <c r="W1242" s="132">
        <v>5.0189999999999999E-2</v>
      </c>
      <c r="X1242" s="3" t="s">
        <v>620</v>
      </c>
      <c r="Y1242" s="3" t="s">
        <v>62</v>
      </c>
      <c r="Z1242" s="131">
        <v>5000</v>
      </c>
      <c r="AA1242" s="129">
        <v>3.3719999999999999</v>
      </c>
      <c r="AB1242" s="157">
        <v>101.46</v>
      </c>
      <c r="AD1242" s="131">
        <v>17.106000000000002</v>
      </c>
      <c r="AG1242" s="6" t="s">
        <v>17</v>
      </c>
      <c r="AH1242" s="132">
        <v>5.0000000000000004E-6</v>
      </c>
      <c r="AI1242" s="132">
        <v>6.1637843397203398E-4</v>
      </c>
      <c r="AJ1242" s="132">
        <v>1.40746615146779E-4</v>
      </c>
    </row>
    <row r="1243" spans="1:36" x14ac:dyDescent="0.2">
      <c r="A1243" s="6">
        <v>559</v>
      </c>
      <c r="B1243" s="6">
        <v>7207</v>
      </c>
      <c r="C1243" s="6" t="s">
        <v>2325</v>
      </c>
      <c r="D1243" s="6" t="s">
        <v>2326</v>
      </c>
      <c r="E1243" s="3" t="s">
        <v>1477</v>
      </c>
      <c r="F1243" s="6" t="s">
        <v>2472</v>
      </c>
      <c r="G1243" s="6" t="s">
        <v>2473</v>
      </c>
      <c r="H1243" s="6" t="s">
        <v>76</v>
      </c>
      <c r="I1243" s="6" t="s">
        <v>230</v>
      </c>
      <c r="J1243" s="6" t="s">
        <v>53</v>
      </c>
      <c r="K1243" s="6" t="s">
        <v>314</v>
      </c>
      <c r="L1243" s="6" t="s">
        <v>805</v>
      </c>
      <c r="M1243" s="6" t="s">
        <v>102</v>
      </c>
      <c r="N1243" s="6" t="s">
        <v>894</v>
      </c>
      <c r="O1243" s="6" t="s">
        <v>62</v>
      </c>
      <c r="P1243" s="6" t="s">
        <v>2329</v>
      </c>
      <c r="Q1243" s="6" t="s">
        <v>96</v>
      </c>
      <c r="R1243" s="6" t="s">
        <v>57</v>
      </c>
      <c r="S1243" s="6" t="s">
        <v>1215</v>
      </c>
      <c r="T1243" s="131">
        <v>1.5620000000000001</v>
      </c>
      <c r="U1243" s="6" t="s">
        <v>2474</v>
      </c>
      <c r="V1243" s="134">
        <v>3.7499999999999999E-2</v>
      </c>
      <c r="W1243" s="132">
        <v>3.6420000000000001E-2</v>
      </c>
      <c r="X1243" s="3" t="s">
        <v>620</v>
      </c>
      <c r="Y1243" s="3" t="s">
        <v>62</v>
      </c>
      <c r="Z1243" s="131">
        <v>10000</v>
      </c>
      <c r="AA1243" s="129">
        <v>3.9552</v>
      </c>
      <c r="AB1243" s="157">
        <v>100.706</v>
      </c>
      <c r="AD1243" s="131">
        <v>39.831000000000003</v>
      </c>
      <c r="AG1243" s="6" t="s">
        <v>17</v>
      </c>
      <c r="AH1243" s="132">
        <v>9.0000000000000002E-6</v>
      </c>
      <c r="AI1243" s="132">
        <v>1.43523117066409E-3</v>
      </c>
      <c r="AJ1243" s="132">
        <v>3.27727120370478E-4</v>
      </c>
    </row>
    <row r="1244" spans="1:36" x14ac:dyDescent="0.2">
      <c r="A1244" s="6">
        <v>559</v>
      </c>
      <c r="B1244" s="6">
        <v>7207</v>
      </c>
      <c r="C1244" s="6" t="s">
        <v>2325</v>
      </c>
      <c r="D1244" s="6" t="s">
        <v>2326</v>
      </c>
      <c r="E1244" s="3" t="s">
        <v>1477</v>
      </c>
      <c r="F1244" s="6" t="s">
        <v>2475</v>
      </c>
      <c r="G1244" s="6" t="s">
        <v>2476</v>
      </c>
      <c r="H1244" s="6" t="s">
        <v>76</v>
      </c>
      <c r="I1244" s="6" t="s">
        <v>230</v>
      </c>
      <c r="J1244" s="6" t="s">
        <v>53</v>
      </c>
      <c r="K1244" s="6" t="s">
        <v>314</v>
      </c>
      <c r="L1244" s="6" t="s">
        <v>805</v>
      </c>
      <c r="M1244" s="6" t="s">
        <v>476</v>
      </c>
      <c r="N1244" s="6" t="s">
        <v>894</v>
      </c>
      <c r="O1244" s="6" t="s">
        <v>62</v>
      </c>
      <c r="P1244" s="6" t="s">
        <v>2329</v>
      </c>
      <c r="Q1244" s="6" t="s">
        <v>96</v>
      </c>
      <c r="R1244" s="6" t="s">
        <v>57</v>
      </c>
      <c r="S1244" s="6" t="s">
        <v>1215</v>
      </c>
      <c r="T1244" s="131">
        <v>4.2009999999999996</v>
      </c>
      <c r="U1244" s="6" t="s">
        <v>2477</v>
      </c>
      <c r="V1244" s="134">
        <v>4.3749999999999997E-2</v>
      </c>
      <c r="W1244" s="132">
        <v>4.0820000000000002E-2</v>
      </c>
      <c r="X1244" s="3" t="s">
        <v>620</v>
      </c>
      <c r="Y1244" s="3" t="s">
        <v>62</v>
      </c>
      <c r="Z1244" s="131">
        <v>5000</v>
      </c>
      <c r="AA1244" s="129">
        <v>3.9552</v>
      </c>
      <c r="AB1244" s="157">
        <v>102.01</v>
      </c>
      <c r="AD1244" s="131">
        <v>20.173999999999999</v>
      </c>
      <c r="AG1244" s="6" t="s">
        <v>17</v>
      </c>
      <c r="AH1244" s="132">
        <v>3.0000000000000001E-6</v>
      </c>
      <c r="AI1244" s="132">
        <v>7.2690793801785398E-4</v>
      </c>
      <c r="AJ1244" s="132">
        <v>1.6598541765979399E-4</v>
      </c>
    </row>
    <row r="1245" spans="1:36" x14ac:dyDescent="0.2">
      <c r="A1245" s="6">
        <v>559</v>
      </c>
      <c r="B1245" s="6">
        <v>7207</v>
      </c>
      <c r="C1245" s="6" t="s">
        <v>2325</v>
      </c>
      <c r="D1245" s="6" t="s">
        <v>2326</v>
      </c>
      <c r="E1245" s="3" t="s">
        <v>1477</v>
      </c>
      <c r="F1245" s="6" t="s">
        <v>2327</v>
      </c>
      <c r="G1245" s="6" t="s">
        <v>2328</v>
      </c>
      <c r="H1245" s="6" t="s">
        <v>76</v>
      </c>
      <c r="I1245" s="6" t="s">
        <v>230</v>
      </c>
      <c r="J1245" s="6" t="s">
        <v>53</v>
      </c>
      <c r="K1245" s="6" t="s">
        <v>314</v>
      </c>
      <c r="L1245" s="6" t="s">
        <v>805</v>
      </c>
      <c r="M1245" s="6" t="s">
        <v>102</v>
      </c>
      <c r="N1245" s="6" t="s">
        <v>894</v>
      </c>
      <c r="O1245" s="6" t="s">
        <v>62</v>
      </c>
      <c r="P1245" s="6" t="s">
        <v>2329</v>
      </c>
      <c r="Q1245" s="6" t="s">
        <v>96</v>
      </c>
      <c r="R1245" s="6" t="s">
        <v>57</v>
      </c>
      <c r="S1245" s="6" t="s">
        <v>1215</v>
      </c>
      <c r="T1245" s="131">
        <v>3.4660000000000002</v>
      </c>
      <c r="U1245" s="6" t="s">
        <v>2330</v>
      </c>
      <c r="V1245" s="134">
        <v>7.3749999999999996E-2</v>
      </c>
      <c r="W1245" s="132">
        <v>3.9849999999999997E-2</v>
      </c>
      <c r="X1245" s="3" t="s">
        <v>620</v>
      </c>
      <c r="Y1245" s="3" t="s">
        <v>62</v>
      </c>
      <c r="Z1245" s="131">
        <v>3000</v>
      </c>
      <c r="AA1245" s="129">
        <v>3.9552</v>
      </c>
      <c r="AB1245" s="157">
        <v>115.074</v>
      </c>
      <c r="AD1245" s="131">
        <v>13.654</v>
      </c>
      <c r="AG1245" s="6" t="s">
        <v>17</v>
      </c>
      <c r="AH1245" s="132">
        <v>5.0000000000000004E-6</v>
      </c>
      <c r="AI1245" s="132">
        <v>4.9199882011200901E-4</v>
      </c>
      <c r="AJ1245" s="132">
        <v>1.1234521646180099E-4</v>
      </c>
    </row>
    <row r="1246" spans="1:36" x14ac:dyDescent="0.2">
      <c r="A1246" s="6">
        <v>559</v>
      </c>
      <c r="B1246" s="6">
        <v>7207</v>
      </c>
      <c r="C1246" s="6" t="s">
        <v>2325</v>
      </c>
      <c r="D1246" s="6" t="s">
        <v>2326</v>
      </c>
      <c r="E1246" s="3" t="s">
        <v>1477</v>
      </c>
      <c r="F1246" s="6" t="s">
        <v>2331</v>
      </c>
      <c r="G1246" s="6" t="s">
        <v>2332</v>
      </c>
      <c r="H1246" s="6" t="s">
        <v>76</v>
      </c>
      <c r="I1246" s="6" t="s">
        <v>230</v>
      </c>
      <c r="J1246" s="6" t="s">
        <v>53</v>
      </c>
      <c r="K1246" s="6" t="s">
        <v>314</v>
      </c>
      <c r="L1246" s="6" t="s">
        <v>805</v>
      </c>
      <c r="M1246" s="6" t="s">
        <v>102</v>
      </c>
      <c r="N1246" s="6" t="s">
        <v>894</v>
      </c>
      <c r="O1246" s="6" t="s">
        <v>62</v>
      </c>
      <c r="P1246" s="6" t="s">
        <v>2329</v>
      </c>
      <c r="Q1246" s="6" t="s">
        <v>96</v>
      </c>
      <c r="R1246" s="6" t="s">
        <v>57</v>
      </c>
      <c r="S1246" s="6" t="s">
        <v>1215</v>
      </c>
      <c r="T1246" s="131">
        <v>4.88</v>
      </c>
      <c r="U1246" s="6" t="s">
        <v>2333</v>
      </c>
      <c r="V1246" s="134">
        <v>7.8750000000000001E-2</v>
      </c>
      <c r="W1246" s="132">
        <v>4.3709999999999999E-2</v>
      </c>
      <c r="X1246" s="3" t="s">
        <v>620</v>
      </c>
      <c r="Y1246" s="3" t="s">
        <v>62</v>
      </c>
      <c r="Z1246" s="131">
        <v>3000</v>
      </c>
      <c r="AA1246" s="129">
        <v>3.9552</v>
      </c>
      <c r="AB1246" s="157">
        <v>121.43300000000001</v>
      </c>
      <c r="AD1246" s="131">
        <v>14.409000000000001</v>
      </c>
      <c r="AG1246" s="6" t="s">
        <v>17</v>
      </c>
      <c r="AH1246" s="132">
        <v>6.0000000000000002E-6</v>
      </c>
      <c r="AI1246" s="132">
        <v>5.1918464418704096E-4</v>
      </c>
      <c r="AJ1246" s="132">
        <v>1.18552949418776E-4</v>
      </c>
    </row>
    <row r="1247" spans="1:36" x14ac:dyDescent="0.2">
      <c r="A1247" s="6">
        <v>559</v>
      </c>
      <c r="B1247" s="6">
        <v>7207</v>
      </c>
      <c r="C1247" s="6" t="s">
        <v>2325</v>
      </c>
      <c r="D1247" s="6" t="s">
        <v>2326</v>
      </c>
      <c r="E1247" s="3" t="s">
        <v>1477</v>
      </c>
      <c r="F1247" s="6" t="s">
        <v>2478</v>
      </c>
      <c r="G1247" s="6" t="s">
        <v>2479</v>
      </c>
      <c r="H1247" s="6" t="s">
        <v>76</v>
      </c>
      <c r="I1247" s="6" t="s">
        <v>230</v>
      </c>
      <c r="J1247" s="6" t="s">
        <v>53</v>
      </c>
      <c r="K1247" s="6" t="s">
        <v>314</v>
      </c>
      <c r="L1247" s="6" t="s">
        <v>805</v>
      </c>
      <c r="M1247" s="6" t="s">
        <v>476</v>
      </c>
      <c r="N1247" s="6" t="s">
        <v>894</v>
      </c>
      <c r="O1247" s="6" t="s">
        <v>62</v>
      </c>
      <c r="P1247" s="6" t="s">
        <v>2273</v>
      </c>
      <c r="Q1247" s="6" t="s">
        <v>65</v>
      </c>
      <c r="R1247" s="6" t="s">
        <v>57</v>
      </c>
      <c r="S1247" s="6" t="s">
        <v>1217</v>
      </c>
      <c r="T1247" s="131">
        <v>1.2270000000000001</v>
      </c>
      <c r="U1247" s="6" t="s">
        <v>2480</v>
      </c>
      <c r="V1247" s="134">
        <v>3.15E-2</v>
      </c>
      <c r="W1247" s="132">
        <v>5.1270000000000003E-2</v>
      </c>
      <c r="X1247" s="3" t="s">
        <v>620</v>
      </c>
      <c r="Y1247" s="3" t="s">
        <v>62</v>
      </c>
      <c r="Z1247" s="131">
        <v>20000</v>
      </c>
      <c r="AA1247" s="129">
        <v>3.3719999999999999</v>
      </c>
      <c r="AB1247" s="157">
        <v>98.381</v>
      </c>
      <c r="AD1247" s="131">
        <v>66.347999999999999</v>
      </c>
      <c r="AG1247" s="6" t="s">
        <v>17</v>
      </c>
      <c r="AH1247" s="132">
        <v>1.1E-5</v>
      </c>
      <c r="AI1247" s="132">
        <v>2.3907121604364598E-3</v>
      </c>
      <c r="AJ1247" s="132">
        <v>5.4590593347550898E-4</v>
      </c>
    </row>
    <row r="1248" spans="1:36" x14ac:dyDescent="0.2">
      <c r="A1248" s="6">
        <v>559</v>
      </c>
      <c r="B1248" s="6">
        <v>7207</v>
      </c>
      <c r="C1248" s="6" t="s">
        <v>2481</v>
      </c>
      <c r="D1248" s="6" t="s">
        <v>2482</v>
      </c>
      <c r="E1248" s="3" t="s">
        <v>430</v>
      </c>
      <c r="F1248" s="6" t="s">
        <v>2483</v>
      </c>
      <c r="G1248" s="6" t="s">
        <v>2484</v>
      </c>
      <c r="H1248" s="6" t="s">
        <v>76</v>
      </c>
      <c r="I1248" s="6" t="s">
        <v>230</v>
      </c>
      <c r="J1248" s="6" t="s">
        <v>61</v>
      </c>
      <c r="K1248" s="6" t="s">
        <v>314</v>
      </c>
      <c r="L1248" s="6" t="s">
        <v>805</v>
      </c>
      <c r="M1248" s="6" t="s">
        <v>479</v>
      </c>
      <c r="N1248" s="6" t="s">
        <v>894</v>
      </c>
      <c r="O1248" s="6" t="s">
        <v>62</v>
      </c>
      <c r="P1248" s="6" t="s">
        <v>2223</v>
      </c>
      <c r="Q1248" s="6" t="s">
        <v>96</v>
      </c>
      <c r="R1248" s="6" t="s">
        <v>57</v>
      </c>
      <c r="S1248" s="6" t="s">
        <v>1217</v>
      </c>
      <c r="T1248" s="131">
        <v>1.94</v>
      </c>
      <c r="U1248" s="6" t="s">
        <v>2485</v>
      </c>
      <c r="V1248" s="134">
        <v>2.3E-2</v>
      </c>
      <c r="W1248" s="132">
        <v>4.9959999999999997E-2</v>
      </c>
      <c r="X1248" s="3" t="s">
        <v>620</v>
      </c>
      <c r="Y1248" s="3" t="s">
        <v>62</v>
      </c>
      <c r="Z1248" s="131">
        <v>10000</v>
      </c>
      <c r="AA1248" s="129">
        <v>3.3719999999999999</v>
      </c>
      <c r="AB1248" s="157">
        <v>95.15</v>
      </c>
      <c r="AD1248" s="131">
        <v>32.085000000000001</v>
      </c>
      <c r="AG1248" s="6" t="s">
        <v>17</v>
      </c>
      <c r="AH1248" s="132">
        <v>1.2999999999999999E-5</v>
      </c>
      <c r="AI1248" s="132">
        <v>1.15609586967457E-3</v>
      </c>
      <c r="AJ1248" s="132">
        <v>2.6398811423900502E-4</v>
      </c>
    </row>
    <row r="1249" spans="1:36" x14ac:dyDescent="0.2">
      <c r="A1249" s="6">
        <v>559</v>
      </c>
      <c r="B1249" s="6">
        <v>7207</v>
      </c>
      <c r="C1249" s="6" t="s">
        <v>2500</v>
      </c>
      <c r="D1249" s="6" t="s">
        <v>2501</v>
      </c>
      <c r="E1249" s="3" t="s">
        <v>1477</v>
      </c>
      <c r="F1249" s="6" t="s">
        <v>2502</v>
      </c>
      <c r="G1249" s="6" t="s">
        <v>2503</v>
      </c>
      <c r="H1249" s="6" t="s">
        <v>76</v>
      </c>
      <c r="I1249" s="6" t="s">
        <v>607</v>
      </c>
      <c r="J1249" s="6" t="s">
        <v>53</v>
      </c>
      <c r="K1249" s="6" t="s">
        <v>53</v>
      </c>
      <c r="L1249" s="6" t="s">
        <v>805</v>
      </c>
      <c r="M1249" s="6" t="s">
        <v>311</v>
      </c>
      <c r="N1249" s="6" t="s">
        <v>257</v>
      </c>
      <c r="O1249" s="6" t="s">
        <v>62</v>
      </c>
      <c r="P1249" s="6" t="s">
        <v>1521</v>
      </c>
      <c r="Q1249" s="6" t="s">
        <v>70</v>
      </c>
      <c r="R1249" s="6" t="s">
        <v>57</v>
      </c>
      <c r="S1249" s="6" t="s">
        <v>1219</v>
      </c>
      <c r="T1249" s="131">
        <v>0.995</v>
      </c>
      <c r="U1249" s="6" t="s">
        <v>1595</v>
      </c>
      <c r="V1249" s="134">
        <v>1.4999999999999999E-2</v>
      </c>
      <c r="W1249" s="132">
        <v>1E-4</v>
      </c>
      <c r="X1249" s="3" t="s">
        <v>620</v>
      </c>
      <c r="Y1249" s="3" t="s">
        <v>62</v>
      </c>
      <c r="Z1249" s="131">
        <v>666.66</v>
      </c>
      <c r="AA1249" s="129">
        <v>1</v>
      </c>
      <c r="AB1249" s="157">
        <v>188.1</v>
      </c>
      <c r="AD1249" s="131">
        <v>1.254</v>
      </c>
      <c r="AG1249" s="6" t="s">
        <v>17</v>
      </c>
      <c r="AH1249" s="132">
        <v>8.9599999999999999E-4</v>
      </c>
      <c r="AI1249" s="132">
        <v>4.5184572523851298E-5</v>
      </c>
      <c r="AJ1249" s="132">
        <v>1.0317647875192799E-5</v>
      </c>
    </row>
    <row r="1250" spans="1:36" x14ac:dyDescent="0.2">
      <c r="A1250" s="6">
        <v>559</v>
      </c>
      <c r="B1250" s="6">
        <v>7207</v>
      </c>
      <c r="C1250" s="6" t="s">
        <v>2334</v>
      </c>
      <c r="D1250" s="6" t="s">
        <v>2335</v>
      </c>
      <c r="E1250" s="3" t="s">
        <v>767</v>
      </c>
      <c r="F1250" s="6" t="s">
        <v>2336</v>
      </c>
      <c r="G1250" s="6" t="s">
        <v>2337</v>
      </c>
      <c r="H1250" s="6" t="s">
        <v>76</v>
      </c>
      <c r="I1250" s="6" t="s">
        <v>230</v>
      </c>
      <c r="J1250" s="6" t="s">
        <v>53</v>
      </c>
      <c r="K1250" s="6" t="s">
        <v>53</v>
      </c>
      <c r="L1250" s="6" t="s">
        <v>805</v>
      </c>
      <c r="M1250" s="6" t="s">
        <v>311</v>
      </c>
      <c r="N1250" s="6" t="s">
        <v>253</v>
      </c>
      <c r="O1250" s="6" t="s">
        <v>62</v>
      </c>
      <c r="P1250" s="6" t="s">
        <v>1577</v>
      </c>
      <c r="Q1250" s="6" t="s">
        <v>65</v>
      </c>
      <c r="R1250" s="6" t="s">
        <v>57</v>
      </c>
      <c r="S1250" s="6" t="s">
        <v>1219</v>
      </c>
      <c r="T1250" s="131">
        <v>0.501</v>
      </c>
      <c r="U1250" s="6" t="s">
        <v>2338</v>
      </c>
      <c r="V1250" s="134">
        <v>3.3700000000000001E-2</v>
      </c>
      <c r="W1250" s="132">
        <v>5.8880000000000002E-2</v>
      </c>
      <c r="X1250" s="3" t="s">
        <v>620</v>
      </c>
      <c r="Y1250" s="3" t="s">
        <v>62</v>
      </c>
      <c r="Z1250" s="131">
        <v>127833.55</v>
      </c>
      <c r="AA1250" s="129">
        <v>1</v>
      </c>
      <c r="AB1250" s="157">
        <v>94.4</v>
      </c>
      <c r="AC1250" s="131">
        <v>2.0539999999999998</v>
      </c>
      <c r="AD1250" s="131">
        <v>122.729</v>
      </c>
      <c r="AG1250" s="6" t="s">
        <v>17</v>
      </c>
      <c r="AH1250" s="132">
        <v>1.8259999999999999E-3</v>
      </c>
      <c r="AI1250" s="132">
        <v>4.4222580184047899E-3</v>
      </c>
      <c r="AJ1250" s="132">
        <v>1.0097982231228001E-3</v>
      </c>
    </row>
    <row r="1251" spans="1:36" x14ac:dyDescent="0.2">
      <c r="A1251" s="6">
        <v>559</v>
      </c>
      <c r="B1251" s="6">
        <v>7207</v>
      </c>
      <c r="C1251" s="6" t="s">
        <v>2111</v>
      </c>
      <c r="D1251" s="6" t="s">
        <v>2112</v>
      </c>
      <c r="E1251" s="3" t="s">
        <v>1477</v>
      </c>
      <c r="F1251" s="6" t="s">
        <v>2339</v>
      </c>
      <c r="G1251" s="6" t="s">
        <v>2340</v>
      </c>
      <c r="H1251" s="6" t="s">
        <v>76</v>
      </c>
      <c r="I1251" s="6" t="s">
        <v>228</v>
      </c>
      <c r="J1251" s="6" t="s">
        <v>53</v>
      </c>
      <c r="K1251" s="6" t="s">
        <v>53</v>
      </c>
      <c r="L1251" s="6" t="s">
        <v>805</v>
      </c>
      <c r="M1251" s="6" t="s">
        <v>311</v>
      </c>
      <c r="N1251" s="6" t="s">
        <v>140</v>
      </c>
      <c r="O1251" s="6" t="s">
        <v>62</v>
      </c>
      <c r="P1251" s="6" t="s">
        <v>1527</v>
      </c>
      <c r="Q1251" s="6" t="s">
        <v>70</v>
      </c>
      <c r="R1251" s="6" t="s">
        <v>57</v>
      </c>
      <c r="S1251" s="6" t="s">
        <v>1219</v>
      </c>
      <c r="T1251" s="131">
        <v>0.99099999999999999</v>
      </c>
      <c r="U1251" s="6" t="s">
        <v>1516</v>
      </c>
      <c r="V1251" s="134">
        <v>0.02</v>
      </c>
      <c r="W1251" s="132">
        <v>4.9880000000000001E-2</v>
      </c>
      <c r="X1251" s="3" t="s">
        <v>620</v>
      </c>
      <c r="Y1251" s="3" t="s">
        <v>62</v>
      </c>
      <c r="Z1251" s="131">
        <v>252000</v>
      </c>
      <c r="AA1251" s="129">
        <v>1</v>
      </c>
      <c r="AB1251" s="157">
        <v>97.18</v>
      </c>
      <c r="AD1251" s="131">
        <v>244.89400000000001</v>
      </c>
      <c r="AG1251" s="6" t="s">
        <v>17</v>
      </c>
      <c r="AH1251" s="132">
        <v>1.075E-3</v>
      </c>
      <c r="AI1251" s="132">
        <v>8.8241812480541193E-3</v>
      </c>
      <c r="AJ1251" s="132">
        <v>2.0149531094101301E-3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BEAA01E9-9855-473D-8126-85D30B1A1F99}">
      <formula1>israel_abroad</formula1>
    </dataValidation>
    <dataValidation type="list" allowBlank="1" showInputMessage="1" showErrorMessage="1" sqref="O2:O20" xr:uid="{6C11061D-56EF-4137-A2EE-4085945C8C7B}">
      <formula1>Holding_interest</formula1>
    </dataValidation>
    <dataValidation type="list" allowBlank="1" showInputMessage="1" showErrorMessage="1" sqref="Q2:Q20" xr:uid="{A25855C6-76AF-4DB5-97CD-1AC3CE46900E}">
      <formula1>Rating_Agency</formula1>
    </dataValidation>
    <dataValidation type="list" allowBlank="1" showInputMessage="1" showErrorMessage="1" sqref="R2:R20" xr:uid="{315951CC-4D2D-4341-99B9-96CD8BF36B69}">
      <formula1>What_is_rated</formula1>
    </dataValidation>
    <dataValidation type="list" allowBlank="1" showInputMessage="1" showErrorMessage="1" sqref="X2:X20" xr:uid="{BA2C4E96-7672-493B-B17D-8CD4A4CDDBD8}">
      <formula1>Subordination_Risk</formula1>
    </dataValidation>
    <dataValidation type="list" allowBlank="1" showInputMessage="1" showErrorMessage="1" sqref="AG2:AG5 AG8:AG19" xr:uid="{364D0811-074B-45EF-8EE5-8017CEEA2F72}">
      <formula1>In_the_books</formula1>
    </dataValidation>
    <dataValidation type="list" allowBlank="1" showInputMessage="1" showErrorMessage="1" sqref="K2:K20" xr:uid="{DE48309C-FE31-4E10-80C7-052A1C8D04EB}">
      <formula1>Country_list</formula1>
    </dataValidation>
    <dataValidation type="list" allowBlank="1" showInputMessage="1" showErrorMessage="1" sqref="Y2:Y20" xr:uid="{5B534957-9B90-4A9D-825D-D1ADF0E9FCC8}">
      <formula1>Yes_No_Bad_Debt</formula1>
    </dataValidation>
    <dataValidation type="list" allowBlank="1" showInputMessage="1" showErrorMessage="1" sqref="H3:H20" xr:uid="{44E245CE-E2B7-432C-8F90-BD93394638BD}">
      <formula1>Type_of_Security_ID_Fund</formula1>
    </dataValidation>
    <dataValidation type="list" allowBlank="1" showInputMessage="1" showErrorMessage="1" sqref="E2:E20" xr:uid="{938845D3-2D60-42F1-992E-7242479B619F}">
      <formula1>Issuer_Number_Type_2</formula1>
    </dataValidation>
    <dataValidation type="list" allowBlank="1" showInputMessage="1" showErrorMessage="1" sqref="H2" xr:uid="{2D94A758-C51A-45D6-A2D4-9ACF59539AF2}">
      <formula1>Security_ID_Number_Type</formula1>
    </dataValidation>
    <dataValidation type="list" allowBlank="1" showInputMessage="1" showErrorMessage="1" sqref="N2:N20" xr:uid="{144C794D-5636-474F-80AF-F9B816F74B9F}">
      <formula1>Industry_Sector</formula1>
    </dataValidation>
    <dataValidation type="list" allowBlank="1" showInputMessage="1" showErrorMessage="1" sqref="L2:L20" xr:uid="{E0FBAECC-9774-4B07-B776-EB5CA8165AAE}">
      <formula1>Tradeable_Status</formula1>
    </dataValidation>
    <dataValidation type="list" allowBlank="1" showInputMessage="1" showErrorMessage="1" sqref="M2:M20" xr:uid="{67405499-A198-4927-9D0E-B8D19A0E9DF5}">
      <formula1>Stock_Exchange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730"/>
  <sheetViews>
    <sheetView rightToLeft="1" workbookViewId="0">
      <selection activeCell="E9" sqref="E9"/>
    </sheetView>
  </sheetViews>
  <sheetFormatPr defaultColWidth="9" defaultRowHeight="14.25" x14ac:dyDescent="0.2"/>
  <cols>
    <col min="1" max="11" width="11.625" style="3" customWidth="1"/>
    <col min="12" max="13" width="11.625" style="6" customWidth="1"/>
    <col min="14" max="19" width="11.625" style="3" customWidth="1"/>
    <col min="20" max="20" width="11.625" style="6" customWidth="1"/>
    <col min="21" max="26" width="11.625" style="3" customWidth="1"/>
    <col min="27" max="16384" width="9" style="3"/>
  </cols>
  <sheetData>
    <row r="1" spans="1:24" ht="66.75" customHeight="1" x14ac:dyDescent="0.2">
      <c r="A1" s="13" t="s">
        <v>651</v>
      </c>
      <c r="B1" s="13" t="s">
        <v>0</v>
      </c>
      <c r="C1" s="13" t="s">
        <v>724</v>
      </c>
      <c r="D1" s="13" t="s">
        <v>2</v>
      </c>
      <c r="E1" s="13" t="s">
        <v>740</v>
      </c>
      <c r="F1" s="13" t="s">
        <v>1145</v>
      </c>
      <c r="G1" s="13" t="s">
        <v>29</v>
      </c>
      <c r="H1" s="13" t="s">
        <v>28</v>
      </c>
      <c r="I1" s="13" t="s">
        <v>1</v>
      </c>
      <c r="J1" s="13" t="s">
        <v>604</v>
      </c>
      <c r="K1" s="13" t="s">
        <v>605</v>
      </c>
      <c r="L1" s="13" t="s">
        <v>609</v>
      </c>
      <c r="M1" s="13" t="s">
        <v>5</v>
      </c>
      <c r="N1" s="13" t="s">
        <v>9</v>
      </c>
      <c r="O1" s="13" t="s">
        <v>606</v>
      </c>
      <c r="P1" s="13" t="s">
        <v>396</v>
      </c>
      <c r="Q1" s="13" t="s">
        <v>773</v>
      </c>
      <c r="R1" s="124" t="s">
        <v>11</v>
      </c>
      <c r="S1" s="136" t="s">
        <v>15</v>
      </c>
      <c r="T1" s="13" t="s">
        <v>938</v>
      </c>
      <c r="U1" s="13" t="s">
        <v>1153</v>
      </c>
      <c r="V1" s="126" t="s">
        <v>18</v>
      </c>
      <c r="W1" s="126" t="s">
        <v>19</v>
      </c>
      <c r="X1" s="126" t="s">
        <v>30</v>
      </c>
    </row>
    <row r="2" spans="1:24" x14ac:dyDescent="0.2">
      <c r="A2" s="12">
        <v>13710</v>
      </c>
      <c r="B2" s="12">
        <v>13711</v>
      </c>
      <c r="C2" s="12" t="s">
        <v>2504</v>
      </c>
      <c r="D2" s="12" t="s">
        <v>2505</v>
      </c>
      <c r="E2" s="12" t="s">
        <v>1477</v>
      </c>
      <c r="F2" s="12" t="s">
        <v>2506</v>
      </c>
      <c r="G2" s="12" t="s">
        <v>2507</v>
      </c>
      <c r="H2" s="12" t="s">
        <v>76</v>
      </c>
      <c r="I2" s="12" t="s">
        <v>73</v>
      </c>
      <c r="J2" s="12" t="s">
        <v>53</v>
      </c>
      <c r="K2" s="12" t="s">
        <v>53</v>
      </c>
      <c r="L2" s="18" t="s">
        <v>805</v>
      </c>
      <c r="M2" s="12" t="s">
        <v>311</v>
      </c>
      <c r="N2" s="18" t="s">
        <v>156</v>
      </c>
      <c r="O2" s="18" t="s">
        <v>62</v>
      </c>
      <c r="P2" s="12" t="s">
        <v>1219</v>
      </c>
      <c r="Q2" s="145">
        <v>5233</v>
      </c>
      <c r="R2" s="147">
        <v>1</v>
      </c>
      <c r="S2" s="148">
        <v>4100</v>
      </c>
      <c r="T2" s="18"/>
      <c r="U2" s="145">
        <v>214.553</v>
      </c>
      <c r="V2" s="149">
        <v>1.9000000000000001E-5</v>
      </c>
      <c r="W2" s="149">
        <v>2.1203235619945301E-2</v>
      </c>
      <c r="X2" s="149">
        <v>3.1454230899570401E-3</v>
      </c>
    </row>
    <row r="3" spans="1:24" x14ac:dyDescent="0.2">
      <c r="A3" s="12">
        <v>13710</v>
      </c>
      <c r="B3" s="12">
        <v>13711</v>
      </c>
      <c r="C3" s="12" t="s">
        <v>2508</v>
      </c>
      <c r="D3" s="12" t="s">
        <v>2509</v>
      </c>
      <c r="E3" s="12" t="s">
        <v>1477</v>
      </c>
      <c r="F3" s="12" t="s">
        <v>2510</v>
      </c>
      <c r="G3" s="12" t="s">
        <v>2511</v>
      </c>
      <c r="H3" s="12" t="s">
        <v>76</v>
      </c>
      <c r="I3" s="12" t="s">
        <v>73</v>
      </c>
      <c r="J3" s="12" t="s">
        <v>53</v>
      </c>
      <c r="K3" s="12" t="s">
        <v>53</v>
      </c>
      <c r="L3" s="18" t="s">
        <v>805</v>
      </c>
      <c r="M3" s="12" t="s">
        <v>311</v>
      </c>
      <c r="N3" s="18" t="s">
        <v>258</v>
      </c>
      <c r="O3" s="18" t="s">
        <v>62</v>
      </c>
      <c r="P3" s="12" t="s">
        <v>1219</v>
      </c>
      <c r="Q3" s="145">
        <v>1775</v>
      </c>
      <c r="R3" s="147">
        <v>1</v>
      </c>
      <c r="S3" s="148">
        <v>452</v>
      </c>
      <c r="T3" s="18"/>
      <c r="U3" s="145">
        <v>8.0229999999999997</v>
      </c>
      <c r="V3" s="149">
        <v>3.1999999999999999E-5</v>
      </c>
      <c r="W3" s="149">
        <v>7.9287429855942799E-4</v>
      </c>
      <c r="X3" s="149">
        <v>1.17620026057549E-4</v>
      </c>
    </row>
    <row r="4" spans="1:24" x14ac:dyDescent="0.2">
      <c r="A4" s="12">
        <v>13710</v>
      </c>
      <c r="B4" s="12">
        <v>13711</v>
      </c>
      <c r="C4" s="12" t="s">
        <v>2512</v>
      </c>
      <c r="D4" s="12" t="s">
        <v>2513</v>
      </c>
      <c r="E4" s="12" t="s">
        <v>1477</v>
      </c>
      <c r="F4" s="12" t="s">
        <v>2514</v>
      </c>
      <c r="G4" s="12" t="s">
        <v>2515</v>
      </c>
      <c r="H4" s="12" t="s">
        <v>76</v>
      </c>
      <c r="I4" s="12" t="s">
        <v>73</v>
      </c>
      <c r="J4" s="12" t="s">
        <v>53</v>
      </c>
      <c r="K4" s="12" t="s">
        <v>314</v>
      </c>
      <c r="L4" s="18" t="s">
        <v>805</v>
      </c>
      <c r="M4" s="12" t="s">
        <v>311</v>
      </c>
      <c r="N4" s="18" t="s">
        <v>638</v>
      </c>
      <c r="O4" s="18" t="s">
        <v>62</v>
      </c>
      <c r="P4" s="12" t="s">
        <v>1219</v>
      </c>
      <c r="Q4" s="145">
        <v>1021</v>
      </c>
      <c r="R4" s="147">
        <v>1</v>
      </c>
      <c r="S4" s="148">
        <v>3925</v>
      </c>
      <c r="T4" s="18"/>
      <c r="U4" s="145">
        <v>40.073999999999998</v>
      </c>
      <c r="V4" s="149">
        <v>4.0000000000000003E-5</v>
      </c>
      <c r="W4" s="149">
        <v>3.9603443673245902E-3</v>
      </c>
      <c r="X4" s="149">
        <v>5.87502720832199E-4</v>
      </c>
    </row>
    <row r="5" spans="1:24" x14ac:dyDescent="0.2">
      <c r="A5" s="12">
        <v>13710</v>
      </c>
      <c r="B5" s="12">
        <v>13711</v>
      </c>
      <c r="C5" s="12" t="s">
        <v>1511</v>
      </c>
      <c r="D5" s="12" t="s">
        <v>1512</v>
      </c>
      <c r="E5" s="12" t="s">
        <v>1477</v>
      </c>
      <c r="F5" s="12" t="s">
        <v>2516</v>
      </c>
      <c r="G5" s="12" t="s">
        <v>2517</v>
      </c>
      <c r="H5" s="12" t="s">
        <v>76</v>
      </c>
      <c r="I5" s="12" t="s">
        <v>73</v>
      </c>
      <c r="J5" s="12" t="s">
        <v>53</v>
      </c>
      <c r="K5" s="12" t="s">
        <v>53</v>
      </c>
      <c r="L5" s="18" t="s">
        <v>805</v>
      </c>
      <c r="M5" s="12" t="s">
        <v>311</v>
      </c>
      <c r="N5" s="18" t="s">
        <v>258</v>
      </c>
      <c r="O5" s="18" t="s">
        <v>62</v>
      </c>
      <c r="P5" s="12" t="s">
        <v>1219</v>
      </c>
      <c r="Q5" s="145">
        <v>691</v>
      </c>
      <c r="R5" s="147">
        <v>1</v>
      </c>
      <c r="S5" s="148">
        <v>2683</v>
      </c>
      <c r="T5" s="18"/>
      <c r="U5" s="145">
        <v>18.54</v>
      </c>
      <c r="V5" s="149">
        <v>3.8000000000000002E-5</v>
      </c>
      <c r="W5" s="149">
        <v>1.8321721107280901E-3</v>
      </c>
      <c r="X5" s="149">
        <v>2.71796086463257E-4</v>
      </c>
    </row>
    <row r="6" spans="1:24" x14ac:dyDescent="0.2">
      <c r="A6" s="12">
        <v>13710</v>
      </c>
      <c r="B6" s="12">
        <v>13711</v>
      </c>
      <c r="C6" s="12" t="s">
        <v>1511</v>
      </c>
      <c r="D6" s="12" t="s">
        <v>1512</v>
      </c>
      <c r="E6" s="12" t="s">
        <v>1477</v>
      </c>
      <c r="F6" s="12" t="s">
        <v>2518</v>
      </c>
      <c r="G6" s="12" t="s">
        <v>2517</v>
      </c>
      <c r="H6" s="12" t="s">
        <v>76</v>
      </c>
      <c r="I6" s="12" t="s">
        <v>73</v>
      </c>
      <c r="J6" s="12" t="s">
        <v>53</v>
      </c>
      <c r="K6" s="12"/>
      <c r="L6" s="18" t="s">
        <v>805</v>
      </c>
      <c r="M6" s="12" t="s">
        <v>102</v>
      </c>
      <c r="N6" s="18" t="s">
        <v>258</v>
      </c>
      <c r="O6" s="18" t="s">
        <v>62</v>
      </c>
      <c r="P6" s="12" t="s">
        <v>1219</v>
      </c>
      <c r="Q6" s="145">
        <v>650</v>
      </c>
      <c r="R6" s="147">
        <v>1</v>
      </c>
      <c r="S6" s="148">
        <v>2556.9960000000001</v>
      </c>
      <c r="T6" s="18"/>
      <c r="U6" s="145">
        <v>16.62</v>
      </c>
      <c r="V6" s="149">
        <v>0</v>
      </c>
      <c r="W6" s="149">
        <v>1.6425208202864099E-3</v>
      </c>
      <c r="X6" s="149">
        <v>2.4366200548203701E-4</v>
      </c>
    </row>
    <row r="7" spans="1:24" x14ac:dyDescent="0.2">
      <c r="A7" s="12">
        <v>13710</v>
      </c>
      <c r="B7" s="12">
        <v>13711</v>
      </c>
      <c r="C7" s="12" t="s">
        <v>2519</v>
      </c>
      <c r="D7" s="12" t="s">
        <v>2520</v>
      </c>
      <c r="E7" s="12" t="s">
        <v>430</v>
      </c>
      <c r="F7" s="12" t="s">
        <v>2521</v>
      </c>
      <c r="G7" s="12" t="s">
        <v>2522</v>
      </c>
      <c r="H7" s="12" t="s">
        <v>76</v>
      </c>
      <c r="I7" s="12" t="s">
        <v>73</v>
      </c>
      <c r="J7" s="12" t="s">
        <v>53</v>
      </c>
      <c r="K7" s="12" t="s">
        <v>314</v>
      </c>
      <c r="L7" s="18" t="s">
        <v>805</v>
      </c>
      <c r="M7" s="12" t="s">
        <v>311</v>
      </c>
      <c r="N7" s="18" t="s">
        <v>631</v>
      </c>
      <c r="O7" s="18" t="s">
        <v>62</v>
      </c>
      <c r="P7" s="12" t="s">
        <v>1219</v>
      </c>
      <c r="Q7" s="145">
        <v>213</v>
      </c>
      <c r="R7" s="147">
        <v>1</v>
      </c>
      <c r="S7" s="148">
        <v>27780</v>
      </c>
      <c r="T7" s="18"/>
      <c r="U7" s="145">
        <v>59.170999999999999</v>
      </c>
      <c r="V7" s="149">
        <v>3.9999999999999998E-6</v>
      </c>
      <c r="W7" s="149">
        <v>5.8476233665436103E-3</v>
      </c>
      <c r="X7" s="149">
        <v>8.6747371430408204E-4</v>
      </c>
    </row>
    <row r="8" spans="1:24" x14ac:dyDescent="0.2">
      <c r="A8" s="12">
        <v>13710</v>
      </c>
      <c r="B8" s="12">
        <v>13711</v>
      </c>
      <c r="C8" s="12" t="s">
        <v>1517</v>
      </c>
      <c r="D8" s="12" t="s">
        <v>1518</v>
      </c>
      <c r="E8" s="12" t="s">
        <v>1477</v>
      </c>
      <c r="F8" s="12" t="s">
        <v>2523</v>
      </c>
      <c r="G8" s="12" t="s">
        <v>2524</v>
      </c>
      <c r="H8" s="12" t="s">
        <v>76</v>
      </c>
      <c r="I8" s="12" t="s">
        <v>73</v>
      </c>
      <c r="J8" s="12" t="s">
        <v>53</v>
      </c>
      <c r="K8" s="12" t="s">
        <v>53</v>
      </c>
      <c r="L8" s="18" t="s">
        <v>805</v>
      </c>
      <c r="M8" s="12" t="s">
        <v>311</v>
      </c>
      <c r="N8" s="18" t="s">
        <v>140</v>
      </c>
      <c r="O8" s="18" t="s">
        <v>62</v>
      </c>
      <c r="P8" s="12" t="s">
        <v>1219</v>
      </c>
      <c r="Q8" s="145">
        <v>2483</v>
      </c>
      <c r="R8" s="147">
        <v>1</v>
      </c>
      <c r="S8" s="148">
        <v>2366</v>
      </c>
      <c r="T8" s="18"/>
      <c r="U8" s="145">
        <v>58.747999999999998</v>
      </c>
      <c r="V8" s="149">
        <v>1.2E-5</v>
      </c>
      <c r="W8" s="149">
        <v>5.8057590501587502E-3</v>
      </c>
      <c r="X8" s="149">
        <v>8.61263294830258E-4</v>
      </c>
    </row>
    <row r="9" spans="1:24" x14ac:dyDescent="0.2">
      <c r="A9" s="12">
        <v>13710</v>
      </c>
      <c r="B9" s="12">
        <v>13711</v>
      </c>
      <c r="C9" s="12" t="s">
        <v>2525</v>
      </c>
      <c r="D9" s="12" t="s">
        <v>2526</v>
      </c>
      <c r="E9" s="12" t="s">
        <v>1477</v>
      </c>
      <c r="F9" s="12" t="s">
        <v>2527</v>
      </c>
      <c r="G9" s="12" t="s">
        <v>2528</v>
      </c>
      <c r="H9" s="12" t="s">
        <v>76</v>
      </c>
      <c r="I9" s="12" t="s">
        <v>73</v>
      </c>
      <c r="J9" s="12" t="s">
        <v>53</v>
      </c>
      <c r="K9" s="12" t="s">
        <v>53</v>
      </c>
      <c r="L9" s="18" t="s">
        <v>805</v>
      </c>
      <c r="M9" s="12" t="s">
        <v>311</v>
      </c>
      <c r="N9" s="18" t="s">
        <v>269</v>
      </c>
      <c r="O9" s="18" t="s">
        <v>62</v>
      </c>
      <c r="P9" s="12" t="s">
        <v>1219</v>
      </c>
      <c r="Q9" s="145">
        <v>213</v>
      </c>
      <c r="R9" s="147">
        <v>1</v>
      </c>
      <c r="S9" s="148">
        <v>21960</v>
      </c>
      <c r="T9" s="18"/>
      <c r="U9" s="145">
        <v>46.774999999999999</v>
      </c>
      <c r="V9" s="149">
        <v>1.4E-5</v>
      </c>
      <c r="W9" s="149">
        <v>4.6225273264686E-3</v>
      </c>
      <c r="X9" s="149">
        <v>6.8573516076737395E-4</v>
      </c>
    </row>
    <row r="10" spans="1:24" x14ac:dyDescent="0.2">
      <c r="A10" s="12">
        <v>13710</v>
      </c>
      <c r="B10" s="12">
        <v>13711</v>
      </c>
      <c r="C10" s="12" t="s">
        <v>2529</v>
      </c>
      <c r="D10" s="12" t="s">
        <v>2530</v>
      </c>
      <c r="E10" s="12" t="s">
        <v>1477</v>
      </c>
      <c r="F10" s="12" t="s">
        <v>2531</v>
      </c>
      <c r="G10" s="12" t="s">
        <v>2532</v>
      </c>
      <c r="H10" s="12" t="s">
        <v>76</v>
      </c>
      <c r="I10" s="12" t="s">
        <v>73</v>
      </c>
      <c r="J10" s="12" t="s">
        <v>53</v>
      </c>
      <c r="K10" s="12" t="s">
        <v>53</v>
      </c>
      <c r="L10" s="18" t="s">
        <v>805</v>
      </c>
      <c r="M10" s="12" t="s">
        <v>311</v>
      </c>
      <c r="N10" s="18" t="s">
        <v>75</v>
      </c>
      <c r="O10" s="18" t="s">
        <v>62</v>
      </c>
      <c r="P10" s="12" t="s">
        <v>1219</v>
      </c>
      <c r="Q10" s="145">
        <v>23</v>
      </c>
      <c r="R10" s="147">
        <v>1</v>
      </c>
      <c r="S10" s="148">
        <v>6434</v>
      </c>
      <c r="T10" s="18"/>
      <c r="U10" s="145">
        <v>1.48</v>
      </c>
      <c r="V10" s="149">
        <v>1.9999999999999999E-6</v>
      </c>
      <c r="W10" s="149">
        <v>1.4624345562685E-4</v>
      </c>
      <c r="X10" s="149">
        <v>2.16946861473865E-5</v>
      </c>
    </row>
    <row r="11" spans="1:24" x14ac:dyDescent="0.2">
      <c r="A11" s="12">
        <v>13710</v>
      </c>
      <c r="B11" s="12">
        <v>13711</v>
      </c>
      <c r="C11" s="12" t="s">
        <v>1535</v>
      </c>
      <c r="D11" s="12" t="s">
        <v>1536</v>
      </c>
      <c r="E11" s="12" t="s">
        <v>1477</v>
      </c>
      <c r="F11" s="12" t="s">
        <v>2533</v>
      </c>
      <c r="G11" s="12" t="s">
        <v>2534</v>
      </c>
      <c r="H11" s="12" t="s">
        <v>76</v>
      </c>
      <c r="I11" s="12" t="s">
        <v>73</v>
      </c>
      <c r="J11" s="12" t="s">
        <v>53</v>
      </c>
      <c r="K11" s="12" t="s">
        <v>53</v>
      </c>
      <c r="L11" s="18" t="s">
        <v>805</v>
      </c>
      <c r="M11" s="12" t="s">
        <v>311</v>
      </c>
      <c r="N11" s="18" t="s">
        <v>635</v>
      </c>
      <c r="O11" s="18" t="s">
        <v>62</v>
      </c>
      <c r="P11" s="12" t="s">
        <v>1219</v>
      </c>
      <c r="Q11" s="145">
        <v>1078</v>
      </c>
      <c r="R11" s="147">
        <v>1</v>
      </c>
      <c r="S11" s="148">
        <v>6170</v>
      </c>
      <c r="T11" s="18"/>
      <c r="U11" s="145">
        <v>66.513000000000005</v>
      </c>
      <c r="V11" s="149">
        <v>7.9999999999999996E-6</v>
      </c>
      <c r="W11" s="149">
        <v>6.5731186676260597E-3</v>
      </c>
      <c r="X11" s="149">
        <v>9.7509831050172403E-4</v>
      </c>
    </row>
    <row r="12" spans="1:24" x14ac:dyDescent="0.2">
      <c r="A12" s="12">
        <v>13710</v>
      </c>
      <c r="B12" s="12">
        <v>13711</v>
      </c>
      <c r="C12" s="12" t="s">
        <v>1545</v>
      </c>
      <c r="D12" s="12" t="s">
        <v>1546</v>
      </c>
      <c r="E12" s="12" t="s">
        <v>1477</v>
      </c>
      <c r="F12" s="12" t="s">
        <v>2535</v>
      </c>
      <c r="G12" s="12" t="s">
        <v>2536</v>
      </c>
      <c r="H12" s="12" t="s">
        <v>76</v>
      </c>
      <c r="I12" s="12" t="s">
        <v>73</v>
      </c>
      <c r="J12" s="12" t="s">
        <v>53</v>
      </c>
      <c r="K12" s="12" t="s">
        <v>53</v>
      </c>
      <c r="L12" s="18" t="s">
        <v>805</v>
      </c>
      <c r="M12" s="12" t="s">
        <v>311</v>
      </c>
      <c r="N12" s="18" t="s">
        <v>638</v>
      </c>
      <c r="O12" s="18" t="s">
        <v>62</v>
      </c>
      <c r="P12" s="12" t="s">
        <v>1219</v>
      </c>
      <c r="Q12" s="145">
        <v>102</v>
      </c>
      <c r="R12" s="147">
        <v>1</v>
      </c>
      <c r="S12" s="148">
        <v>149800</v>
      </c>
      <c r="T12" s="151">
        <v>0.19400000000000001</v>
      </c>
      <c r="U12" s="145">
        <v>152.99</v>
      </c>
      <c r="V12" s="149">
        <v>1.9999999999999999E-6</v>
      </c>
      <c r="W12" s="149">
        <v>1.51192669301162E-2</v>
      </c>
      <c r="X12" s="149">
        <v>2.2428884042809101E-3</v>
      </c>
    </row>
    <row r="13" spans="1:24" x14ac:dyDescent="0.2">
      <c r="A13" s="12">
        <v>13710</v>
      </c>
      <c r="B13" s="12">
        <v>13711</v>
      </c>
      <c r="C13" s="12" t="s">
        <v>1555</v>
      </c>
      <c r="D13" s="12" t="s">
        <v>1556</v>
      </c>
      <c r="E13" s="12" t="s">
        <v>1477</v>
      </c>
      <c r="F13" s="12" t="s">
        <v>2537</v>
      </c>
      <c r="G13" s="12" t="s">
        <v>2538</v>
      </c>
      <c r="H13" s="12" t="s">
        <v>76</v>
      </c>
      <c r="I13" s="12" t="s">
        <v>73</v>
      </c>
      <c r="J13" s="12" t="s">
        <v>53</v>
      </c>
      <c r="K13" s="12" t="s">
        <v>53</v>
      </c>
      <c r="L13" s="18" t="s">
        <v>805</v>
      </c>
      <c r="M13" s="12" t="s">
        <v>1227</v>
      </c>
      <c r="N13" s="18" t="s">
        <v>258</v>
      </c>
      <c r="O13" s="18" t="s">
        <v>62</v>
      </c>
      <c r="P13" s="12" t="s">
        <v>1219</v>
      </c>
      <c r="Q13" s="145">
        <v>1731</v>
      </c>
      <c r="R13" s="147">
        <v>1</v>
      </c>
      <c r="S13" s="148">
        <v>840.4</v>
      </c>
      <c r="T13" s="18"/>
      <c r="U13" s="145">
        <v>14.547000000000001</v>
      </c>
      <c r="V13" s="149">
        <v>1.7E-5</v>
      </c>
      <c r="W13" s="149">
        <v>1.43764169418132E-3</v>
      </c>
      <c r="X13" s="149">
        <v>2.13268930318784E-4</v>
      </c>
    </row>
    <row r="14" spans="1:24" x14ac:dyDescent="0.2">
      <c r="A14" s="12">
        <v>13710</v>
      </c>
      <c r="B14" s="12">
        <v>13711</v>
      </c>
      <c r="C14" s="12" t="s">
        <v>1565</v>
      </c>
      <c r="D14" s="12" t="s">
        <v>1566</v>
      </c>
      <c r="E14" s="12" t="s">
        <v>1477</v>
      </c>
      <c r="F14" s="12" t="s">
        <v>2539</v>
      </c>
      <c r="G14" s="12" t="s">
        <v>2540</v>
      </c>
      <c r="H14" s="12" t="s">
        <v>76</v>
      </c>
      <c r="I14" s="12" t="s">
        <v>73</v>
      </c>
      <c r="J14" s="12" t="s">
        <v>53</v>
      </c>
      <c r="K14" s="12" t="s">
        <v>53</v>
      </c>
      <c r="L14" s="18" t="s">
        <v>805</v>
      </c>
      <c r="M14" s="12" t="s">
        <v>311</v>
      </c>
      <c r="N14" s="18" t="s">
        <v>631</v>
      </c>
      <c r="O14" s="18" t="s">
        <v>62</v>
      </c>
      <c r="P14" s="12" t="s">
        <v>1219</v>
      </c>
      <c r="Q14" s="145">
        <v>1272</v>
      </c>
      <c r="R14" s="147">
        <v>1</v>
      </c>
      <c r="S14" s="148">
        <v>6078</v>
      </c>
      <c r="T14" s="18"/>
      <c r="U14" s="145">
        <v>77.311999999999998</v>
      </c>
      <c r="V14" s="149">
        <v>9.7E-5</v>
      </c>
      <c r="W14" s="149">
        <v>7.6403869662363599E-3</v>
      </c>
      <c r="X14" s="149">
        <v>1.1334236911087401E-3</v>
      </c>
    </row>
    <row r="15" spans="1:24" x14ac:dyDescent="0.2">
      <c r="A15" s="12">
        <v>13710</v>
      </c>
      <c r="B15" s="12">
        <v>13711</v>
      </c>
      <c r="C15" s="12" t="s">
        <v>1579</v>
      </c>
      <c r="D15" s="12" t="s">
        <v>1580</v>
      </c>
      <c r="E15" s="12" t="s">
        <v>1477</v>
      </c>
      <c r="F15" s="12" t="s">
        <v>2541</v>
      </c>
      <c r="G15" s="12" t="s">
        <v>2542</v>
      </c>
      <c r="H15" s="12" t="s">
        <v>76</v>
      </c>
      <c r="I15" s="12" t="s">
        <v>73</v>
      </c>
      <c r="J15" s="12" t="s">
        <v>53</v>
      </c>
      <c r="K15" s="12" t="s">
        <v>53</v>
      </c>
      <c r="L15" s="18" t="s">
        <v>805</v>
      </c>
      <c r="M15" s="12" t="s">
        <v>311</v>
      </c>
      <c r="N15" s="18" t="s">
        <v>635</v>
      </c>
      <c r="O15" s="18" t="s">
        <v>62</v>
      </c>
      <c r="P15" s="12" t="s">
        <v>1219</v>
      </c>
      <c r="Q15" s="145">
        <v>2306</v>
      </c>
      <c r="R15" s="147">
        <v>1</v>
      </c>
      <c r="S15" s="148">
        <v>3489</v>
      </c>
      <c r="T15" s="18"/>
      <c r="U15" s="145">
        <v>80.456000000000003</v>
      </c>
      <c r="V15" s="149">
        <v>1.1E-5</v>
      </c>
      <c r="W15" s="149">
        <v>7.9511110734337403E-3</v>
      </c>
      <c r="X15" s="149">
        <v>1.17951848526674E-3</v>
      </c>
    </row>
    <row r="16" spans="1:24" x14ac:dyDescent="0.2">
      <c r="A16" s="12">
        <v>13710</v>
      </c>
      <c r="B16" s="12">
        <v>13711</v>
      </c>
      <c r="C16" s="12" t="s">
        <v>2543</v>
      </c>
      <c r="D16" s="12" t="s">
        <v>2544</v>
      </c>
      <c r="E16" s="12" t="s">
        <v>1477</v>
      </c>
      <c r="F16" s="12" t="s">
        <v>2545</v>
      </c>
      <c r="G16" s="12" t="s">
        <v>2546</v>
      </c>
      <c r="H16" s="12" t="s">
        <v>76</v>
      </c>
      <c r="I16" s="12" t="s">
        <v>73</v>
      </c>
      <c r="J16" s="12" t="s">
        <v>53</v>
      </c>
      <c r="K16" s="12" t="s">
        <v>53</v>
      </c>
      <c r="L16" s="18" t="s">
        <v>805</v>
      </c>
      <c r="M16" s="12" t="s">
        <v>311</v>
      </c>
      <c r="N16" s="18" t="s">
        <v>257</v>
      </c>
      <c r="O16" s="18" t="s">
        <v>62</v>
      </c>
      <c r="P16" s="12" t="s">
        <v>1219</v>
      </c>
      <c r="Q16" s="145">
        <v>4835</v>
      </c>
      <c r="R16" s="147">
        <v>1</v>
      </c>
      <c r="S16" s="148">
        <v>598</v>
      </c>
      <c r="T16" s="18"/>
      <c r="U16" s="145">
        <v>28.913</v>
      </c>
      <c r="V16" s="149">
        <v>2.4000000000000001E-5</v>
      </c>
      <c r="W16" s="149">
        <v>2.8573616423455501E-3</v>
      </c>
      <c r="X16" s="149">
        <v>4.2387923462666499E-4</v>
      </c>
    </row>
    <row r="17" spans="1:24" x14ac:dyDescent="0.2">
      <c r="A17" s="12">
        <v>13710</v>
      </c>
      <c r="B17" s="12">
        <v>13711</v>
      </c>
      <c r="C17" s="12" t="s">
        <v>2547</v>
      </c>
      <c r="D17" s="12" t="s">
        <v>2548</v>
      </c>
      <c r="E17" s="12" t="s">
        <v>1477</v>
      </c>
      <c r="F17" s="12" t="s">
        <v>2549</v>
      </c>
      <c r="G17" s="12" t="s">
        <v>2550</v>
      </c>
      <c r="H17" s="12" t="s">
        <v>76</v>
      </c>
      <c r="I17" s="12" t="s">
        <v>73</v>
      </c>
      <c r="J17" s="12" t="s">
        <v>53</v>
      </c>
      <c r="K17" s="12" t="s">
        <v>53</v>
      </c>
      <c r="L17" s="18" t="s">
        <v>805</v>
      </c>
      <c r="M17" s="12" t="s">
        <v>311</v>
      </c>
      <c r="N17" s="18" t="s">
        <v>692</v>
      </c>
      <c r="O17" s="18" t="s">
        <v>62</v>
      </c>
      <c r="P17" s="12" t="s">
        <v>1219</v>
      </c>
      <c r="Q17" s="145">
        <v>777</v>
      </c>
      <c r="R17" s="147">
        <v>1</v>
      </c>
      <c r="S17" s="148">
        <v>18600</v>
      </c>
      <c r="T17" s="18"/>
      <c r="U17" s="145">
        <v>144.52199999999999</v>
      </c>
      <c r="V17" s="149">
        <v>2.1999999999999999E-5</v>
      </c>
      <c r="W17" s="149">
        <v>1.4282410491886499E-2</v>
      </c>
      <c r="X17" s="149">
        <v>2.1187437873475099E-3</v>
      </c>
    </row>
    <row r="18" spans="1:24" x14ac:dyDescent="0.2">
      <c r="A18" s="12">
        <v>13710</v>
      </c>
      <c r="B18" s="12">
        <v>13711</v>
      </c>
      <c r="C18" s="12" t="s">
        <v>1609</v>
      </c>
      <c r="D18" s="12" t="s">
        <v>1610</v>
      </c>
      <c r="E18" s="12" t="s">
        <v>1477</v>
      </c>
      <c r="F18" s="12" t="s">
        <v>2551</v>
      </c>
      <c r="G18" s="12" t="s">
        <v>2552</v>
      </c>
      <c r="H18" s="12" t="s">
        <v>76</v>
      </c>
      <c r="I18" s="12" t="s">
        <v>73</v>
      </c>
      <c r="J18" s="12" t="s">
        <v>53</v>
      </c>
      <c r="K18" s="12" t="s">
        <v>53</v>
      </c>
      <c r="L18" s="18" t="s">
        <v>805</v>
      </c>
      <c r="M18" s="12" t="s">
        <v>311</v>
      </c>
      <c r="N18" s="18" t="s">
        <v>635</v>
      </c>
      <c r="O18" s="18" t="s">
        <v>62</v>
      </c>
      <c r="P18" s="12" t="s">
        <v>1219</v>
      </c>
      <c r="Q18" s="145">
        <v>6553</v>
      </c>
      <c r="R18" s="147">
        <v>1</v>
      </c>
      <c r="S18" s="148">
        <v>2281</v>
      </c>
      <c r="T18" s="18"/>
      <c r="U18" s="145">
        <v>149.47399999999999</v>
      </c>
      <c r="V18" s="149">
        <v>1.4E-5</v>
      </c>
      <c r="W18" s="149">
        <v>1.4771785791059601E-2</v>
      </c>
      <c r="X18" s="149">
        <v>2.1913408377819102E-3</v>
      </c>
    </row>
    <row r="19" spans="1:24" x14ac:dyDescent="0.2">
      <c r="A19" s="12">
        <v>13710</v>
      </c>
      <c r="B19" s="12">
        <v>13711</v>
      </c>
      <c r="C19" s="12" t="s">
        <v>1617</v>
      </c>
      <c r="D19" s="12" t="s">
        <v>1618</v>
      </c>
      <c r="E19" s="12" t="s">
        <v>1477</v>
      </c>
      <c r="F19" s="12" t="s">
        <v>2553</v>
      </c>
      <c r="G19" s="12" t="s">
        <v>2554</v>
      </c>
      <c r="H19" s="12" t="s">
        <v>76</v>
      </c>
      <c r="I19" s="12" t="s">
        <v>73</v>
      </c>
      <c r="J19" s="12" t="s">
        <v>53</v>
      </c>
      <c r="K19" s="12" t="s">
        <v>314</v>
      </c>
      <c r="L19" s="18" t="s">
        <v>805</v>
      </c>
      <c r="M19" s="12" t="s">
        <v>311</v>
      </c>
      <c r="N19" s="18" t="s">
        <v>631</v>
      </c>
      <c r="O19" s="18" t="s">
        <v>62</v>
      </c>
      <c r="P19" s="12" t="s">
        <v>1219</v>
      </c>
      <c r="Q19" s="145">
        <v>5289.2</v>
      </c>
      <c r="R19" s="147">
        <v>1</v>
      </c>
      <c r="S19" s="148">
        <v>7640</v>
      </c>
      <c r="T19" s="18"/>
      <c r="U19" s="145">
        <v>404.09500000000003</v>
      </c>
      <c r="V19" s="149">
        <v>4.3999999999999999E-5</v>
      </c>
      <c r="W19" s="149">
        <v>3.9934743179790198E-2</v>
      </c>
      <c r="X19" s="149">
        <v>5.9241742883363001E-3</v>
      </c>
    </row>
    <row r="20" spans="1:24" x14ac:dyDescent="0.2">
      <c r="A20" s="3">
        <v>13710</v>
      </c>
      <c r="B20" s="3">
        <v>13711</v>
      </c>
      <c r="C20" s="3" t="s">
        <v>2434</v>
      </c>
      <c r="D20" s="3" t="s">
        <v>2435</v>
      </c>
      <c r="E20" s="12" t="s">
        <v>430</v>
      </c>
      <c r="F20" s="3" t="s">
        <v>2555</v>
      </c>
      <c r="G20" s="3" t="s">
        <v>2556</v>
      </c>
      <c r="H20" s="12" t="s">
        <v>76</v>
      </c>
      <c r="I20" s="3" t="s">
        <v>73</v>
      </c>
      <c r="J20" s="3" t="s">
        <v>53</v>
      </c>
      <c r="K20" s="12" t="s">
        <v>315</v>
      </c>
      <c r="L20" s="18" t="s">
        <v>805</v>
      </c>
      <c r="M20" s="12" t="s">
        <v>311</v>
      </c>
      <c r="N20" s="18" t="s">
        <v>267</v>
      </c>
      <c r="O20" s="3" t="s">
        <v>62</v>
      </c>
      <c r="P20" s="3" t="s">
        <v>1219</v>
      </c>
      <c r="Q20" s="137">
        <v>1392</v>
      </c>
      <c r="R20" s="139">
        <v>1</v>
      </c>
      <c r="S20" s="140">
        <v>4272</v>
      </c>
      <c r="T20" s="131">
        <v>1.4079999999999999</v>
      </c>
      <c r="U20" s="137">
        <v>60.874000000000002</v>
      </c>
      <c r="V20" s="138">
        <v>7.9999999999999996E-6</v>
      </c>
      <c r="W20" s="138">
        <v>6.0159213575264898E-3</v>
      </c>
      <c r="X20" s="138">
        <v>8.9244011076920402E-4</v>
      </c>
    </row>
    <row r="21" spans="1:24" x14ac:dyDescent="0.2">
      <c r="A21" s="3">
        <v>13710</v>
      </c>
      <c r="B21" s="3">
        <v>13711</v>
      </c>
      <c r="C21" s="3" t="s">
        <v>1635</v>
      </c>
      <c r="D21" s="3" t="s">
        <v>1636</v>
      </c>
      <c r="E21" s="3" t="s">
        <v>1477</v>
      </c>
      <c r="F21" s="3" t="s">
        <v>2557</v>
      </c>
      <c r="G21" s="3" t="s">
        <v>2558</v>
      </c>
      <c r="H21" s="3" t="s">
        <v>76</v>
      </c>
      <c r="I21" s="3" t="s">
        <v>73</v>
      </c>
      <c r="J21" s="3" t="s">
        <v>53</v>
      </c>
      <c r="K21" s="3" t="s">
        <v>53</v>
      </c>
      <c r="L21" s="6" t="s">
        <v>805</v>
      </c>
      <c r="M21" s="3" t="s">
        <v>311</v>
      </c>
      <c r="N21" s="18" t="s">
        <v>636</v>
      </c>
      <c r="O21" s="3" t="s">
        <v>62</v>
      </c>
      <c r="P21" s="3" t="s">
        <v>1219</v>
      </c>
      <c r="Q21" s="137">
        <v>281</v>
      </c>
      <c r="R21" s="139">
        <v>1</v>
      </c>
      <c r="S21" s="140">
        <v>19300</v>
      </c>
      <c r="U21" s="137">
        <v>54.232999999999997</v>
      </c>
      <c r="V21" s="138">
        <v>6.9999999999999999E-6</v>
      </c>
      <c r="W21" s="138">
        <v>5.3595851718526103E-3</v>
      </c>
      <c r="X21" s="138">
        <v>7.95075018469282E-4</v>
      </c>
    </row>
    <row r="22" spans="1:24" x14ac:dyDescent="0.2">
      <c r="A22" s="3">
        <v>13710</v>
      </c>
      <c r="B22" s="3">
        <v>13711</v>
      </c>
      <c r="C22" s="3" t="s">
        <v>1655</v>
      </c>
      <c r="D22" s="3" t="s">
        <v>1656</v>
      </c>
      <c r="E22" s="3" t="s">
        <v>1477</v>
      </c>
      <c r="F22" s="3" t="s">
        <v>2559</v>
      </c>
      <c r="G22" s="3" t="s">
        <v>2560</v>
      </c>
      <c r="H22" s="3" t="s">
        <v>76</v>
      </c>
      <c r="I22" s="3" t="s">
        <v>73</v>
      </c>
      <c r="J22" s="3" t="s">
        <v>53</v>
      </c>
      <c r="K22" s="3" t="s">
        <v>53</v>
      </c>
      <c r="L22" s="6" t="s">
        <v>805</v>
      </c>
      <c r="M22" s="3" t="s">
        <v>311</v>
      </c>
      <c r="N22" s="3" t="s">
        <v>631</v>
      </c>
      <c r="O22" s="3" t="s">
        <v>62</v>
      </c>
      <c r="P22" s="3" t="s">
        <v>1219</v>
      </c>
      <c r="Q22" s="137">
        <v>225</v>
      </c>
      <c r="R22" s="139">
        <v>1</v>
      </c>
      <c r="S22" s="140">
        <v>3258</v>
      </c>
      <c r="U22" s="137">
        <v>7.33</v>
      </c>
      <c r="V22" s="138">
        <v>3.9999999999999998E-6</v>
      </c>
      <c r="W22" s="138">
        <v>7.2443787181726202E-4</v>
      </c>
      <c r="X22" s="138">
        <v>1.0746773040195199E-4</v>
      </c>
    </row>
    <row r="23" spans="1:24" x14ac:dyDescent="0.2">
      <c r="A23" s="3">
        <v>13710</v>
      </c>
      <c r="B23" s="3">
        <v>13711</v>
      </c>
      <c r="C23" s="3" t="s">
        <v>2561</v>
      </c>
      <c r="D23" s="3" t="s">
        <v>2562</v>
      </c>
      <c r="E23" s="3" t="s">
        <v>1477</v>
      </c>
      <c r="F23" s="3" t="s">
        <v>2563</v>
      </c>
      <c r="G23" s="3" t="s">
        <v>2564</v>
      </c>
      <c r="H23" s="3" t="s">
        <v>76</v>
      </c>
      <c r="I23" s="3" t="s">
        <v>73</v>
      </c>
      <c r="J23" s="3" t="s">
        <v>53</v>
      </c>
      <c r="K23" s="3" t="s">
        <v>53</v>
      </c>
      <c r="L23" s="6" t="s">
        <v>805</v>
      </c>
      <c r="M23" s="6" t="s">
        <v>311</v>
      </c>
      <c r="N23" s="3" t="s">
        <v>140</v>
      </c>
      <c r="O23" s="3" t="s">
        <v>62</v>
      </c>
      <c r="P23" s="3" t="s">
        <v>1219</v>
      </c>
      <c r="Q23" s="137">
        <v>382</v>
      </c>
      <c r="R23" s="139">
        <v>1</v>
      </c>
      <c r="S23" s="140">
        <v>5490</v>
      </c>
      <c r="U23" s="137">
        <v>20.972000000000001</v>
      </c>
      <c r="V23" s="138">
        <v>6.0000000000000002E-6</v>
      </c>
      <c r="W23" s="138">
        <v>2.0725415947312302E-3</v>
      </c>
      <c r="X23" s="138">
        <v>3.0745402748020802E-4</v>
      </c>
    </row>
    <row r="24" spans="1:24" x14ac:dyDescent="0.2">
      <c r="A24" s="3">
        <v>13710</v>
      </c>
      <c r="B24" s="3">
        <v>13711</v>
      </c>
      <c r="C24" s="3" t="s">
        <v>2565</v>
      </c>
      <c r="D24" s="3" t="s">
        <v>2566</v>
      </c>
      <c r="E24" s="3" t="s">
        <v>1477</v>
      </c>
      <c r="F24" s="3" t="s">
        <v>2567</v>
      </c>
      <c r="G24" s="3" t="s">
        <v>2568</v>
      </c>
      <c r="H24" s="3" t="s">
        <v>76</v>
      </c>
      <c r="I24" s="3" t="s">
        <v>73</v>
      </c>
      <c r="J24" s="3" t="s">
        <v>53</v>
      </c>
      <c r="K24" s="3" t="s">
        <v>317</v>
      </c>
      <c r="L24" s="6" t="s">
        <v>805</v>
      </c>
      <c r="M24" s="6" t="s">
        <v>311</v>
      </c>
      <c r="N24" s="3" t="s">
        <v>637</v>
      </c>
      <c r="O24" s="3" t="s">
        <v>62</v>
      </c>
      <c r="P24" s="3" t="s">
        <v>1219</v>
      </c>
      <c r="Q24" s="137">
        <v>976</v>
      </c>
      <c r="R24" s="139">
        <v>1</v>
      </c>
      <c r="S24" s="140">
        <v>5310</v>
      </c>
      <c r="U24" s="137">
        <v>51.826000000000001</v>
      </c>
      <c r="V24" s="138">
        <v>3.8999999999999999E-5</v>
      </c>
      <c r="W24" s="138">
        <v>5.1216734697022998E-3</v>
      </c>
      <c r="X24" s="138">
        <v>7.5978168047464902E-4</v>
      </c>
    </row>
    <row r="25" spans="1:24" x14ac:dyDescent="0.2">
      <c r="A25" s="3">
        <v>13710</v>
      </c>
      <c r="B25" s="3">
        <v>13711</v>
      </c>
      <c r="C25" s="3" t="s">
        <v>1659</v>
      </c>
      <c r="D25" s="3" t="s">
        <v>1660</v>
      </c>
      <c r="E25" s="3" t="s">
        <v>1477</v>
      </c>
      <c r="F25" s="3" t="s">
        <v>2569</v>
      </c>
      <c r="G25" s="3" t="s">
        <v>2570</v>
      </c>
      <c r="H25" s="3" t="s">
        <v>76</v>
      </c>
      <c r="I25" s="3" t="s">
        <v>73</v>
      </c>
      <c r="J25" s="3" t="s">
        <v>53</v>
      </c>
      <c r="K25" s="3" t="s">
        <v>53</v>
      </c>
      <c r="L25" s="6" t="s">
        <v>805</v>
      </c>
      <c r="M25" s="6" t="s">
        <v>311</v>
      </c>
      <c r="N25" s="3" t="s">
        <v>635</v>
      </c>
      <c r="O25" s="3" t="s">
        <v>62</v>
      </c>
      <c r="P25" s="3" t="s">
        <v>1219</v>
      </c>
      <c r="Q25" s="137">
        <v>23091</v>
      </c>
      <c r="R25" s="139">
        <v>1</v>
      </c>
      <c r="S25" s="140">
        <v>296.5</v>
      </c>
      <c r="U25" s="137">
        <v>68.465000000000003</v>
      </c>
      <c r="V25" s="138">
        <v>7.2000000000000002E-5</v>
      </c>
      <c r="W25" s="138">
        <v>6.7660466370592096E-3</v>
      </c>
      <c r="X25" s="138">
        <v>1.00371847492525E-3</v>
      </c>
    </row>
    <row r="26" spans="1:24" x14ac:dyDescent="0.2">
      <c r="A26" s="3">
        <v>13710</v>
      </c>
      <c r="B26" s="3">
        <v>13711</v>
      </c>
      <c r="C26" s="3" t="s">
        <v>1676</v>
      </c>
      <c r="D26" s="3" t="s">
        <v>1677</v>
      </c>
      <c r="E26" s="3" t="s">
        <v>1477</v>
      </c>
      <c r="F26" s="3" t="s">
        <v>2571</v>
      </c>
      <c r="G26" s="3" t="s">
        <v>2572</v>
      </c>
      <c r="H26" s="3" t="s">
        <v>76</v>
      </c>
      <c r="I26" s="3" t="s">
        <v>73</v>
      </c>
      <c r="J26" s="3" t="s">
        <v>53</v>
      </c>
      <c r="K26" s="3" t="s">
        <v>53</v>
      </c>
      <c r="L26" s="6" t="s">
        <v>805</v>
      </c>
      <c r="M26" s="6" t="s">
        <v>311</v>
      </c>
      <c r="N26" s="3" t="s">
        <v>156</v>
      </c>
      <c r="O26" s="3" t="s">
        <v>62</v>
      </c>
      <c r="P26" s="3" t="s">
        <v>1219</v>
      </c>
      <c r="Q26" s="137">
        <v>37416</v>
      </c>
      <c r="R26" s="139">
        <v>1</v>
      </c>
      <c r="S26" s="140">
        <v>90.8</v>
      </c>
      <c r="U26" s="137">
        <v>33.973999999999997</v>
      </c>
      <c r="V26" s="138">
        <v>1.2E-5</v>
      </c>
      <c r="W26" s="138">
        <v>3.3574592742675801E-3</v>
      </c>
      <c r="X26" s="138">
        <v>4.9806690422935103E-4</v>
      </c>
    </row>
    <row r="27" spans="1:24" x14ac:dyDescent="0.2">
      <c r="A27" s="3">
        <v>13710</v>
      </c>
      <c r="B27" s="3">
        <v>13711</v>
      </c>
      <c r="C27" s="3" t="s">
        <v>1681</v>
      </c>
      <c r="D27" s="3" t="s">
        <v>1682</v>
      </c>
      <c r="E27" s="3" t="s">
        <v>1477</v>
      </c>
      <c r="F27" s="3" t="s">
        <v>2573</v>
      </c>
      <c r="G27" s="3" t="s">
        <v>2574</v>
      </c>
      <c r="H27" s="3" t="s">
        <v>76</v>
      </c>
      <c r="I27" s="3" t="s">
        <v>73</v>
      </c>
      <c r="J27" s="3" t="s">
        <v>53</v>
      </c>
      <c r="K27" s="3" t="s">
        <v>53</v>
      </c>
      <c r="L27" s="6" t="s">
        <v>805</v>
      </c>
      <c r="M27" s="6" t="s">
        <v>311</v>
      </c>
      <c r="N27" s="3" t="s">
        <v>260</v>
      </c>
      <c r="O27" s="3" t="s">
        <v>62</v>
      </c>
      <c r="P27" s="3" t="s">
        <v>1219</v>
      </c>
      <c r="Q27" s="137">
        <v>50103</v>
      </c>
      <c r="R27" s="139">
        <v>1</v>
      </c>
      <c r="S27" s="140">
        <v>575</v>
      </c>
      <c r="U27" s="137">
        <v>288.09199999999998</v>
      </c>
      <c r="V27" s="138">
        <v>1.8E-5</v>
      </c>
      <c r="W27" s="138">
        <v>2.8470764133012302E-2</v>
      </c>
      <c r="X27" s="138">
        <v>4.2235345820737799E-3</v>
      </c>
    </row>
    <row r="28" spans="1:24" x14ac:dyDescent="0.2">
      <c r="A28" s="3">
        <v>13710</v>
      </c>
      <c r="B28" s="3">
        <v>13711</v>
      </c>
      <c r="C28" s="3" t="s">
        <v>1688</v>
      </c>
      <c r="D28" s="3" t="s">
        <v>1689</v>
      </c>
      <c r="E28" s="3" t="s">
        <v>1477</v>
      </c>
      <c r="F28" s="3" t="s">
        <v>2575</v>
      </c>
      <c r="G28" s="3" t="s">
        <v>2576</v>
      </c>
      <c r="H28" s="3" t="s">
        <v>76</v>
      </c>
      <c r="I28" s="3" t="s">
        <v>73</v>
      </c>
      <c r="J28" s="3" t="s">
        <v>53</v>
      </c>
      <c r="K28" s="3" t="s">
        <v>53</v>
      </c>
      <c r="L28" s="6" t="s">
        <v>805</v>
      </c>
      <c r="M28" s="6" t="s">
        <v>311</v>
      </c>
      <c r="N28" s="3" t="s">
        <v>635</v>
      </c>
      <c r="O28" s="3" t="s">
        <v>62</v>
      </c>
      <c r="P28" s="3" t="s">
        <v>1219</v>
      </c>
      <c r="Q28" s="137">
        <v>344</v>
      </c>
      <c r="R28" s="139">
        <v>1</v>
      </c>
      <c r="S28" s="140">
        <v>64490</v>
      </c>
      <c r="U28" s="137">
        <v>221.846</v>
      </c>
      <c r="V28" s="138">
        <v>1.4E-5</v>
      </c>
      <c r="W28" s="138">
        <v>2.19239280180102E-2</v>
      </c>
      <c r="X28" s="138">
        <v>3.2523351929144399E-3</v>
      </c>
    </row>
    <row r="29" spans="1:24" x14ac:dyDescent="0.2">
      <c r="A29" s="3">
        <v>13710</v>
      </c>
      <c r="B29" s="3">
        <v>13711</v>
      </c>
      <c r="C29" s="3" t="s">
        <v>2577</v>
      </c>
      <c r="D29" s="3" t="s">
        <v>2578</v>
      </c>
      <c r="E29" s="3" t="s">
        <v>1477</v>
      </c>
      <c r="F29" s="3" t="s">
        <v>2579</v>
      </c>
      <c r="G29" s="3" t="s">
        <v>2580</v>
      </c>
      <c r="H29" s="3" t="s">
        <v>76</v>
      </c>
      <c r="I29" s="3" t="s">
        <v>73</v>
      </c>
      <c r="J29" s="3" t="s">
        <v>53</v>
      </c>
      <c r="K29" s="3" t="s">
        <v>314</v>
      </c>
      <c r="L29" s="6" t="s">
        <v>805</v>
      </c>
      <c r="M29" s="6" t="s">
        <v>311</v>
      </c>
      <c r="N29" s="3" t="s">
        <v>630</v>
      </c>
      <c r="O29" s="3" t="s">
        <v>62</v>
      </c>
      <c r="P29" s="3" t="s">
        <v>1219</v>
      </c>
      <c r="Q29" s="137">
        <v>2019</v>
      </c>
      <c r="R29" s="139">
        <v>1</v>
      </c>
      <c r="S29" s="140">
        <v>2457</v>
      </c>
      <c r="U29" s="137">
        <v>49.606999999999999</v>
      </c>
      <c r="V29" s="138">
        <v>3.4999999999999997E-5</v>
      </c>
      <c r="W29" s="138">
        <v>4.9024031584203901E-3</v>
      </c>
      <c r="X29" s="138">
        <v>7.2725372519411697E-4</v>
      </c>
    </row>
    <row r="30" spans="1:24" x14ac:dyDescent="0.2">
      <c r="A30" s="3">
        <v>13710</v>
      </c>
      <c r="B30" s="3">
        <v>13711</v>
      </c>
      <c r="C30" s="3" t="s">
        <v>2581</v>
      </c>
      <c r="D30" s="3" t="s">
        <v>2582</v>
      </c>
      <c r="E30" s="3" t="s">
        <v>1477</v>
      </c>
      <c r="F30" s="3" t="s">
        <v>2583</v>
      </c>
      <c r="G30" s="3" t="s">
        <v>2584</v>
      </c>
      <c r="H30" s="3" t="s">
        <v>76</v>
      </c>
      <c r="I30" s="3" t="s">
        <v>73</v>
      </c>
      <c r="J30" s="3" t="s">
        <v>53</v>
      </c>
      <c r="K30" s="3" t="s">
        <v>53</v>
      </c>
      <c r="L30" s="6" t="s">
        <v>805</v>
      </c>
      <c r="M30" s="6" t="s">
        <v>311</v>
      </c>
      <c r="N30" s="3" t="s">
        <v>75</v>
      </c>
      <c r="O30" s="3" t="s">
        <v>62</v>
      </c>
      <c r="P30" s="3" t="s">
        <v>1219</v>
      </c>
      <c r="Q30" s="137">
        <v>50</v>
      </c>
      <c r="R30" s="139">
        <v>1</v>
      </c>
      <c r="S30" s="140">
        <v>60590</v>
      </c>
      <c r="U30" s="137">
        <v>30.295000000000002</v>
      </c>
      <c r="V30" s="138">
        <v>4.1E-5</v>
      </c>
      <c r="W30" s="138">
        <v>2.99390837278548E-3</v>
      </c>
      <c r="X30" s="138">
        <v>4.4413544676722501E-4</v>
      </c>
    </row>
    <row r="31" spans="1:24" x14ac:dyDescent="0.2">
      <c r="A31" s="3">
        <v>13710</v>
      </c>
      <c r="B31" s="3">
        <v>13711</v>
      </c>
      <c r="C31" s="3" t="s">
        <v>2585</v>
      </c>
      <c r="D31" s="3" t="s">
        <v>2586</v>
      </c>
      <c r="E31" s="3" t="s">
        <v>1477</v>
      </c>
      <c r="F31" s="3" t="s">
        <v>2587</v>
      </c>
      <c r="G31" s="3" t="s">
        <v>2588</v>
      </c>
      <c r="H31" s="3" t="s">
        <v>76</v>
      </c>
      <c r="I31" s="3" t="s">
        <v>73</v>
      </c>
      <c r="J31" s="3" t="s">
        <v>53</v>
      </c>
      <c r="K31" s="3" t="s">
        <v>53</v>
      </c>
      <c r="L31" s="6" t="s">
        <v>805</v>
      </c>
      <c r="M31" s="6" t="s">
        <v>311</v>
      </c>
      <c r="N31" s="3" t="s">
        <v>265</v>
      </c>
      <c r="O31" s="3" t="s">
        <v>62</v>
      </c>
      <c r="P31" s="3" t="s">
        <v>1219</v>
      </c>
      <c r="Q31" s="137">
        <v>252</v>
      </c>
      <c r="R31" s="139">
        <v>1</v>
      </c>
      <c r="S31" s="140">
        <v>867.5</v>
      </c>
      <c r="U31" s="137">
        <v>2.1859999999999999</v>
      </c>
      <c r="V31" s="138">
        <v>1.7E-5</v>
      </c>
      <c r="W31" s="138">
        <v>2.1604169314231201E-4</v>
      </c>
      <c r="X31" s="138">
        <v>3.2049001491263599E-5</v>
      </c>
    </row>
    <row r="32" spans="1:24" x14ac:dyDescent="0.2">
      <c r="A32" s="3">
        <v>13710</v>
      </c>
      <c r="B32" s="3">
        <v>13711</v>
      </c>
      <c r="C32" s="3" t="s">
        <v>2589</v>
      </c>
      <c r="D32" s="3" t="s">
        <v>2590</v>
      </c>
      <c r="E32" s="3" t="s">
        <v>1477</v>
      </c>
      <c r="F32" s="3" t="s">
        <v>2591</v>
      </c>
      <c r="G32" s="3" t="s">
        <v>2592</v>
      </c>
      <c r="H32" s="3" t="s">
        <v>76</v>
      </c>
      <c r="I32" s="3" t="s">
        <v>73</v>
      </c>
      <c r="J32" s="3" t="s">
        <v>53</v>
      </c>
      <c r="K32" s="3" t="s">
        <v>53</v>
      </c>
      <c r="L32" s="6" t="s">
        <v>805</v>
      </c>
      <c r="M32" s="6" t="s">
        <v>311</v>
      </c>
      <c r="N32" s="3" t="s">
        <v>255</v>
      </c>
      <c r="O32" s="3" t="s">
        <v>62</v>
      </c>
      <c r="P32" s="3" t="s">
        <v>1219</v>
      </c>
      <c r="Q32" s="137">
        <v>1147</v>
      </c>
      <c r="R32" s="139">
        <v>1</v>
      </c>
      <c r="S32" s="140">
        <v>24.9</v>
      </c>
      <c r="U32" s="137">
        <v>0.28599999999999998</v>
      </c>
      <c r="V32" s="138">
        <v>1.0000000000000001E-5</v>
      </c>
      <c r="W32" s="138">
        <v>2.8224763591109101E-5</v>
      </c>
      <c r="X32" s="138">
        <v>4.1870412940438898E-6</v>
      </c>
    </row>
    <row r="33" spans="1:24" x14ac:dyDescent="0.2">
      <c r="A33" s="3">
        <v>13710</v>
      </c>
      <c r="B33" s="3">
        <v>13711</v>
      </c>
      <c r="C33" s="3" t="s">
        <v>2593</v>
      </c>
      <c r="D33" s="3" t="s">
        <v>2594</v>
      </c>
      <c r="E33" s="3" t="s">
        <v>1477</v>
      </c>
      <c r="F33" s="3" t="s">
        <v>2595</v>
      </c>
      <c r="G33" s="3" t="s">
        <v>2596</v>
      </c>
      <c r="H33" s="3" t="s">
        <v>76</v>
      </c>
      <c r="I33" s="3" t="s">
        <v>73</v>
      </c>
      <c r="J33" s="3" t="s">
        <v>53</v>
      </c>
      <c r="K33" s="3" t="s">
        <v>53</v>
      </c>
      <c r="L33" s="6" t="s">
        <v>805</v>
      </c>
      <c r="M33" s="6" t="s">
        <v>311</v>
      </c>
      <c r="N33" s="3" t="s">
        <v>140</v>
      </c>
      <c r="O33" s="3" t="s">
        <v>62</v>
      </c>
      <c r="P33" s="3" t="s">
        <v>1219</v>
      </c>
      <c r="Q33" s="137">
        <v>90</v>
      </c>
      <c r="R33" s="139">
        <v>1</v>
      </c>
      <c r="S33" s="140">
        <v>23700</v>
      </c>
      <c r="U33" s="137">
        <v>21.33</v>
      </c>
      <c r="V33" s="138">
        <v>1.0000000000000001E-5</v>
      </c>
      <c r="W33" s="138">
        <v>2.10794076882371E-3</v>
      </c>
      <c r="X33" s="138">
        <v>3.1270536654711702E-4</v>
      </c>
    </row>
    <row r="34" spans="1:24" x14ac:dyDescent="0.2">
      <c r="A34" s="3">
        <v>13710</v>
      </c>
      <c r="B34" s="3">
        <v>13711</v>
      </c>
      <c r="C34" s="3" t="s">
        <v>1762</v>
      </c>
      <c r="D34" s="3" t="s">
        <v>1763</v>
      </c>
      <c r="E34" s="3" t="s">
        <v>1477</v>
      </c>
      <c r="F34" s="3" t="s">
        <v>2597</v>
      </c>
      <c r="G34" s="3" t="s">
        <v>2598</v>
      </c>
      <c r="H34" s="3" t="s">
        <v>76</v>
      </c>
      <c r="I34" s="3" t="s">
        <v>73</v>
      </c>
      <c r="J34" s="3" t="s">
        <v>53</v>
      </c>
      <c r="K34" s="3" t="s">
        <v>53</v>
      </c>
      <c r="L34" s="6" t="s">
        <v>805</v>
      </c>
      <c r="M34" s="6" t="s">
        <v>311</v>
      </c>
      <c r="N34" s="3" t="s">
        <v>631</v>
      </c>
      <c r="O34" s="3" t="s">
        <v>62</v>
      </c>
      <c r="P34" s="3" t="s">
        <v>1219</v>
      </c>
      <c r="Q34" s="137">
        <v>1402</v>
      </c>
      <c r="R34" s="139">
        <v>1</v>
      </c>
      <c r="S34" s="140">
        <v>1532</v>
      </c>
      <c r="U34" s="137">
        <v>21.478999999999999</v>
      </c>
      <c r="V34" s="138">
        <v>7.9999999999999996E-6</v>
      </c>
      <c r="W34" s="138">
        <v>2.12263014134494E-3</v>
      </c>
      <c r="X34" s="138">
        <v>3.1488448167527299E-4</v>
      </c>
    </row>
    <row r="35" spans="1:24" x14ac:dyDescent="0.2">
      <c r="A35" s="3">
        <v>13710</v>
      </c>
      <c r="B35" s="3">
        <v>13711</v>
      </c>
      <c r="C35" s="3" t="s">
        <v>2295</v>
      </c>
      <c r="D35" s="3" t="s">
        <v>2296</v>
      </c>
      <c r="E35" s="3" t="s">
        <v>1477</v>
      </c>
      <c r="F35" s="3" t="s">
        <v>2599</v>
      </c>
      <c r="G35" s="3" t="s">
        <v>2600</v>
      </c>
      <c r="H35" s="3" t="s">
        <v>76</v>
      </c>
      <c r="I35" s="3" t="s">
        <v>73</v>
      </c>
      <c r="J35" s="3" t="s">
        <v>53</v>
      </c>
      <c r="K35" s="3" t="s">
        <v>53</v>
      </c>
      <c r="L35" s="6" t="s">
        <v>805</v>
      </c>
      <c r="M35" s="6" t="s">
        <v>311</v>
      </c>
      <c r="N35" s="3" t="s">
        <v>256</v>
      </c>
      <c r="O35" s="3" t="s">
        <v>62</v>
      </c>
      <c r="P35" s="3" t="s">
        <v>1219</v>
      </c>
      <c r="Q35" s="137">
        <v>11707</v>
      </c>
      <c r="R35" s="139">
        <v>1</v>
      </c>
      <c r="S35" s="140">
        <v>3356</v>
      </c>
      <c r="U35" s="137">
        <v>392.887</v>
      </c>
      <c r="V35" s="138">
        <v>9.0000000000000002E-6</v>
      </c>
      <c r="W35" s="138">
        <v>3.88271146838058E-2</v>
      </c>
      <c r="X35" s="138">
        <v>5.7598616188545603E-3</v>
      </c>
    </row>
    <row r="36" spans="1:24" x14ac:dyDescent="0.2">
      <c r="A36" s="3">
        <v>13710</v>
      </c>
      <c r="B36" s="3">
        <v>13711</v>
      </c>
      <c r="C36" s="3" t="s">
        <v>2601</v>
      </c>
      <c r="D36" s="3" t="s">
        <v>2602</v>
      </c>
      <c r="E36" s="3" t="s">
        <v>1477</v>
      </c>
      <c r="F36" s="3" t="s">
        <v>2603</v>
      </c>
      <c r="G36" s="3" t="s">
        <v>2604</v>
      </c>
      <c r="H36" s="3" t="s">
        <v>76</v>
      </c>
      <c r="I36" s="3" t="s">
        <v>73</v>
      </c>
      <c r="J36" s="3" t="s">
        <v>53</v>
      </c>
      <c r="K36" s="3" t="s">
        <v>53</v>
      </c>
      <c r="L36" s="6" t="s">
        <v>805</v>
      </c>
      <c r="M36" s="6" t="s">
        <v>311</v>
      </c>
      <c r="N36" s="3" t="s">
        <v>75</v>
      </c>
      <c r="O36" s="3" t="s">
        <v>62</v>
      </c>
      <c r="P36" s="3" t="s">
        <v>1219</v>
      </c>
      <c r="Q36" s="137">
        <v>1510</v>
      </c>
      <c r="R36" s="139">
        <v>1</v>
      </c>
      <c r="S36" s="140">
        <v>4845</v>
      </c>
      <c r="U36" s="137">
        <v>73.159000000000006</v>
      </c>
      <c r="V36" s="138">
        <v>5.5000000000000002E-5</v>
      </c>
      <c r="W36" s="138">
        <v>7.2299996566693898E-3</v>
      </c>
      <c r="X36" s="138">
        <v>1.07254422240524E-3</v>
      </c>
    </row>
    <row r="37" spans="1:24" x14ac:dyDescent="0.2">
      <c r="A37" s="3">
        <v>13710</v>
      </c>
      <c r="B37" s="3">
        <v>13711</v>
      </c>
      <c r="C37" s="3" t="s">
        <v>2605</v>
      </c>
      <c r="D37" s="3" t="s">
        <v>2606</v>
      </c>
      <c r="E37" s="3" t="s">
        <v>1477</v>
      </c>
      <c r="F37" s="3" t="s">
        <v>2607</v>
      </c>
      <c r="G37" s="3" t="s">
        <v>2608</v>
      </c>
      <c r="H37" s="3" t="s">
        <v>76</v>
      </c>
      <c r="I37" s="3" t="s">
        <v>73</v>
      </c>
      <c r="J37" s="3" t="s">
        <v>53</v>
      </c>
      <c r="K37" s="3" t="s">
        <v>53</v>
      </c>
      <c r="L37" s="6" t="s">
        <v>805</v>
      </c>
      <c r="M37" s="6" t="s">
        <v>311</v>
      </c>
      <c r="N37" s="3" t="s">
        <v>75</v>
      </c>
      <c r="O37" s="3" t="s">
        <v>62</v>
      </c>
      <c r="P37" s="3" t="s">
        <v>1219</v>
      </c>
      <c r="Q37" s="137">
        <v>624</v>
      </c>
      <c r="R37" s="139">
        <v>1</v>
      </c>
      <c r="S37" s="140">
        <v>2836</v>
      </c>
      <c r="T37" s="131">
        <v>1.248</v>
      </c>
      <c r="U37" s="137">
        <v>18.945</v>
      </c>
      <c r="V37" s="138">
        <v>6.0000000000000002E-6</v>
      </c>
      <c r="W37" s="138">
        <v>1.87220717330935E-3</v>
      </c>
      <c r="X37" s="138">
        <v>2.7773514277089399E-4</v>
      </c>
    </row>
    <row r="38" spans="1:24" x14ac:dyDescent="0.2">
      <c r="A38" s="3">
        <v>13710</v>
      </c>
      <c r="B38" s="3">
        <v>13711</v>
      </c>
      <c r="C38" s="3" t="s">
        <v>2609</v>
      </c>
      <c r="D38" s="3" t="s">
        <v>2610</v>
      </c>
      <c r="E38" s="3" t="s">
        <v>1477</v>
      </c>
      <c r="F38" s="3" t="s">
        <v>2611</v>
      </c>
      <c r="G38" s="3" t="s">
        <v>2612</v>
      </c>
      <c r="H38" s="3" t="s">
        <v>76</v>
      </c>
      <c r="I38" s="3" t="s">
        <v>73</v>
      </c>
      <c r="J38" s="3" t="s">
        <v>53</v>
      </c>
      <c r="K38" s="3" t="s">
        <v>53</v>
      </c>
      <c r="L38" s="6" t="s">
        <v>805</v>
      </c>
      <c r="M38" s="6" t="s">
        <v>311</v>
      </c>
      <c r="N38" s="3" t="s">
        <v>140</v>
      </c>
      <c r="O38" s="3" t="s">
        <v>62</v>
      </c>
      <c r="P38" s="3" t="s">
        <v>1219</v>
      </c>
      <c r="Q38" s="137">
        <v>285</v>
      </c>
      <c r="R38" s="139">
        <v>1</v>
      </c>
      <c r="S38" s="140">
        <v>36740</v>
      </c>
      <c r="U38" s="137">
        <v>104.709</v>
      </c>
      <c r="V38" s="138">
        <v>1.4E-5</v>
      </c>
      <c r="W38" s="138">
        <v>1.0347884198910501E-2</v>
      </c>
      <c r="X38" s="138">
        <v>1.53507108419044E-3</v>
      </c>
    </row>
    <row r="39" spans="1:24" x14ac:dyDescent="0.2">
      <c r="A39" s="3">
        <v>13710</v>
      </c>
      <c r="B39" s="3">
        <v>13711</v>
      </c>
      <c r="C39" s="3" t="s">
        <v>2613</v>
      </c>
      <c r="D39" s="3" t="s">
        <v>2614</v>
      </c>
      <c r="E39" s="3" t="s">
        <v>1477</v>
      </c>
      <c r="F39" s="3" t="s">
        <v>2615</v>
      </c>
      <c r="G39" s="3" t="s">
        <v>2616</v>
      </c>
      <c r="H39" s="3" t="s">
        <v>76</v>
      </c>
      <c r="I39" s="3" t="s">
        <v>73</v>
      </c>
      <c r="J39" s="3" t="s">
        <v>53</v>
      </c>
      <c r="K39" s="3" t="s">
        <v>53</v>
      </c>
      <c r="L39" s="6" t="s">
        <v>805</v>
      </c>
      <c r="M39" s="6" t="s">
        <v>311</v>
      </c>
      <c r="N39" s="3" t="s">
        <v>258</v>
      </c>
      <c r="O39" s="3" t="s">
        <v>62</v>
      </c>
      <c r="P39" s="3" t="s">
        <v>1219</v>
      </c>
      <c r="Q39" s="137">
        <v>49</v>
      </c>
      <c r="R39" s="139">
        <v>1</v>
      </c>
      <c r="S39" s="140">
        <v>48100</v>
      </c>
      <c r="U39" s="137">
        <v>23.568999999999999</v>
      </c>
      <c r="V39" s="138">
        <v>7.9999999999999996E-6</v>
      </c>
      <c r="W39" s="138">
        <v>2.3292103131929698E-3</v>
      </c>
      <c r="X39" s="138">
        <v>3.4552990080398503E-4</v>
      </c>
    </row>
    <row r="40" spans="1:24" x14ac:dyDescent="0.2">
      <c r="A40" s="3">
        <v>13710</v>
      </c>
      <c r="B40" s="3">
        <v>13711</v>
      </c>
      <c r="C40" s="3" t="s">
        <v>2617</v>
      </c>
      <c r="D40" s="3" t="s">
        <v>2618</v>
      </c>
      <c r="E40" s="3" t="s">
        <v>1477</v>
      </c>
      <c r="F40" s="3" t="s">
        <v>2619</v>
      </c>
      <c r="G40" s="3" t="s">
        <v>2620</v>
      </c>
      <c r="H40" s="3" t="s">
        <v>76</v>
      </c>
      <c r="I40" s="3" t="s">
        <v>73</v>
      </c>
      <c r="J40" s="3" t="s">
        <v>53</v>
      </c>
      <c r="K40" s="3" t="s">
        <v>53</v>
      </c>
      <c r="L40" s="6" t="s">
        <v>805</v>
      </c>
      <c r="M40" s="6" t="s">
        <v>311</v>
      </c>
      <c r="N40" s="3" t="s">
        <v>269</v>
      </c>
      <c r="O40" s="3" t="s">
        <v>62</v>
      </c>
      <c r="P40" s="3" t="s">
        <v>1219</v>
      </c>
      <c r="Q40" s="137">
        <v>923</v>
      </c>
      <c r="R40" s="139">
        <v>1</v>
      </c>
      <c r="S40" s="140">
        <v>9745</v>
      </c>
      <c r="U40" s="137">
        <v>89.945999999999998</v>
      </c>
      <c r="V40" s="138">
        <v>3.9999999999999998E-6</v>
      </c>
      <c r="W40" s="138">
        <v>8.8889628772567397E-3</v>
      </c>
      <c r="X40" s="138">
        <v>1.3186453983274899E-3</v>
      </c>
    </row>
    <row r="41" spans="1:24" x14ac:dyDescent="0.2">
      <c r="A41" s="3">
        <v>13710</v>
      </c>
      <c r="B41" s="3">
        <v>13711</v>
      </c>
      <c r="C41" s="3" t="s">
        <v>2621</v>
      </c>
      <c r="D41" s="3" t="s">
        <v>2622</v>
      </c>
      <c r="E41" s="3" t="s">
        <v>1477</v>
      </c>
      <c r="F41" s="3" t="s">
        <v>2623</v>
      </c>
      <c r="G41" s="3" t="s">
        <v>2624</v>
      </c>
      <c r="H41" s="3" t="s">
        <v>76</v>
      </c>
      <c r="I41" s="3" t="s">
        <v>73</v>
      </c>
      <c r="J41" s="3" t="s">
        <v>53</v>
      </c>
      <c r="K41" s="3" t="s">
        <v>53</v>
      </c>
      <c r="L41" s="6" t="s">
        <v>805</v>
      </c>
      <c r="M41" s="6" t="s">
        <v>311</v>
      </c>
      <c r="N41" s="3" t="s">
        <v>269</v>
      </c>
      <c r="O41" s="3" t="s">
        <v>62</v>
      </c>
      <c r="P41" s="3" t="s">
        <v>1219</v>
      </c>
      <c r="Q41" s="137">
        <v>1930</v>
      </c>
      <c r="R41" s="139">
        <v>1</v>
      </c>
      <c r="S41" s="140">
        <v>9432</v>
      </c>
      <c r="U41" s="137">
        <v>182.03800000000001</v>
      </c>
      <c r="V41" s="138">
        <v>9.0000000000000002E-6</v>
      </c>
      <c r="W41" s="138">
        <v>1.7989895850859E-2</v>
      </c>
      <c r="X41" s="138">
        <v>2.6687357915310601E-3</v>
      </c>
    </row>
    <row r="42" spans="1:24" x14ac:dyDescent="0.2">
      <c r="A42" s="3">
        <v>13710</v>
      </c>
      <c r="B42" s="3">
        <v>13711</v>
      </c>
      <c r="C42" s="3" t="s">
        <v>2625</v>
      </c>
      <c r="D42" s="3" t="s">
        <v>2626</v>
      </c>
      <c r="E42" s="3" t="s">
        <v>1477</v>
      </c>
      <c r="F42" s="3" t="s">
        <v>2627</v>
      </c>
      <c r="G42" s="3" t="s">
        <v>2628</v>
      </c>
      <c r="H42" s="3" t="s">
        <v>76</v>
      </c>
      <c r="I42" s="3" t="s">
        <v>73</v>
      </c>
      <c r="J42" s="3" t="s">
        <v>53</v>
      </c>
      <c r="K42" s="3" t="s">
        <v>53</v>
      </c>
      <c r="L42" s="6" t="s">
        <v>805</v>
      </c>
      <c r="M42" s="6" t="s">
        <v>311</v>
      </c>
      <c r="N42" s="3" t="s">
        <v>252</v>
      </c>
      <c r="O42" s="3" t="s">
        <v>62</v>
      </c>
      <c r="P42" s="3" t="s">
        <v>1219</v>
      </c>
      <c r="Q42" s="137">
        <v>1186</v>
      </c>
      <c r="R42" s="139">
        <v>1</v>
      </c>
      <c r="S42" s="140">
        <v>8680</v>
      </c>
      <c r="U42" s="137">
        <v>102.94499999999999</v>
      </c>
      <c r="V42" s="138">
        <v>1.5999999999999999E-5</v>
      </c>
      <c r="W42" s="138">
        <v>1.0173536842869301E-2</v>
      </c>
      <c r="X42" s="138">
        <v>1.5092072863628499E-3</v>
      </c>
    </row>
    <row r="43" spans="1:24" x14ac:dyDescent="0.2">
      <c r="A43" s="3">
        <v>13710</v>
      </c>
      <c r="B43" s="3">
        <v>13711</v>
      </c>
      <c r="C43" s="3" t="s">
        <v>2629</v>
      </c>
      <c r="D43" s="3" t="s">
        <v>2630</v>
      </c>
      <c r="E43" s="3" t="s">
        <v>1477</v>
      </c>
      <c r="F43" s="3" t="s">
        <v>2631</v>
      </c>
      <c r="G43" s="3" t="s">
        <v>2632</v>
      </c>
      <c r="H43" s="3" t="s">
        <v>76</v>
      </c>
      <c r="I43" s="3" t="s">
        <v>73</v>
      </c>
      <c r="J43" s="3" t="s">
        <v>53</v>
      </c>
      <c r="K43" s="3" t="s">
        <v>53</v>
      </c>
      <c r="L43" s="6" t="s">
        <v>805</v>
      </c>
      <c r="M43" s="6" t="s">
        <v>311</v>
      </c>
      <c r="N43" s="3" t="s">
        <v>635</v>
      </c>
      <c r="O43" s="3" t="s">
        <v>62</v>
      </c>
      <c r="P43" s="3" t="s">
        <v>1219</v>
      </c>
      <c r="Q43" s="137">
        <v>235</v>
      </c>
      <c r="R43" s="139">
        <v>1</v>
      </c>
      <c r="S43" s="140">
        <v>21400</v>
      </c>
      <c r="U43" s="137">
        <v>50.29</v>
      </c>
      <c r="V43" s="138">
        <v>1.2999999999999999E-5</v>
      </c>
      <c r="W43" s="138">
        <v>4.9699175463733796E-3</v>
      </c>
      <c r="X43" s="138">
        <v>7.3726923974001498E-4</v>
      </c>
    </row>
    <row r="44" spans="1:24" x14ac:dyDescent="0.2">
      <c r="A44" s="3">
        <v>13710</v>
      </c>
      <c r="B44" s="3">
        <v>13711</v>
      </c>
      <c r="C44" s="3" t="s">
        <v>1802</v>
      </c>
      <c r="D44" s="3" t="s">
        <v>1803</v>
      </c>
      <c r="E44" s="3" t="s">
        <v>1477</v>
      </c>
      <c r="F44" s="3" t="s">
        <v>2633</v>
      </c>
      <c r="G44" s="3" t="s">
        <v>2634</v>
      </c>
      <c r="H44" s="3" t="s">
        <v>76</v>
      </c>
      <c r="I44" s="3" t="s">
        <v>73</v>
      </c>
      <c r="J44" s="3" t="s">
        <v>53</v>
      </c>
      <c r="K44" s="3" t="s">
        <v>53</v>
      </c>
      <c r="L44" s="6" t="s">
        <v>805</v>
      </c>
      <c r="M44" s="6" t="s">
        <v>311</v>
      </c>
      <c r="N44" s="3" t="s">
        <v>692</v>
      </c>
      <c r="O44" s="3" t="s">
        <v>62</v>
      </c>
      <c r="P44" s="3" t="s">
        <v>1219</v>
      </c>
      <c r="Q44" s="137">
        <v>293</v>
      </c>
      <c r="R44" s="139">
        <v>1</v>
      </c>
      <c r="S44" s="140">
        <v>112370</v>
      </c>
      <c r="U44" s="137">
        <v>329.24400000000003</v>
      </c>
      <c r="V44" s="138">
        <v>3.8000000000000002E-5</v>
      </c>
      <c r="W44" s="138">
        <v>3.2537602498109199E-2</v>
      </c>
      <c r="X44" s="138">
        <v>4.8268353011709196E-3</v>
      </c>
    </row>
    <row r="45" spans="1:24" x14ac:dyDescent="0.2">
      <c r="A45" s="3">
        <v>13710</v>
      </c>
      <c r="B45" s="3">
        <v>13711</v>
      </c>
      <c r="C45" s="3" t="s">
        <v>2635</v>
      </c>
      <c r="D45" s="3" t="s">
        <v>2636</v>
      </c>
      <c r="E45" s="3" t="s">
        <v>1477</v>
      </c>
      <c r="F45" s="3" t="s">
        <v>2637</v>
      </c>
      <c r="G45" s="3" t="s">
        <v>2638</v>
      </c>
      <c r="H45" s="3" t="s">
        <v>76</v>
      </c>
      <c r="I45" s="3" t="s">
        <v>73</v>
      </c>
      <c r="J45" s="3" t="s">
        <v>53</v>
      </c>
      <c r="K45" s="3" t="s">
        <v>317</v>
      </c>
      <c r="L45" s="6" t="s">
        <v>805</v>
      </c>
      <c r="M45" s="6" t="s">
        <v>311</v>
      </c>
      <c r="N45" s="3" t="s">
        <v>254</v>
      </c>
      <c r="O45" s="3" t="s">
        <v>62</v>
      </c>
      <c r="P45" s="3" t="s">
        <v>1219</v>
      </c>
      <c r="Q45" s="137">
        <v>452</v>
      </c>
      <c r="R45" s="139">
        <v>1</v>
      </c>
      <c r="S45" s="140">
        <v>14620</v>
      </c>
      <c r="U45" s="137">
        <v>66.081999999999994</v>
      </c>
      <c r="V45" s="138">
        <v>3.9999999999999998E-6</v>
      </c>
      <c r="W45" s="138">
        <v>6.5306040816556898E-3</v>
      </c>
      <c r="X45" s="138">
        <v>9.6879142589372696E-4</v>
      </c>
    </row>
    <row r="46" spans="1:24" x14ac:dyDescent="0.2">
      <c r="A46" s="3">
        <v>13710</v>
      </c>
      <c r="B46" s="3">
        <v>13711</v>
      </c>
      <c r="C46" s="3" t="s">
        <v>2325</v>
      </c>
      <c r="D46" s="3" t="s">
        <v>2326</v>
      </c>
      <c r="E46" s="3" t="s">
        <v>1477</v>
      </c>
      <c r="F46" s="3" t="s">
        <v>2639</v>
      </c>
      <c r="G46" s="3" t="s">
        <v>2640</v>
      </c>
      <c r="H46" s="3" t="s">
        <v>76</v>
      </c>
      <c r="I46" s="3" t="s">
        <v>73</v>
      </c>
      <c r="J46" s="3" t="s">
        <v>53</v>
      </c>
      <c r="K46" s="3" t="s">
        <v>314</v>
      </c>
      <c r="L46" s="6" t="s">
        <v>805</v>
      </c>
      <c r="M46" s="6" t="s">
        <v>311</v>
      </c>
      <c r="N46" s="3" t="s">
        <v>85</v>
      </c>
      <c r="O46" s="3" t="s">
        <v>62</v>
      </c>
      <c r="P46" s="3" t="s">
        <v>1219</v>
      </c>
      <c r="Q46" s="137">
        <v>3574</v>
      </c>
      <c r="R46" s="139">
        <v>1</v>
      </c>
      <c r="S46" s="140">
        <v>5699</v>
      </c>
      <c r="U46" s="137">
        <v>203.68199999999999</v>
      </c>
      <c r="V46" s="138">
        <v>3.0000000000000001E-6</v>
      </c>
      <c r="W46" s="138">
        <v>2.0128932946092401E-2</v>
      </c>
      <c r="X46" s="138">
        <v>2.9860541852998199E-3</v>
      </c>
    </row>
    <row r="47" spans="1:24" x14ac:dyDescent="0.2">
      <c r="A47" s="3">
        <v>13710</v>
      </c>
      <c r="B47" s="3">
        <v>13711</v>
      </c>
      <c r="C47" s="3" t="s">
        <v>2641</v>
      </c>
      <c r="D47" s="3" t="s">
        <v>2642</v>
      </c>
      <c r="E47" s="3" t="s">
        <v>1477</v>
      </c>
      <c r="F47" s="3" t="s">
        <v>2643</v>
      </c>
      <c r="G47" s="3" t="s">
        <v>2644</v>
      </c>
      <c r="H47" s="3" t="s">
        <v>76</v>
      </c>
      <c r="I47" s="3" t="s">
        <v>73</v>
      </c>
      <c r="J47" s="3" t="s">
        <v>53</v>
      </c>
      <c r="L47" s="6" t="s">
        <v>805</v>
      </c>
      <c r="M47" s="6" t="s">
        <v>102</v>
      </c>
      <c r="N47" s="3" t="s">
        <v>631</v>
      </c>
      <c r="O47" s="3" t="s">
        <v>62</v>
      </c>
      <c r="P47" s="3" t="s">
        <v>1219</v>
      </c>
      <c r="Q47" s="137">
        <v>2500</v>
      </c>
      <c r="R47" s="139">
        <v>1</v>
      </c>
      <c r="S47" s="140">
        <v>902.39300000000003</v>
      </c>
      <c r="U47" s="137">
        <v>22.56</v>
      </c>
      <c r="V47" s="138">
        <v>0</v>
      </c>
      <c r="W47" s="138">
        <v>2.2294775065302501E-3</v>
      </c>
      <c r="X47" s="138">
        <v>3.3073490071409099E-4</v>
      </c>
    </row>
    <row r="48" spans="1:24" x14ac:dyDescent="0.2">
      <c r="A48" s="3">
        <v>13710</v>
      </c>
      <c r="B48" s="3">
        <v>13711</v>
      </c>
      <c r="C48" s="3" t="s">
        <v>2645</v>
      </c>
      <c r="D48" s="3" t="s">
        <v>2646</v>
      </c>
      <c r="E48" s="3" t="s">
        <v>1477</v>
      </c>
      <c r="F48" s="3" t="s">
        <v>2647</v>
      </c>
      <c r="G48" s="3" t="s">
        <v>2648</v>
      </c>
      <c r="H48" s="3" t="s">
        <v>76</v>
      </c>
      <c r="I48" s="3" t="s">
        <v>73</v>
      </c>
      <c r="J48" s="3" t="s">
        <v>53</v>
      </c>
      <c r="K48" s="3" t="s">
        <v>53</v>
      </c>
      <c r="L48" s="6" t="s">
        <v>805</v>
      </c>
      <c r="M48" s="6" t="s">
        <v>311</v>
      </c>
      <c r="N48" s="3" t="s">
        <v>257</v>
      </c>
      <c r="O48" s="3" t="s">
        <v>62</v>
      </c>
      <c r="P48" s="3" t="s">
        <v>1219</v>
      </c>
      <c r="Q48" s="137">
        <v>3671</v>
      </c>
      <c r="R48" s="139">
        <v>1</v>
      </c>
      <c r="S48" s="140">
        <v>1735</v>
      </c>
      <c r="U48" s="137">
        <v>63.692</v>
      </c>
      <c r="V48" s="138">
        <v>1.8E-5</v>
      </c>
      <c r="W48" s="138">
        <v>6.2943575835351304E-3</v>
      </c>
      <c r="X48" s="138">
        <v>9.3374511487641799E-4</v>
      </c>
    </row>
    <row r="49" spans="1:24" x14ac:dyDescent="0.2">
      <c r="A49" s="3">
        <v>13710</v>
      </c>
      <c r="B49" s="3">
        <v>13711</v>
      </c>
      <c r="C49" s="3" t="s">
        <v>1833</v>
      </c>
      <c r="D49" s="3" t="s">
        <v>1834</v>
      </c>
      <c r="E49" s="3" t="s">
        <v>432</v>
      </c>
      <c r="F49" s="3" t="s">
        <v>2649</v>
      </c>
      <c r="G49" s="3" t="s">
        <v>2650</v>
      </c>
      <c r="H49" s="3" t="s">
        <v>76</v>
      </c>
      <c r="I49" s="3" t="s">
        <v>73</v>
      </c>
      <c r="J49" s="3" t="s">
        <v>53</v>
      </c>
      <c r="K49" s="3" t="s">
        <v>53</v>
      </c>
      <c r="L49" s="6" t="s">
        <v>805</v>
      </c>
      <c r="M49" s="6" t="s">
        <v>311</v>
      </c>
      <c r="N49" s="3" t="s">
        <v>267</v>
      </c>
      <c r="O49" s="3" t="s">
        <v>62</v>
      </c>
      <c r="P49" s="3" t="s">
        <v>1219</v>
      </c>
      <c r="Q49" s="137">
        <v>66970</v>
      </c>
      <c r="R49" s="139">
        <v>1</v>
      </c>
      <c r="S49" s="140">
        <v>229.9</v>
      </c>
      <c r="U49" s="137">
        <v>153.964</v>
      </c>
      <c r="V49" s="138">
        <v>2.5999999999999998E-5</v>
      </c>
      <c r="W49" s="138">
        <v>1.52155206642943E-2</v>
      </c>
      <c r="X49" s="138">
        <v>2.2571672965879699E-3</v>
      </c>
    </row>
    <row r="50" spans="1:24" x14ac:dyDescent="0.2">
      <c r="A50" s="3">
        <v>13710</v>
      </c>
      <c r="B50" s="3">
        <v>13711</v>
      </c>
      <c r="C50" s="3" t="s">
        <v>2651</v>
      </c>
      <c r="D50" s="3" t="s">
        <v>2652</v>
      </c>
      <c r="E50" s="3" t="s">
        <v>1477</v>
      </c>
      <c r="F50" s="3" t="s">
        <v>2653</v>
      </c>
      <c r="G50" s="3" t="s">
        <v>2654</v>
      </c>
      <c r="H50" s="3" t="s">
        <v>76</v>
      </c>
      <c r="I50" s="3" t="s">
        <v>73</v>
      </c>
      <c r="J50" s="3" t="s">
        <v>53</v>
      </c>
      <c r="K50" s="3" t="s">
        <v>53</v>
      </c>
      <c r="L50" s="6" t="s">
        <v>805</v>
      </c>
      <c r="M50" s="6" t="s">
        <v>311</v>
      </c>
      <c r="N50" s="3" t="s">
        <v>635</v>
      </c>
      <c r="O50" s="3" t="s">
        <v>62</v>
      </c>
      <c r="P50" s="3" t="s">
        <v>1219</v>
      </c>
      <c r="Q50" s="137">
        <v>35</v>
      </c>
      <c r="R50" s="139">
        <v>1</v>
      </c>
      <c r="S50" s="140">
        <v>45650</v>
      </c>
      <c r="U50" s="137">
        <v>15.977</v>
      </c>
      <c r="V50" s="138">
        <v>5.0000000000000004E-6</v>
      </c>
      <c r="W50" s="138">
        <v>1.5789790733183699E-3</v>
      </c>
      <c r="X50" s="138">
        <v>2.34235817815591E-4</v>
      </c>
    </row>
    <row r="51" spans="1:24" x14ac:dyDescent="0.2">
      <c r="A51" s="3">
        <v>13710</v>
      </c>
      <c r="B51" s="3">
        <v>13711</v>
      </c>
      <c r="C51" s="3" t="s">
        <v>1849</v>
      </c>
      <c r="D51" s="3" t="s">
        <v>1850</v>
      </c>
      <c r="E51" s="3" t="s">
        <v>1477</v>
      </c>
      <c r="F51" s="3" t="s">
        <v>2655</v>
      </c>
      <c r="G51" s="3" t="s">
        <v>2656</v>
      </c>
      <c r="H51" s="3" t="s">
        <v>76</v>
      </c>
      <c r="I51" s="3" t="s">
        <v>73</v>
      </c>
      <c r="J51" s="3" t="s">
        <v>53</v>
      </c>
      <c r="K51" s="3" t="s">
        <v>53</v>
      </c>
      <c r="L51" s="6" t="s">
        <v>805</v>
      </c>
      <c r="M51" s="6" t="s">
        <v>311</v>
      </c>
      <c r="N51" s="3" t="s">
        <v>269</v>
      </c>
      <c r="O51" s="3" t="s">
        <v>62</v>
      </c>
      <c r="P51" s="3" t="s">
        <v>1219</v>
      </c>
      <c r="Q51" s="137">
        <v>1087</v>
      </c>
      <c r="R51" s="139">
        <v>1</v>
      </c>
      <c r="S51" s="140">
        <v>14880</v>
      </c>
      <c r="U51" s="137">
        <v>161.74600000000001</v>
      </c>
      <c r="V51" s="138">
        <v>1.4E-5</v>
      </c>
      <c r="W51" s="138">
        <v>1.5984535603274799E-2</v>
      </c>
      <c r="X51" s="138">
        <v>2.3712478732012799E-3</v>
      </c>
    </row>
    <row r="52" spans="1:24" x14ac:dyDescent="0.2">
      <c r="A52" s="3">
        <v>13710</v>
      </c>
      <c r="B52" s="3">
        <v>13711</v>
      </c>
      <c r="C52" s="3" t="s">
        <v>1220</v>
      </c>
      <c r="D52" s="3" t="s">
        <v>1483</v>
      </c>
      <c r="E52" s="3" t="s">
        <v>1477</v>
      </c>
      <c r="F52" s="3" t="s">
        <v>2657</v>
      </c>
      <c r="G52" s="3" t="s">
        <v>2658</v>
      </c>
      <c r="H52" s="3" t="s">
        <v>76</v>
      </c>
      <c r="I52" s="3" t="s">
        <v>73</v>
      </c>
      <c r="J52" s="3" t="s">
        <v>53</v>
      </c>
      <c r="K52" s="3" t="s">
        <v>53</v>
      </c>
      <c r="L52" s="6" t="s">
        <v>805</v>
      </c>
      <c r="M52" s="6" t="s">
        <v>311</v>
      </c>
      <c r="N52" s="3" t="s">
        <v>256</v>
      </c>
      <c r="O52" s="3" t="s">
        <v>62</v>
      </c>
      <c r="P52" s="3" t="s">
        <v>1219</v>
      </c>
      <c r="Q52" s="137">
        <v>10540</v>
      </c>
      <c r="R52" s="139">
        <v>1</v>
      </c>
      <c r="S52" s="140">
        <v>6262</v>
      </c>
      <c r="U52" s="137">
        <v>660.01499999999999</v>
      </c>
      <c r="V52" s="138">
        <v>6.9999999999999999E-6</v>
      </c>
      <c r="W52" s="138">
        <v>6.5226071493062601E-2</v>
      </c>
      <c r="X52" s="138">
        <v>9.6760510998838301E-3</v>
      </c>
    </row>
    <row r="53" spans="1:24" x14ac:dyDescent="0.2">
      <c r="A53" s="3">
        <v>13710</v>
      </c>
      <c r="B53" s="3">
        <v>13711</v>
      </c>
      <c r="C53" s="3" t="s">
        <v>2487</v>
      </c>
      <c r="D53" s="3" t="s">
        <v>2488</v>
      </c>
      <c r="E53" s="3" t="s">
        <v>1477</v>
      </c>
      <c r="F53" s="3" t="s">
        <v>2659</v>
      </c>
      <c r="G53" s="3" t="s">
        <v>2660</v>
      </c>
      <c r="H53" s="3" t="s">
        <v>76</v>
      </c>
      <c r="I53" s="3" t="s">
        <v>73</v>
      </c>
      <c r="J53" s="3" t="s">
        <v>53</v>
      </c>
      <c r="K53" s="3" t="s">
        <v>53</v>
      </c>
      <c r="L53" s="6" t="s">
        <v>805</v>
      </c>
      <c r="M53" s="6" t="s">
        <v>311</v>
      </c>
      <c r="N53" s="3" t="s">
        <v>692</v>
      </c>
      <c r="O53" s="3" t="s">
        <v>62</v>
      </c>
      <c r="P53" s="3" t="s">
        <v>1219</v>
      </c>
      <c r="Q53" s="137">
        <v>12453</v>
      </c>
      <c r="R53" s="139">
        <v>1</v>
      </c>
      <c r="S53" s="140">
        <v>519.29999999999995</v>
      </c>
      <c r="U53" s="137">
        <v>64.668000000000006</v>
      </c>
      <c r="V53" s="138">
        <v>4.6999999999999997E-5</v>
      </c>
      <c r="W53" s="138">
        <v>6.3908681643169898E-3</v>
      </c>
      <c r="X53" s="138">
        <v>9.4806210944543899E-4</v>
      </c>
    </row>
    <row r="54" spans="1:24" x14ac:dyDescent="0.2">
      <c r="A54" s="3">
        <v>13710</v>
      </c>
      <c r="B54" s="3">
        <v>13711</v>
      </c>
      <c r="C54" s="3" t="s">
        <v>1871</v>
      </c>
      <c r="D54" s="3" t="s">
        <v>1872</v>
      </c>
      <c r="E54" s="3" t="s">
        <v>1477</v>
      </c>
      <c r="F54" s="3" t="s">
        <v>2661</v>
      </c>
      <c r="G54" s="3" t="s">
        <v>2662</v>
      </c>
      <c r="H54" s="3" t="s">
        <v>76</v>
      </c>
      <c r="I54" s="3" t="s">
        <v>73</v>
      </c>
      <c r="J54" s="3" t="s">
        <v>53</v>
      </c>
      <c r="K54" s="3" t="s">
        <v>53</v>
      </c>
      <c r="L54" s="6" t="s">
        <v>805</v>
      </c>
      <c r="M54" s="6" t="s">
        <v>311</v>
      </c>
      <c r="N54" s="3" t="s">
        <v>692</v>
      </c>
      <c r="O54" s="3" t="s">
        <v>62</v>
      </c>
      <c r="P54" s="3" t="s">
        <v>1219</v>
      </c>
      <c r="Q54" s="137">
        <v>717</v>
      </c>
      <c r="R54" s="139">
        <v>1</v>
      </c>
      <c r="S54" s="140">
        <v>8096</v>
      </c>
      <c r="U54" s="137">
        <v>58.048000000000002</v>
      </c>
      <c r="V54" s="138">
        <v>1.1E-5</v>
      </c>
      <c r="W54" s="138">
        <v>5.7366348002683802E-3</v>
      </c>
      <c r="X54" s="138">
        <v>8.5100896310568905E-4</v>
      </c>
    </row>
    <row r="55" spans="1:24" x14ac:dyDescent="0.2">
      <c r="A55" s="3">
        <v>13710</v>
      </c>
      <c r="B55" s="3">
        <v>13711</v>
      </c>
      <c r="C55" s="3" t="s">
        <v>2663</v>
      </c>
      <c r="D55" s="3" t="s">
        <v>2664</v>
      </c>
      <c r="E55" s="3" t="s">
        <v>1477</v>
      </c>
      <c r="F55" s="3" t="s">
        <v>2665</v>
      </c>
      <c r="G55" s="3" t="s">
        <v>2666</v>
      </c>
      <c r="H55" s="3" t="s">
        <v>76</v>
      </c>
      <c r="I55" s="3" t="s">
        <v>73</v>
      </c>
      <c r="J55" s="3" t="s">
        <v>53</v>
      </c>
      <c r="K55" s="3" t="s">
        <v>53</v>
      </c>
      <c r="L55" s="6" t="s">
        <v>805</v>
      </c>
      <c r="M55" s="6" t="s">
        <v>311</v>
      </c>
      <c r="N55" s="3" t="s">
        <v>634</v>
      </c>
      <c r="O55" s="3" t="s">
        <v>62</v>
      </c>
      <c r="P55" s="3" t="s">
        <v>1219</v>
      </c>
      <c r="Q55" s="137">
        <v>135</v>
      </c>
      <c r="R55" s="139">
        <v>1</v>
      </c>
      <c r="S55" s="140">
        <v>30850</v>
      </c>
      <c r="U55" s="137">
        <v>41.648000000000003</v>
      </c>
      <c r="V55" s="138">
        <v>9.0000000000000002E-6</v>
      </c>
      <c r="W55" s="138">
        <v>4.1158210581146498E-3</v>
      </c>
      <c r="X55" s="138">
        <v>6.1056712392269395E-4</v>
      </c>
    </row>
    <row r="56" spans="1:24" x14ac:dyDescent="0.2">
      <c r="A56" s="3">
        <v>13710</v>
      </c>
      <c r="B56" s="3">
        <v>13711</v>
      </c>
      <c r="C56" s="3" t="s">
        <v>2667</v>
      </c>
      <c r="D56" s="3" t="s">
        <v>2668</v>
      </c>
      <c r="E56" s="3" t="s">
        <v>1477</v>
      </c>
      <c r="F56" s="3" t="s">
        <v>2669</v>
      </c>
      <c r="G56" s="3" t="s">
        <v>2670</v>
      </c>
      <c r="H56" s="3" t="s">
        <v>76</v>
      </c>
      <c r="I56" s="3" t="s">
        <v>73</v>
      </c>
      <c r="J56" s="3" t="s">
        <v>53</v>
      </c>
      <c r="K56" s="3" t="s">
        <v>53</v>
      </c>
      <c r="L56" s="6" t="s">
        <v>805</v>
      </c>
      <c r="M56" s="6" t="s">
        <v>311</v>
      </c>
      <c r="N56" s="3" t="s">
        <v>692</v>
      </c>
      <c r="O56" s="3" t="s">
        <v>62</v>
      </c>
      <c r="P56" s="3" t="s">
        <v>1219</v>
      </c>
      <c r="Q56" s="137">
        <v>194</v>
      </c>
      <c r="R56" s="139">
        <v>1</v>
      </c>
      <c r="S56" s="140">
        <v>28350</v>
      </c>
      <c r="U56" s="137">
        <v>54.999000000000002</v>
      </c>
      <c r="V56" s="138">
        <v>1.8E-5</v>
      </c>
      <c r="W56" s="138">
        <v>5.4352852482201196E-3</v>
      </c>
      <c r="X56" s="138">
        <v>8.0630485019807295E-4</v>
      </c>
    </row>
    <row r="57" spans="1:24" x14ac:dyDescent="0.2">
      <c r="A57" s="3">
        <v>13710</v>
      </c>
      <c r="B57" s="3">
        <v>13711</v>
      </c>
      <c r="C57" s="3" t="s">
        <v>1881</v>
      </c>
      <c r="D57" s="3" t="s">
        <v>1882</v>
      </c>
      <c r="E57" s="3" t="s">
        <v>1477</v>
      </c>
      <c r="F57" s="3" t="s">
        <v>2671</v>
      </c>
      <c r="G57" s="3" t="s">
        <v>2672</v>
      </c>
      <c r="H57" s="3" t="s">
        <v>76</v>
      </c>
      <c r="I57" s="3" t="s">
        <v>73</v>
      </c>
      <c r="J57" s="3" t="s">
        <v>53</v>
      </c>
      <c r="K57" s="3" t="s">
        <v>53</v>
      </c>
      <c r="L57" s="6" t="s">
        <v>805</v>
      </c>
      <c r="M57" s="6" t="s">
        <v>311</v>
      </c>
      <c r="N57" s="3" t="s">
        <v>635</v>
      </c>
      <c r="O57" s="3" t="s">
        <v>62</v>
      </c>
      <c r="P57" s="3" t="s">
        <v>1219</v>
      </c>
      <c r="Q57" s="137">
        <v>5794</v>
      </c>
      <c r="R57" s="139">
        <v>1</v>
      </c>
      <c r="S57" s="140">
        <v>1262</v>
      </c>
      <c r="U57" s="137">
        <v>73.12</v>
      </c>
      <c r="V57" s="138">
        <v>7.9999999999999996E-6</v>
      </c>
      <c r="W57" s="138">
        <v>7.2261237336992403E-3</v>
      </c>
      <c r="X57" s="138">
        <v>1.0719692432924401E-3</v>
      </c>
    </row>
    <row r="58" spans="1:24" x14ac:dyDescent="0.2">
      <c r="A58" s="3">
        <v>13710</v>
      </c>
      <c r="B58" s="3">
        <v>13711</v>
      </c>
      <c r="C58" s="3" t="s">
        <v>2673</v>
      </c>
      <c r="D58" s="3" t="s">
        <v>2674</v>
      </c>
      <c r="E58" s="3" t="s">
        <v>1477</v>
      </c>
      <c r="F58" s="3" t="s">
        <v>2675</v>
      </c>
      <c r="G58" s="3" t="s">
        <v>2676</v>
      </c>
      <c r="H58" s="3" t="s">
        <v>76</v>
      </c>
      <c r="I58" s="3" t="s">
        <v>73</v>
      </c>
      <c r="J58" s="3" t="s">
        <v>53</v>
      </c>
      <c r="K58" s="3" t="s">
        <v>53</v>
      </c>
      <c r="L58" s="6" t="s">
        <v>805</v>
      </c>
      <c r="M58" s="6" t="s">
        <v>311</v>
      </c>
      <c r="N58" s="3" t="s">
        <v>269</v>
      </c>
      <c r="O58" s="3" t="s">
        <v>62</v>
      </c>
      <c r="P58" s="3" t="s">
        <v>1219</v>
      </c>
      <c r="Q58" s="137">
        <v>14355</v>
      </c>
      <c r="R58" s="139">
        <v>1</v>
      </c>
      <c r="S58" s="140">
        <v>927.1</v>
      </c>
      <c r="U58" s="137">
        <v>133.08500000000001</v>
      </c>
      <c r="V58" s="138">
        <v>1.4E-5</v>
      </c>
      <c r="W58" s="138">
        <v>1.31521673392762E-2</v>
      </c>
      <c r="X58" s="138">
        <v>1.9510763155894601E-3</v>
      </c>
    </row>
    <row r="59" spans="1:24" x14ac:dyDescent="0.2">
      <c r="A59" s="3">
        <v>13710</v>
      </c>
      <c r="B59" s="3">
        <v>13711</v>
      </c>
      <c r="C59" s="3" t="s">
        <v>1489</v>
      </c>
      <c r="D59" s="3" t="s">
        <v>1490</v>
      </c>
      <c r="E59" s="3" t="s">
        <v>1477</v>
      </c>
      <c r="F59" s="3" t="s">
        <v>2677</v>
      </c>
      <c r="G59" s="3" t="s">
        <v>2678</v>
      </c>
      <c r="H59" s="3" t="s">
        <v>76</v>
      </c>
      <c r="I59" s="3" t="s">
        <v>73</v>
      </c>
      <c r="J59" s="3" t="s">
        <v>53</v>
      </c>
      <c r="K59" s="3" t="s">
        <v>53</v>
      </c>
      <c r="L59" s="6" t="s">
        <v>805</v>
      </c>
      <c r="M59" s="6" t="s">
        <v>311</v>
      </c>
      <c r="N59" s="3" t="s">
        <v>635</v>
      </c>
      <c r="O59" s="3" t="s">
        <v>62</v>
      </c>
      <c r="P59" s="3" t="s">
        <v>1219</v>
      </c>
      <c r="Q59" s="137">
        <v>990</v>
      </c>
      <c r="R59" s="139">
        <v>1</v>
      </c>
      <c r="S59" s="140">
        <v>15730</v>
      </c>
      <c r="U59" s="137">
        <v>155.727</v>
      </c>
      <c r="V59" s="138">
        <v>2.6999999999999999E-5</v>
      </c>
      <c r="W59" s="138">
        <v>1.5389746465382499E-2</v>
      </c>
      <c r="X59" s="138">
        <v>2.2830130621792301E-3</v>
      </c>
    </row>
    <row r="60" spans="1:24" x14ac:dyDescent="0.2">
      <c r="A60" s="3">
        <v>13710</v>
      </c>
      <c r="B60" s="3">
        <v>13711</v>
      </c>
      <c r="C60" s="3" t="s">
        <v>2679</v>
      </c>
      <c r="D60" s="3" t="s">
        <v>2680</v>
      </c>
      <c r="E60" s="3" t="s">
        <v>1477</v>
      </c>
      <c r="F60" s="3" t="s">
        <v>2681</v>
      </c>
      <c r="G60" s="3" t="s">
        <v>2682</v>
      </c>
      <c r="H60" s="3" t="s">
        <v>76</v>
      </c>
      <c r="I60" s="3" t="s">
        <v>73</v>
      </c>
      <c r="J60" s="3" t="s">
        <v>53</v>
      </c>
      <c r="K60" s="3" t="s">
        <v>53</v>
      </c>
      <c r="L60" s="6" t="s">
        <v>805</v>
      </c>
      <c r="M60" s="6" t="s">
        <v>311</v>
      </c>
      <c r="N60" s="3" t="s">
        <v>253</v>
      </c>
      <c r="O60" s="3" t="s">
        <v>62</v>
      </c>
      <c r="P60" s="3" t="s">
        <v>1219</v>
      </c>
      <c r="Q60" s="137">
        <v>1192</v>
      </c>
      <c r="R60" s="139">
        <v>1</v>
      </c>
      <c r="S60" s="140">
        <v>6440</v>
      </c>
      <c r="U60" s="137">
        <v>76.765000000000001</v>
      </c>
      <c r="V60" s="138">
        <v>2.4000000000000001E-5</v>
      </c>
      <c r="W60" s="138">
        <v>7.5862940239380299E-3</v>
      </c>
      <c r="X60" s="138">
        <v>1.1253991993397201E-3</v>
      </c>
    </row>
    <row r="61" spans="1:24" x14ac:dyDescent="0.2">
      <c r="A61" s="3">
        <v>13710</v>
      </c>
      <c r="B61" s="3">
        <v>13711</v>
      </c>
      <c r="C61" s="3" t="s">
        <v>2500</v>
      </c>
      <c r="D61" s="3" t="s">
        <v>2501</v>
      </c>
      <c r="E61" s="3" t="s">
        <v>1477</v>
      </c>
      <c r="F61" s="3" t="s">
        <v>2683</v>
      </c>
      <c r="G61" s="3" t="s">
        <v>2684</v>
      </c>
      <c r="H61" s="3" t="s">
        <v>76</v>
      </c>
      <c r="I61" s="3" t="s">
        <v>73</v>
      </c>
      <c r="J61" s="3" t="s">
        <v>53</v>
      </c>
      <c r="K61" s="3" t="s">
        <v>53</v>
      </c>
      <c r="L61" s="6" t="s">
        <v>805</v>
      </c>
      <c r="M61" s="6" t="s">
        <v>311</v>
      </c>
      <c r="N61" s="3" t="s">
        <v>257</v>
      </c>
      <c r="O61" s="3" t="s">
        <v>62</v>
      </c>
      <c r="P61" s="3" t="s">
        <v>1219</v>
      </c>
      <c r="Q61" s="137">
        <v>49.23</v>
      </c>
      <c r="R61" s="139">
        <v>1</v>
      </c>
      <c r="S61" s="140">
        <v>2690</v>
      </c>
      <c r="U61" s="137">
        <v>1.3240000000000001</v>
      </c>
      <c r="V61" s="138">
        <v>9.9999999999999995E-7</v>
      </c>
      <c r="W61" s="138">
        <v>1.3087288124347099E-4</v>
      </c>
      <c r="X61" s="138">
        <v>1.9414517194026298E-5</v>
      </c>
    </row>
    <row r="62" spans="1:24" x14ac:dyDescent="0.2">
      <c r="A62" s="3">
        <v>13710</v>
      </c>
      <c r="B62" s="3">
        <v>13711</v>
      </c>
      <c r="C62" s="3" t="s">
        <v>2685</v>
      </c>
      <c r="D62" s="3" t="s">
        <v>2686</v>
      </c>
      <c r="E62" s="3" t="s">
        <v>1477</v>
      </c>
      <c r="F62" s="3" t="s">
        <v>2687</v>
      </c>
      <c r="G62" s="3" t="s">
        <v>2688</v>
      </c>
      <c r="H62" s="3" t="s">
        <v>76</v>
      </c>
      <c r="I62" s="3" t="s">
        <v>73</v>
      </c>
      <c r="J62" s="3" t="s">
        <v>53</v>
      </c>
      <c r="K62" s="3" t="s">
        <v>53</v>
      </c>
      <c r="L62" s="6" t="s">
        <v>805</v>
      </c>
      <c r="M62" s="6" t="s">
        <v>311</v>
      </c>
      <c r="N62" s="3" t="s">
        <v>256</v>
      </c>
      <c r="O62" s="3" t="s">
        <v>62</v>
      </c>
      <c r="P62" s="3" t="s">
        <v>1219</v>
      </c>
      <c r="Q62" s="137">
        <v>1112</v>
      </c>
      <c r="R62" s="139">
        <v>1</v>
      </c>
      <c r="S62" s="140">
        <v>21950</v>
      </c>
      <c r="U62" s="137">
        <v>244.084</v>
      </c>
      <c r="V62" s="138">
        <v>3.9999999999999998E-6</v>
      </c>
      <c r="W62" s="138">
        <v>2.4121641566693199E-2</v>
      </c>
      <c r="X62" s="138">
        <v>3.5783580257049501E-3</v>
      </c>
    </row>
    <row r="63" spans="1:24" x14ac:dyDescent="0.2">
      <c r="A63" s="3">
        <v>13710</v>
      </c>
      <c r="B63" s="3">
        <v>13711</v>
      </c>
      <c r="C63" s="3" t="s">
        <v>2689</v>
      </c>
      <c r="D63" s="3" t="s">
        <v>2690</v>
      </c>
      <c r="E63" s="3" t="s">
        <v>1477</v>
      </c>
      <c r="F63" s="3" t="s">
        <v>2691</v>
      </c>
      <c r="G63" s="3" t="s">
        <v>2692</v>
      </c>
      <c r="H63" s="3" t="s">
        <v>76</v>
      </c>
      <c r="I63" s="3" t="s">
        <v>73</v>
      </c>
      <c r="J63" s="3" t="s">
        <v>53</v>
      </c>
      <c r="K63" s="3" t="s">
        <v>53</v>
      </c>
      <c r="L63" s="6" t="s">
        <v>805</v>
      </c>
      <c r="M63" s="6" t="s">
        <v>311</v>
      </c>
      <c r="N63" s="3" t="s">
        <v>252</v>
      </c>
      <c r="O63" s="3" t="s">
        <v>62</v>
      </c>
      <c r="P63" s="3" t="s">
        <v>1219</v>
      </c>
      <c r="Q63" s="137">
        <v>43</v>
      </c>
      <c r="R63" s="139">
        <v>1</v>
      </c>
      <c r="S63" s="140">
        <v>48250</v>
      </c>
      <c r="U63" s="137">
        <v>20.747</v>
      </c>
      <c r="V63" s="138">
        <v>9.0000000000000002E-6</v>
      </c>
      <c r="W63" s="138">
        <v>2.0503751102283101E-3</v>
      </c>
      <c r="X63" s="138">
        <v>3.0416570991262598E-4</v>
      </c>
    </row>
    <row r="64" spans="1:24" x14ac:dyDescent="0.2">
      <c r="A64" s="3">
        <v>13710</v>
      </c>
      <c r="B64" s="3">
        <v>13711</v>
      </c>
      <c r="C64" s="3" t="s">
        <v>2693</v>
      </c>
      <c r="D64" s="3" t="s">
        <v>2694</v>
      </c>
      <c r="E64" s="3" t="s">
        <v>1477</v>
      </c>
      <c r="F64" s="3" t="s">
        <v>2695</v>
      </c>
      <c r="G64" s="3" t="s">
        <v>2696</v>
      </c>
      <c r="H64" s="3" t="s">
        <v>76</v>
      </c>
      <c r="I64" s="3" t="s">
        <v>73</v>
      </c>
      <c r="J64" s="3" t="s">
        <v>53</v>
      </c>
      <c r="K64" s="3" t="s">
        <v>53</v>
      </c>
      <c r="L64" s="6" t="s">
        <v>805</v>
      </c>
      <c r="M64" s="6" t="s">
        <v>311</v>
      </c>
      <c r="N64" s="3" t="s">
        <v>252</v>
      </c>
      <c r="O64" s="3" t="s">
        <v>62</v>
      </c>
      <c r="P64" s="3" t="s">
        <v>1219</v>
      </c>
      <c r="Q64" s="137">
        <v>397</v>
      </c>
      <c r="R64" s="139">
        <v>1</v>
      </c>
      <c r="S64" s="140">
        <v>11720</v>
      </c>
      <c r="U64" s="137">
        <v>46.527999999999999</v>
      </c>
      <c r="V64" s="138">
        <v>6.0000000000000002E-6</v>
      </c>
      <c r="W64" s="138">
        <v>4.59817680581983E-3</v>
      </c>
      <c r="X64" s="138">
        <v>6.8212284936009795E-4</v>
      </c>
    </row>
    <row r="65" spans="1:24" x14ac:dyDescent="0.2">
      <c r="A65" s="3">
        <v>13710</v>
      </c>
      <c r="B65" s="3">
        <v>13711</v>
      </c>
      <c r="C65" s="3" t="s">
        <v>1947</v>
      </c>
      <c r="D65" s="3" t="s">
        <v>1948</v>
      </c>
      <c r="E65" s="3" t="s">
        <v>1477</v>
      </c>
      <c r="F65" s="3" t="s">
        <v>2697</v>
      </c>
      <c r="G65" s="3" t="s">
        <v>2698</v>
      </c>
      <c r="H65" s="3" t="s">
        <v>76</v>
      </c>
      <c r="I65" s="3" t="s">
        <v>73</v>
      </c>
      <c r="J65" s="3" t="s">
        <v>53</v>
      </c>
      <c r="K65" s="3" t="s">
        <v>53</v>
      </c>
      <c r="L65" s="6" t="s">
        <v>805</v>
      </c>
      <c r="M65" s="6" t="s">
        <v>311</v>
      </c>
      <c r="N65" s="3" t="s">
        <v>635</v>
      </c>
      <c r="O65" s="3" t="s">
        <v>62</v>
      </c>
      <c r="P65" s="3" t="s">
        <v>1219</v>
      </c>
      <c r="Q65" s="137">
        <v>482</v>
      </c>
      <c r="R65" s="139">
        <v>1</v>
      </c>
      <c r="S65" s="140">
        <v>38400</v>
      </c>
      <c r="U65" s="137">
        <v>185.08799999999999</v>
      </c>
      <c r="V65" s="138">
        <v>1.0000000000000001E-5</v>
      </c>
      <c r="W65" s="138">
        <v>1.8291352134085399E-2</v>
      </c>
      <c r="X65" s="138">
        <v>2.7134557376217901E-3</v>
      </c>
    </row>
    <row r="66" spans="1:24" x14ac:dyDescent="0.2">
      <c r="A66" s="3">
        <v>13710</v>
      </c>
      <c r="B66" s="3">
        <v>13711</v>
      </c>
      <c r="C66" s="3" t="s">
        <v>2699</v>
      </c>
      <c r="D66" s="3" t="s">
        <v>2700</v>
      </c>
      <c r="E66" s="3" t="s">
        <v>1477</v>
      </c>
      <c r="F66" s="3" t="s">
        <v>2701</v>
      </c>
      <c r="G66" s="3" t="s">
        <v>2702</v>
      </c>
      <c r="H66" s="3" t="s">
        <v>76</v>
      </c>
      <c r="I66" s="3" t="s">
        <v>73</v>
      </c>
      <c r="J66" s="3" t="s">
        <v>53</v>
      </c>
      <c r="K66" s="3" t="s">
        <v>53</v>
      </c>
      <c r="L66" s="6" t="s">
        <v>805</v>
      </c>
      <c r="M66" s="6" t="s">
        <v>311</v>
      </c>
      <c r="N66" s="3" t="s">
        <v>252</v>
      </c>
      <c r="O66" s="3" t="s">
        <v>62</v>
      </c>
      <c r="P66" s="3" t="s">
        <v>1219</v>
      </c>
      <c r="Q66" s="137">
        <v>257</v>
      </c>
      <c r="R66" s="139">
        <v>1</v>
      </c>
      <c r="S66" s="140">
        <v>9951</v>
      </c>
      <c r="U66" s="137">
        <v>25.574000000000002</v>
      </c>
      <c r="V66" s="138">
        <v>1.0000000000000001E-5</v>
      </c>
      <c r="W66" s="138">
        <v>2.5273616867206401E-3</v>
      </c>
      <c r="X66" s="138">
        <v>3.7492493827715102E-4</v>
      </c>
    </row>
    <row r="67" spans="1:24" x14ac:dyDescent="0.2">
      <c r="A67" s="3">
        <v>13710</v>
      </c>
      <c r="B67" s="3">
        <v>13711</v>
      </c>
      <c r="C67" s="3" t="s">
        <v>2703</v>
      </c>
      <c r="D67" s="3" t="s">
        <v>2704</v>
      </c>
      <c r="E67" s="3" t="s">
        <v>1477</v>
      </c>
      <c r="F67" s="3" t="s">
        <v>2705</v>
      </c>
      <c r="G67" s="3" t="s">
        <v>2706</v>
      </c>
      <c r="H67" s="3" t="s">
        <v>76</v>
      </c>
      <c r="I67" s="3" t="s">
        <v>73</v>
      </c>
      <c r="J67" s="3" t="s">
        <v>53</v>
      </c>
      <c r="K67" s="3" t="s">
        <v>53</v>
      </c>
      <c r="L67" s="6" t="s">
        <v>805</v>
      </c>
      <c r="M67" s="6" t="s">
        <v>311</v>
      </c>
      <c r="N67" s="3" t="s">
        <v>692</v>
      </c>
      <c r="O67" s="3" t="s">
        <v>62</v>
      </c>
      <c r="P67" s="3" t="s">
        <v>1219</v>
      </c>
      <c r="Q67" s="137">
        <v>201</v>
      </c>
      <c r="R67" s="139">
        <v>1</v>
      </c>
      <c r="S67" s="140">
        <v>16220</v>
      </c>
      <c r="U67" s="137">
        <v>32.601999999999997</v>
      </c>
      <c r="V67" s="138">
        <v>2.5999999999999998E-5</v>
      </c>
      <c r="W67" s="138">
        <v>3.2219177934057299E-3</v>
      </c>
      <c r="X67" s="138">
        <v>4.7795981721717899E-4</v>
      </c>
    </row>
    <row r="68" spans="1:24" x14ac:dyDescent="0.2">
      <c r="A68" s="3">
        <v>13710</v>
      </c>
      <c r="B68" s="3">
        <v>13711</v>
      </c>
      <c r="C68" s="3" t="s">
        <v>1961</v>
      </c>
      <c r="D68" s="3" t="s">
        <v>1962</v>
      </c>
      <c r="E68" s="3" t="s">
        <v>1477</v>
      </c>
      <c r="F68" s="3" t="s">
        <v>2707</v>
      </c>
      <c r="G68" s="3" t="s">
        <v>2708</v>
      </c>
      <c r="H68" s="3" t="s">
        <v>76</v>
      </c>
      <c r="I68" s="3" t="s">
        <v>73</v>
      </c>
      <c r="J68" s="3" t="s">
        <v>53</v>
      </c>
      <c r="K68" s="3" t="s">
        <v>53</v>
      </c>
      <c r="L68" s="6" t="s">
        <v>805</v>
      </c>
      <c r="M68" s="6" t="s">
        <v>311</v>
      </c>
      <c r="N68" s="3" t="s">
        <v>635</v>
      </c>
      <c r="O68" s="3" t="s">
        <v>62</v>
      </c>
      <c r="P68" s="3" t="s">
        <v>1219</v>
      </c>
      <c r="Q68" s="137">
        <v>18400</v>
      </c>
      <c r="R68" s="139">
        <v>1</v>
      </c>
      <c r="S68" s="140">
        <v>217</v>
      </c>
      <c r="T68" s="131">
        <v>0.58899999999999997</v>
      </c>
      <c r="U68" s="137">
        <v>40.517000000000003</v>
      </c>
      <c r="V68" s="138">
        <v>2.4000000000000001E-5</v>
      </c>
      <c r="W68" s="138">
        <v>4.0040794440823497E-3</v>
      </c>
      <c r="X68" s="138">
        <v>5.9399066082120198E-4</v>
      </c>
    </row>
    <row r="69" spans="1:24" x14ac:dyDescent="0.2">
      <c r="A69" s="3">
        <v>13710</v>
      </c>
      <c r="B69" s="3">
        <v>13711</v>
      </c>
      <c r="C69" s="3" t="s">
        <v>2709</v>
      </c>
      <c r="D69" s="3" t="s">
        <v>2710</v>
      </c>
      <c r="E69" s="3" t="s">
        <v>1477</v>
      </c>
      <c r="F69" s="3" t="s">
        <v>2711</v>
      </c>
      <c r="G69" s="3" t="s">
        <v>2712</v>
      </c>
      <c r="H69" s="3" t="s">
        <v>76</v>
      </c>
      <c r="I69" s="3" t="s">
        <v>73</v>
      </c>
      <c r="J69" s="3" t="s">
        <v>53</v>
      </c>
      <c r="K69" s="3" t="s">
        <v>53</v>
      </c>
      <c r="L69" s="6" t="s">
        <v>805</v>
      </c>
      <c r="M69" s="6" t="s">
        <v>311</v>
      </c>
      <c r="N69" s="3" t="s">
        <v>634</v>
      </c>
      <c r="O69" s="3" t="s">
        <v>62</v>
      </c>
      <c r="P69" s="3" t="s">
        <v>1219</v>
      </c>
      <c r="Q69" s="137">
        <v>1640</v>
      </c>
      <c r="R69" s="139">
        <v>1</v>
      </c>
      <c r="S69" s="140">
        <v>1600</v>
      </c>
      <c r="U69" s="137">
        <v>26.24</v>
      </c>
      <c r="V69" s="138">
        <v>1.1E-5</v>
      </c>
      <c r="W69" s="138">
        <v>2.5931723288295399E-3</v>
      </c>
      <c r="X69" s="138">
        <v>3.8468770830737698E-4</v>
      </c>
    </row>
    <row r="70" spans="1:24" x14ac:dyDescent="0.2">
      <c r="A70" s="3">
        <v>13710</v>
      </c>
      <c r="B70" s="3">
        <v>13711</v>
      </c>
      <c r="C70" s="3" t="s">
        <v>1990</v>
      </c>
      <c r="D70" s="3" t="s">
        <v>1991</v>
      </c>
      <c r="E70" s="3" t="s">
        <v>432</v>
      </c>
      <c r="F70" s="3" t="s">
        <v>2713</v>
      </c>
      <c r="G70" s="3" t="s">
        <v>2714</v>
      </c>
      <c r="H70" s="3" t="s">
        <v>76</v>
      </c>
      <c r="I70" s="3" t="s">
        <v>73</v>
      </c>
      <c r="J70" s="3" t="s">
        <v>53</v>
      </c>
      <c r="K70" s="3" t="s">
        <v>314</v>
      </c>
      <c r="L70" s="6" t="s">
        <v>805</v>
      </c>
      <c r="M70" s="6" t="s">
        <v>311</v>
      </c>
      <c r="N70" s="3" t="s">
        <v>267</v>
      </c>
      <c r="O70" s="3" t="s">
        <v>62</v>
      </c>
      <c r="P70" s="3" t="s">
        <v>1219</v>
      </c>
      <c r="Q70" s="137">
        <v>105</v>
      </c>
      <c r="R70" s="139">
        <v>1</v>
      </c>
      <c r="S70" s="140">
        <v>9900</v>
      </c>
      <c r="U70" s="137">
        <v>10.395</v>
      </c>
      <c r="V70" s="138">
        <v>9.9999999999999995E-7</v>
      </c>
      <c r="W70" s="138">
        <v>1.02728758986978E-3</v>
      </c>
      <c r="X70" s="138">
        <v>1.5239438749448101E-4</v>
      </c>
    </row>
    <row r="71" spans="1:24" x14ac:dyDescent="0.2">
      <c r="A71" s="3">
        <v>13710</v>
      </c>
      <c r="B71" s="3">
        <v>13711</v>
      </c>
      <c r="C71" s="3" t="s">
        <v>2715</v>
      </c>
      <c r="D71" s="3" t="s">
        <v>2716</v>
      </c>
      <c r="E71" s="3" t="s">
        <v>1477</v>
      </c>
      <c r="F71" s="3" t="s">
        <v>2717</v>
      </c>
      <c r="G71" s="3" t="s">
        <v>2718</v>
      </c>
      <c r="H71" s="3" t="s">
        <v>76</v>
      </c>
      <c r="I71" s="3" t="s">
        <v>73</v>
      </c>
      <c r="J71" s="3" t="s">
        <v>53</v>
      </c>
      <c r="K71" s="3" t="s">
        <v>317</v>
      </c>
      <c r="L71" s="6" t="s">
        <v>805</v>
      </c>
      <c r="M71" s="6" t="s">
        <v>311</v>
      </c>
      <c r="N71" s="3" t="s">
        <v>254</v>
      </c>
      <c r="O71" s="3" t="s">
        <v>62</v>
      </c>
      <c r="P71" s="3" t="s">
        <v>1219</v>
      </c>
      <c r="Q71" s="137">
        <v>145</v>
      </c>
      <c r="R71" s="139">
        <v>1</v>
      </c>
      <c r="S71" s="140">
        <v>95280</v>
      </c>
      <c r="U71" s="137">
        <v>138.15600000000001</v>
      </c>
      <c r="V71" s="138">
        <v>5.0000000000000004E-6</v>
      </c>
      <c r="W71" s="138">
        <v>1.36532894916835E-2</v>
      </c>
      <c r="X71" s="138">
        <v>2.02541596908971E-3</v>
      </c>
    </row>
    <row r="72" spans="1:24" x14ac:dyDescent="0.2">
      <c r="A72" s="3">
        <v>13710</v>
      </c>
      <c r="B72" s="3">
        <v>13711</v>
      </c>
      <c r="C72" s="3" t="s">
        <v>2719</v>
      </c>
      <c r="D72" s="3" t="s">
        <v>2720</v>
      </c>
      <c r="E72" s="3" t="s">
        <v>1477</v>
      </c>
      <c r="F72" s="3" t="s">
        <v>2721</v>
      </c>
      <c r="G72" s="3" t="s">
        <v>2722</v>
      </c>
      <c r="H72" s="3" t="s">
        <v>76</v>
      </c>
      <c r="I72" s="3" t="s">
        <v>73</v>
      </c>
      <c r="J72" s="3" t="s">
        <v>53</v>
      </c>
      <c r="K72" s="3" t="s">
        <v>53</v>
      </c>
      <c r="L72" s="6" t="s">
        <v>805</v>
      </c>
      <c r="M72" s="6" t="s">
        <v>311</v>
      </c>
      <c r="N72" s="3" t="s">
        <v>258</v>
      </c>
      <c r="O72" s="3" t="s">
        <v>62</v>
      </c>
      <c r="P72" s="3" t="s">
        <v>1219</v>
      </c>
      <c r="Q72" s="137">
        <v>19949</v>
      </c>
      <c r="R72" s="139">
        <v>1</v>
      </c>
      <c r="S72" s="140">
        <v>141.1</v>
      </c>
      <c r="U72" s="137">
        <v>28.148</v>
      </c>
      <c r="V72" s="138">
        <v>3.8999999999999999E-5</v>
      </c>
      <c r="W72" s="138">
        <v>2.7817345977749499E-3</v>
      </c>
      <c r="X72" s="138">
        <v>4.1266023690002599E-4</v>
      </c>
    </row>
    <row r="73" spans="1:24" x14ac:dyDescent="0.2">
      <c r="A73" s="3">
        <v>13710</v>
      </c>
      <c r="B73" s="3">
        <v>13711</v>
      </c>
      <c r="C73" s="3" t="s">
        <v>1998</v>
      </c>
      <c r="D73" s="3" t="s">
        <v>1999</v>
      </c>
      <c r="E73" s="3" t="s">
        <v>1477</v>
      </c>
      <c r="F73" s="3" t="s">
        <v>2723</v>
      </c>
      <c r="G73" s="3" t="s">
        <v>2724</v>
      </c>
      <c r="H73" s="3" t="s">
        <v>76</v>
      </c>
      <c r="I73" s="3" t="s">
        <v>73</v>
      </c>
      <c r="J73" s="3" t="s">
        <v>53</v>
      </c>
      <c r="K73" s="3" t="s">
        <v>53</v>
      </c>
      <c r="L73" s="6" t="s">
        <v>805</v>
      </c>
      <c r="M73" s="6" t="s">
        <v>311</v>
      </c>
      <c r="N73" s="3" t="s">
        <v>631</v>
      </c>
      <c r="O73" s="3" t="s">
        <v>62</v>
      </c>
      <c r="P73" s="3" t="s">
        <v>1219</v>
      </c>
      <c r="Q73" s="137">
        <v>821</v>
      </c>
      <c r="R73" s="139">
        <v>1</v>
      </c>
      <c r="S73" s="140">
        <v>9339</v>
      </c>
      <c r="U73" s="137">
        <v>76.673000000000002</v>
      </c>
      <c r="V73" s="138">
        <v>2.3E-5</v>
      </c>
      <c r="W73" s="138">
        <v>7.5772406505750702E-3</v>
      </c>
      <c r="X73" s="138">
        <v>1.1240561642422301E-3</v>
      </c>
    </row>
    <row r="74" spans="1:24" x14ac:dyDescent="0.2">
      <c r="A74" s="3">
        <v>13710</v>
      </c>
      <c r="B74" s="3">
        <v>13711</v>
      </c>
      <c r="C74" s="3" t="s">
        <v>2725</v>
      </c>
      <c r="D74" s="3" t="s">
        <v>2726</v>
      </c>
      <c r="E74" s="3" t="s">
        <v>1477</v>
      </c>
      <c r="F74" s="3" t="s">
        <v>2727</v>
      </c>
      <c r="G74" s="3" t="s">
        <v>2728</v>
      </c>
      <c r="H74" s="3" t="s">
        <v>76</v>
      </c>
      <c r="I74" s="3" t="s">
        <v>73</v>
      </c>
      <c r="J74" s="3" t="s">
        <v>53</v>
      </c>
      <c r="K74" s="3" t="s">
        <v>53</v>
      </c>
      <c r="L74" s="6" t="s">
        <v>805</v>
      </c>
      <c r="M74" s="6" t="s">
        <v>311</v>
      </c>
      <c r="N74" s="3" t="s">
        <v>75</v>
      </c>
      <c r="O74" s="3" t="s">
        <v>62</v>
      </c>
      <c r="P74" s="3" t="s">
        <v>1219</v>
      </c>
      <c r="Q74" s="137">
        <v>322</v>
      </c>
      <c r="R74" s="139">
        <v>1</v>
      </c>
      <c r="S74" s="140">
        <v>13850</v>
      </c>
      <c r="U74" s="137">
        <v>44.597000000000001</v>
      </c>
      <c r="V74" s="138">
        <v>1.5E-5</v>
      </c>
      <c r="W74" s="138">
        <v>4.40730588219554E-3</v>
      </c>
      <c r="X74" s="138">
        <v>6.5380784022042997E-4</v>
      </c>
    </row>
    <row r="75" spans="1:24" x14ac:dyDescent="0.2">
      <c r="A75" s="3">
        <v>13710</v>
      </c>
      <c r="B75" s="3">
        <v>13711</v>
      </c>
      <c r="C75" s="3" t="s">
        <v>2729</v>
      </c>
      <c r="D75" s="3" t="s">
        <v>2730</v>
      </c>
      <c r="E75" s="3" t="s">
        <v>1477</v>
      </c>
      <c r="F75" s="3" t="s">
        <v>2731</v>
      </c>
      <c r="G75" s="3" t="s">
        <v>2732</v>
      </c>
      <c r="H75" s="3" t="s">
        <v>76</v>
      </c>
      <c r="I75" s="3" t="s">
        <v>73</v>
      </c>
      <c r="J75" s="3" t="s">
        <v>53</v>
      </c>
      <c r="K75" s="3" t="s">
        <v>314</v>
      </c>
      <c r="L75" s="6" t="s">
        <v>805</v>
      </c>
      <c r="M75" s="6" t="s">
        <v>311</v>
      </c>
      <c r="N75" s="3" t="s">
        <v>253</v>
      </c>
      <c r="O75" s="3" t="s">
        <v>62</v>
      </c>
      <c r="P75" s="3" t="s">
        <v>1219</v>
      </c>
      <c r="Q75" s="137">
        <v>246</v>
      </c>
      <c r="R75" s="139">
        <v>1</v>
      </c>
      <c r="S75" s="140">
        <v>57150</v>
      </c>
      <c r="U75" s="137">
        <v>140.589</v>
      </c>
      <c r="V75" s="138">
        <v>3.0000000000000001E-6</v>
      </c>
      <c r="W75" s="138">
        <v>1.3893731118056999E-2</v>
      </c>
      <c r="X75" s="138">
        <v>2.0610846121656202E-3</v>
      </c>
    </row>
    <row r="76" spans="1:24" x14ac:dyDescent="0.2">
      <c r="A76" s="3">
        <v>13710</v>
      </c>
      <c r="B76" s="3">
        <v>13711</v>
      </c>
      <c r="C76" s="3" t="s">
        <v>2020</v>
      </c>
      <c r="D76" s="3" t="s">
        <v>2021</v>
      </c>
      <c r="E76" s="3" t="s">
        <v>1477</v>
      </c>
      <c r="F76" s="3" t="s">
        <v>2733</v>
      </c>
      <c r="G76" s="3" t="s">
        <v>2734</v>
      </c>
      <c r="H76" s="3" t="s">
        <v>76</v>
      </c>
      <c r="I76" s="3" t="s">
        <v>73</v>
      </c>
      <c r="J76" s="3" t="s">
        <v>53</v>
      </c>
      <c r="K76" s="3" t="s">
        <v>317</v>
      </c>
      <c r="L76" s="6" t="s">
        <v>805</v>
      </c>
      <c r="M76" s="6" t="s">
        <v>311</v>
      </c>
      <c r="N76" s="3" t="s">
        <v>636</v>
      </c>
      <c r="O76" s="3" t="s">
        <v>62</v>
      </c>
      <c r="P76" s="3" t="s">
        <v>1219</v>
      </c>
      <c r="Q76" s="137">
        <v>1721</v>
      </c>
      <c r="R76" s="139">
        <v>1</v>
      </c>
      <c r="S76" s="140">
        <v>6127</v>
      </c>
      <c r="U76" s="137">
        <v>105.446</v>
      </c>
      <c r="V76" s="138">
        <v>2.3E-5</v>
      </c>
      <c r="W76" s="138">
        <v>1.0420685733189499E-2</v>
      </c>
      <c r="X76" s="138">
        <v>1.54587092771478E-3</v>
      </c>
    </row>
    <row r="77" spans="1:24" x14ac:dyDescent="0.2">
      <c r="A77" s="3">
        <v>13710</v>
      </c>
      <c r="B77" s="3">
        <v>13711</v>
      </c>
      <c r="C77" s="3" t="s">
        <v>2334</v>
      </c>
      <c r="D77" s="3" t="s">
        <v>2335</v>
      </c>
      <c r="E77" s="3" t="s">
        <v>767</v>
      </c>
      <c r="F77" s="3" t="s">
        <v>2735</v>
      </c>
      <c r="G77" s="3" t="s">
        <v>2736</v>
      </c>
      <c r="H77" s="3" t="s">
        <v>76</v>
      </c>
      <c r="I77" s="3" t="s">
        <v>73</v>
      </c>
      <c r="J77" s="3" t="s">
        <v>53</v>
      </c>
      <c r="K77" s="3" t="s">
        <v>53</v>
      </c>
      <c r="L77" s="6" t="s">
        <v>805</v>
      </c>
      <c r="M77" s="6" t="s">
        <v>311</v>
      </c>
      <c r="N77" s="3" t="s">
        <v>253</v>
      </c>
      <c r="O77" s="3" t="s">
        <v>62</v>
      </c>
      <c r="P77" s="3" t="s">
        <v>1219</v>
      </c>
      <c r="Q77" s="137">
        <v>474</v>
      </c>
      <c r="R77" s="139">
        <v>1</v>
      </c>
      <c r="S77" s="140">
        <v>9883</v>
      </c>
      <c r="U77" s="137">
        <v>46.844999999999999</v>
      </c>
      <c r="V77" s="138">
        <v>7.9999999999999996E-6</v>
      </c>
      <c r="W77" s="138">
        <v>4.6295063596188202E-3</v>
      </c>
      <c r="X77" s="138">
        <v>6.86770475018924E-4</v>
      </c>
    </row>
    <row r="78" spans="1:24" x14ac:dyDescent="0.2">
      <c r="A78" s="3">
        <v>13710</v>
      </c>
      <c r="B78" s="3">
        <v>13711</v>
      </c>
      <c r="C78" s="3" t="s">
        <v>2737</v>
      </c>
      <c r="D78" s="3" t="s">
        <v>2738</v>
      </c>
      <c r="E78" s="3" t="s">
        <v>1477</v>
      </c>
      <c r="F78" s="3" t="s">
        <v>2737</v>
      </c>
      <c r="G78" s="3" t="s">
        <v>2739</v>
      </c>
      <c r="H78" s="3" t="s">
        <v>76</v>
      </c>
      <c r="I78" s="3" t="s">
        <v>73</v>
      </c>
      <c r="J78" s="3" t="s">
        <v>53</v>
      </c>
      <c r="K78" s="3" t="s">
        <v>53</v>
      </c>
      <c r="L78" s="6" t="s">
        <v>805</v>
      </c>
      <c r="M78" s="6" t="s">
        <v>311</v>
      </c>
      <c r="N78" s="3" t="s">
        <v>71</v>
      </c>
      <c r="O78" s="3" t="s">
        <v>62</v>
      </c>
      <c r="P78" s="3" t="s">
        <v>1219</v>
      </c>
      <c r="Q78" s="137">
        <v>1399</v>
      </c>
      <c r="R78" s="139">
        <v>1</v>
      </c>
      <c r="S78" s="140">
        <v>2006</v>
      </c>
      <c r="U78" s="137">
        <v>28.064</v>
      </c>
      <c r="V78" s="138">
        <v>3.8999999999999999E-5</v>
      </c>
      <c r="W78" s="138">
        <v>2.7734235002260898E-3</v>
      </c>
      <c r="X78" s="138">
        <v>4.1142731572697101E-4</v>
      </c>
    </row>
    <row r="79" spans="1:24" x14ac:dyDescent="0.2">
      <c r="A79" s="3">
        <v>13710</v>
      </c>
      <c r="B79" s="3">
        <v>13711</v>
      </c>
      <c r="C79" s="3" t="s">
        <v>2740</v>
      </c>
      <c r="D79" s="3" t="s">
        <v>2741</v>
      </c>
      <c r="E79" s="3" t="s">
        <v>1477</v>
      </c>
      <c r="F79" s="3" t="s">
        <v>2742</v>
      </c>
      <c r="G79" s="3" t="s">
        <v>2743</v>
      </c>
      <c r="H79" s="3" t="s">
        <v>76</v>
      </c>
      <c r="I79" s="3" t="s">
        <v>73</v>
      </c>
      <c r="J79" s="3" t="s">
        <v>53</v>
      </c>
      <c r="K79" s="3" t="s">
        <v>53</v>
      </c>
      <c r="L79" s="6" t="s">
        <v>805</v>
      </c>
      <c r="M79" s="6" t="s">
        <v>311</v>
      </c>
      <c r="N79" s="3" t="s">
        <v>266</v>
      </c>
      <c r="O79" s="3" t="s">
        <v>62</v>
      </c>
      <c r="P79" s="3" t="s">
        <v>1219</v>
      </c>
      <c r="Q79" s="137">
        <v>2950</v>
      </c>
      <c r="R79" s="139">
        <v>1</v>
      </c>
      <c r="S79" s="140">
        <v>350.6</v>
      </c>
      <c r="U79" s="137">
        <v>10.343</v>
      </c>
      <c r="V79" s="138">
        <v>4.3999999999999999E-5</v>
      </c>
      <c r="W79" s="138">
        <v>1.02211903374182E-3</v>
      </c>
      <c r="X79" s="138">
        <v>1.51627650941719E-4</v>
      </c>
    </row>
    <row r="80" spans="1:24" x14ac:dyDescent="0.2">
      <c r="A80" s="3">
        <v>13710</v>
      </c>
      <c r="B80" s="3">
        <v>13711</v>
      </c>
      <c r="C80" s="3" t="s">
        <v>2057</v>
      </c>
      <c r="D80" s="3" t="s">
        <v>2058</v>
      </c>
      <c r="E80" s="3" t="s">
        <v>1477</v>
      </c>
      <c r="F80" s="3" t="s">
        <v>2744</v>
      </c>
      <c r="G80" s="3" t="s">
        <v>2745</v>
      </c>
      <c r="H80" s="3" t="s">
        <v>76</v>
      </c>
      <c r="I80" s="3" t="s">
        <v>73</v>
      </c>
      <c r="J80" s="3" t="s">
        <v>53</v>
      </c>
      <c r="K80" s="3" t="s">
        <v>53</v>
      </c>
      <c r="L80" s="6" t="s">
        <v>805</v>
      </c>
      <c r="M80" s="6" t="s">
        <v>311</v>
      </c>
      <c r="N80" s="3" t="s">
        <v>635</v>
      </c>
      <c r="O80" s="3" t="s">
        <v>62</v>
      </c>
      <c r="P80" s="3" t="s">
        <v>1219</v>
      </c>
      <c r="Q80" s="137">
        <v>531</v>
      </c>
      <c r="R80" s="139">
        <v>1</v>
      </c>
      <c r="S80" s="140">
        <v>30970</v>
      </c>
      <c r="U80" s="137">
        <v>164.45099999999999</v>
      </c>
      <c r="V80" s="138">
        <v>3.9999999999999998E-6</v>
      </c>
      <c r="W80" s="138">
        <v>1.6251867557036899E-2</v>
      </c>
      <c r="X80" s="138">
        <v>2.4109055988012201E-3</v>
      </c>
    </row>
    <row r="81" spans="1:24" x14ac:dyDescent="0.2">
      <c r="A81" s="3">
        <v>13710</v>
      </c>
      <c r="B81" s="3">
        <v>13711</v>
      </c>
      <c r="C81" s="3" t="s">
        <v>2068</v>
      </c>
      <c r="D81" s="3" t="s">
        <v>2069</v>
      </c>
      <c r="E81" s="3" t="s">
        <v>1477</v>
      </c>
      <c r="F81" s="3" t="s">
        <v>2746</v>
      </c>
      <c r="G81" s="3" t="s">
        <v>2747</v>
      </c>
      <c r="H81" s="3" t="s">
        <v>76</v>
      </c>
      <c r="I81" s="3" t="s">
        <v>73</v>
      </c>
      <c r="J81" s="3" t="s">
        <v>53</v>
      </c>
      <c r="K81" s="3" t="s">
        <v>53</v>
      </c>
      <c r="L81" s="6" t="s">
        <v>805</v>
      </c>
      <c r="M81" s="6" t="s">
        <v>1227</v>
      </c>
      <c r="N81" s="3" t="s">
        <v>140</v>
      </c>
      <c r="O81" s="3" t="s">
        <v>62</v>
      </c>
      <c r="P81" s="3" t="s">
        <v>1219</v>
      </c>
      <c r="Q81" s="137">
        <v>600</v>
      </c>
      <c r="R81" s="139">
        <v>1</v>
      </c>
      <c r="S81" s="140">
        <v>3825</v>
      </c>
      <c r="U81" s="137">
        <v>22.95</v>
      </c>
      <c r="V81" s="138">
        <v>7.9999999999999996E-6</v>
      </c>
      <c r="W81" s="138">
        <v>2.2680375360761402E-3</v>
      </c>
      <c r="X81" s="138">
        <v>3.36455141221582E-4</v>
      </c>
    </row>
    <row r="82" spans="1:24" x14ac:dyDescent="0.2">
      <c r="A82" s="3">
        <v>13710</v>
      </c>
      <c r="B82" s="3">
        <v>13711</v>
      </c>
      <c r="C82" s="3" t="s">
        <v>2748</v>
      </c>
      <c r="D82" s="3" t="s">
        <v>2749</v>
      </c>
      <c r="E82" s="3" t="s">
        <v>1477</v>
      </c>
      <c r="F82" s="3" t="s">
        <v>2750</v>
      </c>
      <c r="G82" s="3" t="s">
        <v>2751</v>
      </c>
      <c r="H82" s="3" t="s">
        <v>76</v>
      </c>
      <c r="I82" s="3" t="s">
        <v>73</v>
      </c>
      <c r="J82" s="3" t="s">
        <v>53</v>
      </c>
      <c r="K82" s="3" t="s">
        <v>53</v>
      </c>
      <c r="L82" s="6" t="s">
        <v>805</v>
      </c>
      <c r="M82" s="6" t="s">
        <v>311</v>
      </c>
      <c r="N82" s="3" t="s">
        <v>265</v>
      </c>
      <c r="O82" s="3" t="s">
        <v>62</v>
      </c>
      <c r="P82" s="3" t="s">
        <v>1219</v>
      </c>
      <c r="Q82" s="137">
        <v>1743</v>
      </c>
      <c r="R82" s="139">
        <v>1</v>
      </c>
      <c r="S82" s="140">
        <v>1010</v>
      </c>
      <c r="U82" s="137">
        <v>17.603999999999999</v>
      </c>
      <c r="V82" s="138">
        <v>1.5999999999999999E-5</v>
      </c>
      <c r="W82" s="138">
        <v>1.7397478516925999E-3</v>
      </c>
      <c r="X82" s="138">
        <v>2.5808528290226999E-4</v>
      </c>
    </row>
    <row r="83" spans="1:24" x14ac:dyDescent="0.2">
      <c r="A83" s="3">
        <v>13710</v>
      </c>
      <c r="B83" s="3">
        <v>13711</v>
      </c>
      <c r="C83" s="3" t="s">
        <v>2072</v>
      </c>
      <c r="D83" s="3" t="s">
        <v>2073</v>
      </c>
      <c r="E83" s="3" t="s">
        <v>1477</v>
      </c>
      <c r="F83" s="3" t="s">
        <v>2752</v>
      </c>
      <c r="G83" s="3" t="s">
        <v>2753</v>
      </c>
      <c r="H83" s="3" t="s">
        <v>76</v>
      </c>
      <c r="I83" s="3" t="s">
        <v>73</v>
      </c>
      <c r="J83" s="3" t="s">
        <v>53</v>
      </c>
      <c r="K83" s="3" t="s">
        <v>53</v>
      </c>
      <c r="L83" s="6" t="s">
        <v>805</v>
      </c>
      <c r="M83" s="6" t="s">
        <v>311</v>
      </c>
      <c r="N83" s="3" t="s">
        <v>256</v>
      </c>
      <c r="O83" s="3" t="s">
        <v>62</v>
      </c>
      <c r="P83" s="3" t="s">
        <v>1219</v>
      </c>
      <c r="Q83" s="137">
        <v>10684</v>
      </c>
      <c r="R83" s="139">
        <v>1</v>
      </c>
      <c r="S83" s="140">
        <v>6462</v>
      </c>
      <c r="U83" s="137">
        <v>690.4</v>
      </c>
      <c r="V83" s="138">
        <v>7.9999999999999996E-6</v>
      </c>
      <c r="W83" s="138">
        <v>6.8228901801741695E-2</v>
      </c>
      <c r="X83" s="138">
        <v>1.01215100834767E-2</v>
      </c>
    </row>
    <row r="84" spans="1:24" x14ac:dyDescent="0.2">
      <c r="A84" s="3">
        <v>13710</v>
      </c>
      <c r="B84" s="3">
        <v>13711</v>
      </c>
      <c r="C84" s="3" t="s">
        <v>2754</v>
      </c>
      <c r="D84" s="3" t="s">
        <v>2755</v>
      </c>
      <c r="E84" s="3" t="s">
        <v>1477</v>
      </c>
      <c r="F84" s="3" t="s">
        <v>2756</v>
      </c>
      <c r="G84" s="3" t="s">
        <v>2757</v>
      </c>
      <c r="H84" s="3" t="s">
        <v>76</v>
      </c>
      <c r="I84" s="3" t="s">
        <v>73</v>
      </c>
      <c r="J84" s="3" t="s">
        <v>53</v>
      </c>
      <c r="K84" s="3" t="s">
        <v>53</v>
      </c>
      <c r="L84" s="6" t="s">
        <v>805</v>
      </c>
      <c r="M84" s="6" t="s">
        <v>311</v>
      </c>
      <c r="N84" s="3" t="s">
        <v>634</v>
      </c>
      <c r="O84" s="3" t="s">
        <v>62</v>
      </c>
      <c r="P84" s="3" t="s">
        <v>1219</v>
      </c>
      <c r="Q84" s="137">
        <v>118</v>
      </c>
      <c r="R84" s="139">
        <v>1</v>
      </c>
      <c r="S84" s="140">
        <v>33720</v>
      </c>
      <c r="U84" s="137">
        <v>39.79</v>
      </c>
      <c r="V84" s="138">
        <v>9.0000000000000002E-6</v>
      </c>
      <c r="W84" s="138">
        <v>3.9322137841156998E-3</v>
      </c>
      <c r="X84" s="138">
        <v>5.8332965085621999E-4</v>
      </c>
    </row>
    <row r="85" spans="1:24" x14ac:dyDescent="0.2">
      <c r="A85" s="3">
        <v>13710</v>
      </c>
      <c r="B85" s="3">
        <v>13711</v>
      </c>
      <c r="C85" s="3" t="s">
        <v>2089</v>
      </c>
      <c r="D85" s="3" t="s">
        <v>2090</v>
      </c>
      <c r="E85" s="3" t="s">
        <v>1477</v>
      </c>
      <c r="F85" s="3" t="s">
        <v>2758</v>
      </c>
      <c r="G85" s="3" t="s">
        <v>2759</v>
      </c>
      <c r="H85" s="3" t="s">
        <v>76</v>
      </c>
      <c r="I85" s="3" t="s">
        <v>73</v>
      </c>
      <c r="J85" s="3" t="s">
        <v>53</v>
      </c>
      <c r="K85" s="3" t="s">
        <v>53</v>
      </c>
      <c r="L85" s="6" t="s">
        <v>805</v>
      </c>
      <c r="M85" s="6" t="s">
        <v>311</v>
      </c>
      <c r="N85" s="3" t="s">
        <v>252</v>
      </c>
      <c r="O85" s="3" t="s">
        <v>62</v>
      </c>
      <c r="P85" s="3" t="s">
        <v>1219</v>
      </c>
      <c r="Q85" s="137">
        <v>663</v>
      </c>
      <c r="R85" s="139">
        <v>1</v>
      </c>
      <c r="S85" s="140">
        <v>42880</v>
      </c>
      <c r="U85" s="137">
        <v>284.29399999999998</v>
      </c>
      <c r="V85" s="138">
        <v>4.1999999999999998E-5</v>
      </c>
      <c r="W85" s="138">
        <v>2.8095440980228498E-2</v>
      </c>
      <c r="X85" s="138">
        <v>4.1678567538346303E-3</v>
      </c>
    </row>
    <row r="86" spans="1:24" x14ac:dyDescent="0.2">
      <c r="A86" s="3">
        <v>13710</v>
      </c>
      <c r="B86" s="3">
        <v>13711</v>
      </c>
      <c r="C86" s="3" t="s">
        <v>2760</v>
      </c>
      <c r="D86" s="3" t="s">
        <v>2761</v>
      </c>
      <c r="E86" s="3" t="s">
        <v>1477</v>
      </c>
      <c r="F86" s="3" t="s">
        <v>2762</v>
      </c>
      <c r="G86" s="3" t="s">
        <v>2763</v>
      </c>
      <c r="H86" s="3" t="s">
        <v>76</v>
      </c>
      <c r="I86" s="3" t="s">
        <v>73</v>
      </c>
      <c r="J86" s="3" t="s">
        <v>53</v>
      </c>
      <c r="K86" s="3" t="s">
        <v>53</v>
      </c>
      <c r="L86" s="6" t="s">
        <v>805</v>
      </c>
      <c r="M86" s="6" t="s">
        <v>311</v>
      </c>
      <c r="N86" s="3" t="s">
        <v>156</v>
      </c>
      <c r="O86" s="3" t="s">
        <v>62</v>
      </c>
      <c r="P86" s="3" t="s">
        <v>1219</v>
      </c>
      <c r="Q86" s="137">
        <v>563</v>
      </c>
      <c r="R86" s="139">
        <v>1</v>
      </c>
      <c r="S86" s="140">
        <v>6455</v>
      </c>
      <c r="U86" s="137">
        <v>36.341999999999999</v>
      </c>
      <c r="V86" s="138">
        <v>4.5000000000000003E-5</v>
      </c>
      <c r="W86" s="138">
        <v>3.5914695565551899E-3</v>
      </c>
      <c r="X86" s="138">
        <v>5.3278148073966397E-4</v>
      </c>
    </row>
    <row r="87" spans="1:24" x14ac:dyDescent="0.2">
      <c r="A87" s="3">
        <v>13710</v>
      </c>
      <c r="B87" s="3">
        <v>13711</v>
      </c>
      <c r="C87" s="3" t="s">
        <v>2764</v>
      </c>
      <c r="D87" s="3" t="s">
        <v>2765</v>
      </c>
      <c r="E87" s="3" t="s">
        <v>1477</v>
      </c>
      <c r="F87" s="3" t="s">
        <v>2766</v>
      </c>
      <c r="G87" s="3" t="s">
        <v>2767</v>
      </c>
      <c r="H87" s="3" t="s">
        <v>76</v>
      </c>
      <c r="I87" s="3" t="s">
        <v>73</v>
      </c>
      <c r="J87" s="3" t="s">
        <v>53</v>
      </c>
      <c r="K87" s="3" t="s">
        <v>53</v>
      </c>
      <c r="L87" s="6" t="s">
        <v>805</v>
      </c>
      <c r="M87" s="6" t="s">
        <v>311</v>
      </c>
      <c r="N87" s="3" t="s">
        <v>156</v>
      </c>
      <c r="O87" s="3" t="s">
        <v>62</v>
      </c>
      <c r="P87" s="3" t="s">
        <v>1219</v>
      </c>
      <c r="Q87" s="137">
        <v>55</v>
      </c>
      <c r="R87" s="139">
        <v>1</v>
      </c>
      <c r="S87" s="140">
        <v>61570</v>
      </c>
      <c r="T87" s="131">
        <v>0.66700000000000004</v>
      </c>
      <c r="U87" s="137">
        <v>34.530999999999999</v>
      </c>
      <c r="V87" s="138">
        <v>3.9999999999999998E-6</v>
      </c>
      <c r="W87" s="138">
        <v>3.4125100300648101E-3</v>
      </c>
      <c r="X87" s="138">
        <v>5.0623348415648598E-4</v>
      </c>
    </row>
    <row r="88" spans="1:24" x14ac:dyDescent="0.2">
      <c r="A88" s="3">
        <v>13710</v>
      </c>
      <c r="B88" s="3">
        <v>13711</v>
      </c>
      <c r="C88" s="3" t="s">
        <v>2768</v>
      </c>
      <c r="D88" s="3" t="s">
        <v>2769</v>
      </c>
      <c r="E88" s="3" t="s">
        <v>1477</v>
      </c>
      <c r="F88" s="3" t="s">
        <v>2770</v>
      </c>
      <c r="G88" s="3" t="s">
        <v>2771</v>
      </c>
      <c r="H88" s="3" t="s">
        <v>76</v>
      </c>
      <c r="I88" s="3" t="s">
        <v>73</v>
      </c>
      <c r="J88" s="3" t="s">
        <v>53</v>
      </c>
      <c r="K88" s="3" t="s">
        <v>53</v>
      </c>
      <c r="L88" s="6" t="s">
        <v>805</v>
      </c>
      <c r="M88" s="6" t="s">
        <v>311</v>
      </c>
      <c r="N88" s="3" t="s">
        <v>256</v>
      </c>
      <c r="O88" s="3" t="s">
        <v>62</v>
      </c>
      <c r="P88" s="3" t="s">
        <v>1219</v>
      </c>
      <c r="Q88" s="137">
        <v>1126</v>
      </c>
      <c r="R88" s="139">
        <v>1</v>
      </c>
      <c r="S88" s="140">
        <v>25090</v>
      </c>
      <c r="U88" s="137">
        <v>282.51299999999998</v>
      </c>
      <c r="V88" s="138">
        <v>3.1999999999999999E-5</v>
      </c>
      <c r="W88" s="138">
        <v>2.7919433361415801E-2</v>
      </c>
      <c r="X88" s="138">
        <v>4.1417466620474602E-3</v>
      </c>
    </row>
    <row r="89" spans="1:24" x14ac:dyDescent="0.2">
      <c r="A89" s="3">
        <v>13710</v>
      </c>
      <c r="B89" s="3">
        <v>13711</v>
      </c>
      <c r="C89" s="3" t="s">
        <v>2772</v>
      </c>
      <c r="D89" s="3" t="s">
        <v>2773</v>
      </c>
      <c r="E89" s="3" t="s">
        <v>1477</v>
      </c>
      <c r="F89" s="3" t="s">
        <v>2774</v>
      </c>
      <c r="G89" s="3" t="s">
        <v>2775</v>
      </c>
      <c r="H89" s="3" t="s">
        <v>76</v>
      </c>
      <c r="I89" s="3" t="s">
        <v>73</v>
      </c>
      <c r="J89" s="3" t="s">
        <v>53</v>
      </c>
      <c r="K89" s="3" t="s">
        <v>53</v>
      </c>
      <c r="L89" s="6" t="s">
        <v>805</v>
      </c>
      <c r="M89" s="6" t="s">
        <v>311</v>
      </c>
      <c r="N89" s="3" t="s">
        <v>255</v>
      </c>
      <c r="O89" s="3" t="s">
        <v>62</v>
      </c>
      <c r="P89" s="3" t="s">
        <v>1219</v>
      </c>
      <c r="Q89" s="137">
        <v>674</v>
      </c>
      <c r="R89" s="139">
        <v>1</v>
      </c>
      <c r="S89" s="140">
        <v>89.1</v>
      </c>
      <c r="U89" s="137">
        <v>0.60099999999999998</v>
      </c>
      <c r="V89" s="138">
        <v>7.9999999999999996E-6</v>
      </c>
      <c r="W89" s="138">
        <v>5.9347871620477101E-5</v>
      </c>
      <c r="X89" s="138">
        <v>8.8040414718240192E-6</v>
      </c>
    </row>
    <row r="90" spans="1:24" x14ac:dyDescent="0.2">
      <c r="A90" s="3">
        <v>13710</v>
      </c>
      <c r="B90" s="3">
        <v>13711</v>
      </c>
      <c r="C90" s="3" t="s">
        <v>2776</v>
      </c>
      <c r="D90" s="3" t="s">
        <v>2777</v>
      </c>
      <c r="E90" s="3" t="s">
        <v>1477</v>
      </c>
      <c r="F90" s="3" t="s">
        <v>2778</v>
      </c>
      <c r="G90" s="3" t="s">
        <v>2779</v>
      </c>
      <c r="H90" s="3" t="s">
        <v>76</v>
      </c>
      <c r="I90" s="3" t="s">
        <v>73</v>
      </c>
      <c r="J90" s="3" t="s">
        <v>53</v>
      </c>
      <c r="K90" s="3" t="s">
        <v>53</v>
      </c>
      <c r="L90" s="6" t="s">
        <v>805</v>
      </c>
      <c r="M90" s="6" t="s">
        <v>311</v>
      </c>
      <c r="N90" s="3" t="s">
        <v>637</v>
      </c>
      <c r="O90" s="3" t="s">
        <v>62</v>
      </c>
      <c r="P90" s="3" t="s">
        <v>1219</v>
      </c>
      <c r="Q90" s="137">
        <v>1759</v>
      </c>
      <c r="R90" s="139">
        <v>1</v>
      </c>
      <c r="S90" s="140">
        <v>1256</v>
      </c>
      <c r="U90" s="137">
        <v>22.093</v>
      </c>
      <c r="V90" s="138">
        <v>2.4000000000000001E-5</v>
      </c>
      <c r="W90" s="138">
        <v>2.1833483227028999E-3</v>
      </c>
      <c r="X90" s="138">
        <v>3.23891803625885E-4</v>
      </c>
    </row>
    <row r="91" spans="1:24" x14ac:dyDescent="0.2">
      <c r="A91" s="3">
        <v>13710</v>
      </c>
      <c r="B91" s="3">
        <v>13711</v>
      </c>
      <c r="C91" s="3" t="s">
        <v>2780</v>
      </c>
      <c r="D91" s="3" t="s">
        <v>2781</v>
      </c>
      <c r="E91" s="3" t="s">
        <v>1477</v>
      </c>
      <c r="F91" s="3" t="s">
        <v>2782</v>
      </c>
      <c r="G91" s="3" t="s">
        <v>2783</v>
      </c>
      <c r="H91" s="3" t="s">
        <v>76</v>
      </c>
      <c r="I91" s="3" t="s">
        <v>73</v>
      </c>
      <c r="J91" s="3" t="s">
        <v>53</v>
      </c>
      <c r="K91" s="3" t="s">
        <v>53</v>
      </c>
      <c r="L91" s="6" t="s">
        <v>805</v>
      </c>
      <c r="M91" s="6" t="s">
        <v>311</v>
      </c>
      <c r="N91" s="3" t="s">
        <v>260</v>
      </c>
      <c r="O91" s="3" t="s">
        <v>62</v>
      </c>
      <c r="P91" s="3" t="s">
        <v>1219</v>
      </c>
      <c r="Q91" s="137">
        <v>720</v>
      </c>
      <c r="R91" s="139">
        <v>1</v>
      </c>
      <c r="S91" s="140">
        <v>2555</v>
      </c>
      <c r="U91" s="137">
        <v>18.396000000000001</v>
      </c>
      <c r="V91" s="138">
        <v>3.9999999999999998E-6</v>
      </c>
      <c r="W91" s="138">
        <v>1.8179877347998599E-3</v>
      </c>
      <c r="X91" s="138">
        <v>2.6969188574780899E-4</v>
      </c>
    </row>
    <row r="92" spans="1:24" x14ac:dyDescent="0.2">
      <c r="A92" s="3">
        <v>13710</v>
      </c>
      <c r="B92" s="3">
        <v>13711</v>
      </c>
      <c r="C92" s="3" t="s">
        <v>2103</v>
      </c>
      <c r="D92" s="3" t="s">
        <v>2104</v>
      </c>
      <c r="E92" s="3" t="s">
        <v>1477</v>
      </c>
      <c r="F92" s="3" t="s">
        <v>2784</v>
      </c>
      <c r="G92" s="3" t="s">
        <v>2785</v>
      </c>
      <c r="H92" s="3" t="s">
        <v>76</v>
      </c>
      <c r="I92" s="3" t="s">
        <v>73</v>
      </c>
      <c r="J92" s="3" t="s">
        <v>53</v>
      </c>
      <c r="K92" s="3" t="s">
        <v>317</v>
      </c>
      <c r="L92" s="6" t="s">
        <v>805</v>
      </c>
      <c r="M92" s="6" t="s">
        <v>311</v>
      </c>
      <c r="N92" s="3" t="s">
        <v>254</v>
      </c>
      <c r="O92" s="3" t="s">
        <v>62</v>
      </c>
      <c r="P92" s="3" t="s">
        <v>1219</v>
      </c>
      <c r="Q92" s="137">
        <v>613</v>
      </c>
      <c r="R92" s="139">
        <v>1</v>
      </c>
      <c r="S92" s="140">
        <v>19820</v>
      </c>
      <c r="U92" s="137">
        <v>121.497</v>
      </c>
      <c r="V92" s="138">
        <v>4.6999999999999997E-5</v>
      </c>
      <c r="W92" s="138">
        <v>1.2006921538371599E-2</v>
      </c>
      <c r="X92" s="138">
        <v>1.7811832553787401E-3</v>
      </c>
    </row>
    <row r="93" spans="1:24" x14ac:dyDescent="0.2">
      <c r="A93" s="3">
        <v>13710</v>
      </c>
      <c r="B93" s="3">
        <v>13711</v>
      </c>
      <c r="C93" s="3" t="s">
        <v>2111</v>
      </c>
      <c r="D93" s="3" t="s">
        <v>2112</v>
      </c>
      <c r="E93" s="3" t="s">
        <v>1477</v>
      </c>
      <c r="F93" s="3" t="s">
        <v>2786</v>
      </c>
      <c r="G93" s="3" t="s">
        <v>2787</v>
      </c>
      <c r="H93" s="3" t="s">
        <v>76</v>
      </c>
      <c r="I93" s="3" t="s">
        <v>73</v>
      </c>
      <c r="J93" s="3" t="s">
        <v>53</v>
      </c>
      <c r="K93" s="3" t="s">
        <v>53</v>
      </c>
      <c r="L93" s="6" t="s">
        <v>805</v>
      </c>
      <c r="M93" s="6" t="s">
        <v>311</v>
      </c>
      <c r="N93" s="3" t="s">
        <v>140</v>
      </c>
      <c r="O93" s="3" t="s">
        <v>62</v>
      </c>
      <c r="P93" s="3" t="s">
        <v>1219</v>
      </c>
      <c r="Q93" s="137">
        <v>373</v>
      </c>
      <c r="R93" s="139">
        <v>1</v>
      </c>
      <c r="S93" s="140">
        <v>11810</v>
      </c>
      <c r="U93" s="137">
        <v>44.051000000000002</v>
      </c>
      <c r="V93" s="138">
        <v>1.5999999999999999E-5</v>
      </c>
      <c r="W93" s="138">
        <v>4.3533769896710699E-3</v>
      </c>
      <c r="X93" s="138">
        <v>6.4580768464027295E-4</v>
      </c>
    </row>
    <row r="94" spans="1:24" x14ac:dyDescent="0.2">
      <c r="A94" s="3">
        <v>13710</v>
      </c>
      <c r="B94" s="3">
        <v>13711</v>
      </c>
      <c r="C94" s="3" t="s">
        <v>2122</v>
      </c>
      <c r="D94" s="3" t="s">
        <v>2123</v>
      </c>
      <c r="E94" s="3" t="s">
        <v>1477</v>
      </c>
      <c r="F94" s="3" t="s">
        <v>2788</v>
      </c>
      <c r="G94" s="3" t="s">
        <v>2789</v>
      </c>
      <c r="H94" s="3" t="s">
        <v>76</v>
      </c>
      <c r="I94" s="3" t="s">
        <v>73</v>
      </c>
      <c r="J94" s="3" t="s">
        <v>53</v>
      </c>
      <c r="K94" s="3" t="s">
        <v>53</v>
      </c>
      <c r="L94" s="6" t="s">
        <v>805</v>
      </c>
      <c r="M94" s="6" t="s">
        <v>311</v>
      </c>
      <c r="N94" s="3" t="s">
        <v>259</v>
      </c>
      <c r="O94" s="3" t="s">
        <v>62</v>
      </c>
      <c r="P94" s="3" t="s">
        <v>1219</v>
      </c>
      <c r="Q94" s="137">
        <v>146</v>
      </c>
      <c r="R94" s="139">
        <v>1</v>
      </c>
      <c r="S94" s="140">
        <v>58480</v>
      </c>
      <c r="U94" s="137">
        <v>85.381</v>
      </c>
      <c r="V94" s="138">
        <v>9.0000000000000002E-6</v>
      </c>
      <c r="W94" s="138">
        <v>8.4377716453250505E-3</v>
      </c>
      <c r="X94" s="138">
        <v>1.2517128157565E-3</v>
      </c>
    </row>
    <row r="95" spans="1:24" x14ac:dyDescent="0.2">
      <c r="A95" s="3">
        <v>13710</v>
      </c>
      <c r="B95" s="3">
        <v>13711</v>
      </c>
      <c r="C95" s="3" t="s">
        <v>2790</v>
      </c>
      <c r="D95" s="3" t="s">
        <v>2791</v>
      </c>
      <c r="E95" s="3" t="s">
        <v>1477</v>
      </c>
      <c r="F95" s="3" t="s">
        <v>2792</v>
      </c>
      <c r="G95" s="3" t="s">
        <v>2793</v>
      </c>
      <c r="H95" s="3" t="s">
        <v>76</v>
      </c>
      <c r="I95" s="3" t="s">
        <v>73</v>
      </c>
      <c r="J95" s="3" t="s">
        <v>53</v>
      </c>
      <c r="K95" s="3" t="s">
        <v>314</v>
      </c>
      <c r="L95" s="6" t="s">
        <v>805</v>
      </c>
      <c r="M95" s="6" t="s">
        <v>311</v>
      </c>
      <c r="N95" s="3" t="s">
        <v>254</v>
      </c>
      <c r="O95" s="3" t="s">
        <v>62</v>
      </c>
      <c r="P95" s="3" t="s">
        <v>1219</v>
      </c>
      <c r="Q95" s="137">
        <v>309</v>
      </c>
      <c r="R95" s="139">
        <v>1</v>
      </c>
      <c r="S95" s="140">
        <v>38800</v>
      </c>
      <c r="U95" s="137">
        <v>119.892</v>
      </c>
      <c r="V95" s="138">
        <v>6.7000000000000002E-5</v>
      </c>
      <c r="W95" s="138">
        <v>1.1848346678659701E-2</v>
      </c>
      <c r="X95" s="138">
        <v>1.75765925016723E-3</v>
      </c>
    </row>
    <row r="96" spans="1:24" x14ac:dyDescent="0.2">
      <c r="A96" s="3">
        <v>13710</v>
      </c>
      <c r="B96" s="3">
        <v>13711</v>
      </c>
      <c r="C96" s="3" t="s">
        <v>2794</v>
      </c>
      <c r="D96" s="3" t="s">
        <v>2795</v>
      </c>
      <c r="E96" s="3" t="s">
        <v>1477</v>
      </c>
      <c r="F96" s="3" t="s">
        <v>2796</v>
      </c>
      <c r="G96" s="3" t="s">
        <v>2797</v>
      </c>
      <c r="H96" s="3" t="s">
        <v>76</v>
      </c>
      <c r="I96" s="3" t="s">
        <v>73</v>
      </c>
      <c r="J96" s="3" t="s">
        <v>53</v>
      </c>
      <c r="K96" s="3" t="s">
        <v>317</v>
      </c>
      <c r="L96" s="6" t="s">
        <v>805</v>
      </c>
      <c r="M96" s="6" t="s">
        <v>311</v>
      </c>
      <c r="N96" s="3" t="s">
        <v>254</v>
      </c>
      <c r="O96" s="3" t="s">
        <v>62</v>
      </c>
      <c r="P96" s="3" t="s">
        <v>1219</v>
      </c>
      <c r="Q96" s="137">
        <v>230</v>
      </c>
      <c r="R96" s="139">
        <v>1</v>
      </c>
      <c r="S96" s="140">
        <v>29040</v>
      </c>
      <c r="U96" s="137">
        <v>66.792000000000002</v>
      </c>
      <c r="V96" s="138">
        <v>5.0000000000000004E-6</v>
      </c>
      <c r="W96" s="138">
        <v>6.6007304187188504E-3</v>
      </c>
      <c r="X96" s="138">
        <v>9.7919441361533194E-4</v>
      </c>
    </row>
    <row r="97" spans="1:24" x14ac:dyDescent="0.2">
      <c r="A97" s="3">
        <v>13710</v>
      </c>
      <c r="B97" s="3">
        <v>13711</v>
      </c>
      <c r="C97" s="3" t="s">
        <v>2798</v>
      </c>
      <c r="D97" s="3" t="s">
        <v>2799</v>
      </c>
      <c r="E97" s="3" t="s">
        <v>430</v>
      </c>
      <c r="F97" s="3" t="s">
        <v>2800</v>
      </c>
      <c r="G97" s="3" t="s">
        <v>2801</v>
      </c>
      <c r="H97" s="3" t="s">
        <v>76</v>
      </c>
      <c r="I97" s="3" t="s">
        <v>73</v>
      </c>
      <c r="J97" s="3" t="s">
        <v>53</v>
      </c>
      <c r="K97" s="3" t="s">
        <v>53</v>
      </c>
      <c r="L97" s="6" t="s">
        <v>805</v>
      </c>
      <c r="M97" s="6" t="s">
        <v>311</v>
      </c>
      <c r="N97" s="3" t="s">
        <v>692</v>
      </c>
      <c r="O97" s="3" t="s">
        <v>62</v>
      </c>
      <c r="P97" s="3" t="s">
        <v>1219</v>
      </c>
      <c r="Q97" s="137">
        <v>1254</v>
      </c>
      <c r="R97" s="139">
        <v>1</v>
      </c>
      <c r="S97" s="140">
        <v>13890</v>
      </c>
      <c r="U97" s="137">
        <v>174.18100000000001</v>
      </c>
      <c r="V97" s="138">
        <v>2.4000000000000001E-5</v>
      </c>
      <c r="W97" s="138">
        <v>1.7213426529684699E-2</v>
      </c>
      <c r="X97" s="138">
        <v>2.5535493843598998E-3</v>
      </c>
    </row>
    <row r="98" spans="1:24" x14ac:dyDescent="0.2">
      <c r="A98" s="3">
        <v>13710</v>
      </c>
      <c r="B98" s="3">
        <v>13711</v>
      </c>
      <c r="C98" s="3" t="s">
        <v>2802</v>
      </c>
      <c r="D98" s="3" t="s">
        <v>2803</v>
      </c>
      <c r="E98" s="3" t="s">
        <v>1477</v>
      </c>
      <c r="F98" s="3" t="s">
        <v>2804</v>
      </c>
      <c r="G98" s="3" t="s">
        <v>2805</v>
      </c>
      <c r="H98" s="3" t="s">
        <v>76</v>
      </c>
      <c r="I98" s="3" t="s">
        <v>73</v>
      </c>
      <c r="J98" s="3" t="s">
        <v>53</v>
      </c>
      <c r="K98" s="3" t="s">
        <v>53</v>
      </c>
      <c r="L98" s="6" t="s">
        <v>805</v>
      </c>
      <c r="M98" s="6" t="s">
        <v>311</v>
      </c>
      <c r="N98" s="3" t="s">
        <v>261</v>
      </c>
      <c r="O98" s="3" t="s">
        <v>62</v>
      </c>
      <c r="P98" s="3" t="s">
        <v>1219</v>
      </c>
      <c r="Q98" s="137">
        <v>209</v>
      </c>
      <c r="R98" s="139">
        <v>1</v>
      </c>
      <c r="S98" s="140">
        <v>8117</v>
      </c>
      <c r="U98" s="137">
        <v>16.965</v>
      </c>
      <c r="V98" s="138">
        <v>1.7E-5</v>
      </c>
      <c r="W98" s="138">
        <v>1.6765224758993401E-3</v>
      </c>
      <c r="X98" s="138">
        <v>2.4870602775197201E-4</v>
      </c>
    </row>
    <row r="99" spans="1:24" x14ac:dyDescent="0.2">
      <c r="A99" s="3">
        <v>13710</v>
      </c>
      <c r="B99" s="3">
        <v>13711</v>
      </c>
      <c r="C99" s="3" t="s">
        <v>2806</v>
      </c>
      <c r="D99" s="3" t="s">
        <v>2807</v>
      </c>
      <c r="E99" s="3" t="s">
        <v>1477</v>
      </c>
      <c r="F99" s="3" t="s">
        <v>2808</v>
      </c>
      <c r="G99" s="3" t="s">
        <v>2809</v>
      </c>
      <c r="H99" s="3" t="s">
        <v>76</v>
      </c>
      <c r="I99" s="3" t="s">
        <v>73</v>
      </c>
      <c r="J99" s="3" t="s">
        <v>53</v>
      </c>
      <c r="K99" s="3" t="s">
        <v>53</v>
      </c>
      <c r="L99" s="6" t="s">
        <v>805</v>
      </c>
      <c r="M99" s="6" t="s">
        <v>311</v>
      </c>
      <c r="N99" s="3" t="s">
        <v>265</v>
      </c>
      <c r="O99" s="3" t="s">
        <v>62</v>
      </c>
      <c r="P99" s="3" t="s">
        <v>1219</v>
      </c>
      <c r="Q99" s="137">
        <v>525</v>
      </c>
      <c r="R99" s="139">
        <v>1</v>
      </c>
      <c r="S99" s="140">
        <v>212.9</v>
      </c>
      <c r="U99" s="137">
        <v>1.1180000000000001</v>
      </c>
      <c r="V99" s="138">
        <v>6.0000000000000002E-6</v>
      </c>
      <c r="W99" s="138">
        <v>1.10459357516806E-4</v>
      </c>
      <c r="X99" s="138">
        <v>1.6386244998775301E-5</v>
      </c>
    </row>
    <row r="100" spans="1:24" x14ac:dyDescent="0.2">
      <c r="A100" s="3">
        <v>13710</v>
      </c>
      <c r="B100" s="3">
        <v>13711</v>
      </c>
      <c r="C100" s="3" t="s">
        <v>2157</v>
      </c>
      <c r="D100" s="3" t="s">
        <v>2158</v>
      </c>
      <c r="E100" s="3" t="s">
        <v>1477</v>
      </c>
      <c r="F100" s="3" t="s">
        <v>2810</v>
      </c>
      <c r="G100" s="3" t="s">
        <v>2811</v>
      </c>
      <c r="H100" s="3" t="s">
        <v>76</v>
      </c>
      <c r="I100" s="3" t="s">
        <v>73</v>
      </c>
      <c r="J100" s="3" t="s">
        <v>53</v>
      </c>
      <c r="K100" s="3" t="s">
        <v>53</v>
      </c>
      <c r="L100" s="6" t="s">
        <v>805</v>
      </c>
      <c r="M100" s="6" t="s">
        <v>311</v>
      </c>
      <c r="N100" s="3" t="s">
        <v>635</v>
      </c>
      <c r="O100" s="3" t="s">
        <v>62</v>
      </c>
      <c r="P100" s="3" t="s">
        <v>1219</v>
      </c>
      <c r="Q100" s="137">
        <v>1674</v>
      </c>
      <c r="R100" s="139">
        <v>1</v>
      </c>
      <c r="S100" s="140">
        <v>2261</v>
      </c>
      <c r="U100" s="137">
        <v>37.848999999999997</v>
      </c>
      <c r="V100" s="138">
        <v>9.0000000000000002E-6</v>
      </c>
      <c r="W100" s="138">
        <v>3.7404475044967699E-3</v>
      </c>
      <c r="X100" s="138">
        <v>5.5488181890263203E-4</v>
      </c>
    </row>
    <row r="101" spans="1:24" x14ac:dyDescent="0.2">
      <c r="A101" s="3">
        <v>13710</v>
      </c>
      <c r="B101" s="3">
        <v>13711</v>
      </c>
      <c r="C101" s="3" t="s">
        <v>2812</v>
      </c>
      <c r="D101" s="3" t="s">
        <v>2813</v>
      </c>
      <c r="E101" s="3" t="s">
        <v>1477</v>
      </c>
      <c r="F101" s="3" t="s">
        <v>2814</v>
      </c>
      <c r="G101" s="3" t="s">
        <v>2815</v>
      </c>
      <c r="H101" s="3" t="s">
        <v>76</v>
      </c>
      <c r="I101" s="3" t="s">
        <v>73</v>
      </c>
      <c r="J101" s="3" t="s">
        <v>53</v>
      </c>
      <c r="K101" s="3" t="s">
        <v>53</v>
      </c>
      <c r="L101" s="6" t="s">
        <v>805</v>
      </c>
      <c r="M101" s="6" t="s">
        <v>311</v>
      </c>
      <c r="N101" s="3" t="s">
        <v>634</v>
      </c>
      <c r="O101" s="3" t="s">
        <v>62</v>
      </c>
      <c r="P101" s="3" t="s">
        <v>1219</v>
      </c>
      <c r="Q101" s="137">
        <v>250</v>
      </c>
      <c r="R101" s="139">
        <v>1</v>
      </c>
      <c r="S101" s="140">
        <v>6518</v>
      </c>
      <c r="U101" s="137">
        <v>16.295000000000002</v>
      </c>
      <c r="V101" s="138">
        <v>5.0000000000000004E-6</v>
      </c>
      <c r="W101" s="138">
        <v>1.6103560631965501E-3</v>
      </c>
      <c r="X101" s="138">
        <v>2.3889048044469199E-4</v>
      </c>
    </row>
    <row r="102" spans="1:24" x14ac:dyDescent="0.2">
      <c r="A102" s="3">
        <v>13710</v>
      </c>
      <c r="B102" s="3">
        <v>13711</v>
      </c>
      <c r="C102" s="3" t="s">
        <v>2816</v>
      </c>
      <c r="D102" s="3" t="s">
        <v>2817</v>
      </c>
      <c r="E102" s="3" t="s">
        <v>1477</v>
      </c>
      <c r="F102" s="3" t="s">
        <v>2818</v>
      </c>
      <c r="G102" s="3" t="s">
        <v>2819</v>
      </c>
      <c r="H102" s="3" t="s">
        <v>76</v>
      </c>
      <c r="I102" s="3" t="s">
        <v>73</v>
      </c>
      <c r="J102" s="3" t="s">
        <v>53</v>
      </c>
      <c r="K102" s="3" t="s">
        <v>53</v>
      </c>
      <c r="L102" s="6" t="s">
        <v>805</v>
      </c>
      <c r="M102" s="6" t="s">
        <v>311</v>
      </c>
      <c r="N102" s="3" t="s">
        <v>265</v>
      </c>
      <c r="O102" s="3" t="s">
        <v>62</v>
      </c>
      <c r="P102" s="3" t="s">
        <v>1219</v>
      </c>
      <c r="Q102" s="137">
        <v>1081</v>
      </c>
      <c r="R102" s="139">
        <v>1</v>
      </c>
      <c r="S102" s="140">
        <v>1420</v>
      </c>
      <c r="U102" s="137">
        <v>15.35</v>
      </c>
      <c r="V102" s="138">
        <v>6.3E-5</v>
      </c>
      <c r="W102" s="138">
        <v>1.5169860473322899E-3</v>
      </c>
      <c r="X102" s="138">
        <v>2.2503937728886799E-4</v>
      </c>
    </row>
    <row r="103" spans="1:24" x14ac:dyDescent="0.2">
      <c r="A103" s="3">
        <v>13710</v>
      </c>
      <c r="B103" s="3">
        <v>13711</v>
      </c>
      <c r="C103" s="3" t="s">
        <v>2820</v>
      </c>
      <c r="D103" s="3" t="s">
        <v>2821</v>
      </c>
      <c r="E103" s="3" t="s">
        <v>1477</v>
      </c>
      <c r="F103" s="3" t="s">
        <v>2822</v>
      </c>
      <c r="G103" s="3" t="s">
        <v>2823</v>
      </c>
      <c r="H103" s="3" t="s">
        <v>76</v>
      </c>
      <c r="I103" s="3" t="s">
        <v>73</v>
      </c>
      <c r="J103" s="3" t="s">
        <v>53</v>
      </c>
      <c r="K103" s="3" t="s">
        <v>53</v>
      </c>
      <c r="L103" s="6" t="s">
        <v>805</v>
      </c>
      <c r="M103" s="6" t="s">
        <v>311</v>
      </c>
      <c r="N103" s="3" t="s">
        <v>634</v>
      </c>
      <c r="O103" s="3" t="s">
        <v>62</v>
      </c>
      <c r="P103" s="3" t="s">
        <v>1219</v>
      </c>
      <c r="Q103" s="137">
        <v>209</v>
      </c>
      <c r="R103" s="139">
        <v>1</v>
      </c>
      <c r="S103" s="140">
        <v>32510</v>
      </c>
      <c r="U103" s="137">
        <v>67.945999999999998</v>
      </c>
      <c r="V103" s="138">
        <v>1.5E-5</v>
      </c>
      <c r="W103" s="138">
        <v>6.7147647765784697E-3</v>
      </c>
      <c r="X103" s="138">
        <v>9.9611099694672995E-4</v>
      </c>
    </row>
    <row r="104" spans="1:24" x14ac:dyDescent="0.2">
      <c r="A104" s="3">
        <v>13710</v>
      </c>
      <c r="B104" s="3">
        <v>13711</v>
      </c>
      <c r="C104" s="3" t="s">
        <v>2824</v>
      </c>
      <c r="D104" s="3" t="s">
        <v>2825</v>
      </c>
      <c r="E104" s="3" t="s">
        <v>1477</v>
      </c>
      <c r="F104" s="3" t="s">
        <v>2826</v>
      </c>
      <c r="G104" s="3" t="s">
        <v>2827</v>
      </c>
      <c r="H104" s="3" t="s">
        <v>76</v>
      </c>
      <c r="I104" s="3" t="s">
        <v>73</v>
      </c>
      <c r="J104" s="3" t="s">
        <v>53</v>
      </c>
      <c r="K104" s="3" t="s">
        <v>53</v>
      </c>
      <c r="L104" s="6" t="s">
        <v>805</v>
      </c>
      <c r="M104" s="6" t="s">
        <v>311</v>
      </c>
      <c r="N104" s="3" t="s">
        <v>634</v>
      </c>
      <c r="O104" s="3" t="s">
        <v>62</v>
      </c>
      <c r="P104" s="3" t="s">
        <v>1219</v>
      </c>
      <c r="Q104" s="137">
        <v>1883</v>
      </c>
      <c r="R104" s="139">
        <v>1</v>
      </c>
      <c r="S104" s="140">
        <v>3869</v>
      </c>
      <c r="U104" s="137">
        <v>72.852999999999994</v>
      </c>
      <c r="V104" s="138">
        <v>6.9999999999999999E-6</v>
      </c>
      <c r="W104" s="138">
        <v>7.1997364264004297E-3</v>
      </c>
      <c r="X104" s="138">
        <v>1.0680547819740299E-3</v>
      </c>
    </row>
    <row r="105" spans="1:24" x14ac:dyDescent="0.2">
      <c r="A105" s="3">
        <v>13710</v>
      </c>
      <c r="B105" s="3">
        <v>13711</v>
      </c>
      <c r="C105" s="3" t="s">
        <v>2174</v>
      </c>
      <c r="D105" s="3" t="s">
        <v>2175</v>
      </c>
      <c r="E105" s="3" t="s">
        <v>1477</v>
      </c>
      <c r="F105" s="3" t="s">
        <v>2828</v>
      </c>
      <c r="G105" s="3" t="s">
        <v>2829</v>
      </c>
      <c r="H105" s="3" t="s">
        <v>76</v>
      </c>
      <c r="I105" s="3" t="s">
        <v>73</v>
      </c>
      <c r="J105" s="3" t="s">
        <v>53</v>
      </c>
      <c r="K105" s="3" t="s">
        <v>53</v>
      </c>
      <c r="L105" s="6" t="s">
        <v>805</v>
      </c>
      <c r="M105" s="6" t="s">
        <v>311</v>
      </c>
      <c r="N105" s="3" t="s">
        <v>261</v>
      </c>
      <c r="O105" s="3" t="s">
        <v>62</v>
      </c>
      <c r="P105" s="3" t="s">
        <v>1219</v>
      </c>
      <c r="Q105" s="137">
        <v>2832</v>
      </c>
      <c r="R105" s="139">
        <v>1</v>
      </c>
      <c r="S105" s="140">
        <v>9235</v>
      </c>
      <c r="U105" s="137">
        <v>261.53500000000003</v>
      </c>
      <c r="V105" s="138">
        <v>2.4000000000000001E-5</v>
      </c>
      <c r="W105" s="138">
        <v>2.5846259285628798E-2</v>
      </c>
      <c r="X105" s="138">
        <v>3.8341988082969299E-3</v>
      </c>
    </row>
    <row r="106" spans="1:24" x14ac:dyDescent="0.2">
      <c r="A106" s="3">
        <v>13710</v>
      </c>
      <c r="B106" s="3">
        <v>13711</v>
      </c>
      <c r="C106" s="3" t="s">
        <v>2830</v>
      </c>
      <c r="D106" s="3" t="s">
        <v>2831</v>
      </c>
      <c r="E106" s="3" t="s">
        <v>1477</v>
      </c>
      <c r="F106" s="3" t="s">
        <v>2832</v>
      </c>
      <c r="G106" s="3" t="s">
        <v>2833</v>
      </c>
      <c r="H106" s="3" t="s">
        <v>76</v>
      </c>
      <c r="I106" s="3" t="s">
        <v>73</v>
      </c>
      <c r="J106" s="3" t="s">
        <v>53</v>
      </c>
      <c r="K106" s="3" t="s">
        <v>53</v>
      </c>
      <c r="L106" s="6" t="s">
        <v>805</v>
      </c>
      <c r="M106" s="6" t="s">
        <v>311</v>
      </c>
      <c r="N106" s="3" t="s">
        <v>264</v>
      </c>
      <c r="O106" s="3" t="s">
        <v>62</v>
      </c>
      <c r="P106" s="3" t="s">
        <v>1219</v>
      </c>
      <c r="Q106" s="137">
        <v>187</v>
      </c>
      <c r="R106" s="139">
        <v>1</v>
      </c>
      <c r="S106" s="140">
        <v>10400</v>
      </c>
      <c r="U106" s="137">
        <v>19.448</v>
      </c>
      <c r="V106" s="138">
        <v>1.4E-5</v>
      </c>
      <c r="W106" s="138">
        <v>1.9219518083489701E-3</v>
      </c>
      <c r="X106" s="138">
        <v>2.8511457893147399E-4</v>
      </c>
    </row>
    <row r="107" spans="1:24" x14ac:dyDescent="0.2">
      <c r="A107" s="3">
        <v>13710</v>
      </c>
      <c r="B107" s="3">
        <v>13711</v>
      </c>
      <c r="C107" s="3" t="s">
        <v>2834</v>
      </c>
      <c r="D107" s="3" t="s">
        <v>2835</v>
      </c>
      <c r="E107" s="3" t="s">
        <v>1477</v>
      </c>
      <c r="F107" s="3" t="s">
        <v>2836</v>
      </c>
      <c r="G107" s="3" t="s">
        <v>2837</v>
      </c>
      <c r="H107" s="3" t="s">
        <v>76</v>
      </c>
      <c r="I107" s="3" t="s">
        <v>73</v>
      </c>
      <c r="J107" s="3" t="s">
        <v>53</v>
      </c>
      <c r="K107" s="3" t="s">
        <v>317</v>
      </c>
      <c r="L107" s="6" t="s">
        <v>805</v>
      </c>
      <c r="M107" s="6" t="s">
        <v>311</v>
      </c>
      <c r="N107" s="3" t="s">
        <v>261</v>
      </c>
      <c r="O107" s="3" t="s">
        <v>62</v>
      </c>
      <c r="P107" s="3" t="s">
        <v>1219</v>
      </c>
      <c r="Q107" s="137">
        <v>3740</v>
      </c>
      <c r="R107" s="139">
        <v>1</v>
      </c>
      <c r="S107" s="140">
        <v>4070</v>
      </c>
      <c r="U107" s="137">
        <v>152.21799999999999</v>
      </c>
      <c r="V107" s="138">
        <v>3.6999999999999998E-5</v>
      </c>
      <c r="W107" s="138">
        <v>1.50429689615006E-2</v>
      </c>
      <c r="X107" s="138">
        <v>2.23156987740596E-3</v>
      </c>
    </row>
    <row r="108" spans="1:24" x14ac:dyDescent="0.2">
      <c r="A108" s="3">
        <v>13710</v>
      </c>
      <c r="B108" s="3">
        <v>13711</v>
      </c>
      <c r="C108" s="3" t="s">
        <v>2211</v>
      </c>
      <c r="D108" s="3" t="s">
        <v>2212</v>
      </c>
      <c r="E108" s="3" t="s">
        <v>430</v>
      </c>
      <c r="F108" s="3" t="s">
        <v>2838</v>
      </c>
      <c r="G108" s="3" t="s">
        <v>2839</v>
      </c>
      <c r="H108" s="3" t="s">
        <v>76</v>
      </c>
      <c r="I108" s="3" t="s">
        <v>73</v>
      </c>
      <c r="J108" s="3" t="s">
        <v>61</v>
      </c>
      <c r="K108" s="3" t="s">
        <v>315</v>
      </c>
      <c r="L108" s="6" t="s">
        <v>805</v>
      </c>
      <c r="M108" s="6" t="s">
        <v>494</v>
      </c>
      <c r="N108" s="3" t="s">
        <v>2215</v>
      </c>
      <c r="O108" s="3" t="s">
        <v>62</v>
      </c>
      <c r="P108" s="3" t="s">
        <v>1218</v>
      </c>
      <c r="Q108" s="137">
        <v>4000</v>
      </c>
      <c r="R108" s="139">
        <v>4.6235999999999997</v>
      </c>
      <c r="S108" s="140">
        <v>157.6</v>
      </c>
      <c r="U108" s="137">
        <v>29.146999999999998</v>
      </c>
      <c r="V108" s="138">
        <v>0</v>
      </c>
      <c r="W108" s="138">
        <v>2.8804743185079601E-3</v>
      </c>
      <c r="X108" s="138">
        <v>4.2730791629464398E-4</v>
      </c>
    </row>
    <row r="109" spans="1:24" x14ac:dyDescent="0.2">
      <c r="A109" s="3">
        <v>13710</v>
      </c>
      <c r="B109" s="3">
        <v>13711</v>
      </c>
      <c r="C109" s="3" t="s">
        <v>2840</v>
      </c>
      <c r="D109" s="3" t="s">
        <v>2841</v>
      </c>
      <c r="E109" s="3" t="s">
        <v>430</v>
      </c>
      <c r="F109" s="3" t="s">
        <v>2842</v>
      </c>
      <c r="G109" s="3" t="s">
        <v>2843</v>
      </c>
      <c r="H109" s="3" t="s">
        <v>76</v>
      </c>
      <c r="I109" s="3" t="s">
        <v>73</v>
      </c>
      <c r="J109" s="3" t="s">
        <v>61</v>
      </c>
      <c r="K109" s="3" t="s">
        <v>314</v>
      </c>
      <c r="L109" s="6" t="s">
        <v>805</v>
      </c>
      <c r="M109" s="6" t="s">
        <v>476</v>
      </c>
      <c r="N109" s="3" t="s">
        <v>894</v>
      </c>
      <c r="O109" s="3" t="s">
        <v>62</v>
      </c>
      <c r="P109" s="3" t="s">
        <v>1217</v>
      </c>
      <c r="Q109" s="137">
        <v>17</v>
      </c>
      <c r="R109" s="139">
        <v>3.3719999999999999</v>
      </c>
      <c r="S109" s="140">
        <v>15275</v>
      </c>
      <c r="U109" s="137">
        <v>8.7560000000000002</v>
      </c>
      <c r="V109" s="138">
        <v>0</v>
      </c>
      <c r="W109" s="138">
        <v>8.6533696134766399E-4</v>
      </c>
      <c r="X109" s="138">
        <v>1.28369599225499E-4</v>
      </c>
    </row>
    <row r="110" spans="1:24" x14ac:dyDescent="0.2">
      <c r="A110" s="3">
        <v>13710</v>
      </c>
      <c r="B110" s="3">
        <v>13711</v>
      </c>
      <c r="C110" s="3" t="s">
        <v>2844</v>
      </c>
      <c r="D110" s="3" t="s">
        <v>2845</v>
      </c>
      <c r="E110" s="3" t="s">
        <v>1477</v>
      </c>
      <c r="F110" s="3" t="s">
        <v>2846</v>
      </c>
      <c r="G110" s="3" t="s">
        <v>2847</v>
      </c>
      <c r="H110" s="3" t="s">
        <v>76</v>
      </c>
      <c r="I110" s="3" t="s">
        <v>73</v>
      </c>
      <c r="J110" s="3" t="s">
        <v>53</v>
      </c>
      <c r="K110" s="3" t="s">
        <v>314</v>
      </c>
      <c r="L110" s="6" t="s">
        <v>805</v>
      </c>
      <c r="M110" s="6" t="s">
        <v>479</v>
      </c>
      <c r="N110" s="3" t="s">
        <v>2262</v>
      </c>
      <c r="O110" s="3" t="s">
        <v>62</v>
      </c>
      <c r="P110" s="3" t="s">
        <v>1217</v>
      </c>
      <c r="Q110" s="137">
        <v>75</v>
      </c>
      <c r="R110" s="139">
        <v>3.3719999999999999</v>
      </c>
      <c r="S110" s="140">
        <v>1991</v>
      </c>
      <c r="U110" s="137">
        <v>5.0350000000000001</v>
      </c>
      <c r="V110" s="138">
        <v>9.9999999999999995E-7</v>
      </c>
      <c r="W110" s="138">
        <v>4.9760832484159001E-4</v>
      </c>
      <c r="X110" s="138">
        <v>7.3818389927207605E-5</v>
      </c>
    </row>
    <row r="111" spans="1:24" x14ac:dyDescent="0.2">
      <c r="A111" s="3">
        <v>13710</v>
      </c>
      <c r="B111" s="3">
        <v>13711</v>
      </c>
      <c r="C111" s="3" t="s">
        <v>2848</v>
      </c>
      <c r="D111" s="3" t="s">
        <v>2849</v>
      </c>
      <c r="E111" s="3" t="s">
        <v>430</v>
      </c>
      <c r="F111" s="3" t="s">
        <v>2848</v>
      </c>
      <c r="G111" s="3" t="s">
        <v>2850</v>
      </c>
      <c r="H111" s="3" t="s">
        <v>76</v>
      </c>
      <c r="I111" s="3" t="s">
        <v>73</v>
      </c>
      <c r="J111" s="3" t="s">
        <v>61</v>
      </c>
      <c r="K111" s="3" t="s">
        <v>314</v>
      </c>
      <c r="L111" s="6" t="s">
        <v>805</v>
      </c>
      <c r="M111" s="6" t="s">
        <v>476</v>
      </c>
      <c r="N111" s="3" t="s">
        <v>894</v>
      </c>
      <c r="O111" s="3" t="s">
        <v>62</v>
      </c>
      <c r="P111" s="3" t="s">
        <v>1217</v>
      </c>
      <c r="Q111" s="137">
        <v>67</v>
      </c>
      <c r="R111" s="139">
        <v>3.3719999999999999</v>
      </c>
      <c r="S111" s="140">
        <v>2424</v>
      </c>
      <c r="U111" s="137">
        <v>5.476</v>
      </c>
      <c r="V111" s="138">
        <v>0</v>
      </c>
      <c r="W111" s="138">
        <v>5.4120591207683204E-4</v>
      </c>
      <c r="X111" s="138">
        <v>8.0285933844285599E-5</v>
      </c>
    </row>
    <row r="112" spans="1:24" x14ac:dyDescent="0.2">
      <c r="A112" s="3">
        <v>13710</v>
      </c>
      <c r="B112" s="3">
        <v>13711</v>
      </c>
      <c r="C112" s="3" t="s">
        <v>2851</v>
      </c>
      <c r="D112" s="3" t="s">
        <v>2852</v>
      </c>
      <c r="E112" s="3" t="s">
        <v>1477</v>
      </c>
      <c r="F112" s="3" t="s">
        <v>2853</v>
      </c>
      <c r="G112" s="3" t="s">
        <v>2854</v>
      </c>
      <c r="H112" s="3" t="s">
        <v>76</v>
      </c>
      <c r="I112" s="3" t="s">
        <v>73</v>
      </c>
      <c r="J112" s="3" t="s">
        <v>53</v>
      </c>
      <c r="K112" s="3" t="s">
        <v>53</v>
      </c>
      <c r="L112" s="6" t="s">
        <v>805</v>
      </c>
      <c r="M112" s="6" t="s">
        <v>479</v>
      </c>
      <c r="N112" s="3" t="s">
        <v>899</v>
      </c>
      <c r="O112" s="3" t="s">
        <v>62</v>
      </c>
      <c r="P112" s="3" t="s">
        <v>1217</v>
      </c>
      <c r="Q112" s="137">
        <v>140</v>
      </c>
      <c r="R112" s="139">
        <v>3.3719999999999999</v>
      </c>
      <c r="S112" s="140">
        <v>1359</v>
      </c>
      <c r="U112" s="137">
        <v>6.4160000000000004</v>
      </c>
      <c r="V112" s="138">
        <v>9.0000000000000002E-6</v>
      </c>
      <c r="W112" s="138">
        <v>6.3401948692021399E-4</v>
      </c>
      <c r="X112" s="138">
        <v>9.4054490993139298E-5</v>
      </c>
    </row>
    <row r="113" spans="1:24" x14ac:dyDescent="0.2">
      <c r="A113" s="3">
        <v>13710</v>
      </c>
      <c r="B113" s="3">
        <v>13711</v>
      </c>
      <c r="C113" s="3" t="s">
        <v>2855</v>
      </c>
      <c r="D113" s="3" t="s">
        <v>2856</v>
      </c>
      <c r="E113" s="3" t="s">
        <v>1477</v>
      </c>
      <c r="F113" s="3" t="s">
        <v>2857</v>
      </c>
      <c r="G113" s="3" t="s">
        <v>2858</v>
      </c>
      <c r="H113" s="3" t="s">
        <v>76</v>
      </c>
      <c r="I113" s="3" t="s">
        <v>73</v>
      </c>
      <c r="J113" s="3" t="s">
        <v>61</v>
      </c>
      <c r="K113" s="3" t="s">
        <v>314</v>
      </c>
      <c r="L113" s="6" t="s">
        <v>805</v>
      </c>
      <c r="M113" s="6" t="s">
        <v>479</v>
      </c>
      <c r="N113" s="3" t="s">
        <v>202</v>
      </c>
      <c r="O113" s="3" t="s">
        <v>62</v>
      </c>
      <c r="P113" s="3" t="s">
        <v>1217</v>
      </c>
      <c r="Q113" s="137">
        <v>6</v>
      </c>
      <c r="R113" s="139">
        <v>3.3719999999999999</v>
      </c>
      <c r="S113" s="140">
        <v>2040</v>
      </c>
      <c r="U113" s="137">
        <v>0.41299999999999998</v>
      </c>
      <c r="V113" s="138">
        <v>0</v>
      </c>
      <c r="W113" s="138">
        <v>4.0788387048793301E-5</v>
      </c>
      <c r="X113" s="138">
        <v>6.0508092597289197E-6</v>
      </c>
    </row>
    <row r="114" spans="1:24" x14ac:dyDescent="0.2">
      <c r="A114" s="3">
        <v>13710</v>
      </c>
      <c r="B114" s="3">
        <v>13711</v>
      </c>
      <c r="C114" s="3" t="s">
        <v>2859</v>
      </c>
      <c r="D114" s="3" t="s">
        <v>2860</v>
      </c>
      <c r="E114" s="3" t="s">
        <v>430</v>
      </c>
      <c r="F114" s="3" t="s">
        <v>2861</v>
      </c>
      <c r="G114" s="3" t="s">
        <v>2862</v>
      </c>
      <c r="H114" s="3" t="s">
        <v>76</v>
      </c>
      <c r="I114" s="3" t="s">
        <v>73</v>
      </c>
      <c r="J114" s="3" t="s">
        <v>53</v>
      </c>
      <c r="K114" s="3" t="s">
        <v>53</v>
      </c>
      <c r="L114" s="6" t="s">
        <v>805</v>
      </c>
      <c r="M114" s="6" t="s">
        <v>476</v>
      </c>
      <c r="N114" s="3" t="s">
        <v>878</v>
      </c>
      <c r="O114" s="3" t="s">
        <v>62</v>
      </c>
      <c r="P114" s="3" t="s">
        <v>1217</v>
      </c>
      <c r="Q114" s="137">
        <v>90</v>
      </c>
      <c r="R114" s="139">
        <v>3.3719999999999999</v>
      </c>
      <c r="S114" s="140">
        <v>1609</v>
      </c>
      <c r="U114" s="137">
        <v>4.883</v>
      </c>
      <c r="V114" s="138">
        <v>9.9999999999999995E-7</v>
      </c>
      <c r="W114" s="138">
        <v>4.82562608540503E-4</v>
      </c>
      <c r="X114" s="138">
        <v>7.1586412491939994E-5</v>
      </c>
    </row>
    <row r="115" spans="1:24" x14ac:dyDescent="0.2">
      <c r="A115" s="3">
        <v>13710</v>
      </c>
      <c r="B115" s="3">
        <v>13711</v>
      </c>
      <c r="C115" s="3" t="s">
        <v>1545</v>
      </c>
      <c r="D115" s="3" t="s">
        <v>1546</v>
      </c>
      <c r="E115" s="3" t="s">
        <v>1477</v>
      </c>
      <c r="F115" s="3" t="s">
        <v>2863</v>
      </c>
      <c r="G115" s="3" t="s">
        <v>2864</v>
      </c>
      <c r="H115" s="3" t="s">
        <v>78</v>
      </c>
      <c r="I115" s="3" t="s">
        <v>73</v>
      </c>
      <c r="J115" s="3" t="s">
        <v>61</v>
      </c>
      <c r="L115" s="6" t="s">
        <v>805</v>
      </c>
      <c r="M115" s="6" t="s">
        <v>102</v>
      </c>
      <c r="N115" s="3" t="s">
        <v>638</v>
      </c>
      <c r="O115" s="3" t="s">
        <v>62</v>
      </c>
      <c r="P115" s="3" t="s">
        <v>1217</v>
      </c>
      <c r="Q115" s="137">
        <v>20</v>
      </c>
      <c r="R115" s="139">
        <v>3.3719999999999999</v>
      </c>
      <c r="S115" s="140">
        <v>44950</v>
      </c>
      <c r="T115" s="131">
        <v>0.01</v>
      </c>
      <c r="U115" s="137">
        <v>30.347000000000001</v>
      </c>
      <c r="V115" s="138">
        <v>0</v>
      </c>
      <c r="W115" s="138">
        <v>2.99901269255621E-3</v>
      </c>
      <c r="X115" s="138">
        <v>4.4489265408940803E-4</v>
      </c>
    </row>
    <row r="116" spans="1:24" x14ac:dyDescent="0.2">
      <c r="A116" s="3">
        <v>13710</v>
      </c>
      <c r="B116" s="3">
        <v>15444</v>
      </c>
      <c r="C116" s="3" t="s">
        <v>2504</v>
      </c>
      <c r="D116" s="3" t="s">
        <v>2505</v>
      </c>
      <c r="E116" s="3" t="s">
        <v>1477</v>
      </c>
      <c r="F116" s="3" t="s">
        <v>2506</v>
      </c>
      <c r="G116" s="3" t="s">
        <v>2507</v>
      </c>
      <c r="H116" s="3" t="s">
        <v>76</v>
      </c>
      <c r="I116" s="3" t="s">
        <v>73</v>
      </c>
      <c r="J116" s="3" t="s">
        <v>53</v>
      </c>
      <c r="K116" s="3" t="s">
        <v>53</v>
      </c>
      <c r="L116" s="6" t="s">
        <v>805</v>
      </c>
      <c r="M116" s="6" t="s">
        <v>311</v>
      </c>
      <c r="N116" s="3" t="s">
        <v>156</v>
      </c>
      <c r="O116" s="3" t="s">
        <v>62</v>
      </c>
      <c r="P116" s="3" t="s">
        <v>1219</v>
      </c>
      <c r="Q116" s="137">
        <v>1292</v>
      </c>
      <c r="R116" s="139">
        <v>1</v>
      </c>
      <c r="S116" s="140">
        <v>4100</v>
      </c>
      <c r="U116" s="137">
        <v>52.972000000000001</v>
      </c>
      <c r="V116" s="138">
        <v>5.0000000000000004E-6</v>
      </c>
      <c r="W116" s="138">
        <v>2.0727734165957499E-2</v>
      </c>
      <c r="X116" s="138">
        <v>6.3451528600326898E-3</v>
      </c>
    </row>
    <row r="117" spans="1:24" x14ac:dyDescent="0.2">
      <c r="A117" s="3">
        <v>13710</v>
      </c>
      <c r="B117" s="3">
        <v>15444</v>
      </c>
      <c r="C117" s="3" t="s">
        <v>2512</v>
      </c>
      <c r="D117" s="3" t="s">
        <v>2513</v>
      </c>
      <c r="E117" s="3" t="s">
        <v>1477</v>
      </c>
      <c r="F117" s="3" t="s">
        <v>2514</v>
      </c>
      <c r="G117" s="3" t="s">
        <v>2515</v>
      </c>
      <c r="H117" s="3" t="s">
        <v>76</v>
      </c>
      <c r="I117" s="3" t="s">
        <v>73</v>
      </c>
      <c r="J117" s="3" t="s">
        <v>53</v>
      </c>
      <c r="K117" s="3" t="s">
        <v>314</v>
      </c>
      <c r="L117" s="6" t="s">
        <v>805</v>
      </c>
      <c r="M117" s="6" t="s">
        <v>311</v>
      </c>
      <c r="N117" s="3" t="s">
        <v>638</v>
      </c>
      <c r="O117" s="3" t="s">
        <v>62</v>
      </c>
      <c r="P117" s="3" t="s">
        <v>1219</v>
      </c>
      <c r="Q117" s="137">
        <v>384</v>
      </c>
      <c r="R117" s="139">
        <v>1</v>
      </c>
      <c r="S117" s="140">
        <v>3925</v>
      </c>
      <c r="U117" s="137">
        <v>15.071999999999999</v>
      </c>
      <c r="V117" s="138">
        <v>1.5E-5</v>
      </c>
      <c r="W117" s="138">
        <v>5.89761401021881E-3</v>
      </c>
      <c r="X117" s="138">
        <v>1.8053715907727201E-3</v>
      </c>
    </row>
    <row r="118" spans="1:24" x14ac:dyDescent="0.2">
      <c r="A118" s="3">
        <v>13710</v>
      </c>
      <c r="B118" s="3">
        <v>15444</v>
      </c>
      <c r="C118" s="3" t="s">
        <v>1511</v>
      </c>
      <c r="D118" s="3" t="s">
        <v>1512</v>
      </c>
      <c r="E118" s="3" t="s">
        <v>1477</v>
      </c>
      <c r="F118" s="3" t="s">
        <v>2518</v>
      </c>
      <c r="G118" s="3" t="s">
        <v>2517</v>
      </c>
      <c r="H118" s="3" t="s">
        <v>76</v>
      </c>
      <c r="I118" s="3" t="s">
        <v>73</v>
      </c>
      <c r="J118" s="3" t="s">
        <v>53</v>
      </c>
      <c r="L118" s="6" t="s">
        <v>805</v>
      </c>
      <c r="M118" s="6" t="s">
        <v>102</v>
      </c>
      <c r="N118" s="3" t="s">
        <v>258</v>
      </c>
      <c r="O118" s="3" t="s">
        <v>62</v>
      </c>
      <c r="P118" s="3" t="s">
        <v>1219</v>
      </c>
      <c r="Q118" s="137">
        <v>222</v>
      </c>
      <c r="R118" s="139">
        <v>1</v>
      </c>
      <c r="S118" s="140">
        <v>2556.9960000000001</v>
      </c>
      <c r="U118" s="137">
        <v>5.6769999999999996</v>
      </c>
      <c r="V118" s="138">
        <v>0</v>
      </c>
      <c r="W118" s="138">
        <v>2.22120382620498E-3</v>
      </c>
      <c r="X118" s="138">
        <v>6.7995265173302795E-4</v>
      </c>
    </row>
    <row r="119" spans="1:24" x14ac:dyDescent="0.2">
      <c r="A119" s="3">
        <v>13710</v>
      </c>
      <c r="B119" s="3">
        <v>15444</v>
      </c>
      <c r="C119" s="3" t="s">
        <v>2519</v>
      </c>
      <c r="D119" s="3" t="s">
        <v>2520</v>
      </c>
      <c r="E119" s="3" t="s">
        <v>430</v>
      </c>
      <c r="F119" s="3" t="s">
        <v>2521</v>
      </c>
      <c r="G119" s="3" t="s">
        <v>2522</v>
      </c>
      <c r="H119" s="3" t="s">
        <v>76</v>
      </c>
      <c r="I119" s="3" t="s">
        <v>73</v>
      </c>
      <c r="J119" s="3" t="s">
        <v>53</v>
      </c>
      <c r="K119" s="3" t="s">
        <v>314</v>
      </c>
      <c r="L119" s="6" t="s">
        <v>805</v>
      </c>
      <c r="M119" s="6" t="s">
        <v>311</v>
      </c>
      <c r="N119" s="3" t="s">
        <v>631</v>
      </c>
      <c r="O119" s="3" t="s">
        <v>62</v>
      </c>
      <c r="P119" s="3" t="s">
        <v>1219</v>
      </c>
      <c r="Q119" s="137">
        <v>70</v>
      </c>
      <c r="R119" s="139">
        <v>1</v>
      </c>
      <c r="S119" s="140">
        <v>27780</v>
      </c>
      <c r="U119" s="137">
        <v>19.446000000000002</v>
      </c>
      <c r="V119" s="138">
        <v>9.9999999999999995E-7</v>
      </c>
      <c r="W119" s="138">
        <v>7.6091429168468E-3</v>
      </c>
      <c r="X119" s="138">
        <v>2.3293030755152898E-3</v>
      </c>
    </row>
    <row r="120" spans="1:24" x14ac:dyDescent="0.2">
      <c r="A120" s="3">
        <v>13710</v>
      </c>
      <c r="B120" s="3">
        <v>15444</v>
      </c>
      <c r="C120" s="3" t="s">
        <v>1517</v>
      </c>
      <c r="D120" s="3" t="s">
        <v>1518</v>
      </c>
      <c r="E120" s="3" t="s">
        <v>1477</v>
      </c>
      <c r="F120" s="3" t="s">
        <v>2523</v>
      </c>
      <c r="G120" s="3" t="s">
        <v>2524</v>
      </c>
      <c r="H120" s="3" t="s">
        <v>76</v>
      </c>
      <c r="I120" s="3" t="s">
        <v>73</v>
      </c>
      <c r="J120" s="3" t="s">
        <v>53</v>
      </c>
      <c r="K120" s="3" t="s">
        <v>53</v>
      </c>
      <c r="L120" s="6" t="s">
        <v>805</v>
      </c>
      <c r="M120" s="6" t="s">
        <v>311</v>
      </c>
      <c r="N120" s="3" t="s">
        <v>140</v>
      </c>
      <c r="O120" s="3" t="s">
        <v>62</v>
      </c>
      <c r="P120" s="3" t="s">
        <v>1219</v>
      </c>
      <c r="Q120" s="137">
        <v>604</v>
      </c>
      <c r="R120" s="139">
        <v>1</v>
      </c>
      <c r="S120" s="140">
        <v>2366</v>
      </c>
      <c r="U120" s="137">
        <v>14.291</v>
      </c>
      <c r="V120" s="138">
        <v>3.0000000000000001E-6</v>
      </c>
      <c r="W120" s="138">
        <v>5.59187093146187E-3</v>
      </c>
      <c r="X120" s="138">
        <v>1.71177783107486E-3</v>
      </c>
    </row>
    <row r="121" spans="1:24" x14ac:dyDescent="0.2">
      <c r="A121" s="3">
        <v>13710</v>
      </c>
      <c r="B121" s="3">
        <v>15444</v>
      </c>
      <c r="C121" s="3" t="s">
        <v>2525</v>
      </c>
      <c r="D121" s="3" t="s">
        <v>2526</v>
      </c>
      <c r="E121" s="3" t="s">
        <v>1477</v>
      </c>
      <c r="F121" s="3" t="s">
        <v>2527</v>
      </c>
      <c r="G121" s="3" t="s">
        <v>2528</v>
      </c>
      <c r="H121" s="3" t="s">
        <v>76</v>
      </c>
      <c r="I121" s="3" t="s">
        <v>73</v>
      </c>
      <c r="J121" s="3" t="s">
        <v>53</v>
      </c>
      <c r="K121" s="3" t="s">
        <v>53</v>
      </c>
      <c r="L121" s="6" t="s">
        <v>805</v>
      </c>
      <c r="M121" s="6" t="s">
        <v>311</v>
      </c>
      <c r="N121" s="3" t="s">
        <v>269</v>
      </c>
      <c r="O121" s="3" t="s">
        <v>62</v>
      </c>
      <c r="P121" s="3" t="s">
        <v>1219</v>
      </c>
      <c r="Q121" s="137">
        <v>72</v>
      </c>
      <c r="R121" s="139">
        <v>1</v>
      </c>
      <c r="S121" s="140">
        <v>21960</v>
      </c>
      <c r="U121" s="137">
        <v>15.811</v>
      </c>
      <c r="V121" s="138">
        <v>5.0000000000000004E-6</v>
      </c>
      <c r="W121" s="138">
        <v>6.18686004766266E-3</v>
      </c>
      <c r="X121" s="138">
        <v>1.8939152929953399E-3</v>
      </c>
    </row>
    <row r="122" spans="1:24" x14ac:dyDescent="0.2">
      <c r="A122" s="3">
        <v>13710</v>
      </c>
      <c r="B122" s="3">
        <v>15444</v>
      </c>
      <c r="C122" s="3" t="s">
        <v>1535</v>
      </c>
      <c r="D122" s="3" t="s">
        <v>1536</v>
      </c>
      <c r="E122" s="3" t="s">
        <v>1477</v>
      </c>
      <c r="F122" s="3" t="s">
        <v>2533</v>
      </c>
      <c r="G122" s="3" t="s">
        <v>2534</v>
      </c>
      <c r="H122" s="3" t="s">
        <v>76</v>
      </c>
      <c r="I122" s="3" t="s">
        <v>73</v>
      </c>
      <c r="J122" s="3" t="s">
        <v>53</v>
      </c>
      <c r="K122" s="3" t="s">
        <v>53</v>
      </c>
      <c r="L122" s="6" t="s">
        <v>805</v>
      </c>
      <c r="M122" s="6" t="s">
        <v>311</v>
      </c>
      <c r="N122" s="3" t="s">
        <v>635</v>
      </c>
      <c r="O122" s="3" t="s">
        <v>62</v>
      </c>
      <c r="P122" s="3" t="s">
        <v>1219</v>
      </c>
      <c r="Q122" s="137">
        <v>313</v>
      </c>
      <c r="R122" s="139">
        <v>1</v>
      </c>
      <c r="S122" s="140">
        <v>6170</v>
      </c>
      <c r="U122" s="137">
        <v>19.312000000000001</v>
      </c>
      <c r="V122" s="138">
        <v>1.9999999999999999E-6</v>
      </c>
      <c r="W122" s="138">
        <v>7.5567483762438098E-3</v>
      </c>
      <c r="X122" s="138">
        <v>2.3132641121391901E-3</v>
      </c>
    </row>
    <row r="123" spans="1:24" x14ac:dyDescent="0.2">
      <c r="A123" s="3">
        <v>13710</v>
      </c>
      <c r="B123" s="3">
        <v>15444</v>
      </c>
      <c r="C123" s="3" t="s">
        <v>1545</v>
      </c>
      <c r="D123" s="3" t="s">
        <v>1546</v>
      </c>
      <c r="E123" s="3" t="s">
        <v>1477</v>
      </c>
      <c r="F123" s="3" t="s">
        <v>2535</v>
      </c>
      <c r="G123" s="3" t="s">
        <v>2536</v>
      </c>
      <c r="H123" s="3" t="s">
        <v>76</v>
      </c>
      <c r="I123" s="3" t="s">
        <v>73</v>
      </c>
      <c r="J123" s="3" t="s">
        <v>53</v>
      </c>
      <c r="K123" s="3" t="s">
        <v>53</v>
      </c>
      <c r="L123" s="6" t="s">
        <v>805</v>
      </c>
      <c r="M123" s="6" t="s">
        <v>311</v>
      </c>
      <c r="N123" s="3" t="s">
        <v>638</v>
      </c>
      <c r="O123" s="3" t="s">
        <v>62</v>
      </c>
      <c r="P123" s="3" t="s">
        <v>1219</v>
      </c>
      <c r="Q123" s="137">
        <v>26</v>
      </c>
      <c r="R123" s="139">
        <v>1</v>
      </c>
      <c r="S123" s="140">
        <v>149800</v>
      </c>
      <c r="T123" s="131">
        <v>4.9000000000000002E-2</v>
      </c>
      <c r="U123" s="137">
        <v>38.997</v>
      </c>
      <c r="V123" s="138">
        <v>9.9999999999999995E-7</v>
      </c>
      <c r="W123" s="138">
        <v>1.52591801834951E-2</v>
      </c>
      <c r="X123" s="138">
        <v>4.6711246877179204E-3</v>
      </c>
    </row>
    <row r="124" spans="1:24" x14ac:dyDescent="0.2">
      <c r="A124" s="3">
        <v>13710</v>
      </c>
      <c r="B124" s="3">
        <v>15444</v>
      </c>
      <c r="C124" s="3" t="s">
        <v>1555</v>
      </c>
      <c r="D124" s="3" t="s">
        <v>1556</v>
      </c>
      <c r="E124" s="3" t="s">
        <v>1477</v>
      </c>
      <c r="F124" s="3" t="s">
        <v>2537</v>
      </c>
      <c r="G124" s="3" t="s">
        <v>2538</v>
      </c>
      <c r="H124" s="3" t="s">
        <v>76</v>
      </c>
      <c r="I124" s="3" t="s">
        <v>73</v>
      </c>
      <c r="J124" s="3" t="s">
        <v>53</v>
      </c>
      <c r="K124" s="3" t="s">
        <v>53</v>
      </c>
      <c r="L124" s="6" t="s">
        <v>805</v>
      </c>
      <c r="M124" s="6" t="s">
        <v>1227</v>
      </c>
      <c r="N124" s="3" t="s">
        <v>258</v>
      </c>
      <c r="O124" s="3" t="s">
        <v>62</v>
      </c>
      <c r="P124" s="3" t="s">
        <v>1219</v>
      </c>
      <c r="Q124" s="137">
        <v>399</v>
      </c>
      <c r="R124" s="139">
        <v>1</v>
      </c>
      <c r="S124" s="140">
        <v>840.4</v>
      </c>
      <c r="U124" s="137">
        <v>3.3530000000000002</v>
      </c>
      <c r="V124" s="138">
        <v>3.9999999999999998E-6</v>
      </c>
      <c r="W124" s="138">
        <v>1.3120923373546799E-3</v>
      </c>
      <c r="X124" s="138">
        <v>4.0165636920732001E-4</v>
      </c>
    </row>
    <row r="125" spans="1:24" x14ac:dyDescent="0.2">
      <c r="A125" s="3">
        <v>13710</v>
      </c>
      <c r="B125" s="3">
        <v>15444</v>
      </c>
      <c r="C125" s="3" t="s">
        <v>1565</v>
      </c>
      <c r="D125" s="3" t="s">
        <v>1566</v>
      </c>
      <c r="E125" s="3" t="s">
        <v>1477</v>
      </c>
      <c r="F125" s="3" t="s">
        <v>2539</v>
      </c>
      <c r="G125" s="3" t="s">
        <v>2540</v>
      </c>
      <c r="H125" s="3" t="s">
        <v>76</v>
      </c>
      <c r="I125" s="3" t="s">
        <v>73</v>
      </c>
      <c r="J125" s="3" t="s">
        <v>53</v>
      </c>
      <c r="K125" s="3" t="s">
        <v>53</v>
      </c>
      <c r="L125" s="6" t="s">
        <v>805</v>
      </c>
      <c r="M125" s="6" t="s">
        <v>311</v>
      </c>
      <c r="N125" s="3" t="s">
        <v>631</v>
      </c>
      <c r="O125" s="3" t="s">
        <v>62</v>
      </c>
      <c r="P125" s="3" t="s">
        <v>1219</v>
      </c>
      <c r="Q125" s="137">
        <v>266</v>
      </c>
      <c r="R125" s="139">
        <v>1</v>
      </c>
      <c r="S125" s="140">
        <v>6078</v>
      </c>
      <c r="U125" s="137">
        <v>16.167000000000002</v>
      </c>
      <c r="V125" s="138">
        <v>2.0000000000000002E-5</v>
      </c>
      <c r="W125" s="138">
        <v>6.3262710030475297E-3</v>
      </c>
      <c r="X125" s="138">
        <v>1.93659163258932E-3</v>
      </c>
    </row>
    <row r="126" spans="1:24" x14ac:dyDescent="0.2">
      <c r="A126" s="3">
        <v>13710</v>
      </c>
      <c r="B126" s="3">
        <v>15444</v>
      </c>
      <c r="C126" s="3" t="s">
        <v>1579</v>
      </c>
      <c r="D126" s="3" t="s">
        <v>1580</v>
      </c>
      <c r="E126" s="3" t="s">
        <v>1477</v>
      </c>
      <c r="F126" s="3" t="s">
        <v>2541</v>
      </c>
      <c r="G126" s="3" t="s">
        <v>2542</v>
      </c>
      <c r="H126" s="3" t="s">
        <v>76</v>
      </c>
      <c r="I126" s="3" t="s">
        <v>73</v>
      </c>
      <c r="J126" s="3" t="s">
        <v>53</v>
      </c>
      <c r="K126" s="3" t="s">
        <v>53</v>
      </c>
      <c r="L126" s="6" t="s">
        <v>805</v>
      </c>
      <c r="M126" s="6" t="s">
        <v>311</v>
      </c>
      <c r="N126" s="3" t="s">
        <v>635</v>
      </c>
      <c r="O126" s="3" t="s">
        <v>62</v>
      </c>
      <c r="P126" s="3" t="s">
        <v>1219</v>
      </c>
      <c r="Q126" s="137">
        <v>133</v>
      </c>
      <c r="R126" s="139">
        <v>1</v>
      </c>
      <c r="S126" s="140">
        <v>3489</v>
      </c>
      <c r="U126" s="137">
        <v>4.6399999999999997</v>
      </c>
      <c r="V126" s="138">
        <v>9.9999999999999995E-7</v>
      </c>
      <c r="W126" s="138">
        <v>1.8157584344877301E-3</v>
      </c>
      <c r="X126" s="138">
        <v>5.5583812159461395E-4</v>
      </c>
    </row>
    <row r="127" spans="1:24" x14ac:dyDescent="0.2">
      <c r="A127" s="3">
        <v>13710</v>
      </c>
      <c r="B127" s="3">
        <v>15444</v>
      </c>
      <c r="C127" s="3" t="s">
        <v>2543</v>
      </c>
      <c r="D127" s="3" t="s">
        <v>2544</v>
      </c>
      <c r="E127" s="3" t="s">
        <v>1477</v>
      </c>
      <c r="F127" s="3" t="s">
        <v>2545</v>
      </c>
      <c r="G127" s="3" t="s">
        <v>2546</v>
      </c>
      <c r="H127" s="3" t="s">
        <v>76</v>
      </c>
      <c r="I127" s="3" t="s">
        <v>73</v>
      </c>
      <c r="J127" s="3" t="s">
        <v>53</v>
      </c>
      <c r="K127" s="3" t="s">
        <v>53</v>
      </c>
      <c r="L127" s="6" t="s">
        <v>805</v>
      </c>
      <c r="M127" s="6" t="s">
        <v>311</v>
      </c>
      <c r="N127" s="3" t="s">
        <v>257</v>
      </c>
      <c r="O127" s="3" t="s">
        <v>62</v>
      </c>
      <c r="P127" s="3" t="s">
        <v>1219</v>
      </c>
      <c r="Q127" s="137">
        <v>804</v>
      </c>
      <c r="R127" s="139">
        <v>1</v>
      </c>
      <c r="S127" s="140">
        <v>598</v>
      </c>
      <c r="U127" s="137">
        <v>4.8079999999999998</v>
      </c>
      <c r="V127" s="138">
        <v>3.9999999999999998E-6</v>
      </c>
      <c r="W127" s="138">
        <v>1.8813200870495799E-3</v>
      </c>
      <c r="X127" s="138">
        <v>5.7590778786544504E-4</v>
      </c>
    </row>
    <row r="128" spans="1:24" x14ac:dyDescent="0.2">
      <c r="A128" s="3">
        <v>13710</v>
      </c>
      <c r="B128" s="3">
        <v>15444</v>
      </c>
      <c r="C128" s="3" t="s">
        <v>2547</v>
      </c>
      <c r="D128" s="3" t="s">
        <v>2548</v>
      </c>
      <c r="E128" s="3" t="s">
        <v>1477</v>
      </c>
      <c r="F128" s="3" t="s">
        <v>2549</v>
      </c>
      <c r="G128" s="3" t="s">
        <v>2550</v>
      </c>
      <c r="H128" s="3" t="s">
        <v>76</v>
      </c>
      <c r="I128" s="3" t="s">
        <v>73</v>
      </c>
      <c r="J128" s="3" t="s">
        <v>53</v>
      </c>
      <c r="K128" s="3" t="s">
        <v>53</v>
      </c>
      <c r="L128" s="6" t="s">
        <v>805</v>
      </c>
      <c r="M128" s="6" t="s">
        <v>311</v>
      </c>
      <c r="N128" s="3" t="s">
        <v>692</v>
      </c>
      <c r="O128" s="3" t="s">
        <v>62</v>
      </c>
      <c r="P128" s="3" t="s">
        <v>1219</v>
      </c>
      <c r="Q128" s="137">
        <v>220</v>
      </c>
      <c r="R128" s="139">
        <v>1</v>
      </c>
      <c r="S128" s="140">
        <v>18600</v>
      </c>
      <c r="U128" s="137">
        <v>40.92</v>
      </c>
      <c r="V128" s="138">
        <v>6.0000000000000002E-6</v>
      </c>
      <c r="W128" s="138">
        <v>1.6011834215641799E-2</v>
      </c>
      <c r="X128" s="138">
        <v>4.9015263730374098E-3</v>
      </c>
    </row>
    <row r="129" spans="1:24" x14ac:dyDescent="0.2">
      <c r="A129" s="3">
        <v>13710</v>
      </c>
      <c r="B129" s="3">
        <v>15444</v>
      </c>
      <c r="C129" s="3" t="s">
        <v>1609</v>
      </c>
      <c r="D129" s="3" t="s">
        <v>1610</v>
      </c>
      <c r="E129" s="3" t="s">
        <v>1477</v>
      </c>
      <c r="F129" s="3" t="s">
        <v>2551</v>
      </c>
      <c r="G129" s="3" t="s">
        <v>2552</v>
      </c>
      <c r="H129" s="3" t="s">
        <v>76</v>
      </c>
      <c r="I129" s="3" t="s">
        <v>73</v>
      </c>
      <c r="J129" s="3" t="s">
        <v>53</v>
      </c>
      <c r="K129" s="3" t="s">
        <v>53</v>
      </c>
      <c r="L129" s="6" t="s">
        <v>805</v>
      </c>
      <c r="M129" s="6" t="s">
        <v>311</v>
      </c>
      <c r="N129" s="3" t="s">
        <v>635</v>
      </c>
      <c r="O129" s="3" t="s">
        <v>62</v>
      </c>
      <c r="P129" s="3" t="s">
        <v>1219</v>
      </c>
      <c r="Q129" s="137">
        <v>1897</v>
      </c>
      <c r="R129" s="139">
        <v>1</v>
      </c>
      <c r="S129" s="140">
        <v>2281</v>
      </c>
      <c r="U129" s="137">
        <v>43.271000000000001</v>
      </c>
      <c r="V129" s="138">
        <v>3.9999999999999998E-6</v>
      </c>
      <c r="W129" s="138">
        <v>1.69316029632533E-2</v>
      </c>
      <c r="X129" s="138">
        <v>5.1830850447546796E-3</v>
      </c>
    </row>
    <row r="130" spans="1:24" x14ac:dyDescent="0.2">
      <c r="A130" s="3">
        <v>13710</v>
      </c>
      <c r="B130" s="3">
        <v>15444</v>
      </c>
      <c r="C130" s="3" t="s">
        <v>1617</v>
      </c>
      <c r="D130" s="3" t="s">
        <v>1618</v>
      </c>
      <c r="E130" s="3" t="s">
        <v>1477</v>
      </c>
      <c r="F130" s="3" t="s">
        <v>2553</v>
      </c>
      <c r="G130" s="3" t="s">
        <v>2554</v>
      </c>
      <c r="H130" s="3" t="s">
        <v>76</v>
      </c>
      <c r="I130" s="3" t="s">
        <v>73</v>
      </c>
      <c r="J130" s="3" t="s">
        <v>53</v>
      </c>
      <c r="K130" s="3" t="s">
        <v>314</v>
      </c>
      <c r="L130" s="6" t="s">
        <v>805</v>
      </c>
      <c r="M130" s="6" t="s">
        <v>311</v>
      </c>
      <c r="N130" s="3" t="s">
        <v>631</v>
      </c>
      <c r="O130" s="3" t="s">
        <v>62</v>
      </c>
      <c r="P130" s="3" t="s">
        <v>1219</v>
      </c>
      <c r="Q130" s="137">
        <v>1289</v>
      </c>
      <c r="R130" s="139">
        <v>1</v>
      </c>
      <c r="S130" s="140">
        <v>7640</v>
      </c>
      <c r="U130" s="137">
        <v>98.48</v>
      </c>
      <c r="V130" s="138">
        <v>1.1E-5</v>
      </c>
      <c r="W130" s="138">
        <v>3.8534678123722403E-2</v>
      </c>
      <c r="X130" s="138">
        <v>1.17961963980004E-2</v>
      </c>
    </row>
    <row r="131" spans="1:24" x14ac:dyDescent="0.2">
      <c r="A131" s="3">
        <v>13710</v>
      </c>
      <c r="B131" s="3">
        <v>15444</v>
      </c>
      <c r="C131" s="3" t="s">
        <v>2434</v>
      </c>
      <c r="D131" s="3" t="s">
        <v>2435</v>
      </c>
      <c r="E131" s="3" t="s">
        <v>430</v>
      </c>
      <c r="F131" s="3" t="s">
        <v>2555</v>
      </c>
      <c r="G131" s="3" t="s">
        <v>2556</v>
      </c>
      <c r="H131" s="3" t="s">
        <v>76</v>
      </c>
      <c r="I131" s="3" t="s">
        <v>73</v>
      </c>
      <c r="J131" s="3" t="s">
        <v>53</v>
      </c>
      <c r="K131" s="3" t="s">
        <v>315</v>
      </c>
      <c r="L131" s="6" t="s">
        <v>805</v>
      </c>
      <c r="M131" s="6" t="s">
        <v>311</v>
      </c>
      <c r="N131" s="3" t="s">
        <v>267</v>
      </c>
      <c r="O131" s="3" t="s">
        <v>62</v>
      </c>
      <c r="P131" s="3" t="s">
        <v>1219</v>
      </c>
      <c r="Q131" s="137">
        <v>342</v>
      </c>
      <c r="R131" s="139">
        <v>1</v>
      </c>
      <c r="S131" s="140">
        <v>4272</v>
      </c>
      <c r="T131" s="131">
        <v>0.34599999999999997</v>
      </c>
      <c r="U131" s="137">
        <v>14.956</v>
      </c>
      <c r="V131" s="138">
        <v>1.9999999999999999E-6</v>
      </c>
      <c r="W131" s="138">
        <v>5.8523047453858399E-3</v>
      </c>
      <c r="X131" s="138">
        <v>1.7915015647950101E-3</v>
      </c>
    </row>
    <row r="132" spans="1:24" x14ac:dyDescent="0.2">
      <c r="A132" s="3">
        <v>13710</v>
      </c>
      <c r="B132" s="3">
        <v>15444</v>
      </c>
      <c r="C132" s="3" t="s">
        <v>1635</v>
      </c>
      <c r="D132" s="3" t="s">
        <v>1636</v>
      </c>
      <c r="E132" s="3" t="s">
        <v>1477</v>
      </c>
      <c r="F132" s="3" t="s">
        <v>2557</v>
      </c>
      <c r="G132" s="3" t="s">
        <v>2558</v>
      </c>
      <c r="H132" s="3" t="s">
        <v>76</v>
      </c>
      <c r="I132" s="3" t="s">
        <v>73</v>
      </c>
      <c r="J132" s="3" t="s">
        <v>53</v>
      </c>
      <c r="K132" s="3" t="s">
        <v>53</v>
      </c>
      <c r="L132" s="6" t="s">
        <v>805</v>
      </c>
      <c r="M132" s="6" t="s">
        <v>311</v>
      </c>
      <c r="N132" s="3" t="s">
        <v>636</v>
      </c>
      <c r="O132" s="3" t="s">
        <v>62</v>
      </c>
      <c r="P132" s="3" t="s">
        <v>1219</v>
      </c>
      <c r="Q132" s="137">
        <v>85</v>
      </c>
      <c r="R132" s="139">
        <v>1</v>
      </c>
      <c r="S132" s="140">
        <v>19300</v>
      </c>
      <c r="U132" s="137">
        <v>16.405000000000001</v>
      </c>
      <c r="V132" s="138">
        <v>1.9999999999999999E-6</v>
      </c>
      <c r="W132" s="138">
        <v>6.4192116399707797E-3</v>
      </c>
      <c r="X132" s="138">
        <v>1.96504252565197E-3</v>
      </c>
    </row>
    <row r="133" spans="1:24" x14ac:dyDescent="0.2">
      <c r="A133" s="3">
        <v>13710</v>
      </c>
      <c r="B133" s="3">
        <v>15444</v>
      </c>
      <c r="C133" s="3" t="s">
        <v>2561</v>
      </c>
      <c r="D133" s="3" t="s">
        <v>2562</v>
      </c>
      <c r="E133" s="3" t="s">
        <v>1477</v>
      </c>
      <c r="F133" s="3" t="s">
        <v>2563</v>
      </c>
      <c r="G133" s="3" t="s">
        <v>2564</v>
      </c>
      <c r="H133" s="3" t="s">
        <v>76</v>
      </c>
      <c r="I133" s="3" t="s">
        <v>73</v>
      </c>
      <c r="J133" s="3" t="s">
        <v>53</v>
      </c>
      <c r="K133" s="3" t="s">
        <v>53</v>
      </c>
      <c r="L133" s="6" t="s">
        <v>805</v>
      </c>
      <c r="M133" s="6" t="s">
        <v>311</v>
      </c>
      <c r="N133" s="3" t="s">
        <v>140</v>
      </c>
      <c r="O133" s="3" t="s">
        <v>62</v>
      </c>
      <c r="P133" s="3" t="s">
        <v>1219</v>
      </c>
      <c r="Q133" s="137">
        <v>165</v>
      </c>
      <c r="R133" s="139">
        <v>1</v>
      </c>
      <c r="S133" s="140">
        <v>5490</v>
      </c>
      <c r="U133" s="137">
        <v>9.0589999999999993</v>
      </c>
      <c r="V133" s="138">
        <v>3.0000000000000001E-6</v>
      </c>
      <c r="W133" s="138">
        <v>3.54455523564007E-3</v>
      </c>
      <c r="X133" s="138">
        <v>1.08505563661191E-3</v>
      </c>
    </row>
    <row r="134" spans="1:24" x14ac:dyDescent="0.2">
      <c r="A134" s="3">
        <v>13710</v>
      </c>
      <c r="B134" s="3">
        <v>15444</v>
      </c>
      <c r="C134" s="3" t="s">
        <v>2565</v>
      </c>
      <c r="D134" s="3" t="s">
        <v>2566</v>
      </c>
      <c r="E134" s="3" t="s">
        <v>1477</v>
      </c>
      <c r="F134" s="3" t="s">
        <v>2567</v>
      </c>
      <c r="G134" s="3" t="s">
        <v>2568</v>
      </c>
      <c r="H134" s="3" t="s">
        <v>76</v>
      </c>
      <c r="I134" s="3" t="s">
        <v>73</v>
      </c>
      <c r="J134" s="3" t="s">
        <v>53</v>
      </c>
      <c r="K134" s="3" t="s">
        <v>317</v>
      </c>
      <c r="L134" s="6" t="s">
        <v>805</v>
      </c>
      <c r="M134" s="6" t="s">
        <v>311</v>
      </c>
      <c r="N134" s="3" t="s">
        <v>637</v>
      </c>
      <c r="O134" s="3" t="s">
        <v>62</v>
      </c>
      <c r="P134" s="3" t="s">
        <v>1219</v>
      </c>
      <c r="Q134" s="137">
        <v>282</v>
      </c>
      <c r="R134" s="139">
        <v>1</v>
      </c>
      <c r="S134" s="140">
        <v>5310</v>
      </c>
      <c r="U134" s="137">
        <v>14.974</v>
      </c>
      <c r="V134" s="138">
        <v>1.1E-5</v>
      </c>
      <c r="W134" s="138">
        <v>5.8593452568881698E-3</v>
      </c>
      <c r="X134" s="138">
        <v>1.79365679900139E-3</v>
      </c>
    </row>
    <row r="135" spans="1:24" x14ac:dyDescent="0.2">
      <c r="A135" s="3">
        <v>13710</v>
      </c>
      <c r="B135" s="3">
        <v>15444</v>
      </c>
      <c r="C135" s="3" t="s">
        <v>1659</v>
      </c>
      <c r="D135" s="3" t="s">
        <v>1660</v>
      </c>
      <c r="E135" s="3" t="s">
        <v>1477</v>
      </c>
      <c r="F135" s="3" t="s">
        <v>2569</v>
      </c>
      <c r="G135" s="3" t="s">
        <v>2570</v>
      </c>
      <c r="H135" s="3" t="s">
        <v>76</v>
      </c>
      <c r="I135" s="3" t="s">
        <v>73</v>
      </c>
      <c r="J135" s="3" t="s">
        <v>53</v>
      </c>
      <c r="K135" s="3" t="s">
        <v>53</v>
      </c>
      <c r="L135" s="6" t="s">
        <v>805</v>
      </c>
      <c r="M135" s="6" t="s">
        <v>311</v>
      </c>
      <c r="N135" s="3" t="s">
        <v>635</v>
      </c>
      <c r="O135" s="3" t="s">
        <v>62</v>
      </c>
      <c r="P135" s="3" t="s">
        <v>1219</v>
      </c>
      <c r="Q135" s="137">
        <v>5765</v>
      </c>
      <c r="R135" s="139">
        <v>1</v>
      </c>
      <c r="S135" s="140">
        <v>296.5</v>
      </c>
      <c r="U135" s="137">
        <v>17.093</v>
      </c>
      <c r="V135" s="138">
        <v>1.8E-5</v>
      </c>
      <c r="W135" s="138">
        <v>6.6885113614531802E-3</v>
      </c>
      <c r="X135" s="138">
        <v>2.0474802819589999E-3</v>
      </c>
    </row>
    <row r="136" spans="1:24" x14ac:dyDescent="0.2">
      <c r="A136" s="3">
        <v>13710</v>
      </c>
      <c r="B136" s="3">
        <v>15444</v>
      </c>
      <c r="C136" s="3" t="s">
        <v>1676</v>
      </c>
      <c r="D136" s="3" t="s">
        <v>1677</v>
      </c>
      <c r="E136" s="3" t="s">
        <v>1477</v>
      </c>
      <c r="F136" s="3" t="s">
        <v>2571</v>
      </c>
      <c r="G136" s="3" t="s">
        <v>2572</v>
      </c>
      <c r="H136" s="3" t="s">
        <v>76</v>
      </c>
      <c r="I136" s="3" t="s">
        <v>73</v>
      </c>
      <c r="J136" s="3" t="s">
        <v>53</v>
      </c>
      <c r="K136" s="3" t="s">
        <v>53</v>
      </c>
      <c r="L136" s="6" t="s">
        <v>805</v>
      </c>
      <c r="M136" s="6" t="s">
        <v>311</v>
      </c>
      <c r="N136" s="3" t="s">
        <v>156</v>
      </c>
      <c r="O136" s="3" t="s">
        <v>62</v>
      </c>
      <c r="P136" s="3" t="s">
        <v>1219</v>
      </c>
      <c r="Q136" s="137">
        <v>11313</v>
      </c>
      <c r="R136" s="139">
        <v>1</v>
      </c>
      <c r="S136" s="140">
        <v>90.8</v>
      </c>
      <c r="U136" s="137">
        <v>10.272</v>
      </c>
      <c r="V136" s="138">
        <v>3.9999999999999998E-6</v>
      </c>
      <c r="W136" s="138">
        <v>4.0194728122495797E-3</v>
      </c>
      <c r="X136" s="138">
        <v>1.2304369211930701E-3</v>
      </c>
    </row>
    <row r="137" spans="1:24" x14ac:dyDescent="0.2">
      <c r="A137" s="3">
        <v>13710</v>
      </c>
      <c r="B137" s="3">
        <v>15444</v>
      </c>
      <c r="C137" s="3" t="s">
        <v>1681</v>
      </c>
      <c r="D137" s="3" t="s">
        <v>1682</v>
      </c>
      <c r="E137" s="3" t="s">
        <v>1477</v>
      </c>
      <c r="F137" s="3" t="s">
        <v>2573</v>
      </c>
      <c r="G137" s="3" t="s">
        <v>2574</v>
      </c>
      <c r="H137" s="3" t="s">
        <v>76</v>
      </c>
      <c r="I137" s="3" t="s">
        <v>73</v>
      </c>
      <c r="J137" s="3" t="s">
        <v>53</v>
      </c>
      <c r="K137" s="3" t="s">
        <v>53</v>
      </c>
      <c r="L137" s="6" t="s">
        <v>805</v>
      </c>
      <c r="M137" s="6" t="s">
        <v>311</v>
      </c>
      <c r="N137" s="3" t="s">
        <v>260</v>
      </c>
      <c r="O137" s="3" t="s">
        <v>62</v>
      </c>
      <c r="P137" s="3" t="s">
        <v>1219</v>
      </c>
      <c r="Q137" s="137">
        <v>13489</v>
      </c>
      <c r="R137" s="139">
        <v>1</v>
      </c>
      <c r="S137" s="140">
        <v>575</v>
      </c>
      <c r="U137" s="137">
        <v>77.561999999999998</v>
      </c>
      <c r="V137" s="138">
        <v>5.0000000000000004E-6</v>
      </c>
      <c r="W137" s="138">
        <v>3.0349606121091301E-2</v>
      </c>
      <c r="X137" s="138">
        <v>9.2905904976523599E-3</v>
      </c>
    </row>
    <row r="138" spans="1:24" x14ac:dyDescent="0.2">
      <c r="A138" s="3">
        <v>13710</v>
      </c>
      <c r="B138" s="3">
        <v>15444</v>
      </c>
      <c r="C138" s="3" t="s">
        <v>1688</v>
      </c>
      <c r="D138" s="3" t="s">
        <v>1689</v>
      </c>
      <c r="E138" s="3" t="s">
        <v>1477</v>
      </c>
      <c r="F138" s="3" t="s">
        <v>2575</v>
      </c>
      <c r="G138" s="3" t="s">
        <v>2576</v>
      </c>
      <c r="H138" s="3" t="s">
        <v>76</v>
      </c>
      <c r="I138" s="3" t="s">
        <v>73</v>
      </c>
      <c r="J138" s="3" t="s">
        <v>53</v>
      </c>
      <c r="K138" s="3" t="s">
        <v>53</v>
      </c>
      <c r="L138" s="6" t="s">
        <v>805</v>
      </c>
      <c r="M138" s="6" t="s">
        <v>311</v>
      </c>
      <c r="N138" s="3" t="s">
        <v>635</v>
      </c>
      <c r="O138" s="3" t="s">
        <v>62</v>
      </c>
      <c r="P138" s="3" t="s">
        <v>1219</v>
      </c>
      <c r="Q138" s="137">
        <v>97</v>
      </c>
      <c r="R138" s="139">
        <v>1</v>
      </c>
      <c r="S138" s="140">
        <v>64490</v>
      </c>
      <c r="U138" s="137">
        <v>62.555</v>
      </c>
      <c r="V138" s="138">
        <v>3.9999999999999998E-6</v>
      </c>
      <c r="W138" s="138">
        <v>2.4477641566709198E-2</v>
      </c>
      <c r="X138" s="138">
        <v>7.4930706921619503E-3</v>
      </c>
    </row>
    <row r="139" spans="1:24" x14ac:dyDescent="0.2">
      <c r="A139" s="3">
        <v>13710</v>
      </c>
      <c r="B139" s="3">
        <v>15444</v>
      </c>
      <c r="C139" s="3" t="s">
        <v>2577</v>
      </c>
      <c r="D139" s="3" t="s">
        <v>2578</v>
      </c>
      <c r="E139" s="3" t="s">
        <v>1477</v>
      </c>
      <c r="F139" s="3" t="s">
        <v>2579</v>
      </c>
      <c r="G139" s="3" t="s">
        <v>2580</v>
      </c>
      <c r="H139" s="3" t="s">
        <v>76</v>
      </c>
      <c r="I139" s="3" t="s">
        <v>73</v>
      </c>
      <c r="J139" s="3" t="s">
        <v>53</v>
      </c>
      <c r="K139" s="3" t="s">
        <v>314</v>
      </c>
      <c r="L139" s="6" t="s">
        <v>805</v>
      </c>
      <c r="M139" s="6" t="s">
        <v>311</v>
      </c>
      <c r="N139" s="3" t="s">
        <v>630</v>
      </c>
      <c r="O139" s="3" t="s">
        <v>62</v>
      </c>
      <c r="P139" s="3" t="s">
        <v>1219</v>
      </c>
      <c r="Q139" s="137">
        <v>610</v>
      </c>
      <c r="R139" s="139">
        <v>1</v>
      </c>
      <c r="S139" s="140">
        <v>2457</v>
      </c>
      <c r="U139" s="137">
        <v>14.988</v>
      </c>
      <c r="V139" s="138">
        <v>1.1E-5</v>
      </c>
      <c r="W139" s="138">
        <v>5.8646277535135596E-3</v>
      </c>
      <c r="X139" s="138">
        <v>1.7952738714851601E-3</v>
      </c>
    </row>
    <row r="140" spans="1:24" x14ac:dyDescent="0.2">
      <c r="A140" s="3">
        <v>13710</v>
      </c>
      <c r="B140" s="3">
        <v>15444</v>
      </c>
      <c r="C140" s="3" t="s">
        <v>2581</v>
      </c>
      <c r="D140" s="3" t="s">
        <v>2582</v>
      </c>
      <c r="E140" s="3" t="s">
        <v>1477</v>
      </c>
      <c r="F140" s="3" t="s">
        <v>2583</v>
      </c>
      <c r="G140" s="3" t="s">
        <v>2584</v>
      </c>
      <c r="H140" s="3" t="s">
        <v>76</v>
      </c>
      <c r="I140" s="3" t="s">
        <v>73</v>
      </c>
      <c r="J140" s="3" t="s">
        <v>53</v>
      </c>
      <c r="K140" s="3" t="s">
        <v>53</v>
      </c>
      <c r="L140" s="6" t="s">
        <v>805</v>
      </c>
      <c r="M140" s="6" t="s">
        <v>311</v>
      </c>
      <c r="N140" s="3" t="s">
        <v>75</v>
      </c>
      <c r="O140" s="3" t="s">
        <v>62</v>
      </c>
      <c r="P140" s="3" t="s">
        <v>1219</v>
      </c>
      <c r="Q140" s="137">
        <v>12</v>
      </c>
      <c r="R140" s="139">
        <v>1</v>
      </c>
      <c r="S140" s="140">
        <v>60590</v>
      </c>
      <c r="U140" s="137">
        <v>7.2709999999999999</v>
      </c>
      <c r="V140" s="138">
        <v>1.0000000000000001E-5</v>
      </c>
      <c r="W140" s="138">
        <v>2.8450352936238701E-3</v>
      </c>
      <c r="X140" s="138">
        <v>8.7091930481623698E-4</v>
      </c>
    </row>
    <row r="141" spans="1:24" x14ac:dyDescent="0.2">
      <c r="A141" s="3">
        <v>13710</v>
      </c>
      <c r="B141" s="3">
        <v>15444</v>
      </c>
      <c r="C141" s="3" t="s">
        <v>2593</v>
      </c>
      <c r="D141" s="3" t="s">
        <v>2594</v>
      </c>
      <c r="E141" s="3" t="s">
        <v>1477</v>
      </c>
      <c r="F141" s="3" t="s">
        <v>2595</v>
      </c>
      <c r="G141" s="3" t="s">
        <v>2596</v>
      </c>
      <c r="H141" s="3" t="s">
        <v>76</v>
      </c>
      <c r="I141" s="3" t="s">
        <v>73</v>
      </c>
      <c r="J141" s="3" t="s">
        <v>53</v>
      </c>
      <c r="K141" s="3" t="s">
        <v>53</v>
      </c>
      <c r="L141" s="6" t="s">
        <v>805</v>
      </c>
      <c r="M141" s="6" t="s">
        <v>311</v>
      </c>
      <c r="N141" s="3" t="s">
        <v>140</v>
      </c>
      <c r="O141" s="3" t="s">
        <v>62</v>
      </c>
      <c r="P141" s="3" t="s">
        <v>1219</v>
      </c>
      <c r="Q141" s="137">
        <v>25</v>
      </c>
      <c r="R141" s="139">
        <v>1</v>
      </c>
      <c r="S141" s="140">
        <v>23700</v>
      </c>
      <c r="U141" s="137">
        <v>5.9249999999999998</v>
      </c>
      <c r="V141" s="138">
        <v>3.0000000000000001E-6</v>
      </c>
      <c r="W141" s="138">
        <v>2.3184290744789299E-3</v>
      </c>
      <c r="X141" s="138">
        <v>7.0971514565607702E-4</v>
      </c>
    </row>
    <row r="142" spans="1:24" x14ac:dyDescent="0.2">
      <c r="A142" s="3">
        <v>13710</v>
      </c>
      <c r="B142" s="3">
        <v>15444</v>
      </c>
      <c r="C142" s="3" t="s">
        <v>1762</v>
      </c>
      <c r="D142" s="3" t="s">
        <v>1763</v>
      </c>
      <c r="E142" s="3" t="s">
        <v>1477</v>
      </c>
      <c r="F142" s="3" t="s">
        <v>2597</v>
      </c>
      <c r="G142" s="3" t="s">
        <v>2598</v>
      </c>
      <c r="H142" s="3" t="s">
        <v>76</v>
      </c>
      <c r="I142" s="3" t="s">
        <v>73</v>
      </c>
      <c r="J142" s="3" t="s">
        <v>53</v>
      </c>
      <c r="K142" s="3" t="s">
        <v>53</v>
      </c>
      <c r="L142" s="6" t="s">
        <v>805</v>
      </c>
      <c r="M142" s="6" t="s">
        <v>311</v>
      </c>
      <c r="N142" s="3" t="s">
        <v>631</v>
      </c>
      <c r="O142" s="3" t="s">
        <v>62</v>
      </c>
      <c r="P142" s="3" t="s">
        <v>1219</v>
      </c>
      <c r="Q142" s="137">
        <v>287</v>
      </c>
      <c r="R142" s="139">
        <v>1</v>
      </c>
      <c r="S142" s="140">
        <v>1532</v>
      </c>
      <c r="U142" s="137">
        <v>4.3970000000000002</v>
      </c>
      <c r="V142" s="138">
        <v>1.9999999999999999E-6</v>
      </c>
      <c r="W142" s="138">
        <v>1.72046610832607E-3</v>
      </c>
      <c r="X142" s="138">
        <v>5.2666733181881199E-4</v>
      </c>
    </row>
    <row r="143" spans="1:24" x14ac:dyDescent="0.2">
      <c r="A143" s="3">
        <v>13710</v>
      </c>
      <c r="B143" s="3">
        <v>15444</v>
      </c>
      <c r="C143" s="3" t="s">
        <v>2295</v>
      </c>
      <c r="D143" s="3" t="s">
        <v>2296</v>
      </c>
      <c r="E143" s="3" t="s">
        <v>1477</v>
      </c>
      <c r="F143" s="3" t="s">
        <v>2599</v>
      </c>
      <c r="G143" s="3" t="s">
        <v>2600</v>
      </c>
      <c r="H143" s="3" t="s">
        <v>76</v>
      </c>
      <c r="I143" s="3" t="s">
        <v>73</v>
      </c>
      <c r="J143" s="3" t="s">
        <v>53</v>
      </c>
      <c r="K143" s="3" t="s">
        <v>53</v>
      </c>
      <c r="L143" s="6" t="s">
        <v>805</v>
      </c>
      <c r="M143" s="6" t="s">
        <v>311</v>
      </c>
      <c r="N143" s="3" t="s">
        <v>256</v>
      </c>
      <c r="O143" s="3" t="s">
        <v>62</v>
      </c>
      <c r="P143" s="3" t="s">
        <v>1219</v>
      </c>
      <c r="Q143" s="137">
        <v>3016</v>
      </c>
      <c r="R143" s="139">
        <v>1</v>
      </c>
      <c r="S143" s="140">
        <v>3356</v>
      </c>
      <c r="U143" s="137">
        <v>101.217</v>
      </c>
      <c r="V143" s="138">
        <v>1.9999999999999999E-6</v>
      </c>
      <c r="W143" s="138">
        <v>3.9605796269092101E-2</v>
      </c>
      <c r="X143" s="138">
        <v>1.21240859931249E-2</v>
      </c>
    </row>
    <row r="144" spans="1:24" x14ac:dyDescent="0.2">
      <c r="A144" s="3">
        <v>13710</v>
      </c>
      <c r="B144" s="3">
        <v>15444</v>
      </c>
      <c r="C144" s="3" t="s">
        <v>2601</v>
      </c>
      <c r="D144" s="3" t="s">
        <v>2602</v>
      </c>
      <c r="E144" s="3" t="s">
        <v>1477</v>
      </c>
      <c r="F144" s="3" t="s">
        <v>2603</v>
      </c>
      <c r="G144" s="3" t="s">
        <v>2604</v>
      </c>
      <c r="H144" s="3" t="s">
        <v>76</v>
      </c>
      <c r="I144" s="3" t="s">
        <v>73</v>
      </c>
      <c r="J144" s="3" t="s">
        <v>53</v>
      </c>
      <c r="K144" s="3" t="s">
        <v>53</v>
      </c>
      <c r="L144" s="6" t="s">
        <v>805</v>
      </c>
      <c r="M144" s="6" t="s">
        <v>311</v>
      </c>
      <c r="N144" s="3" t="s">
        <v>75</v>
      </c>
      <c r="O144" s="3" t="s">
        <v>62</v>
      </c>
      <c r="P144" s="3" t="s">
        <v>1219</v>
      </c>
      <c r="Q144" s="137">
        <v>324</v>
      </c>
      <c r="R144" s="139">
        <v>1</v>
      </c>
      <c r="S144" s="140">
        <v>4845</v>
      </c>
      <c r="U144" s="137">
        <v>15.698</v>
      </c>
      <c r="V144" s="138">
        <v>1.2E-5</v>
      </c>
      <c r="W144" s="138">
        <v>6.1424870760093397E-3</v>
      </c>
      <c r="X144" s="138">
        <v>1.8803318841316399E-3</v>
      </c>
    </row>
    <row r="145" spans="1:24" x14ac:dyDescent="0.2">
      <c r="A145" s="3">
        <v>13710</v>
      </c>
      <c r="B145" s="3">
        <v>15444</v>
      </c>
      <c r="C145" s="3" t="s">
        <v>2605</v>
      </c>
      <c r="D145" s="3" t="s">
        <v>2606</v>
      </c>
      <c r="E145" s="3" t="s">
        <v>1477</v>
      </c>
      <c r="F145" s="3" t="s">
        <v>2607</v>
      </c>
      <c r="G145" s="3" t="s">
        <v>2608</v>
      </c>
      <c r="H145" s="3" t="s">
        <v>76</v>
      </c>
      <c r="I145" s="3" t="s">
        <v>73</v>
      </c>
      <c r="J145" s="3" t="s">
        <v>53</v>
      </c>
      <c r="K145" s="3" t="s">
        <v>53</v>
      </c>
      <c r="L145" s="6" t="s">
        <v>805</v>
      </c>
      <c r="M145" s="6" t="s">
        <v>311</v>
      </c>
      <c r="N145" s="3" t="s">
        <v>75</v>
      </c>
      <c r="O145" s="3" t="s">
        <v>62</v>
      </c>
      <c r="P145" s="3" t="s">
        <v>1219</v>
      </c>
      <c r="Q145" s="137">
        <v>230</v>
      </c>
      <c r="R145" s="139">
        <v>1</v>
      </c>
      <c r="S145" s="140">
        <v>2836</v>
      </c>
      <c r="T145" s="131">
        <v>0.46</v>
      </c>
      <c r="U145" s="137">
        <v>6.9829999999999997</v>
      </c>
      <c r="V145" s="138">
        <v>1.9999999999999999E-6</v>
      </c>
      <c r="W145" s="138">
        <v>2.7323420322821102E-3</v>
      </c>
      <c r="X145" s="138">
        <v>8.3642175849573904E-4</v>
      </c>
    </row>
    <row r="146" spans="1:24" x14ac:dyDescent="0.2">
      <c r="A146" s="3">
        <v>13710</v>
      </c>
      <c r="B146" s="3">
        <v>15444</v>
      </c>
      <c r="C146" s="3" t="s">
        <v>2609</v>
      </c>
      <c r="D146" s="3" t="s">
        <v>2610</v>
      </c>
      <c r="E146" s="3" t="s">
        <v>1477</v>
      </c>
      <c r="F146" s="3" t="s">
        <v>2611</v>
      </c>
      <c r="G146" s="3" t="s">
        <v>2612</v>
      </c>
      <c r="H146" s="3" t="s">
        <v>76</v>
      </c>
      <c r="I146" s="3" t="s">
        <v>73</v>
      </c>
      <c r="J146" s="3" t="s">
        <v>53</v>
      </c>
      <c r="K146" s="3" t="s">
        <v>53</v>
      </c>
      <c r="L146" s="6" t="s">
        <v>805</v>
      </c>
      <c r="M146" s="6" t="s">
        <v>311</v>
      </c>
      <c r="N146" s="3" t="s">
        <v>140</v>
      </c>
      <c r="O146" s="3" t="s">
        <v>62</v>
      </c>
      <c r="P146" s="3" t="s">
        <v>1219</v>
      </c>
      <c r="Q146" s="137">
        <v>83</v>
      </c>
      <c r="R146" s="139">
        <v>1</v>
      </c>
      <c r="S146" s="140">
        <v>36740</v>
      </c>
      <c r="U146" s="137">
        <v>30.494</v>
      </c>
      <c r="V146" s="138">
        <v>3.9999999999999998E-6</v>
      </c>
      <c r="W146" s="138">
        <v>1.1932259895860799E-2</v>
      </c>
      <c r="X146" s="138">
        <v>3.652691239606E-3</v>
      </c>
    </row>
    <row r="147" spans="1:24" x14ac:dyDescent="0.2">
      <c r="A147" s="3">
        <v>13710</v>
      </c>
      <c r="B147" s="3">
        <v>15444</v>
      </c>
      <c r="C147" s="3" t="s">
        <v>2613</v>
      </c>
      <c r="D147" s="3" t="s">
        <v>2614</v>
      </c>
      <c r="E147" s="3" t="s">
        <v>1477</v>
      </c>
      <c r="F147" s="3" t="s">
        <v>2615</v>
      </c>
      <c r="G147" s="3" t="s">
        <v>2616</v>
      </c>
      <c r="H147" s="3" t="s">
        <v>76</v>
      </c>
      <c r="I147" s="3" t="s">
        <v>73</v>
      </c>
      <c r="J147" s="3" t="s">
        <v>53</v>
      </c>
      <c r="K147" s="3" t="s">
        <v>53</v>
      </c>
      <c r="L147" s="6" t="s">
        <v>805</v>
      </c>
      <c r="M147" s="6" t="s">
        <v>311</v>
      </c>
      <c r="N147" s="3" t="s">
        <v>258</v>
      </c>
      <c r="O147" s="3" t="s">
        <v>62</v>
      </c>
      <c r="P147" s="3" t="s">
        <v>1219</v>
      </c>
      <c r="Q147" s="137">
        <v>16</v>
      </c>
      <c r="R147" s="139">
        <v>1</v>
      </c>
      <c r="S147" s="140">
        <v>48100</v>
      </c>
      <c r="U147" s="137">
        <v>7.6959999999999997</v>
      </c>
      <c r="V147" s="138">
        <v>3.0000000000000001E-6</v>
      </c>
      <c r="W147" s="138">
        <v>3.0114143725214898E-3</v>
      </c>
      <c r="X147" s="138">
        <v>9.2185109889774905E-4</v>
      </c>
    </row>
    <row r="148" spans="1:24" x14ac:dyDescent="0.2">
      <c r="A148" s="3">
        <v>13710</v>
      </c>
      <c r="B148" s="3">
        <v>15444</v>
      </c>
      <c r="C148" s="3" t="s">
        <v>2617</v>
      </c>
      <c r="D148" s="3" t="s">
        <v>2618</v>
      </c>
      <c r="E148" s="3" t="s">
        <v>1477</v>
      </c>
      <c r="F148" s="3" t="s">
        <v>2619</v>
      </c>
      <c r="G148" s="3" t="s">
        <v>2620</v>
      </c>
      <c r="H148" s="3" t="s">
        <v>76</v>
      </c>
      <c r="I148" s="3" t="s">
        <v>73</v>
      </c>
      <c r="J148" s="3" t="s">
        <v>53</v>
      </c>
      <c r="K148" s="3" t="s">
        <v>53</v>
      </c>
      <c r="L148" s="6" t="s">
        <v>805</v>
      </c>
      <c r="M148" s="6" t="s">
        <v>311</v>
      </c>
      <c r="N148" s="3" t="s">
        <v>269</v>
      </c>
      <c r="O148" s="3" t="s">
        <v>62</v>
      </c>
      <c r="P148" s="3" t="s">
        <v>1219</v>
      </c>
      <c r="Q148" s="137">
        <v>220</v>
      </c>
      <c r="R148" s="139">
        <v>1</v>
      </c>
      <c r="S148" s="140">
        <v>9745</v>
      </c>
      <c r="U148" s="137">
        <v>21.439</v>
      </c>
      <c r="V148" s="138">
        <v>9.9999999999999995E-7</v>
      </c>
      <c r="W148" s="138">
        <v>8.3889959371736406E-3</v>
      </c>
      <c r="X148" s="138">
        <v>2.5680308873790099E-3</v>
      </c>
    </row>
    <row r="149" spans="1:24" x14ac:dyDescent="0.2">
      <c r="A149" s="3">
        <v>13710</v>
      </c>
      <c r="B149" s="3">
        <v>15444</v>
      </c>
      <c r="C149" s="3" t="s">
        <v>2621</v>
      </c>
      <c r="D149" s="3" t="s">
        <v>2622</v>
      </c>
      <c r="E149" s="3" t="s">
        <v>1477</v>
      </c>
      <c r="F149" s="3" t="s">
        <v>2623</v>
      </c>
      <c r="G149" s="3" t="s">
        <v>2624</v>
      </c>
      <c r="H149" s="3" t="s">
        <v>76</v>
      </c>
      <c r="I149" s="3" t="s">
        <v>73</v>
      </c>
      <c r="J149" s="3" t="s">
        <v>53</v>
      </c>
      <c r="K149" s="3" t="s">
        <v>53</v>
      </c>
      <c r="L149" s="6" t="s">
        <v>805</v>
      </c>
      <c r="M149" s="6" t="s">
        <v>311</v>
      </c>
      <c r="N149" s="3" t="s">
        <v>269</v>
      </c>
      <c r="O149" s="3" t="s">
        <v>62</v>
      </c>
      <c r="P149" s="3" t="s">
        <v>1219</v>
      </c>
      <c r="Q149" s="137">
        <v>430</v>
      </c>
      <c r="R149" s="139">
        <v>1</v>
      </c>
      <c r="S149" s="140">
        <v>9432</v>
      </c>
      <c r="U149" s="137">
        <v>40.558</v>
      </c>
      <c r="V149" s="138">
        <v>1.9999999999999999E-6</v>
      </c>
      <c r="W149" s="138">
        <v>1.58700285284534E-2</v>
      </c>
      <c r="X149" s="138">
        <v>4.8581169605841201E-3</v>
      </c>
    </row>
    <row r="150" spans="1:24" x14ac:dyDescent="0.2">
      <c r="A150" s="3">
        <v>13710</v>
      </c>
      <c r="B150" s="3">
        <v>15444</v>
      </c>
      <c r="C150" s="3" t="s">
        <v>2625</v>
      </c>
      <c r="D150" s="3" t="s">
        <v>2626</v>
      </c>
      <c r="E150" s="3" t="s">
        <v>1477</v>
      </c>
      <c r="F150" s="3" t="s">
        <v>2627</v>
      </c>
      <c r="G150" s="3" t="s">
        <v>2628</v>
      </c>
      <c r="H150" s="3" t="s">
        <v>76</v>
      </c>
      <c r="I150" s="3" t="s">
        <v>73</v>
      </c>
      <c r="J150" s="3" t="s">
        <v>53</v>
      </c>
      <c r="K150" s="3" t="s">
        <v>53</v>
      </c>
      <c r="L150" s="6" t="s">
        <v>805</v>
      </c>
      <c r="M150" s="6" t="s">
        <v>311</v>
      </c>
      <c r="N150" s="3" t="s">
        <v>252</v>
      </c>
      <c r="O150" s="3" t="s">
        <v>62</v>
      </c>
      <c r="P150" s="3" t="s">
        <v>1219</v>
      </c>
      <c r="Q150" s="137">
        <v>321</v>
      </c>
      <c r="R150" s="139">
        <v>1</v>
      </c>
      <c r="S150" s="140">
        <v>8680</v>
      </c>
      <c r="U150" s="137">
        <v>27.863</v>
      </c>
      <c r="V150" s="138">
        <v>3.9999999999999998E-6</v>
      </c>
      <c r="W150" s="138">
        <v>1.09026034795598E-2</v>
      </c>
      <c r="X150" s="138">
        <v>3.3374938667318399E-3</v>
      </c>
    </row>
    <row r="151" spans="1:24" x14ac:dyDescent="0.2">
      <c r="A151" s="3">
        <v>13710</v>
      </c>
      <c r="B151" s="3">
        <v>15444</v>
      </c>
      <c r="C151" s="3" t="s">
        <v>2629</v>
      </c>
      <c r="D151" s="3" t="s">
        <v>2630</v>
      </c>
      <c r="E151" s="3" t="s">
        <v>1477</v>
      </c>
      <c r="F151" s="3" t="s">
        <v>2631</v>
      </c>
      <c r="G151" s="3" t="s">
        <v>2632</v>
      </c>
      <c r="H151" s="3" t="s">
        <v>76</v>
      </c>
      <c r="I151" s="3" t="s">
        <v>73</v>
      </c>
      <c r="J151" s="3" t="s">
        <v>53</v>
      </c>
      <c r="K151" s="3" t="s">
        <v>53</v>
      </c>
      <c r="L151" s="6" t="s">
        <v>805</v>
      </c>
      <c r="M151" s="6" t="s">
        <v>311</v>
      </c>
      <c r="N151" s="3" t="s">
        <v>635</v>
      </c>
      <c r="O151" s="3" t="s">
        <v>62</v>
      </c>
      <c r="P151" s="3" t="s">
        <v>1219</v>
      </c>
      <c r="Q151" s="137">
        <v>59</v>
      </c>
      <c r="R151" s="139">
        <v>1</v>
      </c>
      <c r="S151" s="140">
        <v>21400</v>
      </c>
      <c r="U151" s="137">
        <v>12.625999999999999</v>
      </c>
      <c r="V151" s="138">
        <v>3.0000000000000001E-6</v>
      </c>
      <c r="W151" s="138">
        <v>4.9405038809064898E-3</v>
      </c>
      <c r="X151" s="138">
        <v>1.51238201334238E-3</v>
      </c>
    </row>
    <row r="152" spans="1:24" x14ac:dyDescent="0.2">
      <c r="A152" s="3">
        <v>13710</v>
      </c>
      <c r="B152" s="3">
        <v>15444</v>
      </c>
      <c r="C152" s="3" t="s">
        <v>1802</v>
      </c>
      <c r="D152" s="3" t="s">
        <v>1803</v>
      </c>
      <c r="E152" s="3" t="s">
        <v>1477</v>
      </c>
      <c r="F152" s="3" t="s">
        <v>2633</v>
      </c>
      <c r="G152" s="3" t="s">
        <v>2634</v>
      </c>
      <c r="H152" s="3" t="s">
        <v>76</v>
      </c>
      <c r="I152" s="3" t="s">
        <v>73</v>
      </c>
      <c r="J152" s="3" t="s">
        <v>53</v>
      </c>
      <c r="K152" s="3" t="s">
        <v>53</v>
      </c>
      <c r="L152" s="6" t="s">
        <v>805</v>
      </c>
      <c r="M152" s="6" t="s">
        <v>311</v>
      </c>
      <c r="N152" s="3" t="s">
        <v>692</v>
      </c>
      <c r="O152" s="3" t="s">
        <v>62</v>
      </c>
      <c r="P152" s="3" t="s">
        <v>1219</v>
      </c>
      <c r="Q152" s="137">
        <v>76</v>
      </c>
      <c r="R152" s="139">
        <v>1</v>
      </c>
      <c r="S152" s="140">
        <v>112370</v>
      </c>
      <c r="U152" s="137">
        <v>85.400999999999996</v>
      </c>
      <c r="V152" s="138">
        <v>1.0000000000000001E-5</v>
      </c>
      <c r="W152" s="138">
        <v>3.34171519114582E-2</v>
      </c>
      <c r="X152" s="138">
        <v>1.0229624488979501E-2</v>
      </c>
    </row>
    <row r="153" spans="1:24" x14ac:dyDescent="0.2">
      <c r="A153" s="3">
        <v>13710</v>
      </c>
      <c r="B153" s="3">
        <v>15444</v>
      </c>
      <c r="C153" s="3" t="s">
        <v>2635</v>
      </c>
      <c r="D153" s="3" t="s">
        <v>2636</v>
      </c>
      <c r="E153" s="3" t="s">
        <v>1477</v>
      </c>
      <c r="F153" s="3" t="s">
        <v>2637</v>
      </c>
      <c r="G153" s="3" t="s">
        <v>2638</v>
      </c>
      <c r="H153" s="3" t="s">
        <v>76</v>
      </c>
      <c r="I153" s="3" t="s">
        <v>73</v>
      </c>
      <c r="J153" s="3" t="s">
        <v>53</v>
      </c>
      <c r="K153" s="3" t="s">
        <v>317</v>
      </c>
      <c r="L153" s="6" t="s">
        <v>805</v>
      </c>
      <c r="M153" s="6" t="s">
        <v>311</v>
      </c>
      <c r="N153" s="3" t="s">
        <v>254</v>
      </c>
      <c r="O153" s="3" t="s">
        <v>62</v>
      </c>
      <c r="P153" s="3" t="s">
        <v>1219</v>
      </c>
      <c r="Q153" s="137">
        <v>146</v>
      </c>
      <c r="R153" s="139">
        <v>1</v>
      </c>
      <c r="S153" s="140">
        <v>14620</v>
      </c>
      <c r="U153" s="137">
        <v>21.344999999999999</v>
      </c>
      <c r="V153" s="138">
        <v>9.9999999999999995E-7</v>
      </c>
      <c r="W153" s="138">
        <v>8.3522923680282996E-3</v>
      </c>
      <c r="X153" s="138">
        <v>2.5567952281954601E-3</v>
      </c>
    </row>
    <row r="154" spans="1:24" x14ac:dyDescent="0.2">
      <c r="A154" s="3">
        <v>13710</v>
      </c>
      <c r="B154" s="3">
        <v>15444</v>
      </c>
      <c r="C154" s="3" t="s">
        <v>2325</v>
      </c>
      <c r="D154" s="3" t="s">
        <v>2326</v>
      </c>
      <c r="E154" s="3" t="s">
        <v>1477</v>
      </c>
      <c r="F154" s="3" t="s">
        <v>2639</v>
      </c>
      <c r="G154" s="3" t="s">
        <v>2640</v>
      </c>
      <c r="H154" s="3" t="s">
        <v>76</v>
      </c>
      <c r="I154" s="3" t="s">
        <v>73</v>
      </c>
      <c r="J154" s="3" t="s">
        <v>53</v>
      </c>
      <c r="K154" s="3" t="s">
        <v>314</v>
      </c>
      <c r="L154" s="6" t="s">
        <v>805</v>
      </c>
      <c r="M154" s="6" t="s">
        <v>311</v>
      </c>
      <c r="N154" s="3" t="s">
        <v>85</v>
      </c>
      <c r="O154" s="3" t="s">
        <v>62</v>
      </c>
      <c r="P154" s="3" t="s">
        <v>1219</v>
      </c>
      <c r="Q154" s="137">
        <v>975</v>
      </c>
      <c r="R154" s="139">
        <v>1</v>
      </c>
      <c r="S154" s="140">
        <v>5699</v>
      </c>
      <c r="U154" s="137">
        <v>55.564999999999998</v>
      </c>
      <c r="V154" s="138">
        <v>9.9999999999999995E-7</v>
      </c>
      <c r="W154" s="138">
        <v>2.1742462638091199E-2</v>
      </c>
      <c r="X154" s="138">
        <v>6.65578050585085E-3</v>
      </c>
    </row>
    <row r="155" spans="1:24" x14ac:dyDescent="0.2">
      <c r="A155" s="3">
        <v>13710</v>
      </c>
      <c r="B155" s="3">
        <v>15444</v>
      </c>
      <c r="C155" s="3" t="s">
        <v>2641</v>
      </c>
      <c r="D155" s="3" t="s">
        <v>2642</v>
      </c>
      <c r="E155" s="3" t="s">
        <v>1477</v>
      </c>
      <c r="F155" s="3" t="s">
        <v>2643</v>
      </c>
      <c r="G155" s="3" t="s">
        <v>2644</v>
      </c>
      <c r="H155" s="3" t="s">
        <v>76</v>
      </c>
      <c r="I155" s="3" t="s">
        <v>73</v>
      </c>
      <c r="J155" s="3" t="s">
        <v>53</v>
      </c>
      <c r="L155" s="6" t="s">
        <v>805</v>
      </c>
      <c r="M155" s="6" t="s">
        <v>102</v>
      </c>
      <c r="N155" s="3" t="s">
        <v>631</v>
      </c>
      <c r="O155" s="3" t="s">
        <v>62</v>
      </c>
      <c r="P155" s="3" t="s">
        <v>1219</v>
      </c>
      <c r="Q155" s="137">
        <v>1000</v>
      </c>
      <c r="R155" s="139">
        <v>1</v>
      </c>
      <c r="S155" s="140">
        <v>902.39300000000003</v>
      </c>
      <c r="U155" s="137">
        <v>9.0239999999999991</v>
      </c>
      <c r="V155" s="138">
        <v>0</v>
      </c>
      <c r="W155" s="138">
        <v>3.53102667295823E-3</v>
      </c>
      <c r="X155" s="138">
        <v>1.08091428679019E-3</v>
      </c>
    </row>
    <row r="156" spans="1:24" x14ac:dyDescent="0.2">
      <c r="A156" s="3">
        <v>13710</v>
      </c>
      <c r="B156" s="3">
        <v>15444</v>
      </c>
      <c r="C156" s="3" t="s">
        <v>2645</v>
      </c>
      <c r="D156" s="3" t="s">
        <v>2646</v>
      </c>
      <c r="E156" s="3" t="s">
        <v>1477</v>
      </c>
      <c r="F156" s="3" t="s">
        <v>2647</v>
      </c>
      <c r="G156" s="3" t="s">
        <v>2648</v>
      </c>
      <c r="H156" s="3" t="s">
        <v>76</v>
      </c>
      <c r="I156" s="3" t="s">
        <v>73</v>
      </c>
      <c r="J156" s="3" t="s">
        <v>53</v>
      </c>
      <c r="K156" s="3" t="s">
        <v>53</v>
      </c>
      <c r="L156" s="6" t="s">
        <v>805</v>
      </c>
      <c r="M156" s="6" t="s">
        <v>311</v>
      </c>
      <c r="N156" s="3" t="s">
        <v>257</v>
      </c>
      <c r="O156" s="3" t="s">
        <v>62</v>
      </c>
      <c r="P156" s="3" t="s">
        <v>1219</v>
      </c>
      <c r="Q156" s="137">
        <v>897</v>
      </c>
      <c r="R156" s="139">
        <v>1</v>
      </c>
      <c r="S156" s="140">
        <v>1735</v>
      </c>
      <c r="U156" s="137">
        <v>15.563000000000001</v>
      </c>
      <c r="V156" s="138">
        <v>3.9999999999999998E-6</v>
      </c>
      <c r="W156" s="138">
        <v>6.0897208041623399E-3</v>
      </c>
      <c r="X156" s="138">
        <v>1.86417912676595E-3</v>
      </c>
    </row>
    <row r="157" spans="1:24" x14ac:dyDescent="0.2">
      <c r="A157" s="3">
        <v>13710</v>
      </c>
      <c r="B157" s="3">
        <v>15444</v>
      </c>
      <c r="C157" s="3" t="s">
        <v>1833</v>
      </c>
      <c r="D157" s="3" t="s">
        <v>1834</v>
      </c>
      <c r="E157" s="3" t="s">
        <v>432</v>
      </c>
      <c r="F157" s="3" t="s">
        <v>2649</v>
      </c>
      <c r="G157" s="3" t="s">
        <v>2650</v>
      </c>
      <c r="H157" s="3" t="s">
        <v>76</v>
      </c>
      <c r="I157" s="3" t="s">
        <v>73</v>
      </c>
      <c r="J157" s="3" t="s">
        <v>53</v>
      </c>
      <c r="K157" s="3" t="s">
        <v>53</v>
      </c>
      <c r="L157" s="6" t="s">
        <v>805</v>
      </c>
      <c r="M157" s="6" t="s">
        <v>311</v>
      </c>
      <c r="N157" s="3" t="s">
        <v>267</v>
      </c>
      <c r="O157" s="3" t="s">
        <v>62</v>
      </c>
      <c r="P157" s="3" t="s">
        <v>1219</v>
      </c>
      <c r="Q157" s="137">
        <v>16888</v>
      </c>
      <c r="R157" s="139">
        <v>1</v>
      </c>
      <c r="S157" s="140">
        <v>229.9</v>
      </c>
      <c r="U157" s="137">
        <v>38.826000000000001</v>
      </c>
      <c r="V157" s="138">
        <v>6.0000000000000002E-6</v>
      </c>
      <c r="W157" s="138">
        <v>1.51922693421655E-2</v>
      </c>
      <c r="X157" s="138">
        <v>4.65064200915641E-3</v>
      </c>
    </row>
    <row r="158" spans="1:24" x14ac:dyDescent="0.2">
      <c r="A158" s="3">
        <v>13710</v>
      </c>
      <c r="B158" s="3">
        <v>15444</v>
      </c>
      <c r="C158" s="3" t="s">
        <v>1849</v>
      </c>
      <c r="D158" s="3" t="s">
        <v>1850</v>
      </c>
      <c r="E158" s="3" t="s">
        <v>1477</v>
      </c>
      <c r="F158" s="3" t="s">
        <v>2655</v>
      </c>
      <c r="G158" s="3" t="s">
        <v>2656</v>
      </c>
      <c r="H158" s="3" t="s">
        <v>76</v>
      </c>
      <c r="I158" s="3" t="s">
        <v>73</v>
      </c>
      <c r="J158" s="3" t="s">
        <v>53</v>
      </c>
      <c r="K158" s="3" t="s">
        <v>53</v>
      </c>
      <c r="L158" s="6" t="s">
        <v>805</v>
      </c>
      <c r="M158" s="6" t="s">
        <v>311</v>
      </c>
      <c r="N158" s="3" t="s">
        <v>269</v>
      </c>
      <c r="O158" s="3" t="s">
        <v>62</v>
      </c>
      <c r="P158" s="3" t="s">
        <v>1219</v>
      </c>
      <c r="Q158" s="137">
        <v>285</v>
      </c>
      <c r="R158" s="139">
        <v>1</v>
      </c>
      <c r="S158" s="140">
        <v>14880</v>
      </c>
      <c r="U158" s="137">
        <v>42.408000000000001</v>
      </c>
      <c r="V158" s="138">
        <v>3.9999999999999998E-6</v>
      </c>
      <c r="W158" s="138">
        <v>1.6594082732574299E-2</v>
      </c>
      <c r="X158" s="138">
        <v>5.07976369569332E-3</v>
      </c>
    </row>
    <row r="159" spans="1:24" x14ac:dyDescent="0.2">
      <c r="A159" s="3">
        <v>13710</v>
      </c>
      <c r="B159" s="3">
        <v>15444</v>
      </c>
      <c r="C159" s="3" t="s">
        <v>1220</v>
      </c>
      <c r="D159" s="3" t="s">
        <v>1483</v>
      </c>
      <c r="E159" s="3" t="s">
        <v>1477</v>
      </c>
      <c r="F159" s="3" t="s">
        <v>2657</v>
      </c>
      <c r="G159" s="3" t="s">
        <v>2658</v>
      </c>
      <c r="H159" s="3" t="s">
        <v>76</v>
      </c>
      <c r="I159" s="3" t="s">
        <v>73</v>
      </c>
      <c r="J159" s="3" t="s">
        <v>53</v>
      </c>
      <c r="K159" s="3" t="s">
        <v>53</v>
      </c>
      <c r="L159" s="6" t="s">
        <v>805</v>
      </c>
      <c r="M159" s="6" t="s">
        <v>311</v>
      </c>
      <c r="N159" s="3" t="s">
        <v>256</v>
      </c>
      <c r="O159" s="3" t="s">
        <v>62</v>
      </c>
      <c r="P159" s="3" t="s">
        <v>1219</v>
      </c>
      <c r="Q159" s="137">
        <v>2443</v>
      </c>
      <c r="R159" s="139">
        <v>1</v>
      </c>
      <c r="S159" s="140">
        <v>6262</v>
      </c>
      <c r="U159" s="137">
        <v>152.98099999999999</v>
      </c>
      <c r="V159" s="138">
        <v>1.9999999999999999E-6</v>
      </c>
      <c r="W159" s="138">
        <v>5.9860727422274398E-2</v>
      </c>
      <c r="X159" s="138">
        <v>1.8324504876702601E-2</v>
      </c>
    </row>
    <row r="160" spans="1:24" x14ac:dyDescent="0.2">
      <c r="A160" s="3">
        <v>13710</v>
      </c>
      <c r="B160" s="3">
        <v>15444</v>
      </c>
      <c r="C160" s="3" t="s">
        <v>2487</v>
      </c>
      <c r="D160" s="3" t="s">
        <v>2488</v>
      </c>
      <c r="E160" s="3" t="s">
        <v>1477</v>
      </c>
      <c r="F160" s="3" t="s">
        <v>2659</v>
      </c>
      <c r="G160" s="3" t="s">
        <v>2660</v>
      </c>
      <c r="H160" s="3" t="s">
        <v>76</v>
      </c>
      <c r="I160" s="3" t="s">
        <v>73</v>
      </c>
      <c r="J160" s="3" t="s">
        <v>53</v>
      </c>
      <c r="K160" s="3" t="s">
        <v>53</v>
      </c>
      <c r="L160" s="6" t="s">
        <v>805</v>
      </c>
      <c r="M160" s="6" t="s">
        <v>311</v>
      </c>
      <c r="N160" s="3" t="s">
        <v>692</v>
      </c>
      <c r="O160" s="3" t="s">
        <v>62</v>
      </c>
      <c r="P160" s="3" t="s">
        <v>1219</v>
      </c>
      <c r="Q160" s="137">
        <v>3029</v>
      </c>
      <c r="R160" s="139">
        <v>1</v>
      </c>
      <c r="S160" s="140">
        <v>519.29999999999995</v>
      </c>
      <c r="U160" s="137">
        <v>15.73</v>
      </c>
      <c r="V160" s="138">
        <v>1.1E-5</v>
      </c>
      <c r="W160" s="138">
        <v>6.1549291163943603E-3</v>
      </c>
      <c r="X160" s="138">
        <v>1.88414062885509E-3</v>
      </c>
    </row>
    <row r="161" spans="1:24" x14ac:dyDescent="0.2">
      <c r="A161" s="3">
        <v>13710</v>
      </c>
      <c r="B161" s="3">
        <v>15444</v>
      </c>
      <c r="C161" s="3" t="s">
        <v>1871</v>
      </c>
      <c r="D161" s="3" t="s">
        <v>1872</v>
      </c>
      <c r="E161" s="3" t="s">
        <v>1477</v>
      </c>
      <c r="F161" s="3" t="s">
        <v>2661</v>
      </c>
      <c r="G161" s="3" t="s">
        <v>2662</v>
      </c>
      <c r="H161" s="3" t="s">
        <v>76</v>
      </c>
      <c r="I161" s="3" t="s">
        <v>73</v>
      </c>
      <c r="J161" s="3" t="s">
        <v>53</v>
      </c>
      <c r="K161" s="3" t="s">
        <v>53</v>
      </c>
      <c r="L161" s="6" t="s">
        <v>805</v>
      </c>
      <c r="M161" s="6" t="s">
        <v>311</v>
      </c>
      <c r="N161" s="3" t="s">
        <v>692</v>
      </c>
      <c r="O161" s="3" t="s">
        <v>62</v>
      </c>
      <c r="P161" s="3" t="s">
        <v>1219</v>
      </c>
      <c r="Q161" s="137">
        <v>208</v>
      </c>
      <c r="R161" s="139">
        <v>1</v>
      </c>
      <c r="S161" s="140">
        <v>8096</v>
      </c>
      <c r="U161" s="137">
        <v>16.84</v>
      </c>
      <c r="V161" s="138">
        <v>3.0000000000000001E-6</v>
      </c>
      <c r="W161" s="138">
        <v>6.58930020538757E-3</v>
      </c>
      <c r="X161" s="138">
        <v>2.0171098639665398E-3</v>
      </c>
    </row>
    <row r="162" spans="1:24" x14ac:dyDescent="0.2">
      <c r="A162" s="3">
        <v>13710</v>
      </c>
      <c r="B162" s="3">
        <v>15444</v>
      </c>
      <c r="C162" s="3" t="s">
        <v>2663</v>
      </c>
      <c r="D162" s="3" t="s">
        <v>2664</v>
      </c>
      <c r="E162" s="3" t="s">
        <v>1477</v>
      </c>
      <c r="F162" s="3" t="s">
        <v>2665</v>
      </c>
      <c r="G162" s="3" t="s">
        <v>2666</v>
      </c>
      <c r="H162" s="3" t="s">
        <v>76</v>
      </c>
      <c r="I162" s="3" t="s">
        <v>73</v>
      </c>
      <c r="J162" s="3" t="s">
        <v>53</v>
      </c>
      <c r="K162" s="3" t="s">
        <v>53</v>
      </c>
      <c r="L162" s="6" t="s">
        <v>805</v>
      </c>
      <c r="M162" s="6" t="s">
        <v>311</v>
      </c>
      <c r="N162" s="3" t="s">
        <v>634</v>
      </c>
      <c r="O162" s="3" t="s">
        <v>62</v>
      </c>
      <c r="P162" s="3" t="s">
        <v>1219</v>
      </c>
      <c r="Q162" s="137">
        <v>43</v>
      </c>
      <c r="R162" s="139">
        <v>1</v>
      </c>
      <c r="S162" s="140">
        <v>30850</v>
      </c>
      <c r="U162" s="137">
        <v>13.265000000000001</v>
      </c>
      <c r="V162" s="138">
        <v>3.0000000000000001E-6</v>
      </c>
      <c r="W162" s="138">
        <v>5.1907377025316899E-3</v>
      </c>
      <c r="X162" s="138">
        <v>1.58898333581446E-3</v>
      </c>
    </row>
    <row r="163" spans="1:24" x14ac:dyDescent="0.2">
      <c r="A163" s="3">
        <v>13710</v>
      </c>
      <c r="B163" s="3">
        <v>15444</v>
      </c>
      <c r="C163" s="3" t="s">
        <v>2667</v>
      </c>
      <c r="D163" s="3" t="s">
        <v>2668</v>
      </c>
      <c r="E163" s="3" t="s">
        <v>1477</v>
      </c>
      <c r="F163" s="3" t="s">
        <v>2669</v>
      </c>
      <c r="G163" s="3" t="s">
        <v>2670</v>
      </c>
      <c r="H163" s="3" t="s">
        <v>76</v>
      </c>
      <c r="I163" s="3" t="s">
        <v>73</v>
      </c>
      <c r="J163" s="3" t="s">
        <v>53</v>
      </c>
      <c r="K163" s="3" t="s">
        <v>53</v>
      </c>
      <c r="L163" s="6" t="s">
        <v>805</v>
      </c>
      <c r="M163" s="6" t="s">
        <v>311</v>
      </c>
      <c r="N163" s="3" t="s">
        <v>692</v>
      </c>
      <c r="O163" s="3" t="s">
        <v>62</v>
      </c>
      <c r="P163" s="3" t="s">
        <v>1219</v>
      </c>
      <c r="Q163" s="137">
        <v>23</v>
      </c>
      <c r="R163" s="139">
        <v>1</v>
      </c>
      <c r="S163" s="140">
        <v>28350</v>
      </c>
      <c r="U163" s="137">
        <v>6.5209999999999999</v>
      </c>
      <c r="V163" s="138">
        <v>1.9999999999999999E-6</v>
      </c>
      <c r="W163" s="138">
        <v>2.5514458700658001E-3</v>
      </c>
      <c r="X163" s="138">
        <v>7.8104600966252304E-4</v>
      </c>
    </row>
    <row r="164" spans="1:24" x14ac:dyDescent="0.2">
      <c r="A164" s="3">
        <v>13710</v>
      </c>
      <c r="B164" s="3">
        <v>15444</v>
      </c>
      <c r="C164" s="3" t="s">
        <v>1881</v>
      </c>
      <c r="D164" s="3" t="s">
        <v>1882</v>
      </c>
      <c r="E164" s="3" t="s">
        <v>1477</v>
      </c>
      <c r="F164" s="3" t="s">
        <v>2671</v>
      </c>
      <c r="G164" s="3" t="s">
        <v>2672</v>
      </c>
      <c r="H164" s="3" t="s">
        <v>76</v>
      </c>
      <c r="I164" s="3" t="s">
        <v>73</v>
      </c>
      <c r="J164" s="3" t="s">
        <v>53</v>
      </c>
      <c r="K164" s="3" t="s">
        <v>53</v>
      </c>
      <c r="L164" s="6" t="s">
        <v>805</v>
      </c>
      <c r="M164" s="6" t="s">
        <v>311</v>
      </c>
      <c r="N164" s="3" t="s">
        <v>635</v>
      </c>
      <c r="O164" s="3" t="s">
        <v>62</v>
      </c>
      <c r="P164" s="3" t="s">
        <v>1219</v>
      </c>
      <c r="Q164" s="137">
        <v>1321</v>
      </c>
      <c r="R164" s="139">
        <v>1</v>
      </c>
      <c r="S164" s="140">
        <v>1262</v>
      </c>
      <c r="U164" s="137">
        <v>16.670999999999999</v>
      </c>
      <c r="V164" s="138">
        <v>1.9999999999999999E-6</v>
      </c>
      <c r="W164" s="138">
        <v>6.5233042142142997E-3</v>
      </c>
      <c r="X164" s="138">
        <v>1.9969072384025898E-3</v>
      </c>
    </row>
    <row r="165" spans="1:24" x14ac:dyDescent="0.2">
      <c r="A165" s="3">
        <v>13710</v>
      </c>
      <c r="B165" s="3">
        <v>15444</v>
      </c>
      <c r="C165" s="3" t="s">
        <v>2673</v>
      </c>
      <c r="D165" s="3" t="s">
        <v>2674</v>
      </c>
      <c r="E165" s="3" t="s">
        <v>1477</v>
      </c>
      <c r="F165" s="3" t="s">
        <v>2675</v>
      </c>
      <c r="G165" s="3" t="s">
        <v>2676</v>
      </c>
      <c r="H165" s="3" t="s">
        <v>76</v>
      </c>
      <c r="I165" s="3" t="s">
        <v>73</v>
      </c>
      <c r="J165" s="3" t="s">
        <v>53</v>
      </c>
      <c r="K165" s="3" t="s">
        <v>53</v>
      </c>
      <c r="L165" s="6" t="s">
        <v>805</v>
      </c>
      <c r="M165" s="6" t="s">
        <v>311</v>
      </c>
      <c r="N165" s="3" t="s">
        <v>269</v>
      </c>
      <c r="O165" s="3" t="s">
        <v>62</v>
      </c>
      <c r="P165" s="3" t="s">
        <v>1219</v>
      </c>
      <c r="Q165" s="137">
        <v>3607</v>
      </c>
      <c r="R165" s="139">
        <v>1</v>
      </c>
      <c r="S165" s="140">
        <v>927.1</v>
      </c>
      <c r="U165" s="137">
        <v>33.44</v>
      </c>
      <c r="V165" s="138">
        <v>3.0000000000000001E-6</v>
      </c>
      <c r="W165" s="138">
        <v>1.3085134263261701E-2</v>
      </c>
      <c r="X165" s="138">
        <v>4.0056079661040696E-3</v>
      </c>
    </row>
    <row r="166" spans="1:24" x14ac:dyDescent="0.2">
      <c r="A166" s="3">
        <v>13710</v>
      </c>
      <c r="B166" s="3">
        <v>15444</v>
      </c>
      <c r="C166" s="3" t="s">
        <v>1489</v>
      </c>
      <c r="D166" s="3" t="s">
        <v>1490</v>
      </c>
      <c r="E166" s="3" t="s">
        <v>1477</v>
      </c>
      <c r="F166" s="3" t="s">
        <v>2677</v>
      </c>
      <c r="G166" s="3" t="s">
        <v>2678</v>
      </c>
      <c r="H166" s="3" t="s">
        <v>76</v>
      </c>
      <c r="I166" s="3" t="s">
        <v>73</v>
      </c>
      <c r="J166" s="3" t="s">
        <v>53</v>
      </c>
      <c r="K166" s="3" t="s">
        <v>53</v>
      </c>
      <c r="L166" s="6" t="s">
        <v>805</v>
      </c>
      <c r="M166" s="6" t="s">
        <v>311</v>
      </c>
      <c r="N166" s="3" t="s">
        <v>635</v>
      </c>
      <c r="O166" s="3" t="s">
        <v>62</v>
      </c>
      <c r="P166" s="3" t="s">
        <v>1219</v>
      </c>
      <c r="Q166" s="137">
        <v>249</v>
      </c>
      <c r="R166" s="139">
        <v>1</v>
      </c>
      <c r="S166" s="140">
        <v>15730</v>
      </c>
      <c r="U166" s="137">
        <v>39.167999999999999</v>
      </c>
      <c r="V166" s="138">
        <v>6.9999999999999999E-6</v>
      </c>
      <c r="W166" s="138">
        <v>1.53261661536656E-2</v>
      </c>
      <c r="X166" s="138">
        <v>4.69163036464363E-3</v>
      </c>
    </row>
    <row r="167" spans="1:24" x14ac:dyDescent="0.2">
      <c r="A167" s="3">
        <v>13710</v>
      </c>
      <c r="B167" s="3">
        <v>15444</v>
      </c>
      <c r="C167" s="3" t="s">
        <v>2679</v>
      </c>
      <c r="D167" s="3" t="s">
        <v>2680</v>
      </c>
      <c r="E167" s="3" t="s">
        <v>1477</v>
      </c>
      <c r="F167" s="3" t="s">
        <v>2681</v>
      </c>
      <c r="G167" s="3" t="s">
        <v>2682</v>
      </c>
      <c r="H167" s="3" t="s">
        <v>76</v>
      </c>
      <c r="I167" s="3" t="s">
        <v>73</v>
      </c>
      <c r="J167" s="3" t="s">
        <v>53</v>
      </c>
      <c r="K167" s="3" t="s">
        <v>53</v>
      </c>
      <c r="L167" s="6" t="s">
        <v>805</v>
      </c>
      <c r="M167" s="6" t="s">
        <v>311</v>
      </c>
      <c r="N167" s="3" t="s">
        <v>253</v>
      </c>
      <c r="O167" s="3" t="s">
        <v>62</v>
      </c>
      <c r="P167" s="3" t="s">
        <v>1219</v>
      </c>
      <c r="Q167" s="137">
        <v>687</v>
      </c>
      <c r="R167" s="139">
        <v>1</v>
      </c>
      <c r="S167" s="140">
        <v>6440</v>
      </c>
      <c r="U167" s="137">
        <v>44.243000000000002</v>
      </c>
      <c r="V167" s="138">
        <v>1.4E-5</v>
      </c>
      <c r="W167" s="138">
        <v>1.7312032718372401E-2</v>
      </c>
      <c r="X167" s="138">
        <v>5.2995418137101501E-3</v>
      </c>
    </row>
    <row r="168" spans="1:24" x14ac:dyDescent="0.2">
      <c r="A168" s="3">
        <v>13710</v>
      </c>
      <c r="B168" s="3">
        <v>15444</v>
      </c>
      <c r="C168" s="3" t="s">
        <v>2685</v>
      </c>
      <c r="D168" s="3" t="s">
        <v>2686</v>
      </c>
      <c r="E168" s="3" t="s">
        <v>1477</v>
      </c>
      <c r="F168" s="3" t="s">
        <v>2687</v>
      </c>
      <c r="G168" s="3" t="s">
        <v>2688</v>
      </c>
      <c r="H168" s="3" t="s">
        <v>76</v>
      </c>
      <c r="I168" s="3" t="s">
        <v>73</v>
      </c>
      <c r="J168" s="3" t="s">
        <v>53</v>
      </c>
      <c r="K168" s="3" t="s">
        <v>53</v>
      </c>
      <c r="L168" s="6" t="s">
        <v>805</v>
      </c>
      <c r="M168" s="6" t="s">
        <v>311</v>
      </c>
      <c r="N168" s="3" t="s">
        <v>256</v>
      </c>
      <c r="O168" s="3" t="s">
        <v>62</v>
      </c>
      <c r="P168" s="3" t="s">
        <v>1219</v>
      </c>
      <c r="Q168" s="137">
        <v>301</v>
      </c>
      <c r="R168" s="139">
        <v>1</v>
      </c>
      <c r="S168" s="140">
        <v>21950</v>
      </c>
      <c r="U168" s="137">
        <v>66.069999999999993</v>
      </c>
      <c r="V168" s="138">
        <v>9.9999999999999995E-7</v>
      </c>
      <c r="W168" s="138">
        <v>2.5852734132706501E-2</v>
      </c>
      <c r="X168" s="138">
        <v>7.9140126271602003E-3</v>
      </c>
    </row>
    <row r="169" spans="1:24" x14ac:dyDescent="0.2">
      <c r="A169" s="3">
        <v>13710</v>
      </c>
      <c r="B169" s="3">
        <v>15444</v>
      </c>
      <c r="C169" s="3" t="s">
        <v>2689</v>
      </c>
      <c r="D169" s="3" t="s">
        <v>2690</v>
      </c>
      <c r="E169" s="3" t="s">
        <v>1477</v>
      </c>
      <c r="F169" s="3" t="s">
        <v>2691</v>
      </c>
      <c r="G169" s="3" t="s">
        <v>2692</v>
      </c>
      <c r="H169" s="3" t="s">
        <v>76</v>
      </c>
      <c r="I169" s="3" t="s">
        <v>73</v>
      </c>
      <c r="J169" s="3" t="s">
        <v>53</v>
      </c>
      <c r="K169" s="3" t="s">
        <v>53</v>
      </c>
      <c r="L169" s="6" t="s">
        <v>805</v>
      </c>
      <c r="M169" s="6" t="s">
        <v>311</v>
      </c>
      <c r="N169" s="3" t="s">
        <v>252</v>
      </c>
      <c r="O169" s="3" t="s">
        <v>62</v>
      </c>
      <c r="P169" s="3" t="s">
        <v>1219</v>
      </c>
      <c r="Q169" s="137">
        <v>15</v>
      </c>
      <c r="R169" s="139">
        <v>1</v>
      </c>
      <c r="S169" s="140">
        <v>48250</v>
      </c>
      <c r="U169" s="137">
        <v>7.2370000000000001</v>
      </c>
      <c r="V169" s="138">
        <v>3.0000000000000001E-6</v>
      </c>
      <c r="W169" s="138">
        <v>2.8320051352812301E-3</v>
      </c>
      <c r="X169" s="138">
        <v>8.6693052602292901E-4</v>
      </c>
    </row>
    <row r="170" spans="1:24" x14ac:dyDescent="0.2">
      <c r="A170" s="3">
        <v>13710</v>
      </c>
      <c r="B170" s="3">
        <v>15444</v>
      </c>
      <c r="C170" s="3" t="s">
        <v>2693</v>
      </c>
      <c r="D170" s="3" t="s">
        <v>2694</v>
      </c>
      <c r="E170" s="3" t="s">
        <v>1477</v>
      </c>
      <c r="F170" s="3" t="s">
        <v>2695</v>
      </c>
      <c r="G170" s="3" t="s">
        <v>2696</v>
      </c>
      <c r="H170" s="3" t="s">
        <v>76</v>
      </c>
      <c r="I170" s="3" t="s">
        <v>73</v>
      </c>
      <c r="J170" s="3" t="s">
        <v>53</v>
      </c>
      <c r="K170" s="3" t="s">
        <v>53</v>
      </c>
      <c r="L170" s="6" t="s">
        <v>805</v>
      </c>
      <c r="M170" s="6" t="s">
        <v>311</v>
      </c>
      <c r="N170" s="3" t="s">
        <v>252</v>
      </c>
      <c r="O170" s="3" t="s">
        <v>62</v>
      </c>
      <c r="P170" s="3" t="s">
        <v>1219</v>
      </c>
      <c r="Q170" s="137">
        <v>141</v>
      </c>
      <c r="R170" s="139">
        <v>1</v>
      </c>
      <c r="S170" s="140">
        <v>11720</v>
      </c>
      <c r="U170" s="137">
        <v>16.524999999999999</v>
      </c>
      <c r="V170" s="138">
        <v>1.9999999999999999E-6</v>
      </c>
      <c r="W170" s="138">
        <v>6.46624542473911E-3</v>
      </c>
      <c r="X170" s="138">
        <v>1.9794404599148998E-3</v>
      </c>
    </row>
    <row r="171" spans="1:24" x14ac:dyDescent="0.2">
      <c r="A171" s="3">
        <v>13710</v>
      </c>
      <c r="B171" s="3">
        <v>15444</v>
      </c>
      <c r="C171" s="3" t="s">
        <v>1947</v>
      </c>
      <c r="D171" s="3" t="s">
        <v>1948</v>
      </c>
      <c r="E171" s="3" t="s">
        <v>1477</v>
      </c>
      <c r="F171" s="3" t="s">
        <v>2697</v>
      </c>
      <c r="G171" s="3" t="s">
        <v>2698</v>
      </c>
      <c r="H171" s="3" t="s">
        <v>76</v>
      </c>
      <c r="I171" s="3" t="s">
        <v>73</v>
      </c>
      <c r="J171" s="3" t="s">
        <v>53</v>
      </c>
      <c r="K171" s="3" t="s">
        <v>53</v>
      </c>
      <c r="L171" s="6" t="s">
        <v>805</v>
      </c>
      <c r="M171" s="6" t="s">
        <v>311</v>
      </c>
      <c r="N171" s="3" t="s">
        <v>635</v>
      </c>
      <c r="O171" s="3" t="s">
        <v>62</v>
      </c>
      <c r="P171" s="3" t="s">
        <v>1219</v>
      </c>
      <c r="Q171" s="137">
        <v>134</v>
      </c>
      <c r="R171" s="139">
        <v>1</v>
      </c>
      <c r="S171" s="140">
        <v>38400</v>
      </c>
      <c r="U171" s="137">
        <v>51.456000000000003</v>
      </c>
      <c r="V171" s="138">
        <v>3.0000000000000001E-6</v>
      </c>
      <c r="W171" s="138">
        <v>2.0134529359727898E-2</v>
      </c>
      <c r="X171" s="138">
        <v>6.1635616092622896E-3</v>
      </c>
    </row>
    <row r="172" spans="1:24" x14ac:dyDescent="0.2">
      <c r="A172" s="3">
        <v>13710</v>
      </c>
      <c r="B172" s="3">
        <v>15444</v>
      </c>
      <c r="C172" s="3" t="s">
        <v>2699</v>
      </c>
      <c r="D172" s="3" t="s">
        <v>2700</v>
      </c>
      <c r="E172" s="3" t="s">
        <v>1477</v>
      </c>
      <c r="F172" s="3" t="s">
        <v>2701</v>
      </c>
      <c r="G172" s="3" t="s">
        <v>2702</v>
      </c>
      <c r="H172" s="3" t="s">
        <v>76</v>
      </c>
      <c r="I172" s="3" t="s">
        <v>73</v>
      </c>
      <c r="J172" s="3" t="s">
        <v>53</v>
      </c>
      <c r="K172" s="3" t="s">
        <v>53</v>
      </c>
      <c r="L172" s="6" t="s">
        <v>805</v>
      </c>
      <c r="M172" s="6" t="s">
        <v>311</v>
      </c>
      <c r="N172" s="3" t="s">
        <v>252</v>
      </c>
      <c r="O172" s="3" t="s">
        <v>62</v>
      </c>
      <c r="P172" s="3" t="s">
        <v>1219</v>
      </c>
      <c r="Q172" s="137">
        <v>56</v>
      </c>
      <c r="R172" s="139">
        <v>1</v>
      </c>
      <c r="S172" s="140">
        <v>9951</v>
      </c>
      <c r="U172" s="137">
        <v>5.5730000000000004</v>
      </c>
      <c r="V172" s="138">
        <v>1.9999999999999999E-6</v>
      </c>
      <c r="W172" s="138">
        <v>2.1805206959119501E-3</v>
      </c>
      <c r="X172" s="138">
        <v>6.6749877334636696E-4</v>
      </c>
    </row>
    <row r="173" spans="1:24" x14ac:dyDescent="0.2">
      <c r="A173" s="3">
        <v>13710</v>
      </c>
      <c r="B173" s="3">
        <v>15444</v>
      </c>
      <c r="C173" s="3" t="s">
        <v>2703</v>
      </c>
      <c r="D173" s="3" t="s">
        <v>2704</v>
      </c>
      <c r="E173" s="3" t="s">
        <v>1477</v>
      </c>
      <c r="F173" s="3" t="s">
        <v>2705</v>
      </c>
      <c r="G173" s="3" t="s">
        <v>2706</v>
      </c>
      <c r="H173" s="3" t="s">
        <v>76</v>
      </c>
      <c r="I173" s="3" t="s">
        <v>73</v>
      </c>
      <c r="J173" s="3" t="s">
        <v>53</v>
      </c>
      <c r="K173" s="3" t="s">
        <v>53</v>
      </c>
      <c r="L173" s="6" t="s">
        <v>805</v>
      </c>
      <c r="M173" s="6" t="s">
        <v>311</v>
      </c>
      <c r="N173" s="3" t="s">
        <v>692</v>
      </c>
      <c r="O173" s="3" t="s">
        <v>62</v>
      </c>
      <c r="P173" s="3" t="s">
        <v>1219</v>
      </c>
      <c r="Q173" s="137">
        <v>49</v>
      </c>
      <c r="R173" s="139">
        <v>1</v>
      </c>
      <c r="S173" s="140">
        <v>16220</v>
      </c>
      <c r="U173" s="137">
        <v>7.9480000000000004</v>
      </c>
      <c r="V173" s="138">
        <v>6.0000000000000002E-6</v>
      </c>
      <c r="W173" s="138">
        <v>3.1099427169862699E-3</v>
      </c>
      <c r="X173" s="138">
        <v>9.5201249529879603E-4</v>
      </c>
    </row>
    <row r="174" spans="1:24" x14ac:dyDescent="0.2">
      <c r="A174" s="3">
        <v>13710</v>
      </c>
      <c r="B174" s="3">
        <v>15444</v>
      </c>
      <c r="C174" s="3" t="s">
        <v>1961</v>
      </c>
      <c r="D174" s="3" t="s">
        <v>1962</v>
      </c>
      <c r="E174" s="3" t="s">
        <v>1477</v>
      </c>
      <c r="F174" s="3" t="s">
        <v>2707</v>
      </c>
      <c r="G174" s="3" t="s">
        <v>2708</v>
      </c>
      <c r="H174" s="3" t="s">
        <v>76</v>
      </c>
      <c r="I174" s="3" t="s">
        <v>73</v>
      </c>
      <c r="J174" s="3" t="s">
        <v>53</v>
      </c>
      <c r="K174" s="3" t="s">
        <v>53</v>
      </c>
      <c r="L174" s="6" t="s">
        <v>805</v>
      </c>
      <c r="M174" s="6" t="s">
        <v>311</v>
      </c>
      <c r="N174" s="3" t="s">
        <v>635</v>
      </c>
      <c r="O174" s="3" t="s">
        <v>62</v>
      </c>
      <c r="P174" s="3" t="s">
        <v>1219</v>
      </c>
      <c r="Q174" s="137">
        <v>3426</v>
      </c>
      <c r="R174" s="139">
        <v>1</v>
      </c>
      <c r="S174" s="140">
        <v>217</v>
      </c>
      <c r="T174" s="131">
        <v>0.11</v>
      </c>
      <c r="U174" s="137">
        <v>7.5439999999999996</v>
      </c>
      <c r="V174" s="138">
        <v>5.0000000000000004E-6</v>
      </c>
      <c r="W174" s="138">
        <v>2.9519569382823298E-3</v>
      </c>
      <c r="X174" s="138">
        <v>9.0365004971927805E-4</v>
      </c>
    </row>
    <row r="175" spans="1:24" x14ac:dyDescent="0.2">
      <c r="A175" s="3">
        <v>13710</v>
      </c>
      <c r="B175" s="3">
        <v>15444</v>
      </c>
      <c r="C175" s="3" t="s">
        <v>2709</v>
      </c>
      <c r="D175" s="3" t="s">
        <v>2710</v>
      </c>
      <c r="E175" s="3" t="s">
        <v>1477</v>
      </c>
      <c r="F175" s="3" t="s">
        <v>2711</v>
      </c>
      <c r="G175" s="3" t="s">
        <v>2712</v>
      </c>
      <c r="H175" s="3" t="s">
        <v>76</v>
      </c>
      <c r="I175" s="3" t="s">
        <v>73</v>
      </c>
      <c r="J175" s="3" t="s">
        <v>53</v>
      </c>
      <c r="K175" s="3" t="s">
        <v>53</v>
      </c>
      <c r="L175" s="6" t="s">
        <v>805</v>
      </c>
      <c r="M175" s="6" t="s">
        <v>311</v>
      </c>
      <c r="N175" s="3" t="s">
        <v>634</v>
      </c>
      <c r="O175" s="3" t="s">
        <v>62</v>
      </c>
      <c r="P175" s="3" t="s">
        <v>1219</v>
      </c>
      <c r="Q175" s="137">
        <v>650</v>
      </c>
      <c r="R175" s="139">
        <v>1</v>
      </c>
      <c r="S175" s="140">
        <v>1600</v>
      </c>
      <c r="U175" s="137">
        <v>10.4</v>
      </c>
      <c r="V175" s="138">
        <v>5.0000000000000004E-6</v>
      </c>
      <c r="W175" s="138">
        <v>4.0694788817858003E-3</v>
      </c>
      <c r="X175" s="138">
        <v>1.2457447282401999E-3</v>
      </c>
    </row>
    <row r="176" spans="1:24" x14ac:dyDescent="0.2">
      <c r="A176" s="3">
        <v>13710</v>
      </c>
      <c r="B176" s="3">
        <v>15444</v>
      </c>
      <c r="C176" s="3" t="s">
        <v>1990</v>
      </c>
      <c r="D176" s="3" t="s">
        <v>1991</v>
      </c>
      <c r="E176" s="3" t="s">
        <v>432</v>
      </c>
      <c r="F176" s="3" t="s">
        <v>2713</v>
      </c>
      <c r="G176" s="3" t="s">
        <v>2714</v>
      </c>
      <c r="H176" s="3" t="s">
        <v>76</v>
      </c>
      <c r="I176" s="3" t="s">
        <v>73</v>
      </c>
      <c r="J176" s="3" t="s">
        <v>53</v>
      </c>
      <c r="K176" s="3" t="s">
        <v>314</v>
      </c>
      <c r="L176" s="6" t="s">
        <v>805</v>
      </c>
      <c r="M176" s="6" t="s">
        <v>311</v>
      </c>
      <c r="N176" s="3" t="s">
        <v>267</v>
      </c>
      <c r="O176" s="3" t="s">
        <v>62</v>
      </c>
      <c r="P176" s="3" t="s">
        <v>1219</v>
      </c>
      <c r="Q176" s="137">
        <v>23</v>
      </c>
      <c r="R176" s="139">
        <v>1</v>
      </c>
      <c r="S176" s="140">
        <v>9900</v>
      </c>
      <c r="U176" s="137">
        <v>2.2770000000000001</v>
      </c>
      <c r="V176" s="138">
        <v>0</v>
      </c>
      <c r="W176" s="138">
        <v>8.9098109748329596E-4</v>
      </c>
      <c r="X176" s="138">
        <v>2.7274622559643702E-4</v>
      </c>
    </row>
    <row r="177" spans="1:24" x14ac:dyDescent="0.2">
      <c r="A177" s="3">
        <v>13710</v>
      </c>
      <c r="B177" s="3">
        <v>15444</v>
      </c>
      <c r="C177" s="3" t="s">
        <v>2715</v>
      </c>
      <c r="D177" s="3" t="s">
        <v>2716</v>
      </c>
      <c r="E177" s="3" t="s">
        <v>1477</v>
      </c>
      <c r="F177" s="3" t="s">
        <v>2717</v>
      </c>
      <c r="G177" s="3" t="s">
        <v>2718</v>
      </c>
      <c r="H177" s="3" t="s">
        <v>76</v>
      </c>
      <c r="I177" s="3" t="s">
        <v>73</v>
      </c>
      <c r="J177" s="3" t="s">
        <v>53</v>
      </c>
      <c r="K177" s="3" t="s">
        <v>317</v>
      </c>
      <c r="L177" s="6" t="s">
        <v>805</v>
      </c>
      <c r="M177" s="6" t="s">
        <v>311</v>
      </c>
      <c r="N177" s="3" t="s">
        <v>254</v>
      </c>
      <c r="O177" s="3" t="s">
        <v>62</v>
      </c>
      <c r="P177" s="3" t="s">
        <v>1219</v>
      </c>
      <c r="Q177" s="137">
        <v>38</v>
      </c>
      <c r="R177" s="139">
        <v>1</v>
      </c>
      <c r="S177" s="140">
        <v>95280</v>
      </c>
      <c r="U177" s="137">
        <v>36.206000000000003</v>
      </c>
      <c r="V177" s="138">
        <v>9.9999999999999995E-7</v>
      </c>
      <c r="W177" s="138">
        <v>1.41674211716817E-2</v>
      </c>
      <c r="X177" s="138">
        <v>4.3369165315919299E-3</v>
      </c>
    </row>
    <row r="178" spans="1:24" x14ac:dyDescent="0.2">
      <c r="A178" s="3">
        <v>13710</v>
      </c>
      <c r="B178" s="3">
        <v>15444</v>
      </c>
      <c r="C178" s="3" t="s">
        <v>2719</v>
      </c>
      <c r="D178" s="3" t="s">
        <v>2720</v>
      </c>
      <c r="E178" s="3" t="s">
        <v>1477</v>
      </c>
      <c r="F178" s="3" t="s">
        <v>2721</v>
      </c>
      <c r="G178" s="3" t="s">
        <v>2722</v>
      </c>
      <c r="H178" s="3" t="s">
        <v>76</v>
      </c>
      <c r="I178" s="3" t="s">
        <v>73</v>
      </c>
      <c r="J178" s="3" t="s">
        <v>53</v>
      </c>
      <c r="K178" s="3" t="s">
        <v>53</v>
      </c>
      <c r="L178" s="6" t="s">
        <v>805</v>
      </c>
      <c r="M178" s="6" t="s">
        <v>311</v>
      </c>
      <c r="N178" s="3" t="s">
        <v>258</v>
      </c>
      <c r="O178" s="3" t="s">
        <v>62</v>
      </c>
      <c r="P178" s="3" t="s">
        <v>1219</v>
      </c>
      <c r="Q178" s="137">
        <v>7560</v>
      </c>
      <c r="R178" s="139">
        <v>1</v>
      </c>
      <c r="S178" s="140">
        <v>141.1</v>
      </c>
      <c r="U178" s="137">
        <v>10.667</v>
      </c>
      <c r="V178" s="138">
        <v>1.5E-5</v>
      </c>
      <c r="W178" s="138">
        <v>4.17401753352214E-3</v>
      </c>
      <c r="X178" s="138">
        <v>1.2777459937783401E-3</v>
      </c>
    </row>
    <row r="179" spans="1:24" x14ac:dyDescent="0.2">
      <c r="A179" s="3">
        <v>13710</v>
      </c>
      <c r="B179" s="3">
        <v>15444</v>
      </c>
      <c r="C179" s="3" t="s">
        <v>1998</v>
      </c>
      <c r="D179" s="3" t="s">
        <v>1999</v>
      </c>
      <c r="E179" s="3" t="s">
        <v>1477</v>
      </c>
      <c r="F179" s="3" t="s">
        <v>2723</v>
      </c>
      <c r="G179" s="3" t="s">
        <v>2724</v>
      </c>
      <c r="H179" s="3" t="s">
        <v>76</v>
      </c>
      <c r="I179" s="3" t="s">
        <v>73</v>
      </c>
      <c r="J179" s="3" t="s">
        <v>53</v>
      </c>
      <c r="K179" s="3" t="s">
        <v>53</v>
      </c>
      <c r="L179" s="6" t="s">
        <v>805</v>
      </c>
      <c r="M179" s="6" t="s">
        <v>311</v>
      </c>
      <c r="N179" s="3" t="s">
        <v>631</v>
      </c>
      <c r="O179" s="3" t="s">
        <v>62</v>
      </c>
      <c r="P179" s="3" t="s">
        <v>1219</v>
      </c>
      <c r="Q179" s="137">
        <v>226</v>
      </c>
      <c r="R179" s="139">
        <v>1</v>
      </c>
      <c r="S179" s="140">
        <v>9339</v>
      </c>
      <c r="U179" s="137">
        <v>21.106000000000002</v>
      </c>
      <c r="V179" s="138">
        <v>6.0000000000000002E-6</v>
      </c>
      <c r="W179" s="138">
        <v>8.2587491351937097E-3</v>
      </c>
      <c r="X179" s="138">
        <v>2.5281598690865101E-3</v>
      </c>
    </row>
    <row r="180" spans="1:24" x14ac:dyDescent="0.2">
      <c r="A180" s="3">
        <v>13710</v>
      </c>
      <c r="B180" s="3">
        <v>15444</v>
      </c>
      <c r="C180" s="3" t="s">
        <v>2725</v>
      </c>
      <c r="D180" s="3" t="s">
        <v>2726</v>
      </c>
      <c r="E180" s="3" t="s">
        <v>1477</v>
      </c>
      <c r="F180" s="3" t="s">
        <v>2727</v>
      </c>
      <c r="G180" s="3" t="s">
        <v>2728</v>
      </c>
      <c r="H180" s="3" t="s">
        <v>76</v>
      </c>
      <c r="I180" s="3" t="s">
        <v>73</v>
      </c>
      <c r="J180" s="3" t="s">
        <v>53</v>
      </c>
      <c r="K180" s="3" t="s">
        <v>53</v>
      </c>
      <c r="L180" s="6" t="s">
        <v>805</v>
      </c>
      <c r="M180" s="6" t="s">
        <v>311</v>
      </c>
      <c r="N180" s="3" t="s">
        <v>75</v>
      </c>
      <c r="O180" s="3" t="s">
        <v>62</v>
      </c>
      <c r="P180" s="3" t="s">
        <v>1219</v>
      </c>
      <c r="Q180" s="137">
        <v>102</v>
      </c>
      <c r="R180" s="139">
        <v>1</v>
      </c>
      <c r="S180" s="140">
        <v>13850</v>
      </c>
      <c r="U180" s="137">
        <v>14.127000000000001</v>
      </c>
      <c r="V180" s="138">
        <v>5.0000000000000004E-6</v>
      </c>
      <c r="W180" s="138">
        <v>5.5278392464411597E-3</v>
      </c>
      <c r="X180" s="138">
        <v>1.69217651690859E-3</v>
      </c>
    </row>
    <row r="181" spans="1:24" x14ac:dyDescent="0.2">
      <c r="A181" s="3">
        <v>13710</v>
      </c>
      <c r="B181" s="3">
        <v>15444</v>
      </c>
      <c r="C181" s="3" t="s">
        <v>2729</v>
      </c>
      <c r="D181" s="3" t="s">
        <v>2730</v>
      </c>
      <c r="E181" s="3" t="s">
        <v>1477</v>
      </c>
      <c r="F181" s="3" t="s">
        <v>2731</v>
      </c>
      <c r="G181" s="3" t="s">
        <v>2732</v>
      </c>
      <c r="H181" s="3" t="s">
        <v>76</v>
      </c>
      <c r="I181" s="3" t="s">
        <v>73</v>
      </c>
      <c r="J181" s="3" t="s">
        <v>53</v>
      </c>
      <c r="K181" s="3" t="s">
        <v>314</v>
      </c>
      <c r="L181" s="6" t="s">
        <v>805</v>
      </c>
      <c r="M181" s="6" t="s">
        <v>311</v>
      </c>
      <c r="N181" s="3" t="s">
        <v>253</v>
      </c>
      <c r="O181" s="3" t="s">
        <v>62</v>
      </c>
      <c r="P181" s="3" t="s">
        <v>1219</v>
      </c>
      <c r="Q181" s="137">
        <v>64</v>
      </c>
      <c r="R181" s="139">
        <v>1</v>
      </c>
      <c r="S181" s="140">
        <v>57150</v>
      </c>
      <c r="U181" s="137">
        <v>36.576000000000001</v>
      </c>
      <c r="V181" s="138">
        <v>9.9999999999999995E-7</v>
      </c>
      <c r="W181" s="138">
        <v>1.43120441904036E-2</v>
      </c>
      <c r="X181" s="138">
        <v>4.3811883827032296E-3</v>
      </c>
    </row>
    <row r="182" spans="1:24" x14ac:dyDescent="0.2">
      <c r="A182" s="3">
        <v>13710</v>
      </c>
      <c r="B182" s="3">
        <v>15444</v>
      </c>
      <c r="C182" s="3" t="s">
        <v>2020</v>
      </c>
      <c r="D182" s="3" t="s">
        <v>2021</v>
      </c>
      <c r="E182" s="3" t="s">
        <v>1477</v>
      </c>
      <c r="F182" s="3" t="s">
        <v>2733</v>
      </c>
      <c r="G182" s="3" t="s">
        <v>2734</v>
      </c>
      <c r="H182" s="3" t="s">
        <v>76</v>
      </c>
      <c r="I182" s="3" t="s">
        <v>73</v>
      </c>
      <c r="J182" s="3" t="s">
        <v>53</v>
      </c>
      <c r="K182" s="3" t="s">
        <v>317</v>
      </c>
      <c r="L182" s="6" t="s">
        <v>805</v>
      </c>
      <c r="M182" s="6" t="s">
        <v>311</v>
      </c>
      <c r="N182" s="3" t="s">
        <v>636</v>
      </c>
      <c r="O182" s="3" t="s">
        <v>62</v>
      </c>
      <c r="P182" s="3" t="s">
        <v>1219</v>
      </c>
      <c r="Q182" s="137">
        <v>525</v>
      </c>
      <c r="R182" s="139">
        <v>1</v>
      </c>
      <c r="S182" s="140">
        <v>6127</v>
      </c>
      <c r="U182" s="137">
        <v>32.167000000000002</v>
      </c>
      <c r="V182" s="138">
        <v>6.9999999999999999E-6</v>
      </c>
      <c r="W182" s="138">
        <v>1.25867220981426E-2</v>
      </c>
      <c r="X182" s="138">
        <v>3.8530345420308199E-3</v>
      </c>
    </row>
    <row r="183" spans="1:24" x14ac:dyDescent="0.2">
      <c r="A183" s="3">
        <v>13710</v>
      </c>
      <c r="B183" s="3">
        <v>15444</v>
      </c>
      <c r="C183" s="3" t="s">
        <v>2334</v>
      </c>
      <c r="D183" s="3" t="s">
        <v>2335</v>
      </c>
      <c r="E183" s="3" t="s">
        <v>767</v>
      </c>
      <c r="F183" s="3" t="s">
        <v>2735</v>
      </c>
      <c r="G183" s="3" t="s">
        <v>2736</v>
      </c>
      <c r="H183" s="3" t="s">
        <v>76</v>
      </c>
      <c r="I183" s="3" t="s">
        <v>73</v>
      </c>
      <c r="J183" s="3" t="s">
        <v>53</v>
      </c>
      <c r="K183" s="3" t="s">
        <v>53</v>
      </c>
      <c r="L183" s="6" t="s">
        <v>805</v>
      </c>
      <c r="M183" s="6" t="s">
        <v>311</v>
      </c>
      <c r="N183" s="3" t="s">
        <v>253</v>
      </c>
      <c r="O183" s="3" t="s">
        <v>62</v>
      </c>
      <c r="P183" s="3" t="s">
        <v>1219</v>
      </c>
      <c r="Q183" s="137">
        <v>267</v>
      </c>
      <c r="R183" s="139">
        <v>1</v>
      </c>
      <c r="S183" s="140">
        <v>9883</v>
      </c>
      <c r="U183" s="137">
        <v>26.388000000000002</v>
      </c>
      <c r="V183" s="138">
        <v>5.0000000000000004E-6</v>
      </c>
      <c r="W183" s="138">
        <v>1.0325367464980801E-2</v>
      </c>
      <c r="X183" s="138">
        <v>3.16079096618831E-3</v>
      </c>
    </row>
    <row r="184" spans="1:24" x14ac:dyDescent="0.2">
      <c r="A184" s="3">
        <v>13710</v>
      </c>
      <c r="B184" s="3">
        <v>15444</v>
      </c>
      <c r="C184" s="3" t="s">
        <v>2737</v>
      </c>
      <c r="D184" s="3" t="s">
        <v>2738</v>
      </c>
      <c r="E184" s="3" t="s">
        <v>1477</v>
      </c>
      <c r="F184" s="3" t="s">
        <v>2737</v>
      </c>
      <c r="G184" s="3" t="s">
        <v>2739</v>
      </c>
      <c r="H184" s="3" t="s">
        <v>76</v>
      </c>
      <c r="I184" s="3" t="s">
        <v>73</v>
      </c>
      <c r="J184" s="3" t="s">
        <v>53</v>
      </c>
      <c r="K184" s="3" t="s">
        <v>53</v>
      </c>
      <c r="L184" s="6" t="s">
        <v>805</v>
      </c>
      <c r="M184" s="6" t="s">
        <v>311</v>
      </c>
      <c r="N184" s="3" t="s">
        <v>71</v>
      </c>
      <c r="O184" s="3" t="s">
        <v>62</v>
      </c>
      <c r="P184" s="3" t="s">
        <v>1219</v>
      </c>
      <c r="Q184" s="137">
        <v>377</v>
      </c>
      <c r="R184" s="139">
        <v>1</v>
      </c>
      <c r="S184" s="140">
        <v>2006</v>
      </c>
      <c r="U184" s="137">
        <v>7.5629999999999997</v>
      </c>
      <c r="V184" s="138">
        <v>1.1E-5</v>
      </c>
      <c r="W184" s="138">
        <v>2.95922330586259E-3</v>
      </c>
      <c r="X184" s="138">
        <v>9.0587442275806898E-4</v>
      </c>
    </row>
    <row r="185" spans="1:24" x14ac:dyDescent="0.2">
      <c r="A185" s="3">
        <v>13710</v>
      </c>
      <c r="B185" s="3">
        <v>15444</v>
      </c>
      <c r="C185" s="3" t="s">
        <v>2740</v>
      </c>
      <c r="D185" s="3" t="s">
        <v>2741</v>
      </c>
      <c r="E185" s="3" t="s">
        <v>1477</v>
      </c>
      <c r="F185" s="3" t="s">
        <v>2742</v>
      </c>
      <c r="G185" s="3" t="s">
        <v>2743</v>
      </c>
      <c r="H185" s="3" t="s">
        <v>76</v>
      </c>
      <c r="I185" s="3" t="s">
        <v>73</v>
      </c>
      <c r="J185" s="3" t="s">
        <v>53</v>
      </c>
      <c r="K185" s="3" t="s">
        <v>53</v>
      </c>
      <c r="L185" s="6" t="s">
        <v>805</v>
      </c>
      <c r="M185" s="6" t="s">
        <v>311</v>
      </c>
      <c r="N185" s="3" t="s">
        <v>266</v>
      </c>
      <c r="O185" s="3" t="s">
        <v>62</v>
      </c>
      <c r="P185" s="3" t="s">
        <v>1219</v>
      </c>
      <c r="Q185" s="137">
        <v>528</v>
      </c>
      <c r="R185" s="139">
        <v>1</v>
      </c>
      <c r="S185" s="140">
        <v>350.6</v>
      </c>
      <c r="U185" s="137">
        <v>1.851</v>
      </c>
      <c r="V185" s="138">
        <v>7.9999999999999996E-6</v>
      </c>
      <c r="W185" s="138">
        <v>7.2435471948439E-4</v>
      </c>
      <c r="X185" s="138">
        <v>2.21738728566054E-4</v>
      </c>
    </row>
    <row r="186" spans="1:24" x14ac:dyDescent="0.2">
      <c r="A186" s="3">
        <v>13710</v>
      </c>
      <c r="B186" s="3">
        <v>15444</v>
      </c>
      <c r="C186" s="3" t="s">
        <v>2057</v>
      </c>
      <c r="D186" s="3" t="s">
        <v>2058</v>
      </c>
      <c r="E186" s="3" t="s">
        <v>1477</v>
      </c>
      <c r="F186" s="3" t="s">
        <v>2744</v>
      </c>
      <c r="G186" s="3" t="s">
        <v>2745</v>
      </c>
      <c r="H186" s="3" t="s">
        <v>76</v>
      </c>
      <c r="I186" s="3" t="s">
        <v>73</v>
      </c>
      <c r="J186" s="3" t="s">
        <v>53</v>
      </c>
      <c r="K186" s="3" t="s">
        <v>53</v>
      </c>
      <c r="L186" s="6" t="s">
        <v>805</v>
      </c>
      <c r="M186" s="6" t="s">
        <v>311</v>
      </c>
      <c r="N186" s="3" t="s">
        <v>635</v>
      </c>
      <c r="O186" s="3" t="s">
        <v>62</v>
      </c>
      <c r="P186" s="3" t="s">
        <v>1219</v>
      </c>
      <c r="Q186" s="137">
        <v>150</v>
      </c>
      <c r="R186" s="139">
        <v>1</v>
      </c>
      <c r="S186" s="140">
        <v>30970</v>
      </c>
      <c r="U186" s="137">
        <v>46.454999999999998</v>
      </c>
      <c r="V186" s="138">
        <v>9.9999999999999995E-7</v>
      </c>
      <c r="W186" s="138">
        <v>1.8177657832053801E-2</v>
      </c>
      <c r="X186" s="138">
        <v>5.56452609138448E-3</v>
      </c>
    </row>
    <row r="187" spans="1:24" x14ac:dyDescent="0.2">
      <c r="A187" s="3">
        <v>13710</v>
      </c>
      <c r="B187" s="3">
        <v>15444</v>
      </c>
      <c r="C187" s="3" t="s">
        <v>2068</v>
      </c>
      <c r="D187" s="3" t="s">
        <v>2069</v>
      </c>
      <c r="E187" s="3" t="s">
        <v>1477</v>
      </c>
      <c r="F187" s="3" t="s">
        <v>2746</v>
      </c>
      <c r="G187" s="3" t="s">
        <v>2747</v>
      </c>
      <c r="H187" s="3" t="s">
        <v>76</v>
      </c>
      <c r="I187" s="3" t="s">
        <v>73</v>
      </c>
      <c r="J187" s="3" t="s">
        <v>53</v>
      </c>
      <c r="K187" s="3" t="s">
        <v>53</v>
      </c>
      <c r="L187" s="6" t="s">
        <v>805</v>
      </c>
      <c r="M187" s="6" t="s">
        <v>1227</v>
      </c>
      <c r="N187" s="3" t="s">
        <v>140</v>
      </c>
      <c r="O187" s="3" t="s">
        <v>62</v>
      </c>
      <c r="P187" s="3" t="s">
        <v>1219</v>
      </c>
      <c r="Q187" s="137">
        <v>200</v>
      </c>
      <c r="R187" s="139">
        <v>1</v>
      </c>
      <c r="S187" s="140">
        <v>3825</v>
      </c>
      <c r="U187" s="137">
        <v>7.65</v>
      </c>
      <c r="V187" s="138">
        <v>3.0000000000000001E-6</v>
      </c>
      <c r="W187" s="138">
        <v>2.9934147543905199E-3</v>
      </c>
      <c r="X187" s="138">
        <v>9.1634107413822604E-4</v>
      </c>
    </row>
    <row r="188" spans="1:24" x14ac:dyDescent="0.2">
      <c r="A188" s="3">
        <v>13710</v>
      </c>
      <c r="B188" s="3">
        <v>15444</v>
      </c>
      <c r="C188" s="3" t="s">
        <v>2748</v>
      </c>
      <c r="D188" s="3" t="s">
        <v>2749</v>
      </c>
      <c r="E188" s="3" t="s">
        <v>1477</v>
      </c>
      <c r="F188" s="3" t="s">
        <v>2750</v>
      </c>
      <c r="G188" s="3" t="s">
        <v>2751</v>
      </c>
      <c r="H188" s="3" t="s">
        <v>76</v>
      </c>
      <c r="I188" s="3" t="s">
        <v>73</v>
      </c>
      <c r="J188" s="3" t="s">
        <v>53</v>
      </c>
      <c r="K188" s="3" t="s">
        <v>53</v>
      </c>
      <c r="L188" s="6" t="s">
        <v>805</v>
      </c>
      <c r="M188" s="6" t="s">
        <v>311</v>
      </c>
      <c r="N188" s="3" t="s">
        <v>265</v>
      </c>
      <c r="O188" s="3" t="s">
        <v>62</v>
      </c>
      <c r="P188" s="3" t="s">
        <v>1219</v>
      </c>
      <c r="Q188" s="137">
        <v>323</v>
      </c>
      <c r="R188" s="139">
        <v>1</v>
      </c>
      <c r="S188" s="140">
        <v>1010</v>
      </c>
      <c r="U188" s="137">
        <v>3.262</v>
      </c>
      <c r="V188" s="138">
        <v>3.0000000000000001E-6</v>
      </c>
      <c r="W188" s="138">
        <v>1.27652509192787E-3</v>
      </c>
      <c r="X188" s="138">
        <v>3.90768560282501E-4</v>
      </c>
    </row>
    <row r="189" spans="1:24" x14ac:dyDescent="0.2">
      <c r="A189" s="3">
        <v>13710</v>
      </c>
      <c r="B189" s="3">
        <v>15444</v>
      </c>
      <c r="C189" s="3" t="s">
        <v>2072</v>
      </c>
      <c r="D189" s="3" t="s">
        <v>2073</v>
      </c>
      <c r="E189" s="3" t="s">
        <v>1477</v>
      </c>
      <c r="F189" s="3" t="s">
        <v>2752</v>
      </c>
      <c r="G189" s="3" t="s">
        <v>2753</v>
      </c>
      <c r="H189" s="3" t="s">
        <v>76</v>
      </c>
      <c r="I189" s="3" t="s">
        <v>73</v>
      </c>
      <c r="J189" s="3" t="s">
        <v>53</v>
      </c>
      <c r="K189" s="3" t="s">
        <v>53</v>
      </c>
      <c r="L189" s="6" t="s">
        <v>805</v>
      </c>
      <c r="M189" s="6" t="s">
        <v>311</v>
      </c>
      <c r="N189" s="3" t="s">
        <v>256</v>
      </c>
      <c r="O189" s="3" t="s">
        <v>62</v>
      </c>
      <c r="P189" s="3" t="s">
        <v>1219</v>
      </c>
      <c r="Q189" s="137">
        <v>2533</v>
      </c>
      <c r="R189" s="139">
        <v>1</v>
      </c>
      <c r="S189" s="140">
        <v>6462</v>
      </c>
      <c r="U189" s="137">
        <v>163.68199999999999</v>
      </c>
      <c r="V189" s="138">
        <v>1.9999999999999999E-6</v>
      </c>
      <c r="W189" s="138">
        <v>6.4048299450841298E-2</v>
      </c>
      <c r="X189" s="138">
        <v>1.9606400158691101E-2</v>
      </c>
    </row>
    <row r="190" spans="1:24" x14ac:dyDescent="0.2">
      <c r="A190" s="3">
        <v>13710</v>
      </c>
      <c r="B190" s="3">
        <v>15444</v>
      </c>
      <c r="C190" s="3" t="s">
        <v>2754</v>
      </c>
      <c r="D190" s="3" t="s">
        <v>2755</v>
      </c>
      <c r="E190" s="3" t="s">
        <v>1477</v>
      </c>
      <c r="F190" s="3" t="s">
        <v>2756</v>
      </c>
      <c r="G190" s="3" t="s">
        <v>2757</v>
      </c>
      <c r="H190" s="3" t="s">
        <v>76</v>
      </c>
      <c r="I190" s="3" t="s">
        <v>73</v>
      </c>
      <c r="J190" s="3" t="s">
        <v>53</v>
      </c>
      <c r="K190" s="3" t="s">
        <v>53</v>
      </c>
      <c r="L190" s="6" t="s">
        <v>805</v>
      </c>
      <c r="M190" s="6" t="s">
        <v>311</v>
      </c>
      <c r="N190" s="3" t="s">
        <v>634</v>
      </c>
      <c r="O190" s="3" t="s">
        <v>62</v>
      </c>
      <c r="P190" s="3" t="s">
        <v>1219</v>
      </c>
      <c r="Q190" s="137">
        <v>33</v>
      </c>
      <c r="R190" s="139">
        <v>1</v>
      </c>
      <c r="S190" s="140">
        <v>33720</v>
      </c>
      <c r="U190" s="137">
        <v>11.128</v>
      </c>
      <c r="V190" s="138">
        <v>1.9999999999999999E-6</v>
      </c>
      <c r="W190" s="138">
        <v>4.3541858850922798E-3</v>
      </c>
      <c r="X190" s="138">
        <v>1.33289894595824E-3</v>
      </c>
    </row>
    <row r="191" spans="1:24" x14ac:dyDescent="0.2">
      <c r="A191" s="3">
        <v>13710</v>
      </c>
      <c r="B191" s="3">
        <v>15444</v>
      </c>
      <c r="C191" s="3" t="s">
        <v>2089</v>
      </c>
      <c r="D191" s="3" t="s">
        <v>2090</v>
      </c>
      <c r="E191" s="3" t="s">
        <v>1477</v>
      </c>
      <c r="F191" s="3" t="s">
        <v>2758</v>
      </c>
      <c r="G191" s="3" t="s">
        <v>2759</v>
      </c>
      <c r="H191" s="3" t="s">
        <v>76</v>
      </c>
      <c r="I191" s="3" t="s">
        <v>73</v>
      </c>
      <c r="J191" s="3" t="s">
        <v>53</v>
      </c>
      <c r="K191" s="3" t="s">
        <v>53</v>
      </c>
      <c r="L191" s="6" t="s">
        <v>805</v>
      </c>
      <c r="M191" s="6" t="s">
        <v>311</v>
      </c>
      <c r="N191" s="3" t="s">
        <v>252</v>
      </c>
      <c r="O191" s="3" t="s">
        <v>62</v>
      </c>
      <c r="P191" s="3" t="s">
        <v>1219</v>
      </c>
      <c r="Q191" s="137">
        <v>70</v>
      </c>
      <c r="R191" s="139">
        <v>1</v>
      </c>
      <c r="S191" s="140">
        <v>42880</v>
      </c>
      <c r="U191" s="137">
        <v>30.015999999999998</v>
      </c>
      <c r="V191" s="138">
        <v>3.9999999999999998E-6</v>
      </c>
      <c r="W191" s="138">
        <v>1.17451421265079E-2</v>
      </c>
      <c r="X191" s="138">
        <v>3.5954109387363398E-3</v>
      </c>
    </row>
    <row r="192" spans="1:24" x14ac:dyDescent="0.2">
      <c r="A192" s="3">
        <v>13710</v>
      </c>
      <c r="B192" s="3">
        <v>15444</v>
      </c>
      <c r="C192" s="3" t="s">
        <v>2760</v>
      </c>
      <c r="D192" s="3" t="s">
        <v>2761</v>
      </c>
      <c r="E192" s="3" t="s">
        <v>1477</v>
      </c>
      <c r="F192" s="3" t="s">
        <v>2762</v>
      </c>
      <c r="G192" s="3" t="s">
        <v>2763</v>
      </c>
      <c r="H192" s="3" t="s">
        <v>76</v>
      </c>
      <c r="I192" s="3" t="s">
        <v>73</v>
      </c>
      <c r="J192" s="3" t="s">
        <v>53</v>
      </c>
      <c r="K192" s="3" t="s">
        <v>53</v>
      </c>
      <c r="L192" s="6" t="s">
        <v>805</v>
      </c>
      <c r="M192" s="6" t="s">
        <v>311</v>
      </c>
      <c r="N192" s="3" t="s">
        <v>156</v>
      </c>
      <c r="O192" s="3" t="s">
        <v>62</v>
      </c>
      <c r="P192" s="3" t="s">
        <v>1219</v>
      </c>
      <c r="Q192" s="137">
        <v>86</v>
      </c>
      <c r="R192" s="139">
        <v>1</v>
      </c>
      <c r="S192" s="140">
        <v>6455</v>
      </c>
      <c r="U192" s="137">
        <v>5.5510000000000002</v>
      </c>
      <c r="V192" s="138">
        <v>6.9999999999999999E-6</v>
      </c>
      <c r="W192" s="138">
        <v>2.1722017419670702E-3</v>
      </c>
      <c r="X192" s="138">
        <v>6.6495218364229203E-4</v>
      </c>
    </row>
    <row r="193" spans="1:24" x14ac:dyDescent="0.2">
      <c r="A193" s="3">
        <v>13710</v>
      </c>
      <c r="B193" s="3">
        <v>15444</v>
      </c>
      <c r="C193" s="3" t="s">
        <v>2764</v>
      </c>
      <c r="D193" s="3" t="s">
        <v>2765</v>
      </c>
      <c r="E193" s="3" t="s">
        <v>1477</v>
      </c>
      <c r="F193" s="3" t="s">
        <v>2766</v>
      </c>
      <c r="G193" s="3" t="s">
        <v>2767</v>
      </c>
      <c r="H193" s="3" t="s">
        <v>76</v>
      </c>
      <c r="I193" s="3" t="s">
        <v>73</v>
      </c>
      <c r="J193" s="3" t="s">
        <v>53</v>
      </c>
      <c r="K193" s="3" t="s">
        <v>53</v>
      </c>
      <c r="L193" s="6" t="s">
        <v>805</v>
      </c>
      <c r="M193" s="6" t="s">
        <v>311</v>
      </c>
      <c r="N193" s="3" t="s">
        <v>156</v>
      </c>
      <c r="O193" s="3" t="s">
        <v>62</v>
      </c>
      <c r="P193" s="3" t="s">
        <v>1219</v>
      </c>
      <c r="Q193" s="137">
        <v>11</v>
      </c>
      <c r="R193" s="139">
        <v>1</v>
      </c>
      <c r="S193" s="140">
        <v>61570</v>
      </c>
      <c r="T193" s="131">
        <v>0.13300000000000001</v>
      </c>
      <c r="U193" s="137">
        <v>6.9059999999999997</v>
      </c>
      <c r="V193" s="138">
        <v>9.9999999999999995E-7</v>
      </c>
      <c r="W193" s="138">
        <v>2.70235310329172E-3</v>
      </c>
      <c r="X193" s="138">
        <v>8.2724157811378399E-4</v>
      </c>
    </row>
    <row r="194" spans="1:24" x14ac:dyDescent="0.2">
      <c r="A194" s="3">
        <v>13710</v>
      </c>
      <c r="B194" s="3">
        <v>15444</v>
      </c>
      <c r="C194" s="3" t="s">
        <v>2768</v>
      </c>
      <c r="D194" s="3" t="s">
        <v>2769</v>
      </c>
      <c r="E194" s="3" t="s">
        <v>1477</v>
      </c>
      <c r="F194" s="3" t="s">
        <v>2770</v>
      </c>
      <c r="G194" s="3" t="s">
        <v>2771</v>
      </c>
      <c r="H194" s="3" t="s">
        <v>76</v>
      </c>
      <c r="I194" s="3" t="s">
        <v>73</v>
      </c>
      <c r="J194" s="3" t="s">
        <v>53</v>
      </c>
      <c r="K194" s="3" t="s">
        <v>53</v>
      </c>
      <c r="L194" s="6" t="s">
        <v>805</v>
      </c>
      <c r="M194" s="6" t="s">
        <v>311</v>
      </c>
      <c r="N194" s="3" t="s">
        <v>256</v>
      </c>
      <c r="O194" s="3" t="s">
        <v>62</v>
      </c>
      <c r="P194" s="3" t="s">
        <v>1219</v>
      </c>
      <c r="Q194" s="137">
        <v>295</v>
      </c>
      <c r="R194" s="139">
        <v>1</v>
      </c>
      <c r="S194" s="140">
        <v>25090</v>
      </c>
      <c r="U194" s="137">
        <v>74.016000000000005</v>
      </c>
      <c r="V194" s="138">
        <v>7.9999999999999996E-6</v>
      </c>
      <c r="W194" s="138">
        <v>2.8961972516809299E-2</v>
      </c>
      <c r="X194" s="138">
        <v>8.8658095127944897E-3</v>
      </c>
    </row>
    <row r="195" spans="1:24" x14ac:dyDescent="0.2">
      <c r="A195" s="3">
        <v>13710</v>
      </c>
      <c r="B195" s="3">
        <v>15444</v>
      </c>
      <c r="C195" s="3" t="s">
        <v>2776</v>
      </c>
      <c r="D195" s="3" t="s">
        <v>2777</v>
      </c>
      <c r="E195" s="3" t="s">
        <v>1477</v>
      </c>
      <c r="F195" s="3" t="s">
        <v>2778</v>
      </c>
      <c r="G195" s="3" t="s">
        <v>2779</v>
      </c>
      <c r="H195" s="3" t="s">
        <v>76</v>
      </c>
      <c r="I195" s="3" t="s">
        <v>73</v>
      </c>
      <c r="J195" s="3" t="s">
        <v>53</v>
      </c>
      <c r="K195" s="3" t="s">
        <v>53</v>
      </c>
      <c r="L195" s="6" t="s">
        <v>805</v>
      </c>
      <c r="M195" s="6" t="s">
        <v>311</v>
      </c>
      <c r="N195" s="3" t="s">
        <v>637</v>
      </c>
      <c r="O195" s="3" t="s">
        <v>62</v>
      </c>
      <c r="P195" s="3" t="s">
        <v>1219</v>
      </c>
      <c r="Q195" s="137">
        <v>345</v>
      </c>
      <c r="R195" s="139">
        <v>1</v>
      </c>
      <c r="S195" s="140">
        <v>1256</v>
      </c>
      <c r="U195" s="137">
        <v>4.3330000000000002</v>
      </c>
      <c r="V195" s="138">
        <v>5.0000000000000004E-6</v>
      </c>
      <c r="W195" s="138">
        <v>1.6955640279379099E-3</v>
      </c>
      <c r="X195" s="138">
        <v>5.1904433234715801E-4</v>
      </c>
    </row>
    <row r="196" spans="1:24" x14ac:dyDescent="0.2">
      <c r="A196" s="3">
        <v>13710</v>
      </c>
      <c r="B196" s="3">
        <v>15444</v>
      </c>
      <c r="C196" s="3" t="s">
        <v>2103</v>
      </c>
      <c r="D196" s="3" t="s">
        <v>2104</v>
      </c>
      <c r="E196" s="3" t="s">
        <v>1477</v>
      </c>
      <c r="F196" s="3" t="s">
        <v>2784</v>
      </c>
      <c r="G196" s="3" t="s">
        <v>2785</v>
      </c>
      <c r="H196" s="3" t="s">
        <v>76</v>
      </c>
      <c r="I196" s="3" t="s">
        <v>73</v>
      </c>
      <c r="J196" s="3" t="s">
        <v>53</v>
      </c>
      <c r="K196" s="3" t="s">
        <v>317</v>
      </c>
      <c r="L196" s="6" t="s">
        <v>805</v>
      </c>
      <c r="M196" s="6" t="s">
        <v>311</v>
      </c>
      <c r="N196" s="3" t="s">
        <v>254</v>
      </c>
      <c r="O196" s="3" t="s">
        <v>62</v>
      </c>
      <c r="P196" s="3" t="s">
        <v>1219</v>
      </c>
      <c r="Q196" s="137">
        <v>139</v>
      </c>
      <c r="R196" s="139">
        <v>1</v>
      </c>
      <c r="S196" s="140">
        <v>19820</v>
      </c>
      <c r="U196" s="137">
        <v>27.55</v>
      </c>
      <c r="V196" s="138">
        <v>1.1E-5</v>
      </c>
      <c r="W196" s="138">
        <v>1.0780127817059899E-2</v>
      </c>
      <c r="X196" s="138">
        <v>3.3000017417376798E-3</v>
      </c>
    </row>
    <row r="197" spans="1:24" x14ac:dyDescent="0.2">
      <c r="A197" s="3">
        <v>13710</v>
      </c>
      <c r="B197" s="3">
        <v>15444</v>
      </c>
      <c r="C197" s="3" t="s">
        <v>2111</v>
      </c>
      <c r="D197" s="3" t="s">
        <v>2112</v>
      </c>
      <c r="E197" s="3" t="s">
        <v>1477</v>
      </c>
      <c r="F197" s="3" t="s">
        <v>2786</v>
      </c>
      <c r="G197" s="3" t="s">
        <v>2787</v>
      </c>
      <c r="H197" s="3" t="s">
        <v>76</v>
      </c>
      <c r="I197" s="3" t="s">
        <v>73</v>
      </c>
      <c r="J197" s="3" t="s">
        <v>53</v>
      </c>
      <c r="K197" s="3" t="s">
        <v>53</v>
      </c>
      <c r="L197" s="6" t="s">
        <v>805</v>
      </c>
      <c r="M197" s="6" t="s">
        <v>311</v>
      </c>
      <c r="N197" s="3" t="s">
        <v>140</v>
      </c>
      <c r="O197" s="3" t="s">
        <v>62</v>
      </c>
      <c r="P197" s="3" t="s">
        <v>1219</v>
      </c>
      <c r="Q197" s="137">
        <v>109</v>
      </c>
      <c r="R197" s="139">
        <v>1</v>
      </c>
      <c r="S197" s="140">
        <v>11810</v>
      </c>
      <c r="U197" s="137">
        <v>12.872999999999999</v>
      </c>
      <c r="V197" s="138">
        <v>5.0000000000000004E-6</v>
      </c>
      <c r="W197" s="138">
        <v>5.0371148747442801E-3</v>
      </c>
      <c r="X197" s="138">
        <v>1.54195647232339E-3</v>
      </c>
    </row>
    <row r="198" spans="1:24" x14ac:dyDescent="0.2">
      <c r="A198" s="3">
        <v>13710</v>
      </c>
      <c r="B198" s="3">
        <v>15444</v>
      </c>
      <c r="C198" s="3" t="s">
        <v>2122</v>
      </c>
      <c r="D198" s="3" t="s">
        <v>2123</v>
      </c>
      <c r="E198" s="3" t="s">
        <v>1477</v>
      </c>
      <c r="F198" s="3" t="s">
        <v>2788</v>
      </c>
      <c r="G198" s="3" t="s">
        <v>2789</v>
      </c>
      <c r="H198" s="3" t="s">
        <v>76</v>
      </c>
      <c r="I198" s="3" t="s">
        <v>73</v>
      </c>
      <c r="J198" s="3" t="s">
        <v>53</v>
      </c>
      <c r="K198" s="3" t="s">
        <v>53</v>
      </c>
      <c r="L198" s="6" t="s">
        <v>805</v>
      </c>
      <c r="M198" s="6" t="s">
        <v>311</v>
      </c>
      <c r="N198" s="3" t="s">
        <v>259</v>
      </c>
      <c r="O198" s="3" t="s">
        <v>62</v>
      </c>
      <c r="P198" s="3" t="s">
        <v>1219</v>
      </c>
      <c r="Q198" s="137">
        <v>49</v>
      </c>
      <c r="R198" s="139">
        <v>1</v>
      </c>
      <c r="S198" s="140">
        <v>58480</v>
      </c>
      <c r="U198" s="137">
        <v>28.655000000000001</v>
      </c>
      <c r="V198" s="138">
        <v>3.0000000000000001E-6</v>
      </c>
      <c r="W198" s="138">
        <v>1.12126664666681E-2</v>
      </c>
      <c r="X198" s="138">
        <v>3.43241003237198E-3</v>
      </c>
    </row>
    <row r="199" spans="1:24" x14ac:dyDescent="0.2">
      <c r="A199" s="3">
        <v>13710</v>
      </c>
      <c r="B199" s="3">
        <v>15444</v>
      </c>
      <c r="C199" s="3" t="s">
        <v>2790</v>
      </c>
      <c r="D199" s="3" t="s">
        <v>2791</v>
      </c>
      <c r="E199" s="3" t="s">
        <v>1477</v>
      </c>
      <c r="F199" s="3" t="s">
        <v>2792</v>
      </c>
      <c r="G199" s="3" t="s">
        <v>2793</v>
      </c>
      <c r="H199" s="3" t="s">
        <v>76</v>
      </c>
      <c r="I199" s="3" t="s">
        <v>73</v>
      </c>
      <c r="J199" s="3" t="s">
        <v>53</v>
      </c>
      <c r="K199" s="3" t="s">
        <v>314</v>
      </c>
      <c r="L199" s="6" t="s">
        <v>805</v>
      </c>
      <c r="M199" s="6" t="s">
        <v>311</v>
      </c>
      <c r="N199" s="3" t="s">
        <v>254</v>
      </c>
      <c r="O199" s="3" t="s">
        <v>62</v>
      </c>
      <c r="P199" s="3" t="s">
        <v>1219</v>
      </c>
      <c r="Q199" s="137">
        <v>60</v>
      </c>
      <c r="R199" s="139">
        <v>1</v>
      </c>
      <c r="S199" s="140">
        <v>38800</v>
      </c>
      <c r="U199" s="137">
        <v>23.28</v>
      </c>
      <c r="V199" s="138">
        <v>1.2999999999999999E-5</v>
      </c>
      <c r="W199" s="138">
        <v>9.1093719584589908E-3</v>
      </c>
      <c r="X199" s="138">
        <v>2.7885516609069102E-3</v>
      </c>
    </row>
    <row r="200" spans="1:24" x14ac:dyDescent="0.2">
      <c r="A200" s="3">
        <v>13710</v>
      </c>
      <c r="B200" s="3">
        <v>15444</v>
      </c>
      <c r="C200" s="3" t="s">
        <v>2794</v>
      </c>
      <c r="D200" s="3" t="s">
        <v>2795</v>
      </c>
      <c r="E200" s="3" t="s">
        <v>1477</v>
      </c>
      <c r="F200" s="3" t="s">
        <v>2796</v>
      </c>
      <c r="G200" s="3" t="s">
        <v>2797</v>
      </c>
      <c r="H200" s="3" t="s">
        <v>76</v>
      </c>
      <c r="I200" s="3" t="s">
        <v>73</v>
      </c>
      <c r="J200" s="3" t="s">
        <v>53</v>
      </c>
      <c r="K200" s="3" t="s">
        <v>317</v>
      </c>
      <c r="L200" s="6" t="s">
        <v>805</v>
      </c>
      <c r="M200" s="6" t="s">
        <v>311</v>
      </c>
      <c r="N200" s="3" t="s">
        <v>254</v>
      </c>
      <c r="O200" s="3" t="s">
        <v>62</v>
      </c>
      <c r="P200" s="3" t="s">
        <v>1219</v>
      </c>
      <c r="Q200" s="137">
        <v>64</v>
      </c>
      <c r="R200" s="139">
        <v>1</v>
      </c>
      <c r="S200" s="140">
        <v>29040</v>
      </c>
      <c r="U200" s="137">
        <v>18.585999999999999</v>
      </c>
      <c r="V200" s="138">
        <v>9.9999999999999995E-7</v>
      </c>
      <c r="W200" s="138">
        <v>7.2724717985882901E-3</v>
      </c>
      <c r="X200" s="138">
        <v>2.2262416558827998E-3</v>
      </c>
    </row>
    <row r="201" spans="1:24" x14ac:dyDescent="0.2">
      <c r="A201" s="3">
        <v>13710</v>
      </c>
      <c r="B201" s="3">
        <v>15444</v>
      </c>
      <c r="C201" s="3" t="s">
        <v>2798</v>
      </c>
      <c r="D201" s="3" t="s">
        <v>2799</v>
      </c>
      <c r="E201" s="3" t="s">
        <v>430</v>
      </c>
      <c r="F201" s="3" t="s">
        <v>2800</v>
      </c>
      <c r="G201" s="3" t="s">
        <v>2801</v>
      </c>
      <c r="H201" s="3" t="s">
        <v>76</v>
      </c>
      <c r="I201" s="3" t="s">
        <v>73</v>
      </c>
      <c r="J201" s="3" t="s">
        <v>53</v>
      </c>
      <c r="K201" s="3" t="s">
        <v>53</v>
      </c>
      <c r="L201" s="6" t="s">
        <v>805</v>
      </c>
      <c r="M201" s="6" t="s">
        <v>311</v>
      </c>
      <c r="N201" s="3" t="s">
        <v>692</v>
      </c>
      <c r="O201" s="3" t="s">
        <v>62</v>
      </c>
      <c r="P201" s="3" t="s">
        <v>1219</v>
      </c>
      <c r="Q201" s="137">
        <v>292</v>
      </c>
      <c r="R201" s="139">
        <v>1</v>
      </c>
      <c r="S201" s="140">
        <v>13890</v>
      </c>
      <c r="U201" s="137">
        <v>40.558999999999997</v>
      </c>
      <c r="V201" s="138">
        <v>6.0000000000000002E-6</v>
      </c>
      <c r="W201" s="138">
        <v>1.5870498083708998E-2</v>
      </c>
      <c r="X201" s="138">
        <v>4.8582607003604499E-3</v>
      </c>
    </row>
    <row r="202" spans="1:24" x14ac:dyDescent="0.2">
      <c r="A202" s="3">
        <v>13710</v>
      </c>
      <c r="B202" s="3">
        <v>15444</v>
      </c>
      <c r="C202" s="3" t="s">
        <v>2802</v>
      </c>
      <c r="D202" s="3" t="s">
        <v>2803</v>
      </c>
      <c r="E202" s="3" t="s">
        <v>1477</v>
      </c>
      <c r="F202" s="3" t="s">
        <v>2804</v>
      </c>
      <c r="G202" s="3" t="s">
        <v>2805</v>
      </c>
      <c r="H202" s="3" t="s">
        <v>76</v>
      </c>
      <c r="I202" s="3" t="s">
        <v>73</v>
      </c>
      <c r="J202" s="3" t="s">
        <v>53</v>
      </c>
      <c r="K202" s="3" t="s">
        <v>53</v>
      </c>
      <c r="L202" s="6" t="s">
        <v>805</v>
      </c>
      <c r="M202" s="6" t="s">
        <v>311</v>
      </c>
      <c r="N202" s="3" t="s">
        <v>261</v>
      </c>
      <c r="O202" s="3" t="s">
        <v>62</v>
      </c>
      <c r="P202" s="3" t="s">
        <v>1219</v>
      </c>
      <c r="Q202" s="137">
        <v>37</v>
      </c>
      <c r="R202" s="139">
        <v>1</v>
      </c>
      <c r="S202" s="140">
        <v>8117</v>
      </c>
      <c r="U202" s="137">
        <v>3.0030000000000001</v>
      </c>
      <c r="V202" s="138">
        <v>3.0000000000000001E-6</v>
      </c>
      <c r="W202" s="138">
        <v>1.1751755029690801E-3</v>
      </c>
      <c r="X202" s="138">
        <v>3.5974352739197302E-4</v>
      </c>
    </row>
    <row r="203" spans="1:24" x14ac:dyDescent="0.2">
      <c r="A203" s="3">
        <v>13710</v>
      </c>
      <c r="B203" s="3">
        <v>15444</v>
      </c>
      <c r="C203" s="3" t="s">
        <v>2157</v>
      </c>
      <c r="D203" s="3" t="s">
        <v>2158</v>
      </c>
      <c r="E203" s="3" t="s">
        <v>1477</v>
      </c>
      <c r="F203" s="3" t="s">
        <v>2810</v>
      </c>
      <c r="G203" s="3" t="s">
        <v>2811</v>
      </c>
      <c r="H203" s="3" t="s">
        <v>76</v>
      </c>
      <c r="I203" s="3" t="s">
        <v>73</v>
      </c>
      <c r="J203" s="3" t="s">
        <v>53</v>
      </c>
      <c r="K203" s="3" t="s">
        <v>53</v>
      </c>
      <c r="L203" s="6" t="s">
        <v>805</v>
      </c>
      <c r="M203" s="6" t="s">
        <v>311</v>
      </c>
      <c r="N203" s="3" t="s">
        <v>635</v>
      </c>
      <c r="O203" s="3" t="s">
        <v>62</v>
      </c>
      <c r="P203" s="3" t="s">
        <v>1219</v>
      </c>
      <c r="Q203" s="137">
        <v>347</v>
      </c>
      <c r="R203" s="139">
        <v>1</v>
      </c>
      <c r="S203" s="140">
        <v>2261</v>
      </c>
      <c r="U203" s="137">
        <v>7.8460000000000001</v>
      </c>
      <c r="V203" s="138">
        <v>1.9999999999999999E-6</v>
      </c>
      <c r="W203" s="138">
        <v>3.0699796517750402E-3</v>
      </c>
      <c r="X203" s="138">
        <v>9.3977904250118298E-4</v>
      </c>
    </row>
    <row r="204" spans="1:24" x14ac:dyDescent="0.2">
      <c r="A204" s="3">
        <v>13710</v>
      </c>
      <c r="B204" s="3">
        <v>15444</v>
      </c>
      <c r="C204" s="3" t="s">
        <v>2812</v>
      </c>
      <c r="D204" s="3" t="s">
        <v>2813</v>
      </c>
      <c r="E204" s="3" t="s">
        <v>1477</v>
      </c>
      <c r="F204" s="3" t="s">
        <v>2814</v>
      </c>
      <c r="G204" s="3" t="s">
        <v>2815</v>
      </c>
      <c r="H204" s="3" t="s">
        <v>76</v>
      </c>
      <c r="I204" s="3" t="s">
        <v>73</v>
      </c>
      <c r="J204" s="3" t="s">
        <v>53</v>
      </c>
      <c r="K204" s="3" t="s">
        <v>53</v>
      </c>
      <c r="L204" s="6" t="s">
        <v>805</v>
      </c>
      <c r="M204" s="6" t="s">
        <v>311</v>
      </c>
      <c r="N204" s="3" t="s">
        <v>634</v>
      </c>
      <c r="O204" s="3" t="s">
        <v>62</v>
      </c>
      <c r="P204" s="3" t="s">
        <v>1219</v>
      </c>
      <c r="Q204" s="137">
        <v>132</v>
      </c>
      <c r="R204" s="139">
        <v>1</v>
      </c>
      <c r="S204" s="140">
        <v>6518</v>
      </c>
      <c r="U204" s="137">
        <v>8.6039999999999992</v>
      </c>
      <c r="V204" s="138">
        <v>3.0000000000000001E-6</v>
      </c>
      <c r="W204" s="138">
        <v>3.3666172715339799E-3</v>
      </c>
      <c r="X204" s="138">
        <v>1.03058544836961E-3</v>
      </c>
    </row>
    <row r="205" spans="1:24" x14ac:dyDescent="0.2">
      <c r="A205" s="3">
        <v>13710</v>
      </c>
      <c r="B205" s="3">
        <v>15444</v>
      </c>
      <c r="C205" s="3" t="s">
        <v>2816</v>
      </c>
      <c r="D205" s="3" t="s">
        <v>2817</v>
      </c>
      <c r="E205" s="3" t="s">
        <v>1477</v>
      </c>
      <c r="F205" s="3" t="s">
        <v>2818</v>
      </c>
      <c r="G205" s="3" t="s">
        <v>2819</v>
      </c>
      <c r="H205" s="3" t="s">
        <v>76</v>
      </c>
      <c r="I205" s="3" t="s">
        <v>73</v>
      </c>
      <c r="J205" s="3" t="s">
        <v>53</v>
      </c>
      <c r="K205" s="3" t="s">
        <v>53</v>
      </c>
      <c r="L205" s="6" t="s">
        <v>805</v>
      </c>
      <c r="M205" s="6" t="s">
        <v>311</v>
      </c>
      <c r="N205" s="3" t="s">
        <v>265</v>
      </c>
      <c r="O205" s="3" t="s">
        <v>62</v>
      </c>
      <c r="P205" s="3" t="s">
        <v>1219</v>
      </c>
      <c r="Q205" s="137">
        <v>77</v>
      </c>
      <c r="R205" s="139">
        <v>1</v>
      </c>
      <c r="S205" s="140">
        <v>1420</v>
      </c>
      <c r="U205" s="137">
        <v>1.093</v>
      </c>
      <c r="V205" s="138">
        <v>3.9999999999999998E-6</v>
      </c>
      <c r="W205" s="138">
        <v>4.2784309705236502E-4</v>
      </c>
      <c r="X205" s="138">
        <v>1.3097089287094599E-4</v>
      </c>
    </row>
    <row r="206" spans="1:24" x14ac:dyDescent="0.2">
      <c r="A206" s="3">
        <v>13710</v>
      </c>
      <c r="B206" s="3">
        <v>15444</v>
      </c>
      <c r="C206" s="3" t="s">
        <v>2820</v>
      </c>
      <c r="D206" s="3" t="s">
        <v>2821</v>
      </c>
      <c r="E206" s="3" t="s">
        <v>1477</v>
      </c>
      <c r="F206" s="3" t="s">
        <v>2822</v>
      </c>
      <c r="G206" s="3" t="s">
        <v>2823</v>
      </c>
      <c r="H206" s="3" t="s">
        <v>76</v>
      </c>
      <c r="I206" s="3" t="s">
        <v>73</v>
      </c>
      <c r="J206" s="3" t="s">
        <v>53</v>
      </c>
      <c r="K206" s="3" t="s">
        <v>53</v>
      </c>
      <c r="L206" s="6" t="s">
        <v>805</v>
      </c>
      <c r="M206" s="6" t="s">
        <v>311</v>
      </c>
      <c r="N206" s="3" t="s">
        <v>634</v>
      </c>
      <c r="O206" s="3" t="s">
        <v>62</v>
      </c>
      <c r="P206" s="3" t="s">
        <v>1219</v>
      </c>
      <c r="Q206" s="137">
        <v>47</v>
      </c>
      <c r="R206" s="139">
        <v>1</v>
      </c>
      <c r="S206" s="140">
        <v>32510</v>
      </c>
      <c r="U206" s="137">
        <v>15.28</v>
      </c>
      <c r="V206" s="138">
        <v>3.0000000000000001E-6</v>
      </c>
      <c r="W206" s="138">
        <v>5.9788861990406304E-3</v>
      </c>
      <c r="X206" s="138">
        <v>1.8302505503934401E-3</v>
      </c>
    </row>
    <row r="207" spans="1:24" x14ac:dyDescent="0.2">
      <c r="A207" s="3">
        <v>13710</v>
      </c>
      <c r="B207" s="3">
        <v>15444</v>
      </c>
      <c r="C207" s="3" t="s">
        <v>2824</v>
      </c>
      <c r="D207" s="3" t="s">
        <v>2825</v>
      </c>
      <c r="E207" s="3" t="s">
        <v>1477</v>
      </c>
      <c r="F207" s="3" t="s">
        <v>2826</v>
      </c>
      <c r="G207" s="3" t="s">
        <v>2827</v>
      </c>
      <c r="H207" s="3" t="s">
        <v>76</v>
      </c>
      <c r="I207" s="3" t="s">
        <v>73</v>
      </c>
      <c r="J207" s="3" t="s">
        <v>53</v>
      </c>
      <c r="K207" s="3" t="s">
        <v>53</v>
      </c>
      <c r="L207" s="6" t="s">
        <v>805</v>
      </c>
      <c r="M207" s="6" t="s">
        <v>311</v>
      </c>
      <c r="N207" s="3" t="s">
        <v>634</v>
      </c>
      <c r="O207" s="3" t="s">
        <v>62</v>
      </c>
      <c r="P207" s="3" t="s">
        <v>1219</v>
      </c>
      <c r="Q207" s="137">
        <v>578</v>
      </c>
      <c r="R207" s="139">
        <v>1</v>
      </c>
      <c r="S207" s="140">
        <v>3869</v>
      </c>
      <c r="U207" s="137">
        <v>22.363</v>
      </c>
      <c r="V207" s="138">
        <v>1.9999999999999999E-6</v>
      </c>
      <c r="W207" s="138">
        <v>8.75048305069011E-3</v>
      </c>
      <c r="X207" s="138">
        <v>2.6786889541908199E-3</v>
      </c>
    </row>
    <row r="208" spans="1:24" x14ac:dyDescent="0.2">
      <c r="A208" s="3">
        <v>13710</v>
      </c>
      <c r="B208" s="3">
        <v>15444</v>
      </c>
      <c r="C208" s="3" t="s">
        <v>2174</v>
      </c>
      <c r="D208" s="3" t="s">
        <v>2175</v>
      </c>
      <c r="E208" s="3" t="s">
        <v>1477</v>
      </c>
      <c r="F208" s="3" t="s">
        <v>2828</v>
      </c>
      <c r="G208" s="3" t="s">
        <v>2829</v>
      </c>
      <c r="H208" s="3" t="s">
        <v>76</v>
      </c>
      <c r="I208" s="3" t="s">
        <v>73</v>
      </c>
      <c r="J208" s="3" t="s">
        <v>53</v>
      </c>
      <c r="K208" s="3" t="s">
        <v>53</v>
      </c>
      <c r="L208" s="6" t="s">
        <v>805</v>
      </c>
      <c r="M208" s="6" t="s">
        <v>311</v>
      </c>
      <c r="N208" s="3" t="s">
        <v>261</v>
      </c>
      <c r="O208" s="3" t="s">
        <v>62</v>
      </c>
      <c r="P208" s="3" t="s">
        <v>1219</v>
      </c>
      <c r="Q208" s="137">
        <v>732</v>
      </c>
      <c r="R208" s="139">
        <v>1</v>
      </c>
      <c r="S208" s="140">
        <v>9235</v>
      </c>
      <c r="U208" s="137">
        <v>67.599999999999994</v>
      </c>
      <c r="V208" s="138">
        <v>6.0000000000000002E-6</v>
      </c>
      <c r="W208" s="138">
        <v>2.6451690990817001E-2</v>
      </c>
      <c r="X208" s="138">
        <v>8.0973646901907007E-3</v>
      </c>
    </row>
    <row r="209" spans="1:24" x14ac:dyDescent="0.2">
      <c r="A209" s="3">
        <v>13710</v>
      </c>
      <c r="B209" s="3">
        <v>15444</v>
      </c>
      <c r="C209" s="3" t="s">
        <v>2834</v>
      </c>
      <c r="D209" s="3" t="s">
        <v>2835</v>
      </c>
      <c r="E209" s="3" t="s">
        <v>1477</v>
      </c>
      <c r="F209" s="3" t="s">
        <v>2836</v>
      </c>
      <c r="G209" s="3" t="s">
        <v>2837</v>
      </c>
      <c r="H209" s="3" t="s">
        <v>76</v>
      </c>
      <c r="I209" s="3" t="s">
        <v>73</v>
      </c>
      <c r="J209" s="3" t="s">
        <v>53</v>
      </c>
      <c r="K209" s="3" t="s">
        <v>317</v>
      </c>
      <c r="L209" s="6" t="s">
        <v>805</v>
      </c>
      <c r="M209" s="6" t="s">
        <v>311</v>
      </c>
      <c r="N209" s="3" t="s">
        <v>261</v>
      </c>
      <c r="O209" s="3" t="s">
        <v>62</v>
      </c>
      <c r="P209" s="3" t="s">
        <v>1219</v>
      </c>
      <c r="Q209" s="137">
        <v>880</v>
      </c>
      <c r="R209" s="139">
        <v>1</v>
      </c>
      <c r="S209" s="140">
        <v>4070</v>
      </c>
      <c r="U209" s="137">
        <v>35.816000000000003</v>
      </c>
      <c r="V209" s="138">
        <v>9.0000000000000002E-6</v>
      </c>
      <c r="W209" s="138">
        <v>1.40146591951962E-2</v>
      </c>
      <c r="X209" s="138">
        <v>4.2901531910241398E-3</v>
      </c>
    </row>
    <row r="210" spans="1:24" x14ac:dyDescent="0.2">
      <c r="A210" s="3">
        <v>13710</v>
      </c>
      <c r="B210" s="3">
        <v>15444</v>
      </c>
      <c r="C210" s="3" t="s">
        <v>1545</v>
      </c>
      <c r="D210" s="3" t="s">
        <v>1546</v>
      </c>
      <c r="E210" s="3" t="s">
        <v>1477</v>
      </c>
      <c r="F210" s="3" t="s">
        <v>2863</v>
      </c>
      <c r="G210" s="3" t="s">
        <v>2864</v>
      </c>
      <c r="H210" s="3" t="s">
        <v>78</v>
      </c>
      <c r="I210" s="3" t="s">
        <v>73</v>
      </c>
      <c r="J210" s="3" t="s">
        <v>61</v>
      </c>
      <c r="L210" s="6" t="s">
        <v>805</v>
      </c>
      <c r="M210" s="6" t="s">
        <v>102</v>
      </c>
      <c r="N210" s="3" t="s">
        <v>638</v>
      </c>
      <c r="O210" s="3" t="s">
        <v>62</v>
      </c>
      <c r="P210" s="3" t="s">
        <v>1217</v>
      </c>
      <c r="Q210" s="137">
        <v>5</v>
      </c>
      <c r="R210" s="139">
        <v>3.3719999999999999</v>
      </c>
      <c r="S210" s="140">
        <v>44950</v>
      </c>
      <c r="T210" s="131">
        <v>2E-3</v>
      </c>
      <c r="U210" s="137">
        <v>7.5869999999999997</v>
      </c>
      <c r="V210" s="138">
        <v>0</v>
      </c>
      <c r="W210" s="138">
        <v>2.9686300628162599E-3</v>
      </c>
      <c r="X210" s="138">
        <v>9.0875400961065505E-4</v>
      </c>
    </row>
    <row r="211" spans="1:24" x14ac:dyDescent="0.2">
      <c r="A211" s="3">
        <v>559</v>
      </c>
      <c r="B211" s="3">
        <v>556</v>
      </c>
      <c r="C211" s="3" t="s">
        <v>2504</v>
      </c>
      <c r="D211" s="3" t="s">
        <v>2505</v>
      </c>
      <c r="E211" s="3" t="s">
        <v>1477</v>
      </c>
      <c r="F211" s="3" t="s">
        <v>2506</v>
      </c>
      <c r="G211" s="3" t="s">
        <v>2507</v>
      </c>
      <c r="H211" s="3" t="s">
        <v>76</v>
      </c>
      <c r="I211" s="3" t="s">
        <v>73</v>
      </c>
      <c r="J211" s="3" t="s">
        <v>53</v>
      </c>
      <c r="K211" s="3" t="s">
        <v>53</v>
      </c>
      <c r="L211" s="6" t="s">
        <v>805</v>
      </c>
      <c r="M211" s="6" t="s">
        <v>311</v>
      </c>
      <c r="N211" s="3" t="s">
        <v>156</v>
      </c>
      <c r="O211" s="3" t="s">
        <v>62</v>
      </c>
      <c r="P211" s="3" t="s">
        <v>1219</v>
      </c>
      <c r="Q211" s="137">
        <v>23713.26</v>
      </c>
      <c r="R211" s="139">
        <v>1</v>
      </c>
      <c r="S211" s="140">
        <v>4100</v>
      </c>
      <c r="U211" s="137">
        <v>972.24400000000003</v>
      </c>
      <c r="V211" s="138">
        <v>8.6000000000000003E-5</v>
      </c>
      <c r="W211" s="138">
        <v>1.79496435511587E-2</v>
      </c>
      <c r="X211" s="138">
        <v>2.9153900338120199E-3</v>
      </c>
    </row>
    <row r="212" spans="1:24" x14ac:dyDescent="0.2">
      <c r="A212" s="3">
        <v>559</v>
      </c>
      <c r="B212" s="3">
        <v>556</v>
      </c>
      <c r="C212" s="3" t="s">
        <v>2508</v>
      </c>
      <c r="D212" s="3" t="s">
        <v>2509</v>
      </c>
      <c r="E212" s="3" t="s">
        <v>1477</v>
      </c>
      <c r="F212" s="3" t="s">
        <v>2510</v>
      </c>
      <c r="G212" s="3" t="s">
        <v>2511</v>
      </c>
      <c r="H212" s="3" t="s">
        <v>76</v>
      </c>
      <c r="I212" s="3" t="s">
        <v>73</v>
      </c>
      <c r="J212" s="3" t="s">
        <v>53</v>
      </c>
      <c r="K212" s="3" t="s">
        <v>53</v>
      </c>
      <c r="L212" s="6" t="s">
        <v>805</v>
      </c>
      <c r="M212" s="6" t="s">
        <v>311</v>
      </c>
      <c r="N212" s="3" t="s">
        <v>258</v>
      </c>
      <c r="O212" s="3" t="s">
        <v>62</v>
      </c>
      <c r="P212" s="3" t="s">
        <v>1219</v>
      </c>
      <c r="Q212" s="137">
        <v>30521.61</v>
      </c>
      <c r="R212" s="139">
        <v>1</v>
      </c>
      <c r="S212" s="140">
        <v>452</v>
      </c>
      <c r="U212" s="137">
        <v>137.958</v>
      </c>
      <c r="V212" s="138">
        <v>5.53E-4</v>
      </c>
      <c r="W212" s="138">
        <v>2.5469861442817899E-3</v>
      </c>
      <c r="X212" s="138">
        <v>4.1368275643652498E-4</v>
      </c>
    </row>
    <row r="213" spans="1:24" x14ac:dyDescent="0.2">
      <c r="A213" s="3">
        <v>559</v>
      </c>
      <c r="B213" s="3">
        <v>556</v>
      </c>
      <c r="C213" s="3" t="s">
        <v>2512</v>
      </c>
      <c r="D213" s="3" t="s">
        <v>2513</v>
      </c>
      <c r="E213" s="3" t="s">
        <v>1477</v>
      </c>
      <c r="F213" s="3" t="s">
        <v>2514</v>
      </c>
      <c r="G213" s="3" t="s">
        <v>2515</v>
      </c>
      <c r="H213" s="3" t="s">
        <v>76</v>
      </c>
      <c r="I213" s="3" t="s">
        <v>73</v>
      </c>
      <c r="J213" s="3" t="s">
        <v>53</v>
      </c>
      <c r="K213" s="3" t="s">
        <v>314</v>
      </c>
      <c r="L213" s="6" t="s">
        <v>805</v>
      </c>
      <c r="M213" s="6" t="s">
        <v>311</v>
      </c>
      <c r="N213" s="3" t="s">
        <v>638</v>
      </c>
      <c r="O213" s="3" t="s">
        <v>62</v>
      </c>
      <c r="P213" s="3" t="s">
        <v>1219</v>
      </c>
      <c r="Q213" s="137">
        <v>4690</v>
      </c>
      <c r="R213" s="139">
        <v>1</v>
      </c>
      <c r="S213" s="140">
        <v>3925</v>
      </c>
      <c r="U213" s="137">
        <v>184.083</v>
      </c>
      <c r="V213" s="138">
        <v>1.84E-4</v>
      </c>
      <c r="W213" s="138">
        <v>3.39854647034281E-3</v>
      </c>
      <c r="X213" s="138">
        <v>5.5199360816526302E-4</v>
      </c>
    </row>
    <row r="214" spans="1:24" x14ac:dyDescent="0.2">
      <c r="A214" s="3">
        <v>559</v>
      </c>
      <c r="B214" s="3">
        <v>556</v>
      </c>
      <c r="C214" s="3" t="s">
        <v>1511</v>
      </c>
      <c r="D214" s="3" t="s">
        <v>1512</v>
      </c>
      <c r="E214" s="3" t="s">
        <v>1477</v>
      </c>
      <c r="F214" s="3" t="s">
        <v>2516</v>
      </c>
      <c r="G214" s="3" t="s">
        <v>2517</v>
      </c>
      <c r="H214" s="3" t="s">
        <v>76</v>
      </c>
      <c r="I214" s="3" t="s">
        <v>73</v>
      </c>
      <c r="J214" s="3" t="s">
        <v>53</v>
      </c>
      <c r="K214" s="3" t="s">
        <v>53</v>
      </c>
      <c r="L214" s="6" t="s">
        <v>805</v>
      </c>
      <c r="M214" s="6" t="s">
        <v>311</v>
      </c>
      <c r="N214" s="3" t="s">
        <v>258</v>
      </c>
      <c r="O214" s="3" t="s">
        <v>62</v>
      </c>
      <c r="P214" s="3" t="s">
        <v>1219</v>
      </c>
      <c r="Q214" s="137">
        <v>3237</v>
      </c>
      <c r="R214" s="139">
        <v>1</v>
      </c>
      <c r="S214" s="140">
        <v>2683</v>
      </c>
      <c r="U214" s="137">
        <v>86.849000000000004</v>
      </c>
      <c r="V214" s="138">
        <v>1.8000000000000001E-4</v>
      </c>
      <c r="W214" s="138">
        <v>1.60340812855283E-3</v>
      </c>
      <c r="X214" s="138">
        <v>2.6042634578191099E-4</v>
      </c>
    </row>
    <row r="215" spans="1:24" x14ac:dyDescent="0.2">
      <c r="A215" s="3">
        <v>559</v>
      </c>
      <c r="B215" s="3">
        <v>556</v>
      </c>
      <c r="C215" s="3" t="s">
        <v>1511</v>
      </c>
      <c r="D215" s="3" t="s">
        <v>1512</v>
      </c>
      <c r="E215" s="3" t="s">
        <v>1477</v>
      </c>
      <c r="F215" s="3" t="s">
        <v>2518</v>
      </c>
      <c r="G215" s="3" t="s">
        <v>2517</v>
      </c>
      <c r="H215" s="3" t="s">
        <v>76</v>
      </c>
      <c r="I215" s="3" t="s">
        <v>73</v>
      </c>
      <c r="J215" s="3" t="s">
        <v>53</v>
      </c>
      <c r="L215" s="6" t="s">
        <v>805</v>
      </c>
      <c r="M215" s="6" t="s">
        <v>102</v>
      </c>
      <c r="N215" s="3" t="s">
        <v>258</v>
      </c>
      <c r="O215" s="3" t="s">
        <v>62</v>
      </c>
      <c r="P215" s="3" t="s">
        <v>1219</v>
      </c>
      <c r="Q215" s="137">
        <v>3550</v>
      </c>
      <c r="R215" s="139">
        <v>1</v>
      </c>
      <c r="S215" s="140">
        <v>2556.9960000000001</v>
      </c>
      <c r="U215" s="137">
        <v>90.772999999999996</v>
      </c>
      <c r="V215" s="138">
        <v>0</v>
      </c>
      <c r="W215" s="138">
        <v>1.6758650372790699E-3</v>
      </c>
      <c r="X215" s="138">
        <v>2.7219483293761598E-4</v>
      </c>
    </row>
    <row r="216" spans="1:24" x14ac:dyDescent="0.2">
      <c r="A216" s="3">
        <v>559</v>
      </c>
      <c r="B216" s="3">
        <v>556</v>
      </c>
      <c r="C216" s="3" t="s">
        <v>2519</v>
      </c>
      <c r="D216" s="3" t="s">
        <v>2520</v>
      </c>
      <c r="E216" s="3" t="s">
        <v>430</v>
      </c>
      <c r="F216" s="3" t="s">
        <v>2521</v>
      </c>
      <c r="G216" s="3" t="s">
        <v>2522</v>
      </c>
      <c r="H216" s="3" t="s">
        <v>76</v>
      </c>
      <c r="I216" s="3" t="s">
        <v>73</v>
      </c>
      <c r="J216" s="3" t="s">
        <v>53</v>
      </c>
      <c r="K216" s="3" t="s">
        <v>314</v>
      </c>
      <c r="L216" s="6" t="s">
        <v>805</v>
      </c>
      <c r="M216" s="6" t="s">
        <v>311</v>
      </c>
      <c r="N216" s="3" t="s">
        <v>631</v>
      </c>
      <c r="O216" s="3" t="s">
        <v>62</v>
      </c>
      <c r="P216" s="3" t="s">
        <v>1219</v>
      </c>
      <c r="Q216" s="137">
        <v>1013</v>
      </c>
      <c r="R216" s="139">
        <v>1</v>
      </c>
      <c r="S216" s="140">
        <v>27780</v>
      </c>
      <c r="U216" s="137">
        <v>281.411</v>
      </c>
      <c r="V216" s="138">
        <v>1.8E-5</v>
      </c>
      <c r="W216" s="138">
        <v>5.1954407408864502E-3</v>
      </c>
      <c r="X216" s="138">
        <v>8.43846069370191E-4</v>
      </c>
    </row>
    <row r="217" spans="1:24" x14ac:dyDescent="0.2">
      <c r="A217" s="3">
        <v>559</v>
      </c>
      <c r="B217" s="3">
        <v>556</v>
      </c>
      <c r="C217" s="3" t="s">
        <v>1517</v>
      </c>
      <c r="D217" s="3" t="s">
        <v>1518</v>
      </c>
      <c r="E217" s="3" t="s">
        <v>1477</v>
      </c>
      <c r="F217" s="3" t="s">
        <v>2523</v>
      </c>
      <c r="G217" s="3" t="s">
        <v>2524</v>
      </c>
      <c r="H217" s="3" t="s">
        <v>76</v>
      </c>
      <c r="I217" s="3" t="s">
        <v>73</v>
      </c>
      <c r="J217" s="3" t="s">
        <v>53</v>
      </c>
      <c r="K217" s="3" t="s">
        <v>53</v>
      </c>
      <c r="L217" s="6" t="s">
        <v>805</v>
      </c>
      <c r="M217" s="6" t="s">
        <v>311</v>
      </c>
      <c r="N217" s="3" t="s">
        <v>140</v>
      </c>
      <c r="O217" s="3" t="s">
        <v>62</v>
      </c>
      <c r="P217" s="3" t="s">
        <v>1219</v>
      </c>
      <c r="Q217" s="137">
        <v>10451</v>
      </c>
      <c r="R217" s="139">
        <v>1</v>
      </c>
      <c r="S217" s="140">
        <v>2366</v>
      </c>
      <c r="U217" s="137">
        <v>247.27099999999999</v>
      </c>
      <c r="V217" s="138">
        <v>4.8999999999999998E-5</v>
      </c>
      <c r="W217" s="138">
        <v>4.5651315511378698E-3</v>
      </c>
      <c r="X217" s="138">
        <v>7.4147093725262299E-4</v>
      </c>
    </row>
    <row r="218" spans="1:24" x14ac:dyDescent="0.2">
      <c r="A218" s="3">
        <v>559</v>
      </c>
      <c r="B218" s="3">
        <v>556</v>
      </c>
      <c r="C218" s="3" t="s">
        <v>2525</v>
      </c>
      <c r="D218" s="3" t="s">
        <v>2526</v>
      </c>
      <c r="E218" s="3" t="s">
        <v>1477</v>
      </c>
      <c r="F218" s="3" t="s">
        <v>2527</v>
      </c>
      <c r="G218" s="3" t="s">
        <v>2528</v>
      </c>
      <c r="H218" s="3" t="s">
        <v>76</v>
      </c>
      <c r="I218" s="3" t="s">
        <v>73</v>
      </c>
      <c r="J218" s="3" t="s">
        <v>53</v>
      </c>
      <c r="K218" s="3" t="s">
        <v>53</v>
      </c>
      <c r="L218" s="6" t="s">
        <v>805</v>
      </c>
      <c r="M218" s="6" t="s">
        <v>311</v>
      </c>
      <c r="N218" s="3" t="s">
        <v>269</v>
      </c>
      <c r="O218" s="3" t="s">
        <v>62</v>
      </c>
      <c r="P218" s="3" t="s">
        <v>1219</v>
      </c>
      <c r="Q218" s="137">
        <v>718</v>
      </c>
      <c r="R218" s="139">
        <v>1</v>
      </c>
      <c r="S218" s="140">
        <v>21960</v>
      </c>
      <c r="U218" s="137">
        <v>157.673</v>
      </c>
      <c r="V218" s="138">
        <v>4.8999999999999998E-5</v>
      </c>
      <c r="W218" s="138">
        <v>2.9109683859631901E-3</v>
      </c>
      <c r="X218" s="138">
        <v>4.7280093317680899E-4</v>
      </c>
    </row>
    <row r="219" spans="1:24" x14ac:dyDescent="0.2">
      <c r="A219" s="3">
        <v>559</v>
      </c>
      <c r="B219" s="3">
        <v>556</v>
      </c>
      <c r="C219" s="3" t="s">
        <v>2529</v>
      </c>
      <c r="D219" s="3" t="s">
        <v>2530</v>
      </c>
      <c r="E219" s="3" t="s">
        <v>1477</v>
      </c>
      <c r="F219" s="3" t="s">
        <v>2531</v>
      </c>
      <c r="G219" s="3" t="s">
        <v>2532</v>
      </c>
      <c r="H219" s="3" t="s">
        <v>76</v>
      </c>
      <c r="I219" s="3" t="s">
        <v>73</v>
      </c>
      <c r="J219" s="3" t="s">
        <v>53</v>
      </c>
      <c r="K219" s="3" t="s">
        <v>53</v>
      </c>
      <c r="L219" s="6" t="s">
        <v>805</v>
      </c>
      <c r="M219" s="6" t="s">
        <v>311</v>
      </c>
      <c r="N219" s="3" t="s">
        <v>75</v>
      </c>
      <c r="O219" s="3" t="s">
        <v>62</v>
      </c>
      <c r="P219" s="3" t="s">
        <v>1219</v>
      </c>
      <c r="Q219" s="137">
        <v>36.79</v>
      </c>
      <c r="R219" s="139">
        <v>1</v>
      </c>
      <c r="S219" s="140">
        <v>6434</v>
      </c>
      <c r="U219" s="137">
        <v>2.367</v>
      </c>
      <c r="V219" s="138">
        <v>3.0000000000000001E-6</v>
      </c>
      <c r="W219" s="138">
        <v>4.3701017943527002E-5</v>
      </c>
      <c r="X219" s="138">
        <v>7.0979410714690299E-6</v>
      </c>
    </row>
    <row r="220" spans="1:24" x14ac:dyDescent="0.2">
      <c r="A220" s="3">
        <v>559</v>
      </c>
      <c r="B220" s="3">
        <v>556</v>
      </c>
      <c r="C220" s="3" t="s">
        <v>1535</v>
      </c>
      <c r="D220" s="3" t="s">
        <v>1536</v>
      </c>
      <c r="E220" s="3" t="s">
        <v>1477</v>
      </c>
      <c r="F220" s="3" t="s">
        <v>2533</v>
      </c>
      <c r="G220" s="3" t="s">
        <v>2534</v>
      </c>
      <c r="H220" s="3" t="s">
        <v>76</v>
      </c>
      <c r="I220" s="3" t="s">
        <v>73</v>
      </c>
      <c r="J220" s="3" t="s">
        <v>53</v>
      </c>
      <c r="K220" s="3" t="s">
        <v>53</v>
      </c>
      <c r="L220" s="6" t="s">
        <v>805</v>
      </c>
      <c r="M220" s="6" t="s">
        <v>311</v>
      </c>
      <c r="N220" s="3" t="s">
        <v>635</v>
      </c>
      <c r="O220" s="3" t="s">
        <v>62</v>
      </c>
      <c r="P220" s="3" t="s">
        <v>1219</v>
      </c>
      <c r="Q220" s="137">
        <v>4624</v>
      </c>
      <c r="R220" s="139">
        <v>1</v>
      </c>
      <c r="S220" s="140">
        <v>6170</v>
      </c>
      <c r="U220" s="137">
        <v>285.30099999999999</v>
      </c>
      <c r="V220" s="138">
        <v>3.4999999999999997E-5</v>
      </c>
      <c r="W220" s="138">
        <v>5.2672471681228803E-3</v>
      </c>
      <c r="X220" s="138">
        <v>8.5550890499876998E-4</v>
      </c>
    </row>
    <row r="221" spans="1:24" x14ac:dyDescent="0.2">
      <c r="A221" s="3">
        <v>559</v>
      </c>
      <c r="B221" s="3">
        <v>556</v>
      </c>
      <c r="C221" s="3" t="s">
        <v>1545</v>
      </c>
      <c r="D221" s="3" t="s">
        <v>1546</v>
      </c>
      <c r="E221" s="3" t="s">
        <v>1477</v>
      </c>
      <c r="F221" s="3" t="s">
        <v>2535</v>
      </c>
      <c r="G221" s="3" t="s">
        <v>2536</v>
      </c>
      <c r="H221" s="3" t="s">
        <v>76</v>
      </c>
      <c r="I221" s="3" t="s">
        <v>73</v>
      </c>
      <c r="J221" s="3" t="s">
        <v>53</v>
      </c>
      <c r="K221" s="3" t="s">
        <v>53</v>
      </c>
      <c r="L221" s="6" t="s">
        <v>805</v>
      </c>
      <c r="M221" s="6" t="s">
        <v>311</v>
      </c>
      <c r="N221" s="3" t="s">
        <v>638</v>
      </c>
      <c r="O221" s="3" t="s">
        <v>62</v>
      </c>
      <c r="P221" s="3" t="s">
        <v>1219</v>
      </c>
      <c r="Q221" s="137">
        <v>509</v>
      </c>
      <c r="R221" s="139">
        <v>1</v>
      </c>
      <c r="S221" s="140">
        <v>149800</v>
      </c>
      <c r="T221" s="131">
        <v>1.0049999999999999</v>
      </c>
      <c r="U221" s="137">
        <v>763.48699999999997</v>
      </c>
      <c r="V221" s="138">
        <v>1.1E-5</v>
      </c>
      <c r="W221" s="138">
        <v>1.40955540343373E-2</v>
      </c>
      <c r="X221" s="138">
        <v>2.2894068974485498E-3</v>
      </c>
    </row>
    <row r="222" spans="1:24" x14ac:dyDescent="0.2">
      <c r="A222" s="3">
        <v>559</v>
      </c>
      <c r="B222" s="3">
        <v>556</v>
      </c>
      <c r="C222" s="3" t="s">
        <v>1555</v>
      </c>
      <c r="D222" s="3" t="s">
        <v>1556</v>
      </c>
      <c r="E222" s="3" t="s">
        <v>1477</v>
      </c>
      <c r="F222" s="3" t="s">
        <v>2537</v>
      </c>
      <c r="G222" s="3" t="s">
        <v>2538</v>
      </c>
      <c r="H222" s="3" t="s">
        <v>76</v>
      </c>
      <c r="I222" s="3" t="s">
        <v>73</v>
      </c>
      <c r="J222" s="3" t="s">
        <v>53</v>
      </c>
      <c r="K222" s="3" t="s">
        <v>53</v>
      </c>
      <c r="L222" s="6" t="s">
        <v>805</v>
      </c>
      <c r="M222" s="6" t="s">
        <v>1227</v>
      </c>
      <c r="N222" s="3" t="s">
        <v>258</v>
      </c>
      <c r="O222" s="3" t="s">
        <v>62</v>
      </c>
      <c r="P222" s="3" t="s">
        <v>1219</v>
      </c>
      <c r="Q222" s="137">
        <v>7324</v>
      </c>
      <c r="R222" s="139">
        <v>1</v>
      </c>
      <c r="S222" s="140">
        <v>840.4</v>
      </c>
      <c r="U222" s="137">
        <v>61.551000000000002</v>
      </c>
      <c r="V222" s="138">
        <v>7.2000000000000002E-5</v>
      </c>
      <c r="W222" s="138">
        <v>1.1363577762537899E-3</v>
      </c>
      <c r="X222" s="138">
        <v>1.8456779524857E-4</v>
      </c>
    </row>
    <row r="223" spans="1:24" x14ac:dyDescent="0.2">
      <c r="A223" s="3">
        <v>559</v>
      </c>
      <c r="B223" s="3">
        <v>556</v>
      </c>
      <c r="C223" s="3" t="s">
        <v>1565</v>
      </c>
      <c r="D223" s="3" t="s">
        <v>1566</v>
      </c>
      <c r="E223" s="3" t="s">
        <v>1477</v>
      </c>
      <c r="F223" s="3" t="s">
        <v>2539</v>
      </c>
      <c r="G223" s="3" t="s">
        <v>2540</v>
      </c>
      <c r="H223" s="3" t="s">
        <v>76</v>
      </c>
      <c r="I223" s="3" t="s">
        <v>73</v>
      </c>
      <c r="J223" s="3" t="s">
        <v>53</v>
      </c>
      <c r="K223" s="3" t="s">
        <v>53</v>
      </c>
      <c r="L223" s="6" t="s">
        <v>805</v>
      </c>
      <c r="M223" s="6" t="s">
        <v>311</v>
      </c>
      <c r="N223" s="3" t="s">
        <v>631</v>
      </c>
      <c r="O223" s="3" t="s">
        <v>62</v>
      </c>
      <c r="P223" s="3" t="s">
        <v>1219</v>
      </c>
      <c r="Q223" s="137">
        <v>7835</v>
      </c>
      <c r="R223" s="139">
        <v>1</v>
      </c>
      <c r="S223" s="140">
        <v>6078</v>
      </c>
      <c r="U223" s="137">
        <v>476.21100000000001</v>
      </c>
      <c r="V223" s="138">
        <v>5.9800000000000001E-4</v>
      </c>
      <c r="W223" s="138">
        <v>8.7918527440270598E-3</v>
      </c>
      <c r="X223" s="138">
        <v>1.4279770957916699E-3</v>
      </c>
    </row>
    <row r="224" spans="1:24" x14ac:dyDescent="0.2">
      <c r="A224" s="3">
        <v>559</v>
      </c>
      <c r="B224" s="3">
        <v>556</v>
      </c>
      <c r="C224" s="3" t="s">
        <v>1579</v>
      </c>
      <c r="D224" s="3" t="s">
        <v>1580</v>
      </c>
      <c r="E224" s="3" t="s">
        <v>1477</v>
      </c>
      <c r="F224" s="3" t="s">
        <v>2541</v>
      </c>
      <c r="G224" s="3" t="s">
        <v>2542</v>
      </c>
      <c r="H224" s="3" t="s">
        <v>76</v>
      </c>
      <c r="I224" s="3" t="s">
        <v>73</v>
      </c>
      <c r="J224" s="3" t="s">
        <v>53</v>
      </c>
      <c r="K224" s="3" t="s">
        <v>53</v>
      </c>
      <c r="L224" s="6" t="s">
        <v>805</v>
      </c>
      <c r="M224" s="6" t="s">
        <v>311</v>
      </c>
      <c r="N224" s="3" t="s">
        <v>635</v>
      </c>
      <c r="O224" s="3" t="s">
        <v>62</v>
      </c>
      <c r="P224" s="3" t="s">
        <v>1219</v>
      </c>
      <c r="Q224" s="137">
        <v>9067</v>
      </c>
      <c r="R224" s="139">
        <v>1</v>
      </c>
      <c r="S224" s="140">
        <v>3489</v>
      </c>
      <c r="U224" s="137">
        <v>316.34800000000001</v>
      </c>
      <c r="V224" s="138">
        <v>4.1999999999999998E-5</v>
      </c>
      <c r="W224" s="138">
        <v>5.8404363333712499E-3</v>
      </c>
      <c r="X224" s="138">
        <v>9.4860657432526004E-4</v>
      </c>
    </row>
    <row r="225" spans="1:24" x14ac:dyDescent="0.2">
      <c r="A225" s="3">
        <v>559</v>
      </c>
      <c r="B225" s="3">
        <v>556</v>
      </c>
      <c r="C225" s="3" t="s">
        <v>2543</v>
      </c>
      <c r="D225" s="3" t="s">
        <v>2544</v>
      </c>
      <c r="E225" s="3" t="s">
        <v>1477</v>
      </c>
      <c r="F225" s="3" t="s">
        <v>2545</v>
      </c>
      <c r="G225" s="3" t="s">
        <v>2546</v>
      </c>
      <c r="H225" s="3" t="s">
        <v>76</v>
      </c>
      <c r="I225" s="3" t="s">
        <v>73</v>
      </c>
      <c r="J225" s="3" t="s">
        <v>53</v>
      </c>
      <c r="K225" s="3" t="s">
        <v>53</v>
      </c>
      <c r="L225" s="6" t="s">
        <v>805</v>
      </c>
      <c r="M225" s="6" t="s">
        <v>311</v>
      </c>
      <c r="N225" s="3" t="s">
        <v>257</v>
      </c>
      <c r="O225" s="3" t="s">
        <v>62</v>
      </c>
      <c r="P225" s="3" t="s">
        <v>1219</v>
      </c>
      <c r="Q225" s="137">
        <v>21735</v>
      </c>
      <c r="R225" s="139">
        <v>1</v>
      </c>
      <c r="S225" s="140">
        <v>598</v>
      </c>
      <c r="U225" s="137">
        <v>129.97499999999999</v>
      </c>
      <c r="V225" s="138">
        <v>1.1E-4</v>
      </c>
      <c r="W225" s="138">
        <v>2.3996148305610201E-3</v>
      </c>
      <c r="X225" s="138">
        <v>3.8974663435884801E-4</v>
      </c>
    </row>
    <row r="226" spans="1:24" x14ac:dyDescent="0.2">
      <c r="A226" s="3">
        <v>559</v>
      </c>
      <c r="B226" s="3">
        <v>556</v>
      </c>
      <c r="C226" s="3" t="s">
        <v>2547</v>
      </c>
      <c r="D226" s="3" t="s">
        <v>2548</v>
      </c>
      <c r="E226" s="3" t="s">
        <v>1477</v>
      </c>
      <c r="F226" s="3" t="s">
        <v>2549</v>
      </c>
      <c r="G226" s="3" t="s">
        <v>2550</v>
      </c>
      <c r="H226" s="3" t="s">
        <v>76</v>
      </c>
      <c r="I226" s="3" t="s">
        <v>73</v>
      </c>
      <c r="J226" s="3" t="s">
        <v>53</v>
      </c>
      <c r="K226" s="3" t="s">
        <v>53</v>
      </c>
      <c r="L226" s="6" t="s">
        <v>805</v>
      </c>
      <c r="M226" s="6" t="s">
        <v>311</v>
      </c>
      <c r="N226" s="3" t="s">
        <v>692</v>
      </c>
      <c r="O226" s="3" t="s">
        <v>62</v>
      </c>
      <c r="P226" s="3" t="s">
        <v>1219</v>
      </c>
      <c r="Q226" s="137">
        <v>3876</v>
      </c>
      <c r="R226" s="139">
        <v>1</v>
      </c>
      <c r="S226" s="140">
        <v>18600</v>
      </c>
      <c r="U226" s="137">
        <v>720.93600000000004</v>
      </c>
      <c r="V226" s="138">
        <v>1.12E-4</v>
      </c>
      <c r="W226" s="138">
        <v>1.33099805692723E-2</v>
      </c>
      <c r="X226" s="138">
        <v>2.16181366450495E-3</v>
      </c>
    </row>
    <row r="227" spans="1:24" x14ac:dyDescent="0.2">
      <c r="A227" s="3">
        <v>559</v>
      </c>
      <c r="B227" s="3">
        <v>556</v>
      </c>
      <c r="C227" s="3" t="s">
        <v>2865</v>
      </c>
      <c r="D227" s="3" t="s">
        <v>2866</v>
      </c>
      <c r="E227" s="3" t="s">
        <v>1477</v>
      </c>
      <c r="F227" s="3" t="s">
        <v>2867</v>
      </c>
      <c r="G227" s="3" t="s">
        <v>2868</v>
      </c>
      <c r="H227" s="3" t="s">
        <v>76</v>
      </c>
      <c r="I227" s="3" t="s">
        <v>73</v>
      </c>
      <c r="J227" s="3" t="s">
        <v>53</v>
      </c>
      <c r="K227" s="3" t="s">
        <v>53</v>
      </c>
      <c r="L227" s="6" t="s">
        <v>805</v>
      </c>
      <c r="M227" s="6" t="s">
        <v>311</v>
      </c>
      <c r="N227" s="3" t="s">
        <v>156</v>
      </c>
      <c r="O227" s="3" t="s">
        <v>62</v>
      </c>
      <c r="P227" s="3" t="s">
        <v>1219</v>
      </c>
      <c r="Q227" s="137">
        <v>3050</v>
      </c>
      <c r="R227" s="139">
        <v>1</v>
      </c>
      <c r="S227" s="140">
        <v>3094</v>
      </c>
      <c r="U227" s="137">
        <v>94.367000000000004</v>
      </c>
      <c r="V227" s="138">
        <v>1.7000000000000001E-4</v>
      </c>
      <c r="W227" s="138">
        <v>1.74221142567512E-3</v>
      </c>
      <c r="X227" s="138">
        <v>2.8297084634189198E-4</v>
      </c>
    </row>
    <row r="228" spans="1:24" x14ac:dyDescent="0.2">
      <c r="A228" s="3">
        <v>559</v>
      </c>
      <c r="B228" s="3">
        <v>556</v>
      </c>
      <c r="C228" s="3" t="s">
        <v>1609</v>
      </c>
      <c r="D228" s="3" t="s">
        <v>1610</v>
      </c>
      <c r="E228" s="3" t="s">
        <v>1477</v>
      </c>
      <c r="F228" s="3" t="s">
        <v>2551</v>
      </c>
      <c r="G228" s="3" t="s">
        <v>2552</v>
      </c>
      <c r="H228" s="3" t="s">
        <v>76</v>
      </c>
      <c r="I228" s="3" t="s">
        <v>73</v>
      </c>
      <c r="J228" s="3" t="s">
        <v>53</v>
      </c>
      <c r="K228" s="3" t="s">
        <v>53</v>
      </c>
      <c r="L228" s="6" t="s">
        <v>805</v>
      </c>
      <c r="M228" s="6" t="s">
        <v>311</v>
      </c>
      <c r="N228" s="3" t="s">
        <v>635</v>
      </c>
      <c r="O228" s="3" t="s">
        <v>62</v>
      </c>
      <c r="P228" s="3" t="s">
        <v>1219</v>
      </c>
      <c r="Q228" s="137">
        <v>33284</v>
      </c>
      <c r="R228" s="139">
        <v>1</v>
      </c>
      <c r="S228" s="140">
        <v>2281</v>
      </c>
      <c r="U228" s="137">
        <v>759.20799999999997</v>
      </c>
      <c r="V228" s="138">
        <v>7.1000000000000005E-5</v>
      </c>
      <c r="W228" s="138">
        <v>1.40165621642355E-2</v>
      </c>
      <c r="X228" s="138">
        <v>2.2765769986157198E-3</v>
      </c>
    </row>
    <row r="229" spans="1:24" x14ac:dyDescent="0.2">
      <c r="A229" s="3">
        <v>559</v>
      </c>
      <c r="B229" s="3">
        <v>556</v>
      </c>
      <c r="C229" s="3" t="s">
        <v>1617</v>
      </c>
      <c r="D229" s="3" t="s">
        <v>1618</v>
      </c>
      <c r="E229" s="3" t="s">
        <v>1477</v>
      </c>
      <c r="F229" s="3" t="s">
        <v>2553</v>
      </c>
      <c r="G229" s="3" t="s">
        <v>2554</v>
      </c>
      <c r="H229" s="3" t="s">
        <v>76</v>
      </c>
      <c r="I229" s="3" t="s">
        <v>73</v>
      </c>
      <c r="J229" s="3" t="s">
        <v>53</v>
      </c>
      <c r="K229" s="3" t="s">
        <v>314</v>
      </c>
      <c r="L229" s="6" t="s">
        <v>805</v>
      </c>
      <c r="M229" s="6" t="s">
        <v>311</v>
      </c>
      <c r="N229" s="3" t="s">
        <v>631</v>
      </c>
      <c r="O229" s="3" t="s">
        <v>62</v>
      </c>
      <c r="P229" s="3" t="s">
        <v>1219</v>
      </c>
      <c r="Q229" s="137">
        <v>27689.8</v>
      </c>
      <c r="R229" s="139">
        <v>1</v>
      </c>
      <c r="S229" s="140">
        <v>7640</v>
      </c>
      <c r="U229" s="137">
        <v>2115.5010000000002</v>
      </c>
      <c r="V229" s="138">
        <v>2.32E-4</v>
      </c>
      <c r="W229" s="138">
        <v>3.9056550758294097E-2</v>
      </c>
      <c r="X229" s="138">
        <v>6.34358440106481E-3</v>
      </c>
    </row>
    <row r="230" spans="1:24" x14ac:dyDescent="0.2">
      <c r="A230" s="3">
        <v>559</v>
      </c>
      <c r="B230" s="3">
        <v>556</v>
      </c>
      <c r="C230" s="3" t="s">
        <v>2434</v>
      </c>
      <c r="D230" s="3" t="s">
        <v>2435</v>
      </c>
      <c r="E230" s="3" t="s">
        <v>430</v>
      </c>
      <c r="F230" s="3" t="s">
        <v>2555</v>
      </c>
      <c r="G230" s="3" t="s">
        <v>2556</v>
      </c>
      <c r="H230" s="3" t="s">
        <v>76</v>
      </c>
      <c r="I230" s="3" t="s">
        <v>73</v>
      </c>
      <c r="J230" s="3" t="s">
        <v>53</v>
      </c>
      <c r="K230" s="3" t="s">
        <v>315</v>
      </c>
      <c r="L230" s="6" t="s">
        <v>805</v>
      </c>
      <c r="M230" s="6" t="s">
        <v>311</v>
      </c>
      <c r="N230" s="3" t="s">
        <v>267</v>
      </c>
      <c r="O230" s="3" t="s">
        <v>62</v>
      </c>
      <c r="P230" s="3" t="s">
        <v>1219</v>
      </c>
      <c r="Q230" s="137">
        <v>6173</v>
      </c>
      <c r="R230" s="139">
        <v>1</v>
      </c>
      <c r="S230" s="140">
        <v>4272</v>
      </c>
      <c r="T230" s="131">
        <v>6.2450000000000001</v>
      </c>
      <c r="U230" s="137">
        <v>269.95499999999998</v>
      </c>
      <c r="V230" s="138">
        <v>3.3000000000000003E-5</v>
      </c>
      <c r="W230" s="138">
        <v>4.9839348079200596E-3</v>
      </c>
      <c r="X230" s="138">
        <v>8.0949317053379596E-4</v>
      </c>
    </row>
    <row r="231" spans="1:24" x14ac:dyDescent="0.2">
      <c r="A231" s="3">
        <v>559</v>
      </c>
      <c r="B231" s="3">
        <v>556</v>
      </c>
      <c r="C231" s="3" t="s">
        <v>1635</v>
      </c>
      <c r="D231" s="3" t="s">
        <v>1636</v>
      </c>
      <c r="E231" s="3" t="s">
        <v>1477</v>
      </c>
      <c r="F231" s="3" t="s">
        <v>2557</v>
      </c>
      <c r="G231" s="3" t="s">
        <v>2558</v>
      </c>
      <c r="H231" s="3" t="s">
        <v>76</v>
      </c>
      <c r="I231" s="3" t="s">
        <v>73</v>
      </c>
      <c r="J231" s="3" t="s">
        <v>53</v>
      </c>
      <c r="K231" s="3" t="s">
        <v>53</v>
      </c>
      <c r="L231" s="6" t="s">
        <v>805</v>
      </c>
      <c r="M231" s="6" t="s">
        <v>311</v>
      </c>
      <c r="N231" s="3" t="s">
        <v>636</v>
      </c>
      <c r="O231" s="3" t="s">
        <v>62</v>
      </c>
      <c r="P231" s="3" t="s">
        <v>1219</v>
      </c>
      <c r="Q231" s="137">
        <v>1255</v>
      </c>
      <c r="R231" s="139">
        <v>1</v>
      </c>
      <c r="S231" s="140">
        <v>19300</v>
      </c>
      <c r="U231" s="137">
        <v>242.215</v>
      </c>
      <c r="V231" s="138">
        <v>3.3000000000000003E-5</v>
      </c>
      <c r="W231" s="138">
        <v>4.4717935344972199E-3</v>
      </c>
      <c r="X231" s="138">
        <v>7.2631093016310201E-4</v>
      </c>
    </row>
    <row r="232" spans="1:24" x14ac:dyDescent="0.2">
      <c r="A232" s="3">
        <v>559</v>
      </c>
      <c r="B232" s="3">
        <v>556</v>
      </c>
      <c r="C232" s="3" t="s">
        <v>1655</v>
      </c>
      <c r="D232" s="3" t="s">
        <v>1656</v>
      </c>
      <c r="E232" s="3" t="s">
        <v>1477</v>
      </c>
      <c r="F232" s="3" t="s">
        <v>2559</v>
      </c>
      <c r="G232" s="3" t="s">
        <v>2560</v>
      </c>
      <c r="H232" s="3" t="s">
        <v>76</v>
      </c>
      <c r="I232" s="3" t="s">
        <v>73</v>
      </c>
      <c r="J232" s="3" t="s">
        <v>53</v>
      </c>
      <c r="K232" s="3" t="s">
        <v>53</v>
      </c>
      <c r="L232" s="6" t="s">
        <v>805</v>
      </c>
      <c r="M232" s="6" t="s">
        <v>311</v>
      </c>
      <c r="N232" s="3" t="s">
        <v>631</v>
      </c>
      <c r="O232" s="3" t="s">
        <v>62</v>
      </c>
      <c r="P232" s="3" t="s">
        <v>1219</v>
      </c>
      <c r="Q232" s="137">
        <v>2283</v>
      </c>
      <c r="R232" s="139">
        <v>1</v>
      </c>
      <c r="S232" s="140">
        <v>3258</v>
      </c>
      <c r="U232" s="137">
        <v>74.38</v>
      </c>
      <c r="V232" s="138">
        <v>4.1E-5</v>
      </c>
      <c r="W232" s="138">
        <v>1.3732123491402199E-3</v>
      </c>
      <c r="X232" s="138">
        <v>2.2303783278930601E-4</v>
      </c>
    </row>
    <row r="233" spans="1:24" x14ac:dyDescent="0.2">
      <c r="A233" s="3">
        <v>559</v>
      </c>
      <c r="B233" s="3">
        <v>556</v>
      </c>
      <c r="C233" s="3" t="s">
        <v>2561</v>
      </c>
      <c r="D233" s="3" t="s">
        <v>2562</v>
      </c>
      <c r="E233" s="3" t="s">
        <v>1477</v>
      </c>
      <c r="F233" s="3" t="s">
        <v>2563</v>
      </c>
      <c r="G233" s="3" t="s">
        <v>2564</v>
      </c>
      <c r="H233" s="3" t="s">
        <v>76</v>
      </c>
      <c r="I233" s="3" t="s">
        <v>73</v>
      </c>
      <c r="J233" s="3" t="s">
        <v>53</v>
      </c>
      <c r="K233" s="3" t="s">
        <v>53</v>
      </c>
      <c r="L233" s="6" t="s">
        <v>805</v>
      </c>
      <c r="M233" s="6" t="s">
        <v>311</v>
      </c>
      <c r="N233" s="3" t="s">
        <v>140</v>
      </c>
      <c r="O233" s="3" t="s">
        <v>62</v>
      </c>
      <c r="P233" s="3" t="s">
        <v>1219</v>
      </c>
      <c r="Q233" s="137">
        <v>1962</v>
      </c>
      <c r="R233" s="139">
        <v>1</v>
      </c>
      <c r="S233" s="140">
        <v>5490</v>
      </c>
      <c r="U233" s="137">
        <v>107.714</v>
      </c>
      <c r="V233" s="138">
        <v>3.1000000000000001E-5</v>
      </c>
      <c r="W233" s="138">
        <v>1.9886211606057699E-3</v>
      </c>
      <c r="X233" s="138">
        <v>3.2299283805463098E-4</v>
      </c>
    </row>
    <row r="234" spans="1:24" x14ac:dyDescent="0.2">
      <c r="A234" s="3">
        <v>559</v>
      </c>
      <c r="B234" s="3">
        <v>556</v>
      </c>
      <c r="C234" s="3" t="s">
        <v>2565</v>
      </c>
      <c r="D234" s="3" t="s">
        <v>2566</v>
      </c>
      <c r="E234" s="3" t="s">
        <v>1477</v>
      </c>
      <c r="F234" s="3" t="s">
        <v>2567</v>
      </c>
      <c r="G234" s="3" t="s">
        <v>2568</v>
      </c>
      <c r="H234" s="3" t="s">
        <v>76</v>
      </c>
      <c r="I234" s="3" t="s">
        <v>73</v>
      </c>
      <c r="J234" s="3" t="s">
        <v>53</v>
      </c>
      <c r="K234" s="3" t="s">
        <v>317</v>
      </c>
      <c r="L234" s="6" t="s">
        <v>805</v>
      </c>
      <c r="M234" s="6" t="s">
        <v>311</v>
      </c>
      <c r="N234" s="3" t="s">
        <v>637</v>
      </c>
      <c r="O234" s="3" t="s">
        <v>62</v>
      </c>
      <c r="P234" s="3" t="s">
        <v>1219</v>
      </c>
      <c r="Q234" s="137">
        <v>6200</v>
      </c>
      <c r="R234" s="139">
        <v>1</v>
      </c>
      <c r="S234" s="140">
        <v>5310</v>
      </c>
      <c r="U234" s="137">
        <v>329.22</v>
      </c>
      <c r="V234" s="138">
        <v>2.5099999999999998E-4</v>
      </c>
      <c r="W234" s="138">
        <v>6.0780871020670703E-3</v>
      </c>
      <c r="X234" s="138">
        <v>9.872059303853869E-4</v>
      </c>
    </row>
    <row r="235" spans="1:24" x14ac:dyDescent="0.2">
      <c r="A235" s="3">
        <v>559</v>
      </c>
      <c r="B235" s="3">
        <v>556</v>
      </c>
      <c r="C235" s="3" t="s">
        <v>1659</v>
      </c>
      <c r="D235" s="3" t="s">
        <v>1660</v>
      </c>
      <c r="E235" s="3" t="s">
        <v>1477</v>
      </c>
      <c r="F235" s="3" t="s">
        <v>2569</v>
      </c>
      <c r="G235" s="3" t="s">
        <v>2570</v>
      </c>
      <c r="H235" s="3" t="s">
        <v>76</v>
      </c>
      <c r="I235" s="3" t="s">
        <v>73</v>
      </c>
      <c r="J235" s="3" t="s">
        <v>53</v>
      </c>
      <c r="K235" s="3" t="s">
        <v>53</v>
      </c>
      <c r="L235" s="6" t="s">
        <v>805</v>
      </c>
      <c r="M235" s="6" t="s">
        <v>311</v>
      </c>
      <c r="N235" s="3" t="s">
        <v>635</v>
      </c>
      <c r="O235" s="3" t="s">
        <v>62</v>
      </c>
      <c r="P235" s="3" t="s">
        <v>1219</v>
      </c>
      <c r="Q235" s="137">
        <v>115164</v>
      </c>
      <c r="R235" s="139">
        <v>1</v>
      </c>
      <c r="S235" s="140">
        <v>296.5</v>
      </c>
      <c r="U235" s="137">
        <v>341.46100000000001</v>
      </c>
      <c r="V235" s="138">
        <v>3.57E-4</v>
      </c>
      <c r="W235" s="138">
        <v>6.3040862652984902E-3</v>
      </c>
      <c r="X235" s="138">
        <v>1.0239128268904299E-3</v>
      </c>
    </row>
    <row r="236" spans="1:24" x14ac:dyDescent="0.2">
      <c r="A236" s="3">
        <v>559</v>
      </c>
      <c r="B236" s="3">
        <v>556</v>
      </c>
      <c r="C236" s="3" t="s">
        <v>2869</v>
      </c>
      <c r="D236" s="3" t="s">
        <v>2870</v>
      </c>
      <c r="E236" s="3" t="s">
        <v>1477</v>
      </c>
      <c r="F236" s="3" t="s">
        <v>2871</v>
      </c>
      <c r="G236" s="3" t="s">
        <v>2872</v>
      </c>
      <c r="H236" s="3" t="s">
        <v>76</v>
      </c>
      <c r="I236" s="3" t="s">
        <v>73</v>
      </c>
      <c r="J236" s="3" t="s">
        <v>53</v>
      </c>
      <c r="K236" s="3" t="s">
        <v>53</v>
      </c>
      <c r="L236" s="6" t="s">
        <v>805</v>
      </c>
      <c r="M236" s="6" t="s">
        <v>311</v>
      </c>
      <c r="N236" s="3" t="s">
        <v>258</v>
      </c>
      <c r="O236" s="3" t="s">
        <v>62</v>
      </c>
      <c r="P236" s="3" t="s">
        <v>1219</v>
      </c>
      <c r="Q236" s="137">
        <v>5740</v>
      </c>
      <c r="R236" s="139">
        <v>1</v>
      </c>
      <c r="S236" s="140">
        <v>2541</v>
      </c>
      <c r="U236" s="137">
        <v>145.85300000000001</v>
      </c>
      <c r="V236" s="138">
        <v>1.175E-3</v>
      </c>
      <c r="W236" s="138">
        <v>2.6927576372414398E-3</v>
      </c>
      <c r="X236" s="138">
        <v>4.3735903483042301E-4</v>
      </c>
    </row>
    <row r="237" spans="1:24" x14ac:dyDescent="0.2">
      <c r="A237" s="3">
        <v>559</v>
      </c>
      <c r="B237" s="3">
        <v>556</v>
      </c>
      <c r="C237" s="3" t="s">
        <v>1676</v>
      </c>
      <c r="D237" s="3" t="s">
        <v>1677</v>
      </c>
      <c r="E237" s="3" t="s">
        <v>1477</v>
      </c>
      <c r="F237" s="3" t="s">
        <v>2571</v>
      </c>
      <c r="G237" s="3" t="s">
        <v>2572</v>
      </c>
      <c r="H237" s="3" t="s">
        <v>76</v>
      </c>
      <c r="I237" s="3" t="s">
        <v>73</v>
      </c>
      <c r="J237" s="3" t="s">
        <v>53</v>
      </c>
      <c r="K237" s="3" t="s">
        <v>53</v>
      </c>
      <c r="L237" s="6" t="s">
        <v>805</v>
      </c>
      <c r="M237" s="6" t="s">
        <v>311</v>
      </c>
      <c r="N237" s="3" t="s">
        <v>156</v>
      </c>
      <c r="O237" s="3" t="s">
        <v>62</v>
      </c>
      <c r="P237" s="3" t="s">
        <v>1219</v>
      </c>
      <c r="Q237" s="137">
        <v>137436</v>
      </c>
      <c r="R237" s="139">
        <v>1</v>
      </c>
      <c r="S237" s="140">
        <v>90.8</v>
      </c>
      <c r="U237" s="137">
        <v>124.792</v>
      </c>
      <c r="V237" s="138">
        <v>4.3000000000000002E-5</v>
      </c>
      <c r="W237" s="138">
        <v>2.30391824583986E-3</v>
      </c>
      <c r="X237" s="138">
        <v>3.7420354746852899E-4</v>
      </c>
    </row>
    <row r="238" spans="1:24" x14ac:dyDescent="0.2">
      <c r="A238" s="3">
        <v>559</v>
      </c>
      <c r="B238" s="3">
        <v>556</v>
      </c>
      <c r="C238" s="3" t="s">
        <v>1681</v>
      </c>
      <c r="D238" s="3" t="s">
        <v>1682</v>
      </c>
      <c r="E238" s="3" t="s">
        <v>1477</v>
      </c>
      <c r="F238" s="3" t="s">
        <v>2573</v>
      </c>
      <c r="G238" s="3" t="s">
        <v>2574</v>
      </c>
      <c r="H238" s="3" t="s">
        <v>76</v>
      </c>
      <c r="I238" s="3" t="s">
        <v>73</v>
      </c>
      <c r="J238" s="3" t="s">
        <v>53</v>
      </c>
      <c r="K238" s="3" t="s">
        <v>53</v>
      </c>
      <c r="L238" s="6" t="s">
        <v>805</v>
      </c>
      <c r="M238" s="6" t="s">
        <v>311</v>
      </c>
      <c r="N238" s="3" t="s">
        <v>260</v>
      </c>
      <c r="O238" s="3" t="s">
        <v>62</v>
      </c>
      <c r="P238" s="3" t="s">
        <v>1219</v>
      </c>
      <c r="Q238" s="137">
        <v>241314</v>
      </c>
      <c r="R238" s="139">
        <v>1</v>
      </c>
      <c r="S238" s="140">
        <v>575</v>
      </c>
      <c r="U238" s="137">
        <v>1387.5550000000001</v>
      </c>
      <c r="V238" s="138">
        <v>8.7000000000000001E-5</v>
      </c>
      <c r="W238" s="138">
        <v>2.5617165384703901E-2</v>
      </c>
      <c r="X238" s="138">
        <v>4.1607527438760096E-3</v>
      </c>
    </row>
    <row r="239" spans="1:24" x14ac:dyDescent="0.2">
      <c r="A239" s="3">
        <v>559</v>
      </c>
      <c r="B239" s="3">
        <v>556</v>
      </c>
      <c r="C239" s="3" t="s">
        <v>1688</v>
      </c>
      <c r="D239" s="3" t="s">
        <v>1689</v>
      </c>
      <c r="E239" s="3" t="s">
        <v>1477</v>
      </c>
      <c r="F239" s="3" t="s">
        <v>2575</v>
      </c>
      <c r="G239" s="3" t="s">
        <v>2576</v>
      </c>
      <c r="H239" s="3" t="s">
        <v>76</v>
      </c>
      <c r="I239" s="3" t="s">
        <v>73</v>
      </c>
      <c r="J239" s="3" t="s">
        <v>53</v>
      </c>
      <c r="K239" s="3" t="s">
        <v>53</v>
      </c>
      <c r="L239" s="6" t="s">
        <v>805</v>
      </c>
      <c r="M239" s="6" t="s">
        <v>311</v>
      </c>
      <c r="N239" s="3" t="s">
        <v>635</v>
      </c>
      <c r="O239" s="3" t="s">
        <v>62</v>
      </c>
      <c r="P239" s="3" t="s">
        <v>1219</v>
      </c>
      <c r="Q239" s="137">
        <v>1747.55</v>
      </c>
      <c r="R239" s="139">
        <v>1</v>
      </c>
      <c r="S239" s="140">
        <v>64490</v>
      </c>
      <c r="U239" s="137">
        <v>1126.9949999999999</v>
      </c>
      <c r="V239" s="138">
        <v>6.9999999999999994E-5</v>
      </c>
      <c r="W239" s="138">
        <v>2.0806675606596301E-2</v>
      </c>
      <c r="X239" s="138">
        <v>3.3794306013566898E-3</v>
      </c>
    </row>
    <row r="240" spans="1:24" x14ac:dyDescent="0.2">
      <c r="A240" s="3">
        <v>559</v>
      </c>
      <c r="B240" s="3">
        <v>556</v>
      </c>
      <c r="C240" s="3" t="s">
        <v>2577</v>
      </c>
      <c r="D240" s="3" t="s">
        <v>2578</v>
      </c>
      <c r="E240" s="3" t="s">
        <v>1477</v>
      </c>
      <c r="F240" s="3" t="s">
        <v>2579</v>
      </c>
      <c r="G240" s="3" t="s">
        <v>2580</v>
      </c>
      <c r="H240" s="3" t="s">
        <v>76</v>
      </c>
      <c r="I240" s="3" t="s">
        <v>73</v>
      </c>
      <c r="J240" s="3" t="s">
        <v>53</v>
      </c>
      <c r="K240" s="3" t="s">
        <v>314</v>
      </c>
      <c r="L240" s="6" t="s">
        <v>805</v>
      </c>
      <c r="M240" s="6" t="s">
        <v>311</v>
      </c>
      <c r="N240" s="3" t="s">
        <v>630</v>
      </c>
      <c r="O240" s="3" t="s">
        <v>62</v>
      </c>
      <c r="P240" s="3" t="s">
        <v>1219</v>
      </c>
      <c r="Q240" s="137">
        <v>7424</v>
      </c>
      <c r="R240" s="139">
        <v>1</v>
      </c>
      <c r="S240" s="140">
        <v>2457</v>
      </c>
      <c r="U240" s="137">
        <v>182.40799999999999</v>
      </c>
      <c r="V240" s="138">
        <v>1.2999999999999999E-4</v>
      </c>
      <c r="W240" s="138">
        <v>3.36762580379678E-3</v>
      </c>
      <c r="X240" s="138">
        <v>5.4697145812478002E-4</v>
      </c>
    </row>
    <row r="241" spans="1:24" x14ac:dyDescent="0.2">
      <c r="A241" s="3">
        <v>559</v>
      </c>
      <c r="B241" s="3">
        <v>556</v>
      </c>
      <c r="C241" s="3" t="s">
        <v>2581</v>
      </c>
      <c r="D241" s="3" t="s">
        <v>2582</v>
      </c>
      <c r="E241" s="3" t="s">
        <v>1477</v>
      </c>
      <c r="F241" s="3" t="s">
        <v>2583</v>
      </c>
      <c r="G241" s="3" t="s">
        <v>2584</v>
      </c>
      <c r="H241" s="3" t="s">
        <v>76</v>
      </c>
      <c r="I241" s="3" t="s">
        <v>73</v>
      </c>
      <c r="J241" s="3" t="s">
        <v>53</v>
      </c>
      <c r="K241" s="3" t="s">
        <v>53</v>
      </c>
      <c r="L241" s="6" t="s">
        <v>805</v>
      </c>
      <c r="M241" s="6" t="s">
        <v>311</v>
      </c>
      <c r="N241" s="3" t="s">
        <v>75</v>
      </c>
      <c r="O241" s="3" t="s">
        <v>62</v>
      </c>
      <c r="P241" s="3" t="s">
        <v>1219</v>
      </c>
      <c r="Q241" s="137">
        <v>190.47</v>
      </c>
      <c r="R241" s="139">
        <v>1</v>
      </c>
      <c r="S241" s="140">
        <v>60590</v>
      </c>
      <c r="U241" s="137">
        <v>115.40600000000001</v>
      </c>
      <c r="V241" s="138">
        <v>1.55E-4</v>
      </c>
      <c r="W241" s="138">
        <v>2.13063100776192E-3</v>
      </c>
      <c r="X241" s="138">
        <v>3.4605814806606402E-4</v>
      </c>
    </row>
    <row r="242" spans="1:24" x14ac:dyDescent="0.2">
      <c r="A242" s="3">
        <v>559</v>
      </c>
      <c r="B242" s="3">
        <v>556</v>
      </c>
      <c r="C242" s="3" t="s">
        <v>2585</v>
      </c>
      <c r="D242" s="3" t="s">
        <v>2586</v>
      </c>
      <c r="E242" s="3" t="s">
        <v>1477</v>
      </c>
      <c r="F242" s="3" t="s">
        <v>2587</v>
      </c>
      <c r="G242" s="3" t="s">
        <v>2588</v>
      </c>
      <c r="H242" s="3" t="s">
        <v>76</v>
      </c>
      <c r="I242" s="3" t="s">
        <v>73</v>
      </c>
      <c r="J242" s="3" t="s">
        <v>53</v>
      </c>
      <c r="K242" s="3" t="s">
        <v>53</v>
      </c>
      <c r="L242" s="6" t="s">
        <v>805</v>
      </c>
      <c r="M242" s="6" t="s">
        <v>311</v>
      </c>
      <c r="N242" s="3" t="s">
        <v>265</v>
      </c>
      <c r="O242" s="3" t="s">
        <v>62</v>
      </c>
      <c r="P242" s="3" t="s">
        <v>1219</v>
      </c>
      <c r="Q242" s="137">
        <v>6935</v>
      </c>
      <c r="R242" s="139">
        <v>1</v>
      </c>
      <c r="S242" s="140">
        <v>867.5</v>
      </c>
      <c r="U242" s="137">
        <v>60.161000000000001</v>
      </c>
      <c r="V242" s="138">
        <v>4.57E-4</v>
      </c>
      <c r="W242" s="138">
        <v>1.11069970812327E-3</v>
      </c>
      <c r="X242" s="138">
        <v>1.8040039906037499E-4</v>
      </c>
    </row>
    <row r="243" spans="1:24" x14ac:dyDescent="0.2">
      <c r="A243" s="3">
        <v>559</v>
      </c>
      <c r="B243" s="3">
        <v>556</v>
      </c>
      <c r="C243" s="3" t="s">
        <v>2589</v>
      </c>
      <c r="D243" s="3" t="s">
        <v>2590</v>
      </c>
      <c r="E243" s="3" t="s">
        <v>1477</v>
      </c>
      <c r="F243" s="3" t="s">
        <v>2591</v>
      </c>
      <c r="G243" s="3" t="s">
        <v>2592</v>
      </c>
      <c r="H243" s="3" t="s">
        <v>76</v>
      </c>
      <c r="I243" s="3" t="s">
        <v>73</v>
      </c>
      <c r="J243" s="3" t="s">
        <v>53</v>
      </c>
      <c r="K243" s="3" t="s">
        <v>53</v>
      </c>
      <c r="L243" s="6" t="s">
        <v>805</v>
      </c>
      <c r="M243" s="6" t="s">
        <v>311</v>
      </c>
      <c r="N243" s="3" t="s">
        <v>255</v>
      </c>
      <c r="O243" s="3" t="s">
        <v>62</v>
      </c>
      <c r="P243" s="3" t="s">
        <v>1219</v>
      </c>
      <c r="Q243" s="137">
        <v>11270</v>
      </c>
      <c r="R243" s="139">
        <v>1</v>
      </c>
      <c r="S243" s="140">
        <v>24.9</v>
      </c>
      <c r="U243" s="137">
        <v>2.806</v>
      </c>
      <c r="V243" s="138">
        <v>1.01E-4</v>
      </c>
      <c r="W243" s="138">
        <v>5.18088523432163E-5</v>
      </c>
      <c r="X243" s="138">
        <v>8.4148195675395895E-6</v>
      </c>
    </row>
    <row r="244" spans="1:24" x14ac:dyDescent="0.2">
      <c r="A244" s="3">
        <v>559</v>
      </c>
      <c r="B244" s="3">
        <v>556</v>
      </c>
      <c r="C244" s="3" t="s">
        <v>2593</v>
      </c>
      <c r="D244" s="3" t="s">
        <v>2594</v>
      </c>
      <c r="E244" s="3" t="s">
        <v>1477</v>
      </c>
      <c r="F244" s="3" t="s">
        <v>2595</v>
      </c>
      <c r="G244" s="3" t="s">
        <v>2596</v>
      </c>
      <c r="H244" s="3" t="s">
        <v>76</v>
      </c>
      <c r="I244" s="3" t="s">
        <v>73</v>
      </c>
      <c r="J244" s="3" t="s">
        <v>53</v>
      </c>
      <c r="K244" s="3" t="s">
        <v>53</v>
      </c>
      <c r="L244" s="6" t="s">
        <v>805</v>
      </c>
      <c r="M244" s="6" t="s">
        <v>311</v>
      </c>
      <c r="N244" s="3" t="s">
        <v>140</v>
      </c>
      <c r="O244" s="3" t="s">
        <v>62</v>
      </c>
      <c r="P244" s="3" t="s">
        <v>1219</v>
      </c>
      <c r="Q244" s="137">
        <v>626</v>
      </c>
      <c r="R244" s="139">
        <v>1</v>
      </c>
      <c r="S244" s="140">
        <v>23700</v>
      </c>
      <c r="U244" s="137">
        <v>148.36199999999999</v>
      </c>
      <c r="V244" s="138">
        <v>6.8999999999999997E-5</v>
      </c>
      <c r="W244" s="138">
        <v>2.7390716196976899E-3</v>
      </c>
      <c r="X244" s="138">
        <v>4.4488137489774902E-4</v>
      </c>
    </row>
    <row r="245" spans="1:24" x14ac:dyDescent="0.2">
      <c r="A245" s="3">
        <v>559</v>
      </c>
      <c r="B245" s="3">
        <v>556</v>
      </c>
      <c r="C245" s="3" t="s">
        <v>1762</v>
      </c>
      <c r="D245" s="3" t="s">
        <v>1763</v>
      </c>
      <c r="E245" s="3" t="s">
        <v>1477</v>
      </c>
      <c r="F245" s="3" t="s">
        <v>2597</v>
      </c>
      <c r="G245" s="3" t="s">
        <v>2598</v>
      </c>
      <c r="H245" s="3" t="s">
        <v>76</v>
      </c>
      <c r="I245" s="3" t="s">
        <v>73</v>
      </c>
      <c r="J245" s="3" t="s">
        <v>53</v>
      </c>
      <c r="K245" s="3" t="s">
        <v>53</v>
      </c>
      <c r="L245" s="6" t="s">
        <v>805</v>
      </c>
      <c r="M245" s="6" t="s">
        <v>311</v>
      </c>
      <c r="N245" s="3" t="s">
        <v>631</v>
      </c>
      <c r="O245" s="3" t="s">
        <v>62</v>
      </c>
      <c r="P245" s="3" t="s">
        <v>1219</v>
      </c>
      <c r="Q245" s="137">
        <v>5264</v>
      </c>
      <c r="R245" s="139">
        <v>1</v>
      </c>
      <c r="S245" s="140">
        <v>1532</v>
      </c>
      <c r="U245" s="137">
        <v>80.644000000000005</v>
      </c>
      <c r="V245" s="138">
        <v>3.0000000000000001E-5</v>
      </c>
      <c r="W245" s="138">
        <v>1.4888651167635799E-3</v>
      </c>
      <c r="X245" s="138">
        <v>2.4182221283289499E-4</v>
      </c>
    </row>
    <row r="246" spans="1:24" x14ac:dyDescent="0.2">
      <c r="A246" s="3">
        <v>559</v>
      </c>
      <c r="B246" s="3">
        <v>556</v>
      </c>
      <c r="C246" s="3" t="s">
        <v>2295</v>
      </c>
      <c r="D246" s="3" t="s">
        <v>2296</v>
      </c>
      <c r="E246" s="3" t="s">
        <v>1477</v>
      </c>
      <c r="F246" s="3" t="s">
        <v>2599</v>
      </c>
      <c r="G246" s="3" t="s">
        <v>2600</v>
      </c>
      <c r="H246" s="3" t="s">
        <v>76</v>
      </c>
      <c r="I246" s="3" t="s">
        <v>73</v>
      </c>
      <c r="J246" s="3" t="s">
        <v>53</v>
      </c>
      <c r="K246" s="3" t="s">
        <v>53</v>
      </c>
      <c r="L246" s="6" t="s">
        <v>805</v>
      </c>
      <c r="M246" s="6" t="s">
        <v>311</v>
      </c>
      <c r="N246" s="3" t="s">
        <v>256</v>
      </c>
      <c r="O246" s="3" t="s">
        <v>62</v>
      </c>
      <c r="P246" s="3" t="s">
        <v>1219</v>
      </c>
      <c r="Q246" s="137">
        <v>60197</v>
      </c>
      <c r="R246" s="139">
        <v>1</v>
      </c>
      <c r="S246" s="140">
        <v>3356</v>
      </c>
      <c r="U246" s="137">
        <v>2020.211</v>
      </c>
      <c r="V246" s="138">
        <v>4.8999999999999998E-5</v>
      </c>
      <c r="W246" s="138">
        <v>3.7297309906876498E-2</v>
      </c>
      <c r="X246" s="138">
        <v>6.05784762692331E-3</v>
      </c>
    </row>
    <row r="247" spans="1:24" x14ac:dyDescent="0.2">
      <c r="A247" s="3">
        <v>559</v>
      </c>
      <c r="B247" s="3">
        <v>556</v>
      </c>
      <c r="C247" s="3" t="s">
        <v>2601</v>
      </c>
      <c r="D247" s="3" t="s">
        <v>2602</v>
      </c>
      <c r="E247" s="3" t="s">
        <v>1477</v>
      </c>
      <c r="F247" s="3" t="s">
        <v>2603</v>
      </c>
      <c r="G247" s="3" t="s">
        <v>2604</v>
      </c>
      <c r="H247" s="3" t="s">
        <v>76</v>
      </c>
      <c r="I247" s="3" t="s">
        <v>73</v>
      </c>
      <c r="J247" s="3" t="s">
        <v>53</v>
      </c>
      <c r="K247" s="3" t="s">
        <v>53</v>
      </c>
      <c r="L247" s="6" t="s">
        <v>805</v>
      </c>
      <c r="M247" s="6" t="s">
        <v>311</v>
      </c>
      <c r="N247" s="3" t="s">
        <v>75</v>
      </c>
      <c r="O247" s="3" t="s">
        <v>62</v>
      </c>
      <c r="P247" s="3" t="s">
        <v>1219</v>
      </c>
      <c r="Q247" s="137">
        <v>4785</v>
      </c>
      <c r="R247" s="139">
        <v>1</v>
      </c>
      <c r="S247" s="140">
        <v>4845</v>
      </c>
      <c r="U247" s="137">
        <v>231.833</v>
      </c>
      <c r="V247" s="138">
        <v>1.74E-4</v>
      </c>
      <c r="W247" s="138">
        <v>4.2801247999978403E-3</v>
      </c>
      <c r="X247" s="138">
        <v>6.9517999896882897E-4</v>
      </c>
    </row>
    <row r="248" spans="1:24" x14ac:dyDescent="0.2">
      <c r="A248" s="3">
        <v>559</v>
      </c>
      <c r="B248" s="3">
        <v>556</v>
      </c>
      <c r="C248" s="3" t="s">
        <v>2605</v>
      </c>
      <c r="D248" s="3" t="s">
        <v>2606</v>
      </c>
      <c r="E248" s="3" t="s">
        <v>1477</v>
      </c>
      <c r="F248" s="3" t="s">
        <v>2607</v>
      </c>
      <c r="G248" s="3" t="s">
        <v>2608</v>
      </c>
      <c r="H248" s="3" t="s">
        <v>76</v>
      </c>
      <c r="I248" s="3" t="s">
        <v>73</v>
      </c>
      <c r="J248" s="3" t="s">
        <v>53</v>
      </c>
      <c r="K248" s="3" t="s">
        <v>53</v>
      </c>
      <c r="L248" s="6" t="s">
        <v>805</v>
      </c>
      <c r="M248" s="6" t="s">
        <v>311</v>
      </c>
      <c r="N248" s="3" t="s">
        <v>75</v>
      </c>
      <c r="O248" s="3" t="s">
        <v>62</v>
      </c>
      <c r="P248" s="3" t="s">
        <v>1219</v>
      </c>
      <c r="Q248" s="137">
        <v>2412</v>
      </c>
      <c r="R248" s="139">
        <v>1</v>
      </c>
      <c r="S248" s="140">
        <v>2836</v>
      </c>
      <c r="T248" s="131">
        <v>4.8239999999999998</v>
      </c>
      <c r="U248" s="137">
        <v>73.227999999999994</v>
      </c>
      <c r="V248" s="138">
        <v>2.5000000000000001E-5</v>
      </c>
      <c r="W248" s="138">
        <v>1.3519473522205199E-3</v>
      </c>
      <c r="X248" s="138">
        <v>2.1958396141230399E-4</v>
      </c>
    </row>
    <row r="249" spans="1:24" x14ac:dyDescent="0.2">
      <c r="A249" s="3">
        <v>559</v>
      </c>
      <c r="B249" s="3">
        <v>556</v>
      </c>
      <c r="C249" s="3" t="s">
        <v>2609</v>
      </c>
      <c r="D249" s="3" t="s">
        <v>2610</v>
      </c>
      <c r="E249" s="3" t="s">
        <v>1477</v>
      </c>
      <c r="F249" s="3" t="s">
        <v>2611</v>
      </c>
      <c r="G249" s="3" t="s">
        <v>2612</v>
      </c>
      <c r="H249" s="3" t="s">
        <v>76</v>
      </c>
      <c r="I249" s="3" t="s">
        <v>73</v>
      </c>
      <c r="J249" s="3" t="s">
        <v>53</v>
      </c>
      <c r="K249" s="3" t="s">
        <v>53</v>
      </c>
      <c r="L249" s="6" t="s">
        <v>805</v>
      </c>
      <c r="M249" s="6" t="s">
        <v>311</v>
      </c>
      <c r="N249" s="3" t="s">
        <v>140</v>
      </c>
      <c r="O249" s="3" t="s">
        <v>62</v>
      </c>
      <c r="P249" s="3" t="s">
        <v>1219</v>
      </c>
      <c r="Q249" s="137">
        <v>1235</v>
      </c>
      <c r="R249" s="139">
        <v>1</v>
      </c>
      <c r="S249" s="140">
        <v>36740</v>
      </c>
      <c r="U249" s="137">
        <v>453.73899999999998</v>
      </c>
      <c r="V249" s="138">
        <v>5.8999999999999998E-5</v>
      </c>
      <c r="W249" s="138">
        <v>8.3769672668878199E-3</v>
      </c>
      <c r="X249" s="138">
        <v>1.3605911902288301E-3</v>
      </c>
    </row>
    <row r="250" spans="1:24" x14ac:dyDescent="0.2">
      <c r="A250" s="3">
        <v>559</v>
      </c>
      <c r="B250" s="3">
        <v>556</v>
      </c>
      <c r="C250" s="3" t="s">
        <v>2613</v>
      </c>
      <c r="D250" s="3" t="s">
        <v>2614</v>
      </c>
      <c r="E250" s="3" t="s">
        <v>1477</v>
      </c>
      <c r="F250" s="3" t="s">
        <v>2615</v>
      </c>
      <c r="G250" s="3" t="s">
        <v>2616</v>
      </c>
      <c r="H250" s="3" t="s">
        <v>76</v>
      </c>
      <c r="I250" s="3" t="s">
        <v>73</v>
      </c>
      <c r="J250" s="3" t="s">
        <v>53</v>
      </c>
      <c r="K250" s="3" t="s">
        <v>53</v>
      </c>
      <c r="L250" s="6" t="s">
        <v>805</v>
      </c>
      <c r="M250" s="6" t="s">
        <v>311</v>
      </c>
      <c r="N250" s="3" t="s">
        <v>258</v>
      </c>
      <c r="O250" s="3" t="s">
        <v>62</v>
      </c>
      <c r="P250" s="3" t="s">
        <v>1219</v>
      </c>
      <c r="Q250" s="137">
        <v>237</v>
      </c>
      <c r="R250" s="139">
        <v>1</v>
      </c>
      <c r="S250" s="140">
        <v>48100</v>
      </c>
      <c r="U250" s="137">
        <v>113.997</v>
      </c>
      <c r="V250" s="138">
        <v>3.8000000000000002E-5</v>
      </c>
      <c r="W250" s="138">
        <v>2.10462212312235E-3</v>
      </c>
      <c r="X250" s="138">
        <v>3.4183377208597002E-4</v>
      </c>
    </row>
    <row r="251" spans="1:24" x14ac:dyDescent="0.2">
      <c r="A251" s="3">
        <v>559</v>
      </c>
      <c r="B251" s="3">
        <v>556</v>
      </c>
      <c r="C251" s="3" t="s">
        <v>2617</v>
      </c>
      <c r="D251" s="3" t="s">
        <v>2618</v>
      </c>
      <c r="E251" s="3" t="s">
        <v>1477</v>
      </c>
      <c r="F251" s="3" t="s">
        <v>2619</v>
      </c>
      <c r="G251" s="3" t="s">
        <v>2620</v>
      </c>
      <c r="H251" s="3" t="s">
        <v>76</v>
      </c>
      <c r="I251" s="3" t="s">
        <v>73</v>
      </c>
      <c r="J251" s="3" t="s">
        <v>53</v>
      </c>
      <c r="K251" s="3" t="s">
        <v>53</v>
      </c>
      <c r="L251" s="6" t="s">
        <v>805</v>
      </c>
      <c r="M251" s="6" t="s">
        <v>311</v>
      </c>
      <c r="N251" s="3" t="s">
        <v>269</v>
      </c>
      <c r="O251" s="3" t="s">
        <v>62</v>
      </c>
      <c r="P251" s="3" t="s">
        <v>1219</v>
      </c>
      <c r="Q251" s="137">
        <v>4222</v>
      </c>
      <c r="R251" s="139">
        <v>1</v>
      </c>
      <c r="S251" s="140">
        <v>9745</v>
      </c>
      <c r="U251" s="137">
        <v>411.43400000000003</v>
      </c>
      <c r="V251" s="138">
        <v>1.5999999999999999E-5</v>
      </c>
      <c r="W251" s="138">
        <v>7.5959269817846798E-3</v>
      </c>
      <c r="X251" s="138">
        <v>1.23373423862945E-3</v>
      </c>
    </row>
    <row r="252" spans="1:24" x14ac:dyDescent="0.2">
      <c r="A252" s="3">
        <v>559</v>
      </c>
      <c r="B252" s="3">
        <v>556</v>
      </c>
      <c r="C252" s="3" t="s">
        <v>2621</v>
      </c>
      <c r="D252" s="3" t="s">
        <v>2622</v>
      </c>
      <c r="E252" s="3" t="s">
        <v>1477</v>
      </c>
      <c r="F252" s="3" t="s">
        <v>2623</v>
      </c>
      <c r="G252" s="3" t="s">
        <v>2624</v>
      </c>
      <c r="H252" s="3" t="s">
        <v>76</v>
      </c>
      <c r="I252" s="3" t="s">
        <v>73</v>
      </c>
      <c r="J252" s="3" t="s">
        <v>53</v>
      </c>
      <c r="K252" s="3" t="s">
        <v>53</v>
      </c>
      <c r="L252" s="6" t="s">
        <v>805</v>
      </c>
      <c r="M252" s="6" t="s">
        <v>311</v>
      </c>
      <c r="N252" s="3" t="s">
        <v>269</v>
      </c>
      <c r="O252" s="3" t="s">
        <v>62</v>
      </c>
      <c r="P252" s="3" t="s">
        <v>1219</v>
      </c>
      <c r="Q252" s="137">
        <v>9382</v>
      </c>
      <c r="R252" s="139">
        <v>1</v>
      </c>
      <c r="S252" s="140">
        <v>9432</v>
      </c>
      <c r="U252" s="137">
        <v>884.91</v>
      </c>
      <c r="V252" s="138">
        <v>4.1999999999999998E-5</v>
      </c>
      <c r="W252" s="138">
        <v>1.6337286666153601E-2</v>
      </c>
      <c r="X252" s="138">
        <v>2.6535102265559701E-3</v>
      </c>
    </row>
    <row r="253" spans="1:24" x14ac:dyDescent="0.2">
      <c r="A253" s="3">
        <v>559</v>
      </c>
      <c r="B253" s="3">
        <v>556</v>
      </c>
      <c r="C253" s="3" t="s">
        <v>2625</v>
      </c>
      <c r="D253" s="3" t="s">
        <v>2626</v>
      </c>
      <c r="E253" s="3" t="s">
        <v>1477</v>
      </c>
      <c r="F253" s="3" t="s">
        <v>2627</v>
      </c>
      <c r="G253" s="3" t="s">
        <v>2628</v>
      </c>
      <c r="H253" s="3" t="s">
        <v>76</v>
      </c>
      <c r="I253" s="3" t="s">
        <v>73</v>
      </c>
      <c r="J253" s="3" t="s">
        <v>53</v>
      </c>
      <c r="K253" s="3" t="s">
        <v>53</v>
      </c>
      <c r="L253" s="6" t="s">
        <v>805</v>
      </c>
      <c r="M253" s="6" t="s">
        <v>311</v>
      </c>
      <c r="N253" s="3" t="s">
        <v>252</v>
      </c>
      <c r="O253" s="3" t="s">
        <v>62</v>
      </c>
      <c r="P253" s="3" t="s">
        <v>1219</v>
      </c>
      <c r="Q253" s="137">
        <v>5431</v>
      </c>
      <c r="R253" s="139">
        <v>1</v>
      </c>
      <c r="S253" s="140">
        <v>8680</v>
      </c>
      <c r="U253" s="137">
        <v>471.411</v>
      </c>
      <c r="V253" s="138">
        <v>7.4999999999999993E-5</v>
      </c>
      <c r="W253" s="138">
        <v>8.7032255125907201E-3</v>
      </c>
      <c r="X253" s="138">
        <v>1.4135822167782E-3</v>
      </c>
    </row>
    <row r="254" spans="1:24" x14ac:dyDescent="0.2">
      <c r="A254" s="3">
        <v>559</v>
      </c>
      <c r="B254" s="3">
        <v>556</v>
      </c>
      <c r="C254" s="3" t="s">
        <v>2629</v>
      </c>
      <c r="D254" s="3" t="s">
        <v>2630</v>
      </c>
      <c r="E254" s="3" t="s">
        <v>1477</v>
      </c>
      <c r="F254" s="3" t="s">
        <v>2631</v>
      </c>
      <c r="G254" s="3" t="s">
        <v>2632</v>
      </c>
      <c r="H254" s="3" t="s">
        <v>76</v>
      </c>
      <c r="I254" s="3" t="s">
        <v>73</v>
      </c>
      <c r="J254" s="3" t="s">
        <v>53</v>
      </c>
      <c r="K254" s="3" t="s">
        <v>53</v>
      </c>
      <c r="L254" s="6" t="s">
        <v>805</v>
      </c>
      <c r="M254" s="6" t="s">
        <v>311</v>
      </c>
      <c r="N254" s="3" t="s">
        <v>635</v>
      </c>
      <c r="O254" s="3" t="s">
        <v>62</v>
      </c>
      <c r="P254" s="3" t="s">
        <v>1219</v>
      </c>
      <c r="Q254" s="137">
        <v>900</v>
      </c>
      <c r="R254" s="139">
        <v>1</v>
      </c>
      <c r="S254" s="140">
        <v>21400</v>
      </c>
      <c r="U254" s="137">
        <v>192.6</v>
      </c>
      <c r="V254" s="138">
        <v>5.1E-5</v>
      </c>
      <c r="W254" s="138">
        <v>3.5557972658347499E-3</v>
      </c>
      <c r="X254" s="138">
        <v>5.7753436058631199E-4</v>
      </c>
    </row>
    <row r="255" spans="1:24" x14ac:dyDescent="0.2">
      <c r="A255" s="3">
        <v>559</v>
      </c>
      <c r="B255" s="3">
        <v>556</v>
      </c>
      <c r="C255" s="3" t="s">
        <v>1802</v>
      </c>
      <c r="D255" s="3" t="s">
        <v>1803</v>
      </c>
      <c r="E255" s="3" t="s">
        <v>1477</v>
      </c>
      <c r="F255" s="3" t="s">
        <v>2633</v>
      </c>
      <c r="G255" s="3" t="s">
        <v>2634</v>
      </c>
      <c r="H255" s="3" t="s">
        <v>76</v>
      </c>
      <c r="I255" s="3" t="s">
        <v>73</v>
      </c>
      <c r="J255" s="3" t="s">
        <v>53</v>
      </c>
      <c r="K255" s="3" t="s">
        <v>53</v>
      </c>
      <c r="L255" s="6" t="s">
        <v>805</v>
      </c>
      <c r="M255" s="6" t="s">
        <v>311</v>
      </c>
      <c r="N255" s="3" t="s">
        <v>692</v>
      </c>
      <c r="O255" s="3" t="s">
        <v>62</v>
      </c>
      <c r="P255" s="3" t="s">
        <v>1219</v>
      </c>
      <c r="Q255" s="137">
        <v>1500</v>
      </c>
      <c r="R255" s="139">
        <v>1</v>
      </c>
      <c r="S255" s="140">
        <v>112370</v>
      </c>
      <c r="U255" s="137">
        <v>1685.55</v>
      </c>
      <c r="V255" s="138">
        <v>1.95E-4</v>
      </c>
      <c r="W255" s="138">
        <v>3.1118764701078699E-2</v>
      </c>
      <c r="X255" s="138">
        <v>5.0543252413616704E-3</v>
      </c>
    </row>
    <row r="256" spans="1:24" x14ac:dyDescent="0.2">
      <c r="A256" s="3">
        <v>559</v>
      </c>
      <c r="B256" s="3">
        <v>556</v>
      </c>
      <c r="C256" s="3" t="s">
        <v>2635</v>
      </c>
      <c r="D256" s="3" t="s">
        <v>2636</v>
      </c>
      <c r="E256" s="3" t="s">
        <v>1477</v>
      </c>
      <c r="F256" s="3" t="s">
        <v>2637</v>
      </c>
      <c r="G256" s="3" t="s">
        <v>2638</v>
      </c>
      <c r="H256" s="3" t="s">
        <v>76</v>
      </c>
      <c r="I256" s="3" t="s">
        <v>73</v>
      </c>
      <c r="J256" s="3" t="s">
        <v>53</v>
      </c>
      <c r="K256" s="3" t="s">
        <v>317</v>
      </c>
      <c r="L256" s="6" t="s">
        <v>805</v>
      </c>
      <c r="M256" s="6" t="s">
        <v>311</v>
      </c>
      <c r="N256" s="3" t="s">
        <v>254</v>
      </c>
      <c r="O256" s="3" t="s">
        <v>62</v>
      </c>
      <c r="P256" s="3" t="s">
        <v>1219</v>
      </c>
      <c r="Q256" s="137">
        <v>2248</v>
      </c>
      <c r="R256" s="139">
        <v>1</v>
      </c>
      <c r="S256" s="140">
        <v>14620</v>
      </c>
      <c r="U256" s="137">
        <v>328.65800000000002</v>
      </c>
      <c r="V256" s="138">
        <v>2.0000000000000002E-5</v>
      </c>
      <c r="W256" s="138">
        <v>6.0677040263541603E-3</v>
      </c>
      <c r="X256" s="138">
        <v>9.8551950606350905E-4</v>
      </c>
    </row>
    <row r="257" spans="1:24" x14ac:dyDescent="0.2">
      <c r="A257" s="3">
        <v>559</v>
      </c>
      <c r="B257" s="3">
        <v>556</v>
      </c>
      <c r="C257" s="3" t="s">
        <v>2325</v>
      </c>
      <c r="D257" s="3" t="s">
        <v>2326</v>
      </c>
      <c r="E257" s="3" t="s">
        <v>1477</v>
      </c>
      <c r="F257" s="3" t="s">
        <v>2639</v>
      </c>
      <c r="G257" s="3" t="s">
        <v>2640</v>
      </c>
      <c r="H257" s="3" t="s">
        <v>76</v>
      </c>
      <c r="I257" s="3" t="s">
        <v>73</v>
      </c>
      <c r="J257" s="3" t="s">
        <v>53</v>
      </c>
      <c r="K257" s="3" t="s">
        <v>314</v>
      </c>
      <c r="L257" s="6" t="s">
        <v>805</v>
      </c>
      <c r="M257" s="6" t="s">
        <v>311</v>
      </c>
      <c r="N257" s="3" t="s">
        <v>85</v>
      </c>
      <c r="O257" s="3" t="s">
        <v>62</v>
      </c>
      <c r="P257" s="3" t="s">
        <v>1219</v>
      </c>
      <c r="Q257" s="137">
        <v>17096</v>
      </c>
      <c r="R257" s="139">
        <v>1</v>
      </c>
      <c r="S257" s="140">
        <v>5699</v>
      </c>
      <c r="U257" s="137">
        <v>974.30100000000004</v>
      </c>
      <c r="V257" s="138">
        <v>1.4E-5</v>
      </c>
      <c r="W257" s="138">
        <v>1.7987627072336199E-2</v>
      </c>
      <c r="X257" s="138">
        <v>2.92155933621484E-3</v>
      </c>
    </row>
    <row r="258" spans="1:24" x14ac:dyDescent="0.2">
      <c r="A258" s="3">
        <v>559</v>
      </c>
      <c r="B258" s="3">
        <v>556</v>
      </c>
      <c r="C258" s="3" t="s">
        <v>2641</v>
      </c>
      <c r="D258" s="3" t="s">
        <v>2642</v>
      </c>
      <c r="E258" s="3" t="s">
        <v>1477</v>
      </c>
      <c r="F258" s="3" t="s">
        <v>2643</v>
      </c>
      <c r="G258" s="3" t="s">
        <v>2644</v>
      </c>
      <c r="H258" s="3" t="s">
        <v>76</v>
      </c>
      <c r="I258" s="3" t="s">
        <v>73</v>
      </c>
      <c r="J258" s="3" t="s">
        <v>53</v>
      </c>
      <c r="L258" s="6" t="s">
        <v>805</v>
      </c>
      <c r="M258" s="6" t="s">
        <v>102</v>
      </c>
      <c r="N258" s="3" t="s">
        <v>631</v>
      </c>
      <c r="O258" s="3" t="s">
        <v>62</v>
      </c>
      <c r="P258" s="3" t="s">
        <v>1219</v>
      </c>
      <c r="Q258" s="137">
        <v>10500</v>
      </c>
      <c r="R258" s="139">
        <v>1</v>
      </c>
      <c r="S258" s="140">
        <v>902.39300000000003</v>
      </c>
      <c r="U258" s="137">
        <v>94.751000000000005</v>
      </c>
      <c r="V258" s="138">
        <v>0</v>
      </c>
      <c r="W258" s="138">
        <v>1.7493050356728499E-3</v>
      </c>
      <c r="X258" s="138">
        <v>2.8412299400611802E-4</v>
      </c>
    </row>
    <row r="259" spans="1:24" x14ac:dyDescent="0.2">
      <c r="A259" s="3">
        <v>559</v>
      </c>
      <c r="B259" s="3">
        <v>556</v>
      </c>
      <c r="C259" s="3" t="s">
        <v>2645</v>
      </c>
      <c r="D259" s="3" t="s">
        <v>2646</v>
      </c>
      <c r="E259" s="3" t="s">
        <v>1477</v>
      </c>
      <c r="F259" s="3" t="s">
        <v>2647</v>
      </c>
      <c r="G259" s="3" t="s">
        <v>2648</v>
      </c>
      <c r="H259" s="3" t="s">
        <v>76</v>
      </c>
      <c r="I259" s="3" t="s">
        <v>73</v>
      </c>
      <c r="J259" s="3" t="s">
        <v>53</v>
      </c>
      <c r="K259" s="3" t="s">
        <v>53</v>
      </c>
      <c r="L259" s="6" t="s">
        <v>805</v>
      </c>
      <c r="M259" s="6" t="s">
        <v>311</v>
      </c>
      <c r="N259" s="3" t="s">
        <v>257</v>
      </c>
      <c r="O259" s="3" t="s">
        <v>62</v>
      </c>
      <c r="P259" s="3" t="s">
        <v>1219</v>
      </c>
      <c r="Q259" s="137">
        <v>22190</v>
      </c>
      <c r="R259" s="139">
        <v>1</v>
      </c>
      <c r="S259" s="140">
        <v>1735</v>
      </c>
      <c r="U259" s="137">
        <v>384.99700000000001</v>
      </c>
      <c r="V259" s="138">
        <v>1.1E-4</v>
      </c>
      <c r="W259" s="138">
        <v>7.10783749769444E-3</v>
      </c>
      <c r="X259" s="138">
        <v>1.1544585018456301E-3</v>
      </c>
    </row>
    <row r="260" spans="1:24" x14ac:dyDescent="0.2">
      <c r="A260" s="3">
        <v>559</v>
      </c>
      <c r="B260" s="3">
        <v>556</v>
      </c>
      <c r="C260" s="3" t="s">
        <v>1833</v>
      </c>
      <c r="D260" s="3" t="s">
        <v>1834</v>
      </c>
      <c r="E260" s="3" t="s">
        <v>432</v>
      </c>
      <c r="F260" s="3" t="s">
        <v>2649</v>
      </c>
      <c r="G260" s="3" t="s">
        <v>2650</v>
      </c>
      <c r="H260" s="3" t="s">
        <v>76</v>
      </c>
      <c r="I260" s="3" t="s">
        <v>73</v>
      </c>
      <c r="J260" s="3" t="s">
        <v>53</v>
      </c>
      <c r="K260" s="3" t="s">
        <v>53</v>
      </c>
      <c r="L260" s="6" t="s">
        <v>805</v>
      </c>
      <c r="M260" s="6" t="s">
        <v>311</v>
      </c>
      <c r="N260" s="3" t="s">
        <v>267</v>
      </c>
      <c r="O260" s="3" t="s">
        <v>62</v>
      </c>
      <c r="P260" s="3" t="s">
        <v>1219</v>
      </c>
      <c r="Q260" s="137">
        <v>291078.21999999997</v>
      </c>
      <c r="R260" s="139">
        <v>1</v>
      </c>
      <c r="S260" s="140">
        <v>229.9</v>
      </c>
      <c r="U260" s="137">
        <v>669.18899999999996</v>
      </c>
      <c r="V260" s="138">
        <v>1.12E-4</v>
      </c>
      <c r="W260" s="138">
        <v>1.2354619959227899E-2</v>
      </c>
      <c r="X260" s="138">
        <v>2.0066435190208998E-3</v>
      </c>
    </row>
    <row r="261" spans="1:24" x14ac:dyDescent="0.2">
      <c r="A261" s="3">
        <v>559</v>
      </c>
      <c r="B261" s="3">
        <v>556</v>
      </c>
      <c r="C261" s="3" t="s">
        <v>2651</v>
      </c>
      <c r="D261" s="3" t="s">
        <v>2652</v>
      </c>
      <c r="E261" s="3" t="s">
        <v>1477</v>
      </c>
      <c r="F261" s="3" t="s">
        <v>2653</v>
      </c>
      <c r="G261" s="3" t="s">
        <v>2654</v>
      </c>
      <c r="H261" s="3" t="s">
        <v>76</v>
      </c>
      <c r="I261" s="3" t="s">
        <v>73</v>
      </c>
      <c r="J261" s="3" t="s">
        <v>53</v>
      </c>
      <c r="K261" s="3" t="s">
        <v>53</v>
      </c>
      <c r="L261" s="6" t="s">
        <v>805</v>
      </c>
      <c r="M261" s="6" t="s">
        <v>311</v>
      </c>
      <c r="N261" s="3" t="s">
        <v>635</v>
      </c>
      <c r="O261" s="3" t="s">
        <v>62</v>
      </c>
      <c r="P261" s="3" t="s">
        <v>1219</v>
      </c>
      <c r="Q261" s="137">
        <v>238</v>
      </c>
      <c r="R261" s="139">
        <v>1</v>
      </c>
      <c r="S261" s="140">
        <v>45650</v>
      </c>
      <c r="U261" s="137">
        <v>108.64700000000001</v>
      </c>
      <c r="V261" s="138">
        <v>3.6999999999999998E-5</v>
      </c>
      <c r="W261" s="138">
        <v>2.0058499768491598E-3</v>
      </c>
      <c r="X261" s="138">
        <v>3.25791150958572E-4</v>
      </c>
    </row>
    <row r="262" spans="1:24" x14ac:dyDescent="0.2">
      <c r="A262" s="3">
        <v>559</v>
      </c>
      <c r="B262" s="3">
        <v>556</v>
      </c>
      <c r="C262" s="3" t="s">
        <v>1849</v>
      </c>
      <c r="D262" s="3" t="s">
        <v>1850</v>
      </c>
      <c r="E262" s="3" t="s">
        <v>1477</v>
      </c>
      <c r="F262" s="3" t="s">
        <v>2655</v>
      </c>
      <c r="G262" s="3" t="s">
        <v>2656</v>
      </c>
      <c r="H262" s="3" t="s">
        <v>76</v>
      </c>
      <c r="I262" s="3" t="s">
        <v>73</v>
      </c>
      <c r="J262" s="3" t="s">
        <v>53</v>
      </c>
      <c r="K262" s="3" t="s">
        <v>53</v>
      </c>
      <c r="L262" s="6" t="s">
        <v>805</v>
      </c>
      <c r="M262" s="6" t="s">
        <v>311</v>
      </c>
      <c r="N262" s="3" t="s">
        <v>269</v>
      </c>
      <c r="O262" s="3" t="s">
        <v>62</v>
      </c>
      <c r="P262" s="3" t="s">
        <v>1219</v>
      </c>
      <c r="Q262" s="137">
        <v>5941</v>
      </c>
      <c r="R262" s="139">
        <v>1</v>
      </c>
      <c r="S262" s="140">
        <v>14880</v>
      </c>
      <c r="U262" s="137">
        <v>884.02099999999996</v>
      </c>
      <c r="V262" s="138">
        <v>7.4999999999999993E-5</v>
      </c>
      <c r="W262" s="138">
        <v>1.63208657506804E-2</v>
      </c>
      <c r="X262" s="138">
        <v>2.6508431332969901E-3</v>
      </c>
    </row>
    <row r="263" spans="1:24" x14ac:dyDescent="0.2">
      <c r="A263" s="3">
        <v>559</v>
      </c>
      <c r="B263" s="3">
        <v>556</v>
      </c>
      <c r="C263" s="3" t="s">
        <v>2873</v>
      </c>
      <c r="D263" s="3" t="s">
        <v>2874</v>
      </c>
      <c r="E263" s="3" t="s">
        <v>1477</v>
      </c>
      <c r="F263" s="3" t="s">
        <v>2875</v>
      </c>
      <c r="G263" s="3" t="s">
        <v>2876</v>
      </c>
      <c r="H263" s="3" t="s">
        <v>76</v>
      </c>
      <c r="I263" s="3" t="s">
        <v>73</v>
      </c>
      <c r="J263" s="3" t="s">
        <v>53</v>
      </c>
      <c r="K263" s="3" t="s">
        <v>53</v>
      </c>
      <c r="L263" s="6" t="s">
        <v>805</v>
      </c>
      <c r="M263" s="6" t="s">
        <v>311</v>
      </c>
      <c r="N263" s="3" t="s">
        <v>265</v>
      </c>
      <c r="O263" s="3" t="s">
        <v>62</v>
      </c>
      <c r="P263" s="3" t="s">
        <v>1219</v>
      </c>
      <c r="Q263" s="137">
        <v>326</v>
      </c>
      <c r="R263" s="139">
        <v>1</v>
      </c>
      <c r="S263" s="140">
        <v>2980</v>
      </c>
      <c r="U263" s="137">
        <v>9.7149999999999999</v>
      </c>
      <c r="V263" s="138">
        <v>1.4E-5</v>
      </c>
      <c r="W263" s="138">
        <v>1.79355447965376E-4</v>
      </c>
      <c r="X263" s="138">
        <v>2.9131001070736801E-5</v>
      </c>
    </row>
    <row r="264" spans="1:24" x14ac:dyDescent="0.2">
      <c r="A264" s="3">
        <v>559</v>
      </c>
      <c r="B264" s="3">
        <v>556</v>
      </c>
      <c r="C264" s="3" t="s">
        <v>1220</v>
      </c>
      <c r="D264" s="3" t="s">
        <v>1483</v>
      </c>
      <c r="E264" s="3" t="s">
        <v>1477</v>
      </c>
      <c r="F264" s="3" t="s">
        <v>2657</v>
      </c>
      <c r="G264" s="3" t="s">
        <v>2658</v>
      </c>
      <c r="H264" s="3" t="s">
        <v>76</v>
      </c>
      <c r="I264" s="3" t="s">
        <v>73</v>
      </c>
      <c r="J264" s="3" t="s">
        <v>53</v>
      </c>
      <c r="K264" s="3" t="s">
        <v>53</v>
      </c>
      <c r="L264" s="6" t="s">
        <v>805</v>
      </c>
      <c r="M264" s="6" t="s">
        <v>311</v>
      </c>
      <c r="N264" s="3" t="s">
        <v>256</v>
      </c>
      <c r="O264" s="3" t="s">
        <v>62</v>
      </c>
      <c r="P264" s="3" t="s">
        <v>1219</v>
      </c>
      <c r="Q264" s="137">
        <v>55162</v>
      </c>
      <c r="R264" s="139">
        <v>1</v>
      </c>
      <c r="S264" s="140">
        <v>6262</v>
      </c>
      <c r="U264" s="137">
        <v>3454.2440000000001</v>
      </c>
      <c r="V264" s="138">
        <v>3.4E-5</v>
      </c>
      <c r="W264" s="138">
        <v>6.3772548988976593E-2</v>
      </c>
      <c r="X264" s="138">
        <v>1.03579691275401E-2</v>
      </c>
    </row>
    <row r="265" spans="1:24" x14ac:dyDescent="0.2">
      <c r="A265" s="3">
        <v>559</v>
      </c>
      <c r="B265" s="3">
        <v>556</v>
      </c>
      <c r="C265" s="3" t="s">
        <v>2487</v>
      </c>
      <c r="D265" s="3" t="s">
        <v>2488</v>
      </c>
      <c r="E265" s="3" t="s">
        <v>1477</v>
      </c>
      <c r="F265" s="3" t="s">
        <v>2659</v>
      </c>
      <c r="G265" s="3" t="s">
        <v>2660</v>
      </c>
      <c r="H265" s="3" t="s">
        <v>76</v>
      </c>
      <c r="I265" s="3" t="s">
        <v>73</v>
      </c>
      <c r="J265" s="3" t="s">
        <v>53</v>
      </c>
      <c r="K265" s="3" t="s">
        <v>53</v>
      </c>
      <c r="L265" s="6" t="s">
        <v>805</v>
      </c>
      <c r="M265" s="6" t="s">
        <v>311</v>
      </c>
      <c r="N265" s="3" t="s">
        <v>692</v>
      </c>
      <c r="O265" s="3" t="s">
        <v>62</v>
      </c>
      <c r="P265" s="3" t="s">
        <v>1219</v>
      </c>
      <c r="Q265" s="137">
        <v>66757</v>
      </c>
      <c r="R265" s="139">
        <v>1</v>
      </c>
      <c r="S265" s="140">
        <v>519.29999999999995</v>
      </c>
      <c r="U265" s="137">
        <v>346.66899999999998</v>
      </c>
      <c r="V265" s="138">
        <v>2.5000000000000001E-4</v>
      </c>
      <c r="W265" s="138">
        <v>6.4002338602554103E-3</v>
      </c>
      <c r="X265" s="138">
        <v>1.0395291670875701E-3</v>
      </c>
    </row>
    <row r="266" spans="1:24" x14ac:dyDescent="0.2">
      <c r="A266" s="3">
        <v>559</v>
      </c>
      <c r="B266" s="3">
        <v>556</v>
      </c>
      <c r="C266" s="3" t="s">
        <v>1871</v>
      </c>
      <c r="D266" s="3" t="s">
        <v>1872</v>
      </c>
      <c r="E266" s="3" t="s">
        <v>1477</v>
      </c>
      <c r="F266" s="3" t="s">
        <v>2661</v>
      </c>
      <c r="G266" s="3" t="s">
        <v>2662</v>
      </c>
      <c r="H266" s="3" t="s">
        <v>76</v>
      </c>
      <c r="I266" s="3" t="s">
        <v>73</v>
      </c>
      <c r="J266" s="3" t="s">
        <v>53</v>
      </c>
      <c r="K266" s="3" t="s">
        <v>53</v>
      </c>
      <c r="L266" s="6" t="s">
        <v>805</v>
      </c>
      <c r="M266" s="6" t="s">
        <v>311</v>
      </c>
      <c r="N266" s="3" t="s">
        <v>692</v>
      </c>
      <c r="O266" s="3" t="s">
        <v>62</v>
      </c>
      <c r="P266" s="3" t="s">
        <v>1219</v>
      </c>
      <c r="Q266" s="137">
        <v>3170</v>
      </c>
      <c r="R266" s="139">
        <v>1</v>
      </c>
      <c r="S266" s="140">
        <v>8096</v>
      </c>
      <c r="U266" s="137">
        <v>256.64299999999997</v>
      </c>
      <c r="V266" s="138">
        <v>4.8999999999999998E-5</v>
      </c>
      <c r="W266" s="138">
        <v>4.73816816643344E-3</v>
      </c>
      <c r="X266" s="138">
        <v>7.6957563037811504E-4</v>
      </c>
    </row>
    <row r="267" spans="1:24" x14ac:dyDescent="0.2">
      <c r="A267" s="3">
        <v>559</v>
      </c>
      <c r="B267" s="3">
        <v>556</v>
      </c>
      <c r="C267" s="3" t="s">
        <v>2663</v>
      </c>
      <c r="D267" s="3" t="s">
        <v>2664</v>
      </c>
      <c r="E267" s="3" t="s">
        <v>1477</v>
      </c>
      <c r="F267" s="3" t="s">
        <v>2665</v>
      </c>
      <c r="G267" s="3" t="s">
        <v>2666</v>
      </c>
      <c r="H267" s="3" t="s">
        <v>76</v>
      </c>
      <c r="I267" s="3" t="s">
        <v>73</v>
      </c>
      <c r="J267" s="3" t="s">
        <v>53</v>
      </c>
      <c r="K267" s="3" t="s">
        <v>53</v>
      </c>
      <c r="L267" s="6" t="s">
        <v>805</v>
      </c>
      <c r="M267" s="6" t="s">
        <v>311</v>
      </c>
      <c r="N267" s="3" t="s">
        <v>634</v>
      </c>
      <c r="O267" s="3" t="s">
        <v>62</v>
      </c>
      <c r="P267" s="3" t="s">
        <v>1219</v>
      </c>
      <c r="Q267" s="137">
        <v>686</v>
      </c>
      <c r="R267" s="139">
        <v>1</v>
      </c>
      <c r="S267" s="140">
        <v>30850</v>
      </c>
      <c r="U267" s="137">
        <v>211.631</v>
      </c>
      <c r="V267" s="138">
        <v>4.6999999999999997E-5</v>
      </c>
      <c r="W267" s="138">
        <v>3.9071491753160702E-3</v>
      </c>
      <c r="X267" s="138">
        <v>6.3460111248827503E-4</v>
      </c>
    </row>
    <row r="268" spans="1:24" x14ac:dyDescent="0.2">
      <c r="A268" s="3">
        <v>559</v>
      </c>
      <c r="B268" s="3">
        <v>556</v>
      </c>
      <c r="C268" s="3" t="s">
        <v>2667</v>
      </c>
      <c r="D268" s="3" t="s">
        <v>2668</v>
      </c>
      <c r="E268" s="3" t="s">
        <v>1477</v>
      </c>
      <c r="F268" s="3" t="s">
        <v>2669</v>
      </c>
      <c r="G268" s="3" t="s">
        <v>2670</v>
      </c>
      <c r="H268" s="3" t="s">
        <v>76</v>
      </c>
      <c r="I268" s="3" t="s">
        <v>73</v>
      </c>
      <c r="J268" s="3" t="s">
        <v>53</v>
      </c>
      <c r="K268" s="3" t="s">
        <v>53</v>
      </c>
      <c r="L268" s="6" t="s">
        <v>805</v>
      </c>
      <c r="M268" s="6" t="s">
        <v>311</v>
      </c>
      <c r="N268" s="3" t="s">
        <v>692</v>
      </c>
      <c r="O268" s="3" t="s">
        <v>62</v>
      </c>
      <c r="P268" s="3" t="s">
        <v>1219</v>
      </c>
      <c r="Q268" s="137">
        <v>760</v>
      </c>
      <c r="R268" s="139">
        <v>1</v>
      </c>
      <c r="S268" s="140">
        <v>28350</v>
      </c>
      <c r="U268" s="137">
        <v>215.46</v>
      </c>
      <c r="V268" s="138">
        <v>7.2000000000000002E-5</v>
      </c>
      <c r="W268" s="138">
        <v>3.9778404927142E-3</v>
      </c>
      <c r="X268" s="138">
        <v>6.4608283142225697E-4</v>
      </c>
    </row>
    <row r="269" spans="1:24" x14ac:dyDescent="0.2">
      <c r="A269" s="3">
        <v>559</v>
      </c>
      <c r="B269" s="3">
        <v>556</v>
      </c>
      <c r="C269" s="3" t="s">
        <v>1881</v>
      </c>
      <c r="D269" s="3" t="s">
        <v>1882</v>
      </c>
      <c r="E269" s="3" t="s">
        <v>1477</v>
      </c>
      <c r="F269" s="3" t="s">
        <v>2671</v>
      </c>
      <c r="G269" s="3" t="s">
        <v>2672</v>
      </c>
      <c r="H269" s="3" t="s">
        <v>76</v>
      </c>
      <c r="I269" s="3" t="s">
        <v>73</v>
      </c>
      <c r="J269" s="3" t="s">
        <v>53</v>
      </c>
      <c r="K269" s="3" t="s">
        <v>53</v>
      </c>
      <c r="L269" s="6" t="s">
        <v>805</v>
      </c>
      <c r="M269" s="6" t="s">
        <v>311</v>
      </c>
      <c r="N269" s="3" t="s">
        <v>635</v>
      </c>
      <c r="O269" s="3" t="s">
        <v>62</v>
      </c>
      <c r="P269" s="3" t="s">
        <v>1219</v>
      </c>
      <c r="Q269" s="137">
        <v>22613.05</v>
      </c>
      <c r="R269" s="139">
        <v>1</v>
      </c>
      <c r="S269" s="140">
        <v>1262</v>
      </c>
      <c r="U269" s="137">
        <v>285.37700000000001</v>
      </c>
      <c r="V269" s="138">
        <v>3.1000000000000001E-5</v>
      </c>
      <c r="W269" s="138">
        <v>5.2686482740953696E-3</v>
      </c>
      <c r="X269" s="138">
        <v>8.5573647332773796E-4</v>
      </c>
    </row>
    <row r="270" spans="1:24" x14ac:dyDescent="0.2">
      <c r="A270" s="3">
        <v>559</v>
      </c>
      <c r="B270" s="3">
        <v>556</v>
      </c>
      <c r="C270" s="3" t="s">
        <v>2673</v>
      </c>
      <c r="D270" s="3" t="s">
        <v>2674</v>
      </c>
      <c r="E270" s="3" t="s">
        <v>1477</v>
      </c>
      <c r="F270" s="3" t="s">
        <v>2675</v>
      </c>
      <c r="G270" s="3" t="s">
        <v>2676</v>
      </c>
      <c r="H270" s="3" t="s">
        <v>76</v>
      </c>
      <c r="I270" s="3" t="s">
        <v>73</v>
      </c>
      <c r="J270" s="3" t="s">
        <v>53</v>
      </c>
      <c r="K270" s="3" t="s">
        <v>53</v>
      </c>
      <c r="L270" s="6" t="s">
        <v>805</v>
      </c>
      <c r="M270" s="6" t="s">
        <v>311</v>
      </c>
      <c r="N270" s="3" t="s">
        <v>269</v>
      </c>
      <c r="O270" s="3" t="s">
        <v>62</v>
      </c>
      <c r="P270" s="3" t="s">
        <v>1219</v>
      </c>
      <c r="Q270" s="137">
        <v>68425</v>
      </c>
      <c r="R270" s="139">
        <v>1</v>
      </c>
      <c r="S270" s="140">
        <v>927.1</v>
      </c>
      <c r="U270" s="137">
        <v>634.36800000000005</v>
      </c>
      <c r="V270" s="138">
        <v>6.4999999999999994E-5</v>
      </c>
      <c r="W270" s="138">
        <v>1.17117581630196E-2</v>
      </c>
      <c r="X270" s="138">
        <v>1.9022295863184301E-3</v>
      </c>
    </row>
    <row r="271" spans="1:24" x14ac:dyDescent="0.2">
      <c r="A271" s="3">
        <v>559</v>
      </c>
      <c r="B271" s="3">
        <v>556</v>
      </c>
      <c r="C271" s="3" t="s">
        <v>1489</v>
      </c>
      <c r="D271" s="3" t="s">
        <v>1490</v>
      </c>
      <c r="E271" s="3" t="s">
        <v>1477</v>
      </c>
      <c r="F271" s="3" t="s">
        <v>2677</v>
      </c>
      <c r="G271" s="3" t="s">
        <v>2678</v>
      </c>
      <c r="H271" s="3" t="s">
        <v>76</v>
      </c>
      <c r="I271" s="3" t="s">
        <v>73</v>
      </c>
      <c r="J271" s="3" t="s">
        <v>53</v>
      </c>
      <c r="K271" s="3" t="s">
        <v>53</v>
      </c>
      <c r="L271" s="6" t="s">
        <v>805</v>
      </c>
      <c r="M271" s="6" t="s">
        <v>311</v>
      </c>
      <c r="N271" s="3" t="s">
        <v>635</v>
      </c>
      <c r="O271" s="3" t="s">
        <v>62</v>
      </c>
      <c r="P271" s="3" t="s">
        <v>1219</v>
      </c>
      <c r="Q271" s="137">
        <v>5317.33</v>
      </c>
      <c r="R271" s="139">
        <v>1</v>
      </c>
      <c r="S271" s="140">
        <v>15730</v>
      </c>
      <c r="U271" s="137">
        <v>836.41600000000005</v>
      </c>
      <c r="V271" s="138">
        <v>1.45E-4</v>
      </c>
      <c r="W271" s="138">
        <v>1.54419821282586E-2</v>
      </c>
      <c r="X271" s="138">
        <v>2.5080944181825999E-3</v>
      </c>
    </row>
    <row r="272" spans="1:24" x14ac:dyDescent="0.2">
      <c r="A272" s="3">
        <v>559</v>
      </c>
      <c r="B272" s="3">
        <v>556</v>
      </c>
      <c r="C272" s="3" t="s">
        <v>2679</v>
      </c>
      <c r="D272" s="3" t="s">
        <v>2680</v>
      </c>
      <c r="E272" s="3" t="s">
        <v>1477</v>
      </c>
      <c r="F272" s="3" t="s">
        <v>2681</v>
      </c>
      <c r="G272" s="3" t="s">
        <v>2682</v>
      </c>
      <c r="H272" s="3" t="s">
        <v>76</v>
      </c>
      <c r="I272" s="3" t="s">
        <v>73</v>
      </c>
      <c r="J272" s="3" t="s">
        <v>53</v>
      </c>
      <c r="K272" s="3" t="s">
        <v>53</v>
      </c>
      <c r="L272" s="6" t="s">
        <v>805</v>
      </c>
      <c r="M272" s="6" t="s">
        <v>311</v>
      </c>
      <c r="N272" s="3" t="s">
        <v>253</v>
      </c>
      <c r="O272" s="3" t="s">
        <v>62</v>
      </c>
      <c r="P272" s="3" t="s">
        <v>1219</v>
      </c>
      <c r="Q272" s="137">
        <v>4228</v>
      </c>
      <c r="R272" s="139">
        <v>1</v>
      </c>
      <c r="S272" s="140">
        <v>6440</v>
      </c>
      <c r="U272" s="137">
        <v>272.28300000000002</v>
      </c>
      <c r="V272" s="138">
        <v>8.6000000000000003E-5</v>
      </c>
      <c r="W272" s="138">
        <v>5.0269151510526303E-3</v>
      </c>
      <c r="X272" s="138">
        <v>8.1647405924400204E-4</v>
      </c>
    </row>
    <row r="273" spans="1:24" x14ac:dyDescent="0.2">
      <c r="A273" s="3">
        <v>559</v>
      </c>
      <c r="B273" s="3">
        <v>556</v>
      </c>
      <c r="C273" s="3" t="s">
        <v>2500</v>
      </c>
      <c r="D273" s="3" t="s">
        <v>2501</v>
      </c>
      <c r="E273" s="3" t="s">
        <v>1477</v>
      </c>
      <c r="F273" s="3" t="s">
        <v>2683</v>
      </c>
      <c r="G273" s="3" t="s">
        <v>2684</v>
      </c>
      <c r="H273" s="3" t="s">
        <v>76</v>
      </c>
      <c r="I273" s="3" t="s">
        <v>73</v>
      </c>
      <c r="J273" s="3" t="s">
        <v>53</v>
      </c>
      <c r="K273" s="3" t="s">
        <v>53</v>
      </c>
      <c r="L273" s="6" t="s">
        <v>805</v>
      </c>
      <c r="M273" s="6" t="s">
        <v>311</v>
      </c>
      <c r="N273" s="3" t="s">
        <v>257</v>
      </c>
      <c r="O273" s="3" t="s">
        <v>62</v>
      </c>
      <c r="P273" s="3" t="s">
        <v>1219</v>
      </c>
      <c r="Q273" s="137">
        <v>246.17</v>
      </c>
      <c r="R273" s="139">
        <v>1</v>
      </c>
      <c r="S273" s="140">
        <v>2690</v>
      </c>
      <c r="U273" s="137">
        <v>6.6219999999999999</v>
      </c>
      <c r="V273" s="138">
        <v>3.0000000000000001E-6</v>
      </c>
      <c r="W273" s="138">
        <v>1.22255417901514E-4</v>
      </c>
      <c r="X273" s="138">
        <v>1.9856785785954399E-5</v>
      </c>
    </row>
    <row r="274" spans="1:24" x14ac:dyDescent="0.2">
      <c r="A274" s="3">
        <v>559</v>
      </c>
      <c r="B274" s="3">
        <v>556</v>
      </c>
      <c r="C274" s="3" t="s">
        <v>2685</v>
      </c>
      <c r="D274" s="3" t="s">
        <v>2686</v>
      </c>
      <c r="E274" s="3" t="s">
        <v>1477</v>
      </c>
      <c r="F274" s="3" t="s">
        <v>2687</v>
      </c>
      <c r="G274" s="3" t="s">
        <v>2688</v>
      </c>
      <c r="H274" s="3" t="s">
        <v>76</v>
      </c>
      <c r="I274" s="3" t="s">
        <v>73</v>
      </c>
      <c r="J274" s="3" t="s">
        <v>53</v>
      </c>
      <c r="K274" s="3" t="s">
        <v>53</v>
      </c>
      <c r="L274" s="6" t="s">
        <v>805</v>
      </c>
      <c r="M274" s="6" t="s">
        <v>311</v>
      </c>
      <c r="N274" s="3" t="s">
        <v>256</v>
      </c>
      <c r="O274" s="3" t="s">
        <v>62</v>
      </c>
      <c r="P274" s="3" t="s">
        <v>1219</v>
      </c>
      <c r="Q274" s="137">
        <v>5799.91</v>
      </c>
      <c r="R274" s="139">
        <v>1</v>
      </c>
      <c r="S274" s="140">
        <v>21950</v>
      </c>
      <c r="U274" s="137">
        <v>1273.08</v>
      </c>
      <c r="V274" s="138">
        <v>2.1999999999999999E-5</v>
      </c>
      <c r="W274" s="138">
        <v>2.35037136778776E-2</v>
      </c>
      <c r="X274" s="138">
        <v>3.8174848664129799E-3</v>
      </c>
    </row>
    <row r="275" spans="1:24" x14ac:dyDescent="0.2">
      <c r="A275" s="3">
        <v>559</v>
      </c>
      <c r="B275" s="3">
        <v>556</v>
      </c>
      <c r="C275" s="3" t="s">
        <v>2689</v>
      </c>
      <c r="D275" s="3" t="s">
        <v>2690</v>
      </c>
      <c r="E275" s="3" t="s">
        <v>1477</v>
      </c>
      <c r="F275" s="3" t="s">
        <v>2691</v>
      </c>
      <c r="G275" s="3" t="s">
        <v>2692</v>
      </c>
      <c r="H275" s="3" t="s">
        <v>76</v>
      </c>
      <c r="I275" s="3" t="s">
        <v>73</v>
      </c>
      <c r="J275" s="3" t="s">
        <v>53</v>
      </c>
      <c r="K275" s="3" t="s">
        <v>53</v>
      </c>
      <c r="L275" s="6" t="s">
        <v>805</v>
      </c>
      <c r="M275" s="6" t="s">
        <v>311</v>
      </c>
      <c r="N275" s="3" t="s">
        <v>252</v>
      </c>
      <c r="O275" s="3" t="s">
        <v>62</v>
      </c>
      <c r="P275" s="3" t="s">
        <v>1219</v>
      </c>
      <c r="Q275" s="137">
        <v>301</v>
      </c>
      <c r="R275" s="139">
        <v>1</v>
      </c>
      <c r="S275" s="140">
        <v>48250</v>
      </c>
      <c r="U275" s="137">
        <v>145.232</v>
      </c>
      <c r="V275" s="138">
        <v>6.4999999999999994E-5</v>
      </c>
      <c r="W275" s="138">
        <v>2.6812945296487301E-3</v>
      </c>
      <c r="X275" s="138">
        <v>4.3549719119341399E-4</v>
      </c>
    </row>
    <row r="276" spans="1:24" x14ac:dyDescent="0.2">
      <c r="A276" s="3">
        <v>559</v>
      </c>
      <c r="B276" s="3">
        <v>556</v>
      </c>
      <c r="C276" s="3" t="s">
        <v>2693</v>
      </c>
      <c r="D276" s="3" t="s">
        <v>2694</v>
      </c>
      <c r="E276" s="3" t="s">
        <v>1477</v>
      </c>
      <c r="F276" s="3" t="s">
        <v>2695</v>
      </c>
      <c r="G276" s="3" t="s">
        <v>2696</v>
      </c>
      <c r="H276" s="3" t="s">
        <v>76</v>
      </c>
      <c r="I276" s="3" t="s">
        <v>73</v>
      </c>
      <c r="J276" s="3" t="s">
        <v>53</v>
      </c>
      <c r="K276" s="3" t="s">
        <v>53</v>
      </c>
      <c r="L276" s="6" t="s">
        <v>805</v>
      </c>
      <c r="M276" s="6" t="s">
        <v>311</v>
      </c>
      <c r="N276" s="3" t="s">
        <v>252</v>
      </c>
      <c r="O276" s="3" t="s">
        <v>62</v>
      </c>
      <c r="P276" s="3" t="s">
        <v>1219</v>
      </c>
      <c r="Q276" s="137">
        <v>1071</v>
      </c>
      <c r="R276" s="139">
        <v>1</v>
      </c>
      <c r="S276" s="140">
        <v>11720</v>
      </c>
      <c r="U276" s="137">
        <v>125.521</v>
      </c>
      <c r="V276" s="138">
        <v>1.7E-5</v>
      </c>
      <c r="W276" s="138">
        <v>2.3173828648198201E-3</v>
      </c>
      <c r="X276" s="138">
        <v>3.7639047758061502E-4</v>
      </c>
    </row>
    <row r="277" spans="1:24" x14ac:dyDescent="0.2">
      <c r="A277" s="3">
        <v>559</v>
      </c>
      <c r="B277" s="3">
        <v>556</v>
      </c>
      <c r="C277" s="3" t="s">
        <v>1947</v>
      </c>
      <c r="D277" s="3" t="s">
        <v>1948</v>
      </c>
      <c r="E277" s="3" t="s">
        <v>1477</v>
      </c>
      <c r="F277" s="3" t="s">
        <v>2697</v>
      </c>
      <c r="G277" s="3" t="s">
        <v>2698</v>
      </c>
      <c r="H277" s="3" t="s">
        <v>76</v>
      </c>
      <c r="I277" s="3" t="s">
        <v>73</v>
      </c>
      <c r="J277" s="3" t="s">
        <v>53</v>
      </c>
      <c r="K277" s="3" t="s">
        <v>53</v>
      </c>
      <c r="L277" s="6" t="s">
        <v>805</v>
      </c>
      <c r="M277" s="6" t="s">
        <v>311</v>
      </c>
      <c r="N277" s="3" t="s">
        <v>635</v>
      </c>
      <c r="O277" s="3" t="s">
        <v>62</v>
      </c>
      <c r="P277" s="3" t="s">
        <v>1219</v>
      </c>
      <c r="Q277" s="137">
        <v>2590.63</v>
      </c>
      <c r="R277" s="139">
        <v>1</v>
      </c>
      <c r="S277" s="140">
        <v>38400</v>
      </c>
      <c r="U277" s="137">
        <v>994.80200000000002</v>
      </c>
      <c r="V277" s="138">
        <v>5.3999999999999998E-5</v>
      </c>
      <c r="W277" s="138">
        <v>1.83661160289884E-2</v>
      </c>
      <c r="X277" s="138">
        <v>2.9830337008163801E-3</v>
      </c>
    </row>
    <row r="278" spans="1:24" x14ac:dyDescent="0.2">
      <c r="A278" s="3">
        <v>559</v>
      </c>
      <c r="B278" s="3">
        <v>556</v>
      </c>
      <c r="C278" s="3" t="s">
        <v>2699</v>
      </c>
      <c r="D278" s="3" t="s">
        <v>2700</v>
      </c>
      <c r="E278" s="3" t="s">
        <v>1477</v>
      </c>
      <c r="F278" s="3" t="s">
        <v>2701</v>
      </c>
      <c r="G278" s="3" t="s">
        <v>2702</v>
      </c>
      <c r="H278" s="3" t="s">
        <v>76</v>
      </c>
      <c r="I278" s="3" t="s">
        <v>73</v>
      </c>
      <c r="J278" s="3" t="s">
        <v>53</v>
      </c>
      <c r="K278" s="3" t="s">
        <v>53</v>
      </c>
      <c r="L278" s="6" t="s">
        <v>805</v>
      </c>
      <c r="M278" s="6" t="s">
        <v>311</v>
      </c>
      <c r="N278" s="3" t="s">
        <v>252</v>
      </c>
      <c r="O278" s="3" t="s">
        <v>62</v>
      </c>
      <c r="P278" s="3" t="s">
        <v>1219</v>
      </c>
      <c r="Q278" s="137">
        <v>1283</v>
      </c>
      <c r="R278" s="139">
        <v>1</v>
      </c>
      <c r="S278" s="140">
        <v>9951</v>
      </c>
      <c r="U278" s="137">
        <v>127.67100000000001</v>
      </c>
      <c r="V278" s="138">
        <v>4.8999999999999998E-5</v>
      </c>
      <c r="W278" s="138">
        <v>2.35707874423409E-3</v>
      </c>
      <c r="X278" s="138">
        <v>3.8283790205998999E-4</v>
      </c>
    </row>
    <row r="279" spans="1:24" x14ac:dyDescent="0.2">
      <c r="A279" s="3">
        <v>559</v>
      </c>
      <c r="B279" s="3">
        <v>556</v>
      </c>
      <c r="C279" s="3" t="s">
        <v>2703</v>
      </c>
      <c r="D279" s="3" t="s">
        <v>2704</v>
      </c>
      <c r="E279" s="3" t="s">
        <v>1477</v>
      </c>
      <c r="F279" s="3" t="s">
        <v>2705</v>
      </c>
      <c r="G279" s="3" t="s">
        <v>2706</v>
      </c>
      <c r="H279" s="3" t="s">
        <v>76</v>
      </c>
      <c r="I279" s="3" t="s">
        <v>73</v>
      </c>
      <c r="J279" s="3" t="s">
        <v>53</v>
      </c>
      <c r="K279" s="3" t="s">
        <v>53</v>
      </c>
      <c r="L279" s="6" t="s">
        <v>805</v>
      </c>
      <c r="M279" s="6" t="s">
        <v>311</v>
      </c>
      <c r="N279" s="3" t="s">
        <v>692</v>
      </c>
      <c r="O279" s="3" t="s">
        <v>62</v>
      </c>
      <c r="P279" s="3" t="s">
        <v>1219</v>
      </c>
      <c r="Q279" s="137">
        <v>817</v>
      </c>
      <c r="R279" s="139">
        <v>1</v>
      </c>
      <c r="S279" s="140">
        <v>16220</v>
      </c>
      <c r="U279" s="137">
        <v>132.517</v>
      </c>
      <c r="V279" s="138">
        <v>1.06E-4</v>
      </c>
      <c r="W279" s="138">
        <v>2.4465472928116802E-3</v>
      </c>
      <c r="X279" s="138">
        <v>3.9736942822201699E-4</v>
      </c>
    </row>
    <row r="280" spans="1:24" x14ac:dyDescent="0.2">
      <c r="A280" s="3">
        <v>559</v>
      </c>
      <c r="B280" s="3">
        <v>556</v>
      </c>
      <c r="C280" s="3" t="s">
        <v>1961</v>
      </c>
      <c r="D280" s="3" t="s">
        <v>1962</v>
      </c>
      <c r="E280" s="3" t="s">
        <v>1477</v>
      </c>
      <c r="F280" s="3" t="s">
        <v>2707</v>
      </c>
      <c r="G280" s="3" t="s">
        <v>2708</v>
      </c>
      <c r="H280" s="3" t="s">
        <v>76</v>
      </c>
      <c r="I280" s="3" t="s">
        <v>73</v>
      </c>
      <c r="J280" s="3" t="s">
        <v>53</v>
      </c>
      <c r="K280" s="3" t="s">
        <v>53</v>
      </c>
      <c r="L280" s="6" t="s">
        <v>805</v>
      </c>
      <c r="M280" s="6" t="s">
        <v>311</v>
      </c>
      <c r="N280" s="3" t="s">
        <v>635</v>
      </c>
      <c r="O280" s="3" t="s">
        <v>62</v>
      </c>
      <c r="P280" s="3" t="s">
        <v>1219</v>
      </c>
      <c r="Q280" s="137">
        <v>69356</v>
      </c>
      <c r="R280" s="139">
        <v>1</v>
      </c>
      <c r="S280" s="140">
        <v>217</v>
      </c>
      <c r="T280" s="131">
        <v>2.2189999999999999</v>
      </c>
      <c r="U280" s="137">
        <v>152.72200000000001</v>
      </c>
      <c r="V280" s="138">
        <v>9.1000000000000003E-5</v>
      </c>
      <c r="W280" s="138">
        <v>2.8195646418019801E-3</v>
      </c>
      <c r="X280" s="138">
        <v>4.5795509158551501E-4</v>
      </c>
    </row>
    <row r="281" spans="1:24" x14ac:dyDescent="0.2">
      <c r="A281" s="3">
        <v>559</v>
      </c>
      <c r="B281" s="3">
        <v>556</v>
      </c>
      <c r="C281" s="3" t="s">
        <v>2709</v>
      </c>
      <c r="D281" s="3" t="s">
        <v>2710</v>
      </c>
      <c r="E281" s="3" t="s">
        <v>1477</v>
      </c>
      <c r="F281" s="3" t="s">
        <v>2711</v>
      </c>
      <c r="G281" s="3" t="s">
        <v>2712</v>
      </c>
      <c r="H281" s="3" t="s">
        <v>76</v>
      </c>
      <c r="I281" s="3" t="s">
        <v>73</v>
      </c>
      <c r="J281" s="3" t="s">
        <v>53</v>
      </c>
      <c r="K281" s="3" t="s">
        <v>53</v>
      </c>
      <c r="L281" s="6" t="s">
        <v>805</v>
      </c>
      <c r="M281" s="6" t="s">
        <v>311</v>
      </c>
      <c r="N281" s="3" t="s">
        <v>634</v>
      </c>
      <c r="O281" s="3" t="s">
        <v>62</v>
      </c>
      <c r="P281" s="3" t="s">
        <v>1219</v>
      </c>
      <c r="Q281" s="137">
        <v>8250</v>
      </c>
      <c r="R281" s="139">
        <v>1</v>
      </c>
      <c r="S281" s="140">
        <v>1600</v>
      </c>
      <c r="U281" s="137">
        <v>132</v>
      </c>
      <c r="V281" s="138">
        <v>5.8E-5</v>
      </c>
      <c r="W281" s="138">
        <v>2.4369950108524799E-3</v>
      </c>
      <c r="X281" s="138">
        <v>3.9581794183485497E-4</v>
      </c>
    </row>
    <row r="282" spans="1:24" x14ac:dyDescent="0.2">
      <c r="A282" s="3">
        <v>559</v>
      </c>
      <c r="B282" s="3">
        <v>556</v>
      </c>
      <c r="C282" s="3" t="s">
        <v>1990</v>
      </c>
      <c r="D282" s="3" t="s">
        <v>1991</v>
      </c>
      <c r="E282" s="3" t="s">
        <v>432</v>
      </c>
      <c r="F282" s="3" t="s">
        <v>2713</v>
      </c>
      <c r="G282" s="3" t="s">
        <v>2714</v>
      </c>
      <c r="H282" s="3" t="s">
        <v>76</v>
      </c>
      <c r="I282" s="3" t="s">
        <v>73</v>
      </c>
      <c r="J282" s="3" t="s">
        <v>53</v>
      </c>
      <c r="K282" s="3" t="s">
        <v>314</v>
      </c>
      <c r="L282" s="6" t="s">
        <v>805</v>
      </c>
      <c r="M282" s="6" t="s">
        <v>311</v>
      </c>
      <c r="N282" s="3" t="s">
        <v>267</v>
      </c>
      <c r="O282" s="3" t="s">
        <v>62</v>
      </c>
      <c r="P282" s="3" t="s">
        <v>1219</v>
      </c>
      <c r="Q282" s="137">
        <v>531</v>
      </c>
      <c r="R282" s="139">
        <v>1</v>
      </c>
      <c r="S282" s="140">
        <v>9900</v>
      </c>
      <c r="U282" s="137">
        <v>52.569000000000003</v>
      </c>
      <c r="V282" s="138">
        <v>5.0000000000000004E-6</v>
      </c>
      <c r="W282" s="138">
        <v>9.7053326307199896E-4</v>
      </c>
      <c r="X282" s="138">
        <v>1.5763449533573101E-4</v>
      </c>
    </row>
    <row r="283" spans="1:24" x14ac:dyDescent="0.2">
      <c r="A283" s="3">
        <v>559</v>
      </c>
      <c r="B283" s="3">
        <v>556</v>
      </c>
      <c r="C283" s="3" t="s">
        <v>2715</v>
      </c>
      <c r="D283" s="3" t="s">
        <v>2716</v>
      </c>
      <c r="E283" s="3" t="s">
        <v>1477</v>
      </c>
      <c r="F283" s="3" t="s">
        <v>2717</v>
      </c>
      <c r="G283" s="3" t="s">
        <v>2718</v>
      </c>
      <c r="H283" s="3" t="s">
        <v>76</v>
      </c>
      <c r="I283" s="3" t="s">
        <v>73</v>
      </c>
      <c r="J283" s="3" t="s">
        <v>53</v>
      </c>
      <c r="K283" s="3" t="s">
        <v>317</v>
      </c>
      <c r="L283" s="6" t="s">
        <v>805</v>
      </c>
      <c r="M283" s="6" t="s">
        <v>311</v>
      </c>
      <c r="N283" s="3" t="s">
        <v>254</v>
      </c>
      <c r="O283" s="3" t="s">
        <v>62</v>
      </c>
      <c r="P283" s="3" t="s">
        <v>1219</v>
      </c>
      <c r="Q283" s="137">
        <v>686</v>
      </c>
      <c r="R283" s="139">
        <v>1</v>
      </c>
      <c r="S283" s="140">
        <v>95280</v>
      </c>
      <c r="U283" s="137">
        <v>653.62099999999998</v>
      </c>
      <c r="V283" s="138">
        <v>2.3E-5</v>
      </c>
      <c r="W283" s="138">
        <v>1.2067201731737901E-2</v>
      </c>
      <c r="X283" s="138">
        <v>1.95996090754888E-3</v>
      </c>
    </row>
    <row r="284" spans="1:24" x14ac:dyDescent="0.2">
      <c r="A284" s="3">
        <v>559</v>
      </c>
      <c r="B284" s="3">
        <v>556</v>
      </c>
      <c r="C284" s="3" t="s">
        <v>2719</v>
      </c>
      <c r="D284" s="3" t="s">
        <v>2720</v>
      </c>
      <c r="E284" s="3" t="s">
        <v>1477</v>
      </c>
      <c r="F284" s="3" t="s">
        <v>2721</v>
      </c>
      <c r="G284" s="3" t="s">
        <v>2722</v>
      </c>
      <c r="H284" s="3" t="s">
        <v>76</v>
      </c>
      <c r="I284" s="3" t="s">
        <v>73</v>
      </c>
      <c r="J284" s="3" t="s">
        <v>53</v>
      </c>
      <c r="K284" s="3" t="s">
        <v>53</v>
      </c>
      <c r="L284" s="6" t="s">
        <v>805</v>
      </c>
      <c r="M284" s="6" t="s">
        <v>311</v>
      </c>
      <c r="N284" s="3" t="s">
        <v>258</v>
      </c>
      <c r="O284" s="3" t="s">
        <v>62</v>
      </c>
      <c r="P284" s="3" t="s">
        <v>1219</v>
      </c>
      <c r="Q284" s="137">
        <v>108666</v>
      </c>
      <c r="R284" s="139">
        <v>1</v>
      </c>
      <c r="S284" s="140">
        <v>141.1</v>
      </c>
      <c r="U284" s="137">
        <v>153.328</v>
      </c>
      <c r="V284" s="138">
        <v>2.13E-4</v>
      </c>
      <c r="W284" s="138">
        <v>2.8307492673284502E-3</v>
      </c>
      <c r="X284" s="138">
        <v>4.5977170402680797E-4</v>
      </c>
    </row>
    <row r="285" spans="1:24" x14ac:dyDescent="0.2">
      <c r="A285" s="3">
        <v>559</v>
      </c>
      <c r="B285" s="3">
        <v>556</v>
      </c>
      <c r="C285" s="3" t="s">
        <v>1998</v>
      </c>
      <c r="D285" s="3" t="s">
        <v>1999</v>
      </c>
      <c r="E285" s="3" t="s">
        <v>1477</v>
      </c>
      <c r="F285" s="3" t="s">
        <v>2723</v>
      </c>
      <c r="G285" s="3" t="s">
        <v>2724</v>
      </c>
      <c r="H285" s="3" t="s">
        <v>76</v>
      </c>
      <c r="I285" s="3" t="s">
        <v>73</v>
      </c>
      <c r="J285" s="3" t="s">
        <v>53</v>
      </c>
      <c r="K285" s="3" t="s">
        <v>53</v>
      </c>
      <c r="L285" s="6" t="s">
        <v>805</v>
      </c>
      <c r="M285" s="6" t="s">
        <v>311</v>
      </c>
      <c r="N285" s="3" t="s">
        <v>631</v>
      </c>
      <c r="O285" s="3" t="s">
        <v>62</v>
      </c>
      <c r="P285" s="3" t="s">
        <v>1219</v>
      </c>
      <c r="Q285" s="137">
        <v>3753</v>
      </c>
      <c r="R285" s="139">
        <v>1</v>
      </c>
      <c r="S285" s="140">
        <v>9339</v>
      </c>
      <c r="U285" s="137">
        <v>350.49299999999999</v>
      </c>
      <c r="V285" s="138">
        <v>1.06E-4</v>
      </c>
      <c r="W285" s="138">
        <v>6.47082491007851E-3</v>
      </c>
      <c r="X285" s="138">
        <v>1.05099460051214E-3</v>
      </c>
    </row>
    <row r="286" spans="1:24" x14ac:dyDescent="0.2">
      <c r="A286" s="3">
        <v>559</v>
      </c>
      <c r="B286" s="3">
        <v>556</v>
      </c>
      <c r="C286" s="3" t="s">
        <v>2725</v>
      </c>
      <c r="D286" s="3" t="s">
        <v>2726</v>
      </c>
      <c r="E286" s="3" t="s">
        <v>1477</v>
      </c>
      <c r="F286" s="3" t="s">
        <v>2727</v>
      </c>
      <c r="G286" s="3" t="s">
        <v>2728</v>
      </c>
      <c r="H286" s="3" t="s">
        <v>76</v>
      </c>
      <c r="I286" s="3" t="s">
        <v>73</v>
      </c>
      <c r="J286" s="3" t="s">
        <v>53</v>
      </c>
      <c r="K286" s="3" t="s">
        <v>53</v>
      </c>
      <c r="L286" s="6" t="s">
        <v>805</v>
      </c>
      <c r="M286" s="6" t="s">
        <v>311</v>
      </c>
      <c r="N286" s="3" t="s">
        <v>75</v>
      </c>
      <c r="O286" s="3" t="s">
        <v>62</v>
      </c>
      <c r="P286" s="3" t="s">
        <v>1219</v>
      </c>
      <c r="Q286" s="137">
        <v>1068</v>
      </c>
      <c r="R286" s="139">
        <v>1</v>
      </c>
      <c r="S286" s="140">
        <v>13850</v>
      </c>
      <c r="U286" s="137">
        <v>147.91800000000001</v>
      </c>
      <c r="V286" s="138">
        <v>5.1E-5</v>
      </c>
      <c r="W286" s="138">
        <v>2.7308744546611901E-3</v>
      </c>
      <c r="X286" s="138">
        <v>4.4354998727521298E-4</v>
      </c>
    </row>
    <row r="287" spans="1:24" x14ac:dyDescent="0.2">
      <c r="A287" s="3">
        <v>559</v>
      </c>
      <c r="B287" s="3">
        <v>556</v>
      </c>
      <c r="C287" s="3" t="s">
        <v>2729</v>
      </c>
      <c r="D287" s="3" t="s">
        <v>2730</v>
      </c>
      <c r="E287" s="3" t="s">
        <v>1477</v>
      </c>
      <c r="F287" s="3" t="s">
        <v>2731</v>
      </c>
      <c r="G287" s="3" t="s">
        <v>2732</v>
      </c>
      <c r="H287" s="3" t="s">
        <v>76</v>
      </c>
      <c r="I287" s="3" t="s">
        <v>73</v>
      </c>
      <c r="J287" s="3" t="s">
        <v>53</v>
      </c>
      <c r="K287" s="3" t="s">
        <v>314</v>
      </c>
      <c r="L287" s="6" t="s">
        <v>805</v>
      </c>
      <c r="M287" s="6" t="s">
        <v>311</v>
      </c>
      <c r="N287" s="3" t="s">
        <v>253</v>
      </c>
      <c r="O287" s="3" t="s">
        <v>62</v>
      </c>
      <c r="P287" s="3" t="s">
        <v>1219</v>
      </c>
      <c r="Q287" s="137">
        <v>1193</v>
      </c>
      <c r="R287" s="139">
        <v>1</v>
      </c>
      <c r="S287" s="140">
        <v>57150</v>
      </c>
      <c r="U287" s="137">
        <v>681.79899999999998</v>
      </c>
      <c r="V287" s="138">
        <v>1.5999999999999999E-5</v>
      </c>
      <c r="W287" s="138">
        <v>1.2587439241679601E-2</v>
      </c>
      <c r="X287" s="138">
        <v>2.04445814268207E-3</v>
      </c>
    </row>
    <row r="288" spans="1:24" x14ac:dyDescent="0.2">
      <c r="A288" s="3">
        <v>559</v>
      </c>
      <c r="B288" s="3">
        <v>556</v>
      </c>
      <c r="C288" s="3" t="s">
        <v>2877</v>
      </c>
      <c r="D288" s="3" t="s">
        <v>2878</v>
      </c>
      <c r="E288" s="3" t="s">
        <v>1477</v>
      </c>
      <c r="F288" s="3" t="s">
        <v>2879</v>
      </c>
      <c r="G288" s="3" t="s">
        <v>2880</v>
      </c>
      <c r="H288" s="3" t="s">
        <v>76</v>
      </c>
      <c r="I288" s="3" t="s">
        <v>73</v>
      </c>
      <c r="J288" s="3" t="s">
        <v>53</v>
      </c>
      <c r="K288" s="3" t="s">
        <v>53</v>
      </c>
      <c r="L288" s="6" t="s">
        <v>805</v>
      </c>
      <c r="M288" s="6" t="s">
        <v>311</v>
      </c>
      <c r="N288" s="3" t="s">
        <v>266</v>
      </c>
      <c r="O288" s="3" t="s">
        <v>62</v>
      </c>
      <c r="P288" s="3" t="s">
        <v>1219</v>
      </c>
      <c r="Q288" s="137">
        <v>4920</v>
      </c>
      <c r="R288" s="139">
        <v>1</v>
      </c>
      <c r="S288" s="140">
        <v>1150</v>
      </c>
      <c r="U288" s="137">
        <v>56.58</v>
      </c>
      <c r="V288" s="138">
        <v>5.2599999999999999E-4</v>
      </c>
      <c r="W288" s="138">
        <v>1.0445846796517701E-3</v>
      </c>
      <c r="X288" s="138">
        <v>1.6966196325012199E-4</v>
      </c>
    </row>
    <row r="289" spans="1:24" x14ac:dyDescent="0.2">
      <c r="A289" s="3">
        <v>559</v>
      </c>
      <c r="B289" s="3">
        <v>556</v>
      </c>
      <c r="C289" s="3" t="s">
        <v>2020</v>
      </c>
      <c r="D289" s="3" t="s">
        <v>2021</v>
      </c>
      <c r="E289" s="3" t="s">
        <v>1477</v>
      </c>
      <c r="F289" s="3" t="s">
        <v>2733</v>
      </c>
      <c r="G289" s="3" t="s">
        <v>2734</v>
      </c>
      <c r="H289" s="3" t="s">
        <v>76</v>
      </c>
      <c r="I289" s="3" t="s">
        <v>73</v>
      </c>
      <c r="J289" s="3" t="s">
        <v>53</v>
      </c>
      <c r="K289" s="3" t="s">
        <v>317</v>
      </c>
      <c r="L289" s="6" t="s">
        <v>805</v>
      </c>
      <c r="M289" s="6" t="s">
        <v>311</v>
      </c>
      <c r="N289" s="3" t="s">
        <v>636</v>
      </c>
      <c r="O289" s="3" t="s">
        <v>62</v>
      </c>
      <c r="P289" s="3" t="s">
        <v>1219</v>
      </c>
      <c r="Q289" s="137">
        <v>8446</v>
      </c>
      <c r="R289" s="139">
        <v>1</v>
      </c>
      <c r="S289" s="140">
        <v>6127</v>
      </c>
      <c r="U289" s="137">
        <v>517.48599999999999</v>
      </c>
      <c r="V289" s="138">
        <v>1.1400000000000001E-4</v>
      </c>
      <c r="W289" s="138">
        <v>9.5538774524538597E-3</v>
      </c>
      <c r="X289" s="138">
        <v>1.5517455279688401E-3</v>
      </c>
    </row>
    <row r="290" spans="1:24" x14ac:dyDescent="0.2">
      <c r="A290" s="3">
        <v>559</v>
      </c>
      <c r="B290" s="3">
        <v>556</v>
      </c>
      <c r="C290" s="3" t="s">
        <v>2334</v>
      </c>
      <c r="D290" s="3" t="s">
        <v>2335</v>
      </c>
      <c r="E290" s="3" t="s">
        <v>767</v>
      </c>
      <c r="F290" s="3" t="s">
        <v>2735</v>
      </c>
      <c r="G290" s="3" t="s">
        <v>2736</v>
      </c>
      <c r="H290" s="3" t="s">
        <v>76</v>
      </c>
      <c r="I290" s="3" t="s">
        <v>73</v>
      </c>
      <c r="J290" s="3" t="s">
        <v>53</v>
      </c>
      <c r="K290" s="3" t="s">
        <v>53</v>
      </c>
      <c r="L290" s="6" t="s">
        <v>805</v>
      </c>
      <c r="M290" s="6" t="s">
        <v>311</v>
      </c>
      <c r="N290" s="3" t="s">
        <v>253</v>
      </c>
      <c r="O290" s="3" t="s">
        <v>62</v>
      </c>
      <c r="P290" s="3" t="s">
        <v>1219</v>
      </c>
      <c r="Q290" s="137">
        <v>2367</v>
      </c>
      <c r="R290" s="139">
        <v>1</v>
      </c>
      <c r="S290" s="140">
        <v>9883</v>
      </c>
      <c r="U290" s="137">
        <v>233.93100000000001</v>
      </c>
      <c r="V290" s="138">
        <v>4.1E-5</v>
      </c>
      <c r="W290" s="138">
        <v>4.3188464352702802E-3</v>
      </c>
      <c r="X290" s="138">
        <v>7.0146918623009301E-4</v>
      </c>
    </row>
    <row r="291" spans="1:24" x14ac:dyDescent="0.2">
      <c r="A291" s="3">
        <v>559</v>
      </c>
      <c r="B291" s="3">
        <v>556</v>
      </c>
      <c r="C291" s="3" t="s">
        <v>2737</v>
      </c>
      <c r="D291" s="3" t="s">
        <v>2738</v>
      </c>
      <c r="E291" s="3" t="s">
        <v>1477</v>
      </c>
      <c r="F291" s="3" t="s">
        <v>2737</v>
      </c>
      <c r="G291" s="3" t="s">
        <v>2739</v>
      </c>
      <c r="H291" s="3" t="s">
        <v>76</v>
      </c>
      <c r="I291" s="3" t="s">
        <v>73</v>
      </c>
      <c r="J291" s="3" t="s">
        <v>53</v>
      </c>
      <c r="K291" s="3" t="s">
        <v>53</v>
      </c>
      <c r="L291" s="6" t="s">
        <v>805</v>
      </c>
      <c r="M291" s="6" t="s">
        <v>311</v>
      </c>
      <c r="N291" s="3" t="s">
        <v>71</v>
      </c>
      <c r="O291" s="3" t="s">
        <v>62</v>
      </c>
      <c r="P291" s="3" t="s">
        <v>1219</v>
      </c>
      <c r="Q291" s="137">
        <v>6010</v>
      </c>
      <c r="R291" s="139">
        <v>1</v>
      </c>
      <c r="S291" s="140">
        <v>2006</v>
      </c>
      <c r="U291" s="137">
        <v>120.56100000000001</v>
      </c>
      <c r="V291" s="138">
        <v>1.6799999999999999E-4</v>
      </c>
      <c r="W291" s="138">
        <v>2.2257998538286498E-3</v>
      </c>
      <c r="X291" s="138">
        <v>3.6151551938163099E-4</v>
      </c>
    </row>
    <row r="292" spans="1:24" x14ac:dyDescent="0.2">
      <c r="A292" s="3">
        <v>559</v>
      </c>
      <c r="B292" s="3">
        <v>556</v>
      </c>
      <c r="C292" s="3" t="s">
        <v>2740</v>
      </c>
      <c r="D292" s="3" t="s">
        <v>2741</v>
      </c>
      <c r="E292" s="3" t="s">
        <v>1477</v>
      </c>
      <c r="F292" s="3" t="s">
        <v>2742</v>
      </c>
      <c r="G292" s="3" t="s">
        <v>2743</v>
      </c>
      <c r="H292" s="3" t="s">
        <v>76</v>
      </c>
      <c r="I292" s="3" t="s">
        <v>73</v>
      </c>
      <c r="J292" s="3" t="s">
        <v>53</v>
      </c>
      <c r="K292" s="3" t="s">
        <v>53</v>
      </c>
      <c r="L292" s="6" t="s">
        <v>805</v>
      </c>
      <c r="M292" s="6" t="s">
        <v>311</v>
      </c>
      <c r="N292" s="3" t="s">
        <v>266</v>
      </c>
      <c r="O292" s="3" t="s">
        <v>62</v>
      </c>
      <c r="P292" s="3" t="s">
        <v>1219</v>
      </c>
      <c r="Q292" s="137">
        <v>22147</v>
      </c>
      <c r="R292" s="139">
        <v>1</v>
      </c>
      <c r="S292" s="140">
        <v>350.6</v>
      </c>
      <c r="U292" s="137">
        <v>77.647000000000006</v>
      </c>
      <c r="V292" s="138">
        <v>3.3300000000000002E-4</v>
      </c>
      <c r="W292" s="138">
        <v>1.4335324434830001E-3</v>
      </c>
      <c r="X292" s="138">
        <v>2.3283505251594499E-4</v>
      </c>
    </row>
    <row r="293" spans="1:24" x14ac:dyDescent="0.2">
      <c r="A293" s="3">
        <v>559</v>
      </c>
      <c r="B293" s="3">
        <v>556</v>
      </c>
      <c r="C293" s="3" t="s">
        <v>2057</v>
      </c>
      <c r="D293" s="3" t="s">
        <v>2058</v>
      </c>
      <c r="E293" s="3" t="s">
        <v>1477</v>
      </c>
      <c r="F293" s="3" t="s">
        <v>2744</v>
      </c>
      <c r="G293" s="3" t="s">
        <v>2745</v>
      </c>
      <c r="H293" s="3" t="s">
        <v>76</v>
      </c>
      <c r="I293" s="3" t="s">
        <v>73</v>
      </c>
      <c r="J293" s="3" t="s">
        <v>53</v>
      </c>
      <c r="K293" s="3" t="s">
        <v>53</v>
      </c>
      <c r="L293" s="6" t="s">
        <v>805</v>
      </c>
      <c r="M293" s="6" t="s">
        <v>311</v>
      </c>
      <c r="N293" s="3" t="s">
        <v>635</v>
      </c>
      <c r="O293" s="3" t="s">
        <v>62</v>
      </c>
      <c r="P293" s="3" t="s">
        <v>1219</v>
      </c>
      <c r="Q293" s="137">
        <v>2935</v>
      </c>
      <c r="R293" s="139">
        <v>1</v>
      </c>
      <c r="S293" s="140">
        <v>30970</v>
      </c>
      <c r="U293" s="137">
        <v>908.97</v>
      </c>
      <c r="V293" s="138">
        <v>2.4000000000000001E-5</v>
      </c>
      <c r="W293" s="138">
        <v>1.67814707311899E-2</v>
      </c>
      <c r="X293" s="138">
        <v>2.72565482333831E-3</v>
      </c>
    </row>
    <row r="294" spans="1:24" x14ac:dyDescent="0.2">
      <c r="A294" s="3">
        <v>559</v>
      </c>
      <c r="B294" s="3">
        <v>556</v>
      </c>
      <c r="C294" s="3" t="s">
        <v>2068</v>
      </c>
      <c r="D294" s="3" t="s">
        <v>2069</v>
      </c>
      <c r="E294" s="3" t="s">
        <v>1477</v>
      </c>
      <c r="F294" s="3" t="s">
        <v>2746</v>
      </c>
      <c r="G294" s="3" t="s">
        <v>2747</v>
      </c>
      <c r="H294" s="3" t="s">
        <v>76</v>
      </c>
      <c r="I294" s="3" t="s">
        <v>73</v>
      </c>
      <c r="J294" s="3" t="s">
        <v>53</v>
      </c>
      <c r="K294" s="3" t="s">
        <v>53</v>
      </c>
      <c r="L294" s="6" t="s">
        <v>805</v>
      </c>
      <c r="M294" s="6" t="s">
        <v>1227</v>
      </c>
      <c r="N294" s="3" t="s">
        <v>140</v>
      </c>
      <c r="O294" s="3" t="s">
        <v>62</v>
      </c>
      <c r="P294" s="3" t="s">
        <v>1219</v>
      </c>
      <c r="Q294" s="137">
        <v>2700</v>
      </c>
      <c r="R294" s="139">
        <v>1</v>
      </c>
      <c r="S294" s="140">
        <v>3825</v>
      </c>
      <c r="U294" s="137">
        <v>103.27500000000001</v>
      </c>
      <c r="V294" s="138">
        <v>3.4E-5</v>
      </c>
      <c r="W294" s="138">
        <v>1.9066716647408301E-3</v>
      </c>
      <c r="X294" s="138">
        <v>3.0968256017420198E-4</v>
      </c>
    </row>
    <row r="295" spans="1:24" x14ac:dyDescent="0.2">
      <c r="A295" s="3">
        <v>559</v>
      </c>
      <c r="B295" s="3">
        <v>556</v>
      </c>
      <c r="C295" s="3" t="s">
        <v>2748</v>
      </c>
      <c r="D295" s="3" t="s">
        <v>2749</v>
      </c>
      <c r="E295" s="3" t="s">
        <v>1477</v>
      </c>
      <c r="F295" s="3" t="s">
        <v>2750</v>
      </c>
      <c r="G295" s="3" t="s">
        <v>2751</v>
      </c>
      <c r="H295" s="3" t="s">
        <v>76</v>
      </c>
      <c r="I295" s="3" t="s">
        <v>73</v>
      </c>
      <c r="J295" s="3" t="s">
        <v>53</v>
      </c>
      <c r="K295" s="3" t="s">
        <v>53</v>
      </c>
      <c r="L295" s="6" t="s">
        <v>805</v>
      </c>
      <c r="M295" s="6" t="s">
        <v>311</v>
      </c>
      <c r="N295" s="3" t="s">
        <v>265</v>
      </c>
      <c r="O295" s="3" t="s">
        <v>62</v>
      </c>
      <c r="P295" s="3" t="s">
        <v>1219</v>
      </c>
      <c r="Q295" s="137">
        <v>8604</v>
      </c>
      <c r="R295" s="139">
        <v>1</v>
      </c>
      <c r="S295" s="140">
        <v>1010</v>
      </c>
      <c r="U295" s="137">
        <v>86.9</v>
      </c>
      <c r="V295" s="138">
        <v>8.1000000000000004E-5</v>
      </c>
      <c r="W295" s="138">
        <v>1.6043624336445799E-3</v>
      </c>
      <c r="X295" s="138">
        <v>2.6058134448958802E-4</v>
      </c>
    </row>
    <row r="296" spans="1:24" x14ac:dyDescent="0.2">
      <c r="A296" s="3">
        <v>559</v>
      </c>
      <c r="B296" s="3">
        <v>556</v>
      </c>
      <c r="C296" s="3" t="s">
        <v>2072</v>
      </c>
      <c r="D296" s="3" t="s">
        <v>2073</v>
      </c>
      <c r="E296" s="3" t="s">
        <v>1477</v>
      </c>
      <c r="F296" s="3" t="s">
        <v>2752</v>
      </c>
      <c r="G296" s="3" t="s">
        <v>2753</v>
      </c>
      <c r="H296" s="3" t="s">
        <v>76</v>
      </c>
      <c r="I296" s="3" t="s">
        <v>73</v>
      </c>
      <c r="J296" s="3" t="s">
        <v>53</v>
      </c>
      <c r="K296" s="3" t="s">
        <v>53</v>
      </c>
      <c r="L296" s="6" t="s">
        <v>805</v>
      </c>
      <c r="M296" s="6" t="s">
        <v>311</v>
      </c>
      <c r="N296" s="3" t="s">
        <v>256</v>
      </c>
      <c r="O296" s="3" t="s">
        <v>62</v>
      </c>
      <c r="P296" s="3" t="s">
        <v>1219</v>
      </c>
      <c r="Q296" s="137">
        <v>55950</v>
      </c>
      <c r="R296" s="139">
        <v>1</v>
      </c>
      <c r="S296" s="140">
        <v>6462</v>
      </c>
      <c r="U296" s="137">
        <v>3615.489</v>
      </c>
      <c r="V296" s="138">
        <v>4.1999999999999998E-5</v>
      </c>
      <c r="W296" s="138">
        <v>6.67494595060001E-2</v>
      </c>
      <c r="X296" s="138">
        <v>1.08414804144436E-2</v>
      </c>
    </row>
    <row r="297" spans="1:24" x14ac:dyDescent="0.2">
      <c r="A297" s="3">
        <v>559</v>
      </c>
      <c r="B297" s="3">
        <v>556</v>
      </c>
      <c r="C297" s="3" t="s">
        <v>2754</v>
      </c>
      <c r="D297" s="3" t="s">
        <v>2755</v>
      </c>
      <c r="E297" s="3" t="s">
        <v>1477</v>
      </c>
      <c r="F297" s="3" t="s">
        <v>2756</v>
      </c>
      <c r="G297" s="3" t="s">
        <v>2757</v>
      </c>
      <c r="H297" s="3" t="s">
        <v>76</v>
      </c>
      <c r="I297" s="3" t="s">
        <v>73</v>
      </c>
      <c r="J297" s="3" t="s">
        <v>53</v>
      </c>
      <c r="K297" s="3" t="s">
        <v>53</v>
      </c>
      <c r="L297" s="6" t="s">
        <v>805</v>
      </c>
      <c r="M297" s="6" t="s">
        <v>311</v>
      </c>
      <c r="N297" s="3" t="s">
        <v>634</v>
      </c>
      <c r="O297" s="3" t="s">
        <v>62</v>
      </c>
      <c r="P297" s="3" t="s">
        <v>1219</v>
      </c>
      <c r="Q297" s="137">
        <v>482</v>
      </c>
      <c r="R297" s="139">
        <v>1</v>
      </c>
      <c r="S297" s="140">
        <v>33720</v>
      </c>
      <c r="U297" s="137">
        <v>162.53</v>
      </c>
      <c r="V297" s="138">
        <v>3.4999999999999997E-5</v>
      </c>
      <c r="W297" s="138">
        <v>3.0006498023625598E-3</v>
      </c>
      <c r="X297" s="138">
        <v>4.8736703343633199E-4</v>
      </c>
    </row>
    <row r="298" spans="1:24" x14ac:dyDescent="0.2">
      <c r="A298" s="3">
        <v>559</v>
      </c>
      <c r="B298" s="3">
        <v>556</v>
      </c>
      <c r="C298" s="3" t="s">
        <v>2089</v>
      </c>
      <c r="D298" s="3" t="s">
        <v>2090</v>
      </c>
      <c r="E298" s="3" t="s">
        <v>1477</v>
      </c>
      <c r="F298" s="3" t="s">
        <v>2758</v>
      </c>
      <c r="G298" s="3" t="s">
        <v>2759</v>
      </c>
      <c r="H298" s="3" t="s">
        <v>76</v>
      </c>
      <c r="I298" s="3" t="s">
        <v>73</v>
      </c>
      <c r="J298" s="3" t="s">
        <v>53</v>
      </c>
      <c r="K298" s="3" t="s">
        <v>53</v>
      </c>
      <c r="L298" s="6" t="s">
        <v>805</v>
      </c>
      <c r="M298" s="6" t="s">
        <v>311</v>
      </c>
      <c r="N298" s="3" t="s">
        <v>252</v>
      </c>
      <c r="O298" s="3" t="s">
        <v>62</v>
      </c>
      <c r="P298" s="3" t="s">
        <v>1219</v>
      </c>
      <c r="Q298" s="137">
        <v>3791</v>
      </c>
      <c r="R298" s="139">
        <v>1</v>
      </c>
      <c r="S298" s="140">
        <v>42880</v>
      </c>
      <c r="U298" s="137">
        <v>1625.5809999999999</v>
      </c>
      <c r="V298" s="138">
        <v>2.3800000000000001E-4</v>
      </c>
      <c r="W298" s="138">
        <v>3.0011608328314999E-2</v>
      </c>
      <c r="X298" s="138">
        <v>4.8745003525928598E-3</v>
      </c>
    </row>
    <row r="299" spans="1:24" x14ac:dyDescent="0.2">
      <c r="A299" s="3">
        <v>559</v>
      </c>
      <c r="B299" s="3">
        <v>556</v>
      </c>
      <c r="C299" s="3" t="s">
        <v>2760</v>
      </c>
      <c r="D299" s="3" t="s">
        <v>2761</v>
      </c>
      <c r="E299" s="3" t="s">
        <v>1477</v>
      </c>
      <c r="F299" s="3" t="s">
        <v>2762</v>
      </c>
      <c r="G299" s="3" t="s">
        <v>2763</v>
      </c>
      <c r="H299" s="3" t="s">
        <v>76</v>
      </c>
      <c r="I299" s="3" t="s">
        <v>73</v>
      </c>
      <c r="J299" s="3" t="s">
        <v>53</v>
      </c>
      <c r="K299" s="3" t="s">
        <v>53</v>
      </c>
      <c r="L299" s="6" t="s">
        <v>805</v>
      </c>
      <c r="M299" s="6" t="s">
        <v>311</v>
      </c>
      <c r="N299" s="3" t="s">
        <v>156</v>
      </c>
      <c r="O299" s="3" t="s">
        <v>62</v>
      </c>
      <c r="P299" s="3" t="s">
        <v>1219</v>
      </c>
      <c r="Q299" s="137">
        <v>1332</v>
      </c>
      <c r="R299" s="139">
        <v>1</v>
      </c>
      <c r="S299" s="140">
        <v>6455</v>
      </c>
      <c r="U299" s="137">
        <v>85.980999999999995</v>
      </c>
      <c r="V299" s="138">
        <v>1.07E-4</v>
      </c>
      <c r="W299" s="138">
        <v>1.58738100931896E-3</v>
      </c>
      <c r="X299" s="138">
        <v>2.5782321310398499E-4</v>
      </c>
    </row>
    <row r="300" spans="1:24" x14ac:dyDescent="0.2">
      <c r="A300" s="3">
        <v>559</v>
      </c>
      <c r="B300" s="3">
        <v>556</v>
      </c>
      <c r="C300" s="3" t="s">
        <v>2764</v>
      </c>
      <c r="D300" s="3" t="s">
        <v>2765</v>
      </c>
      <c r="E300" s="3" t="s">
        <v>1477</v>
      </c>
      <c r="F300" s="3" t="s">
        <v>2766</v>
      </c>
      <c r="G300" s="3" t="s">
        <v>2767</v>
      </c>
      <c r="H300" s="3" t="s">
        <v>76</v>
      </c>
      <c r="I300" s="3" t="s">
        <v>73</v>
      </c>
      <c r="J300" s="3" t="s">
        <v>53</v>
      </c>
      <c r="K300" s="3" t="s">
        <v>53</v>
      </c>
      <c r="L300" s="6" t="s">
        <v>805</v>
      </c>
      <c r="M300" s="6" t="s">
        <v>311</v>
      </c>
      <c r="N300" s="3" t="s">
        <v>156</v>
      </c>
      <c r="O300" s="3" t="s">
        <v>62</v>
      </c>
      <c r="P300" s="3" t="s">
        <v>1219</v>
      </c>
      <c r="Q300" s="137">
        <v>174</v>
      </c>
      <c r="R300" s="139">
        <v>1</v>
      </c>
      <c r="S300" s="140">
        <v>61570</v>
      </c>
      <c r="T300" s="131">
        <v>2.1110000000000002</v>
      </c>
      <c r="U300" s="137">
        <v>109.24299999999999</v>
      </c>
      <c r="V300" s="138">
        <v>1.2999999999999999E-5</v>
      </c>
      <c r="W300" s="138">
        <v>2.0168504246314799E-3</v>
      </c>
      <c r="X300" s="138">
        <v>3.2757784915904902E-4</v>
      </c>
    </row>
    <row r="301" spans="1:24" x14ac:dyDescent="0.2">
      <c r="A301" s="3">
        <v>559</v>
      </c>
      <c r="B301" s="3">
        <v>556</v>
      </c>
      <c r="C301" s="3" t="s">
        <v>2768</v>
      </c>
      <c r="D301" s="3" t="s">
        <v>2769</v>
      </c>
      <c r="E301" s="3" t="s">
        <v>1477</v>
      </c>
      <c r="F301" s="3" t="s">
        <v>2770</v>
      </c>
      <c r="G301" s="3" t="s">
        <v>2771</v>
      </c>
      <c r="H301" s="3" t="s">
        <v>76</v>
      </c>
      <c r="I301" s="3" t="s">
        <v>73</v>
      </c>
      <c r="J301" s="3" t="s">
        <v>53</v>
      </c>
      <c r="K301" s="3" t="s">
        <v>53</v>
      </c>
      <c r="L301" s="6" t="s">
        <v>805</v>
      </c>
      <c r="M301" s="6" t="s">
        <v>311</v>
      </c>
      <c r="N301" s="3" t="s">
        <v>256</v>
      </c>
      <c r="O301" s="3" t="s">
        <v>62</v>
      </c>
      <c r="P301" s="3" t="s">
        <v>1219</v>
      </c>
      <c r="Q301" s="137">
        <v>5811.5</v>
      </c>
      <c r="R301" s="139">
        <v>1</v>
      </c>
      <c r="S301" s="140">
        <v>25090</v>
      </c>
      <c r="U301" s="137">
        <v>1458.105</v>
      </c>
      <c r="V301" s="138">
        <v>1.64E-4</v>
      </c>
      <c r="W301" s="138">
        <v>2.6919662600358399E-2</v>
      </c>
      <c r="X301" s="138">
        <v>4.3723049895105399E-3</v>
      </c>
    </row>
    <row r="302" spans="1:24" x14ac:dyDescent="0.2">
      <c r="A302" s="3">
        <v>559</v>
      </c>
      <c r="B302" s="3">
        <v>556</v>
      </c>
      <c r="C302" s="3" t="s">
        <v>2772</v>
      </c>
      <c r="D302" s="3" t="s">
        <v>2773</v>
      </c>
      <c r="E302" s="3" t="s">
        <v>1477</v>
      </c>
      <c r="F302" s="3" t="s">
        <v>2774</v>
      </c>
      <c r="G302" s="3" t="s">
        <v>2775</v>
      </c>
      <c r="H302" s="3" t="s">
        <v>76</v>
      </c>
      <c r="I302" s="3" t="s">
        <v>73</v>
      </c>
      <c r="J302" s="3" t="s">
        <v>53</v>
      </c>
      <c r="K302" s="3" t="s">
        <v>53</v>
      </c>
      <c r="L302" s="6" t="s">
        <v>805</v>
      </c>
      <c r="M302" s="6" t="s">
        <v>311</v>
      </c>
      <c r="N302" s="3" t="s">
        <v>255</v>
      </c>
      <c r="O302" s="3" t="s">
        <v>62</v>
      </c>
      <c r="P302" s="3" t="s">
        <v>1219</v>
      </c>
      <c r="Q302" s="137">
        <v>11835</v>
      </c>
      <c r="R302" s="139">
        <v>1</v>
      </c>
      <c r="S302" s="140">
        <v>89.1</v>
      </c>
      <c r="U302" s="137">
        <v>10.545</v>
      </c>
      <c r="V302" s="138">
        <v>1.36E-4</v>
      </c>
      <c r="W302" s="138">
        <v>1.94682392685714E-4</v>
      </c>
      <c r="X302" s="138">
        <v>3.1620411055904699E-5</v>
      </c>
    </row>
    <row r="303" spans="1:24" x14ac:dyDescent="0.2">
      <c r="A303" s="3">
        <v>559</v>
      </c>
      <c r="B303" s="3">
        <v>556</v>
      </c>
      <c r="C303" s="3" t="s">
        <v>2776</v>
      </c>
      <c r="D303" s="3" t="s">
        <v>2777</v>
      </c>
      <c r="E303" s="3" t="s">
        <v>1477</v>
      </c>
      <c r="F303" s="3" t="s">
        <v>2778</v>
      </c>
      <c r="G303" s="3" t="s">
        <v>2779</v>
      </c>
      <c r="H303" s="3" t="s">
        <v>76</v>
      </c>
      <c r="I303" s="3" t="s">
        <v>73</v>
      </c>
      <c r="J303" s="3" t="s">
        <v>53</v>
      </c>
      <c r="K303" s="3" t="s">
        <v>53</v>
      </c>
      <c r="L303" s="6" t="s">
        <v>805</v>
      </c>
      <c r="M303" s="6" t="s">
        <v>311</v>
      </c>
      <c r="N303" s="3" t="s">
        <v>637</v>
      </c>
      <c r="O303" s="3" t="s">
        <v>62</v>
      </c>
      <c r="P303" s="3" t="s">
        <v>1219</v>
      </c>
      <c r="Q303" s="137">
        <v>18080.349999999999</v>
      </c>
      <c r="R303" s="139">
        <v>1</v>
      </c>
      <c r="S303" s="140">
        <v>1256</v>
      </c>
      <c r="U303" s="137">
        <v>227.089</v>
      </c>
      <c r="V303" s="138">
        <v>2.5000000000000001E-4</v>
      </c>
      <c r="W303" s="138">
        <v>4.1925396793219697E-3</v>
      </c>
      <c r="X303" s="138">
        <v>6.8095438010342497E-4</v>
      </c>
    </row>
    <row r="304" spans="1:24" x14ac:dyDescent="0.2">
      <c r="A304" s="3">
        <v>559</v>
      </c>
      <c r="B304" s="3">
        <v>556</v>
      </c>
      <c r="C304" s="3" t="s">
        <v>2780</v>
      </c>
      <c r="D304" s="3" t="s">
        <v>2781</v>
      </c>
      <c r="E304" s="3" t="s">
        <v>1477</v>
      </c>
      <c r="F304" s="3" t="s">
        <v>2782</v>
      </c>
      <c r="G304" s="3" t="s">
        <v>2783</v>
      </c>
      <c r="H304" s="3" t="s">
        <v>76</v>
      </c>
      <c r="I304" s="3" t="s">
        <v>73</v>
      </c>
      <c r="J304" s="3" t="s">
        <v>53</v>
      </c>
      <c r="K304" s="3" t="s">
        <v>53</v>
      </c>
      <c r="L304" s="6" t="s">
        <v>805</v>
      </c>
      <c r="M304" s="6" t="s">
        <v>311</v>
      </c>
      <c r="N304" s="3" t="s">
        <v>260</v>
      </c>
      <c r="O304" s="3" t="s">
        <v>62</v>
      </c>
      <c r="P304" s="3" t="s">
        <v>1219</v>
      </c>
      <c r="Q304" s="137">
        <v>2570</v>
      </c>
      <c r="R304" s="139">
        <v>1</v>
      </c>
      <c r="S304" s="140">
        <v>2555</v>
      </c>
      <c r="U304" s="137">
        <v>65.662999999999997</v>
      </c>
      <c r="V304" s="138">
        <v>1.2999999999999999E-5</v>
      </c>
      <c r="W304" s="138">
        <v>1.21228501435691E-3</v>
      </c>
      <c r="X304" s="138">
        <v>1.96899935027826E-4</v>
      </c>
    </row>
    <row r="305" spans="1:24" x14ac:dyDescent="0.2">
      <c r="A305" s="3">
        <v>559</v>
      </c>
      <c r="B305" s="3">
        <v>556</v>
      </c>
      <c r="C305" s="3" t="s">
        <v>2103</v>
      </c>
      <c r="D305" s="3" t="s">
        <v>2104</v>
      </c>
      <c r="E305" s="3" t="s">
        <v>1477</v>
      </c>
      <c r="F305" s="3" t="s">
        <v>2784</v>
      </c>
      <c r="G305" s="3" t="s">
        <v>2785</v>
      </c>
      <c r="H305" s="3" t="s">
        <v>76</v>
      </c>
      <c r="I305" s="3" t="s">
        <v>73</v>
      </c>
      <c r="J305" s="3" t="s">
        <v>53</v>
      </c>
      <c r="K305" s="3" t="s">
        <v>317</v>
      </c>
      <c r="L305" s="6" t="s">
        <v>805</v>
      </c>
      <c r="M305" s="6" t="s">
        <v>311</v>
      </c>
      <c r="N305" s="3" t="s">
        <v>254</v>
      </c>
      <c r="O305" s="3" t="s">
        <v>62</v>
      </c>
      <c r="P305" s="3" t="s">
        <v>1219</v>
      </c>
      <c r="Q305" s="137">
        <v>3020</v>
      </c>
      <c r="R305" s="139">
        <v>1</v>
      </c>
      <c r="S305" s="140">
        <v>19820</v>
      </c>
      <c r="U305" s="137">
        <v>598.56399999999996</v>
      </c>
      <c r="V305" s="138">
        <v>2.33E-4</v>
      </c>
      <c r="W305" s="138">
        <v>1.1050738497544701E-2</v>
      </c>
      <c r="X305" s="138">
        <v>1.79486644345787E-3</v>
      </c>
    </row>
    <row r="306" spans="1:24" x14ac:dyDescent="0.2">
      <c r="A306" s="3">
        <v>559</v>
      </c>
      <c r="B306" s="3">
        <v>556</v>
      </c>
      <c r="C306" s="3" t="s">
        <v>2111</v>
      </c>
      <c r="D306" s="3" t="s">
        <v>2112</v>
      </c>
      <c r="E306" s="3" t="s">
        <v>1477</v>
      </c>
      <c r="F306" s="3" t="s">
        <v>2786</v>
      </c>
      <c r="G306" s="3" t="s">
        <v>2787</v>
      </c>
      <c r="H306" s="3" t="s">
        <v>76</v>
      </c>
      <c r="I306" s="3" t="s">
        <v>73</v>
      </c>
      <c r="J306" s="3" t="s">
        <v>53</v>
      </c>
      <c r="K306" s="3" t="s">
        <v>53</v>
      </c>
      <c r="L306" s="6" t="s">
        <v>805</v>
      </c>
      <c r="M306" s="6" t="s">
        <v>311</v>
      </c>
      <c r="N306" s="3" t="s">
        <v>140</v>
      </c>
      <c r="O306" s="3" t="s">
        <v>62</v>
      </c>
      <c r="P306" s="3" t="s">
        <v>1219</v>
      </c>
      <c r="Q306" s="137">
        <v>1866</v>
      </c>
      <c r="R306" s="139">
        <v>1</v>
      </c>
      <c r="S306" s="140">
        <v>11810</v>
      </c>
      <c r="U306" s="137">
        <v>220.375</v>
      </c>
      <c r="V306" s="138">
        <v>8.2000000000000001E-5</v>
      </c>
      <c r="W306" s="138">
        <v>4.0685742478682599E-3</v>
      </c>
      <c r="X306" s="138">
        <v>6.6081985306575399E-4</v>
      </c>
    </row>
    <row r="307" spans="1:24" x14ac:dyDescent="0.2">
      <c r="A307" s="3">
        <v>559</v>
      </c>
      <c r="B307" s="3">
        <v>556</v>
      </c>
      <c r="C307" s="3" t="s">
        <v>2122</v>
      </c>
      <c r="D307" s="3" t="s">
        <v>2123</v>
      </c>
      <c r="E307" s="3" t="s">
        <v>1477</v>
      </c>
      <c r="F307" s="3" t="s">
        <v>2788</v>
      </c>
      <c r="G307" s="3" t="s">
        <v>2789</v>
      </c>
      <c r="H307" s="3" t="s">
        <v>76</v>
      </c>
      <c r="I307" s="3" t="s">
        <v>73</v>
      </c>
      <c r="J307" s="3" t="s">
        <v>53</v>
      </c>
      <c r="K307" s="3" t="s">
        <v>53</v>
      </c>
      <c r="L307" s="6" t="s">
        <v>805</v>
      </c>
      <c r="M307" s="6" t="s">
        <v>311</v>
      </c>
      <c r="N307" s="3" t="s">
        <v>259</v>
      </c>
      <c r="O307" s="3" t="s">
        <v>62</v>
      </c>
      <c r="P307" s="3" t="s">
        <v>1219</v>
      </c>
      <c r="Q307" s="137">
        <v>746</v>
      </c>
      <c r="R307" s="139">
        <v>1</v>
      </c>
      <c r="S307" s="140">
        <v>58480</v>
      </c>
      <c r="U307" s="137">
        <v>436.26100000000002</v>
      </c>
      <c r="V307" s="138">
        <v>4.5000000000000003E-5</v>
      </c>
      <c r="W307" s="138">
        <v>8.0542832805341694E-3</v>
      </c>
      <c r="X307" s="138">
        <v>1.3081806966608099E-3</v>
      </c>
    </row>
    <row r="308" spans="1:24" x14ac:dyDescent="0.2">
      <c r="A308" s="3">
        <v>559</v>
      </c>
      <c r="B308" s="3">
        <v>556</v>
      </c>
      <c r="C308" s="3" t="s">
        <v>2790</v>
      </c>
      <c r="D308" s="3" t="s">
        <v>2791</v>
      </c>
      <c r="E308" s="3" t="s">
        <v>1477</v>
      </c>
      <c r="F308" s="3" t="s">
        <v>2792</v>
      </c>
      <c r="G308" s="3" t="s">
        <v>2793</v>
      </c>
      <c r="H308" s="3" t="s">
        <v>76</v>
      </c>
      <c r="I308" s="3" t="s">
        <v>73</v>
      </c>
      <c r="J308" s="3" t="s">
        <v>53</v>
      </c>
      <c r="K308" s="3" t="s">
        <v>314</v>
      </c>
      <c r="L308" s="6" t="s">
        <v>805</v>
      </c>
      <c r="M308" s="6" t="s">
        <v>311</v>
      </c>
      <c r="N308" s="3" t="s">
        <v>254</v>
      </c>
      <c r="O308" s="3" t="s">
        <v>62</v>
      </c>
      <c r="P308" s="3" t="s">
        <v>1219</v>
      </c>
      <c r="Q308" s="137">
        <v>1740</v>
      </c>
      <c r="R308" s="139">
        <v>1</v>
      </c>
      <c r="S308" s="140">
        <v>38800</v>
      </c>
      <c r="U308" s="137">
        <v>675.12</v>
      </c>
      <c r="V308" s="138">
        <v>3.8000000000000002E-4</v>
      </c>
      <c r="W308" s="138">
        <v>1.24641217555055E-2</v>
      </c>
      <c r="X308" s="138">
        <v>2.0244288552389998E-3</v>
      </c>
    </row>
    <row r="309" spans="1:24" x14ac:dyDescent="0.2">
      <c r="A309" s="3">
        <v>559</v>
      </c>
      <c r="B309" s="3">
        <v>556</v>
      </c>
      <c r="C309" s="3" t="s">
        <v>2794</v>
      </c>
      <c r="D309" s="3" t="s">
        <v>2795</v>
      </c>
      <c r="E309" s="3" t="s">
        <v>1477</v>
      </c>
      <c r="F309" s="3" t="s">
        <v>2796</v>
      </c>
      <c r="G309" s="3" t="s">
        <v>2797</v>
      </c>
      <c r="H309" s="3" t="s">
        <v>76</v>
      </c>
      <c r="I309" s="3" t="s">
        <v>73</v>
      </c>
      <c r="J309" s="3" t="s">
        <v>53</v>
      </c>
      <c r="K309" s="3" t="s">
        <v>317</v>
      </c>
      <c r="L309" s="6" t="s">
        <v>805</v>
      </c>
      <c r="M309" s="6" t="s">
        <v>311</v>
      </c>
      <c r="N309" s="3" t="s">
        <v>254</v>
      </c>
      <c r="O309" s="3" t="s">
        <v>62</v>
      </c>
      <c r="P309" s="3" t="s">
        <v>1219</v>
      </c>
      <c r="Q309" s="137">
        <v>950</v>
      </c>
      <c r="R309" s="139">
        <v>1</v>
      </c>
      <c r="S309" s="140">
        <v>29040</v>
      </c>
      <c r="U309" s="137">
        <v>275.88</v>
      </c>
      <c r="V309" s="138">
        <v>2.0000000000000002E-5</v>
      </c>
      <c r="W309" s="138">
        <v>5.0933195726816797E-3</v>
      </c>
      <c r="X309" s="138">
        <v>8.2725949843484798E-4</v>
      </c>
    </row>
    <row r="310" spans="1:24" x14ac:dyDescent="0.2">
      <c r="A310" s="3">
        <v>559</v>
      </c>
      <c r="B310" s="3">
        <v>556</v>
      </c>
      <c r="C310" s="3" t="s">
        <v>2798</v>
      </c>
      <c r="D310" s="3" t="s">
        <v>2799</v>
      </c>
      <c r="E310" s="3" t="s">
        <v>430</v>
      </c>
      <c r="F310" s="3" t="s">
        <v>2800</v>
      </c>
      <c r="G310" s="3" t="s">
        <v>2801</v>
      </c>
      <c r="H310" s="3" t="s">
        <v>76</v>
      </c>
      <c r="I310" s="3" t="s">
        <v>73</v>
      </c>
      <c r="J310" s="3" t="s">
        <v>53</v>
      </c>
      <c r="K310" s="3" t="s">
        <v>53</v>
      </c>
      <c r="L310" s="6" t="s">
        <v>805</v>
      </c>
      <c r="M310" s="6" t="s">
        <v>311</v>
      </c>
      <c r="N310" s="3" t="s">
        <v>692</v>
      </c>
      <c r="O310" s="3" t="s">
        <v>62</v>
      </c>
      <c r="P310" s="3" t="s">
        <v>1219</v>
      </c>
      <c r="Q310" s="137">
        <v>5991</v>
      </c>
      <c r="R310" s="139">
        <v>1</v>
      </c>
      <c r="S310" s="140">
        <v>13890</v>
      </c>
      <c r="U310" s="137">
        <v>832.15</v>
      </c>
      <c r="V310" s="138">
        <v>1.15E-4</v>
      </c>
      <c r="W310" s="138">
        <v>1.5363220868040799E-2</v>
      </c>
      <c r="X310" s="138">
        <v>2.4953019751218202E-3</v>
      </c>
    </row>
    <row r="311" spans="1:24" x14ac:dyDescent="0.2">
      <c r="A311" s="3">
        <v>559</v>
      </c>
      <c r="B311" s="3">
        <v>556</v>
      </c>
      <c r="C311" s="3" t="s">
        <v>2881</v>
      </c>
      <c r="D311" s="3" t="s">
        <v>2882</v>
      </c>
      <c r="E311" s="3" t="s">
        <v>1477</v>
      </c>
      <c r="F311" s="3" t="s">
        <v>2883</v>
      </c>
      <c r="G311" s="3" t="s">
        <v>2884</v>
      </c>
      <c r="H311" s="3" t="s">
        <v>76</v>
      </c>
      <c r="I311" s="3" t="s">
        <v>73</v>
      </c>
      <c r="J311" s="3" t="s">
        <v>53</v>
      </c>
      <c r="K311" s="3" t="s">
        <v>53</v>
      </c>
      <c r="L311" s="6" t="s">
        <v>805</v>
      </c>
      <c r="M311" s="6" t="s">
        <v>311</v>
      </c>
      <c r="N311" s="3" t="s">
        <v>270</v>
      </c>
      <c r="O311" s="3" t="s">
        <v>62</v>
      </c>
      <c r="P311" s="3" t="s">
        <v>1219</v>
      </c>
      <c r="Q311" s="137">
        <v>174940.9</v>
      </c>
      <c r="R311" s="139">
        <v>1</v>
      </c>
      <c r="S311" s="140">
        <v>56.5</v>
      </c>
      <c r="U311" s="137">
        <v>98.841999999999999</v>
      </c>
      <c r="V311" s="138">
        <v>1.1789999999999999E-3</v>
      </c>
      <c r="W311" s="138">
        <v>1.8248220210540401E-3</v>
      </c>
      <c r="X311" s="138">
        <v>2.9638850033421598E-4</v>
      </c>
    </row>
    <row r="312" spans="1:24" x14ac:dyDescent="0.2">
      <c r="A312" s="3">
        <v>559</v>
      </c>
      <c r="B312" s="3">
        <v>556</v>
      </c>
      <c r="C312" s="3" t="s">
        <v>2802</v>
      </c>
      <c r="D312" s="3" t="s">
        <v>2803</v>
      </c>
      <c r="E312" s="3" t="s">
        <v>1477</v>
      </c>
      <c r="F312" s="3" t="s">
        <v>2804</v>
      </c>
      <c r="G312" s="3" t="s">
        <v>2805</v>
      </c>
      <c r="H312" s="3" t="s">
        <v>76</v>
      </c>
      <c r="I312" s="3" t="s">
        <v>73</v>
      </c>
      <c r="J312" s="3" t="s">
        <v>53</v>
      </c>
      <c r="K312" s="3" t="s">
        <v>53</v>
      </c>
      <c r="L312" s="6" t="s">
        <v>805</v>
      </c>
      <c r="M312" s="6" t="s">
        <v>311</v>
      </c>
      <c r="N312" s="3" t="s">
        <v>261</v>
      </c>
      <c r="O312" s="3" t="s">
        <v>62</v>
      </c>
      <c r="P312" s="3" t="s">
        <v>1219</v>
      </c>
      <c r="Q312" s="137">
        <v>1385</v>
      </c>
      <c r="R312" s="139">
        <v>1</v>
      </c>
      <c r="S312" s="140">
        <v>8117</v>
      </c>
      <c r="U312" s="137">
        <v>112.42</v>
      </c>
      <c r="V312" s="138">
        <v>1.1E-4</v>
      </c>
      <c r="W312" s="138">
        <v>2.0755157255135598E-3</v>
      </c>
      <c r="X312" s="138">
        <v>3.3710629650869899E-4</v>
      </c>
    </row>
    <row r="313" spans="1:24" x14ac:dyDescent="0.2">
      <c r="A313" s="3">
        <v>559</v>
      </c>
      <c r="B313" s="3">
        <v>556</v>
      </c>
      <c r="C313" s="3" t="s">
        <v>2885</v>
      </c>
      <c r="D313" s="3" t="s">
        <v>2886</v>
      </c>
      <c r="E313" s="3" t="s">
        <v>1477</v>
      </c>
      <c r="F313" s="3" t="s">
        <v>2887</v>
      </c>
      <c r="G313" s="3" t="s">
        <v>2888</v>
      </c>
      <c r="H313" s="3" t="s">
        <v>76</v>
      </c>
      <c r="I313" s="3" t="s">
        <v>73</v>
      </c>
      <c r="J313" s="3" t="s">
        <v>53</v>
      </c>
      <c r="K313" s="3" t="s">
        <v>53</v>
      </c>
      <c r="L313" s="6" t="s">
        <v>805</v>
      </c>
      <c r="M313" s="6" t="s">
        <v>311</v>
      </c>
      <c r="N313" s="3" t="s">
        <v>75</v>
      </c>
      <c r="O313" s="3" t="s">
        <v>62</v>
      </c>
      <c r="P313" s="3" t="s">
        <v>1219</v>
      </c>
      <c r="Q313" s="137">
        <v>1842.75</v>
      </c>
      <c r="R313" s="139">
        <v>1</v>
      </c>
      <c r="S313" s="140">
        <v>5925</v>
      </c>
      <c r="U313" s="137">
        <v>109.18300000000001</v>
      </c>
      <c r="V313" s="138">
        <v>4.37E-4</v>
      </c>
      <c r="W313" s="138">
        <v>2.0157444996796799E-3</v>
      </c>
      <c r="X313" s="138">
        <v>3.2739822427828497E-4</v>
      </c>
    </row>
    <row r="314" spans="1:24" x14ac:dyDescent="0.2">
      <c r="A314" s="3">
        <v>559</v>
      </c>
      <c r="B314" s="3">
        <v>556</v>
      </c>
      <c r="C314" s="3" t="s">
        <v>2806</v>
      </c>
      <c r="D314" s="3" t="s">
        <v>2807</v>
      </c>
      <c r="E314" s="3" t="s">
        <v>1477</v>
      </c>
      <c r="F314" s="3" t="s">
        <v>2808</v>
      </c>
      <c r="G314" s="3" t="s">
        <v>2809</v>
      </c>
      <c r="H314" s="3" t="s">
        <v>76</v>
      </c>
      <c r="I314" s="3" t="s">
        <v>73</v>
      </c>
      <c r="J314" s="3" t="s">
        <v>53</v>
      </c>
      <c r="K314" s="3" t="s">
        <v>53</v>
      </c>
      <c r="L314" s="6" t="s">
        <v>805</v>
      </c>
      <c r="M314" s="6" t="s">
        <v>311</v>
      </c>
      <c r="N314" s="3" t="s">
        <v>265</v>
      </c>
      <c r="O314" s="3" t="s">
        <v>62</v>
      </c>
      <c r="P314" s="3" t="s">
        <v>1219</v>
      </c>
      <c r="Q314" s="137">
        <v>17740</v>
      </c>
      <c r="R314" s="139">
        <v>1</v>
      </c>
      <c r="S314" s="140">
        <v>212.9</v>
      </c>
      <c r="U314" s="137">
        <v>37.768000000000001</v>
      </c>
      <c r="V314" s="138">
        <v>2.0799999999999999E-4</v>
      </c>
      <c r="W314" s="138">
        <v>6.9728445899682801E-4</v>
      </c>
      <c r="X314" s="138">
        <v>1.1325328866266701E-4</v>
      </c>
    </row>
    <row r="315" spans="1:24" x14ac:dyDescent="0.2">
      <c r="A315" s="3">
        <v>559</v>
      </c>
      <c r="B315" s="3">
        <v>556</v>
      </c>
      <c r="C315" s="3" t="s">
        <v>2157</v>
      </c>
      <c r="D315" s="3" t="s">
        <v>2158</v>
      </c>
      <c r="E315" s="3" t="s">
        <v>1477</v>
      </c>
      <c r="F315" s="3" t="s">
        <v>2810</v>
      </c>
      <c r="G315" s="3" t="s">
        <v>2811</v>
      </c>
      <c r="H315" s="3" t="s">
        <v>76</v>
      </c>
      <c r="I315" s="3" t="s">
        <v>73</v>
      </c>
      <c r="J315" s="3" t="s">
        <v>53</v>
      </c>
      <c r="K315" s="3" t="s">
        <v>53</v>
      </c>
      <c r="L315" s="6" t="s">
        <v>805</v>
      </c>
      <c r="M315" s="6" t="s">
        <v>311</v>
      </c>
      <c r="N315" s="3" t="s">
        <v>635</v>
      </c>
      <c r="O315" s="3" t="s">
        <v>62</v>
      </c>
      <c r="P315" s="3" t="s">
        <v>1219</v>
      </c>
      <c r="Q315" s="137">
        <v>3355</v>
      </c>
      <c r="R315" s="139">
        <v>1</v>
      </c>
      <c r="S315" s="140">
        <v>2261</v>
      </c>
      <c r="U315" s="137">
        <v>75.856999999999999</v>
      </c>
      <c r="V315" s="138">
        <v>1.7E-5</v>
      </c>
      <c r="W315" s="138">
        <v>1.4004699537157701E-3</v>
      </c>
      <c r="X315" s="138">
        <v>2.27465026482521E-4</v>
      </c>
    </row>
    <row r="316" spans="1:24" x14ac:dyDescent="0.2">
      <c r="A316" s="3">
        <v>559</v>
      </c>
      <c r="B316" s="3">
        <v>556</v>
      </c>
      <c r="C316" s="3" t="s">
        <v>2812</v>
      </c>
      <c r="D316" s="3" t="s">
        <v>2813</v>
      </c>
      <c r="E316" s="3" t="s">
        <v>1477</v>
      </c>
      <c r="F316" s="3" t="s">
        <v>2814</v>
      </c>
      <c r="G316" s="3" t="s">
        <v>2815</v>
      </c>
      <c r="H316" s="3" t="s">
        <v>76</v>
      </c>
      <c r="I316" s="3" t="s">
        <v>73</v>
      </c>
      <c r="J316" s="3" t="s">
        <v>53</v>
      </c>
      <c r="K316" s="3" t="s">
        <v>53</v>
      </c>
      <c r="L316" s="6" t="s">
        <v>805</v>
      </c>
      <c r="M316" s="6" t="s">
        <v>311</v>
      </c>
      <c r="N316" s="3" t="s">
        <v>634</v>
      </c>
      <c r="O316" s="3" t="s">
        <v>62</v>
      </c>
      <c r="P316" s="3" t="s">
        <v>1219</v>
      </c>
      <c r="Q316" s="137">
        <v>1416</v>
      </c>
      <c r="R316" s="139">
        <v>1</v>
      </c>
      <c r="S316" s="140">
        <v>6518</v>
      </c>
      <c r="U316" s="137">
        <v>92.295000000000002</v>
      </c>
      <c r="V316" s="138">
        <v>2.9E-5</v>
      </c>
      <c r="W316" s="138">
        <v>1.70395577338809E-3</v>
      </c>
      <c r="X316" s="138">
        <v>2.7675734426890102E-4</v>
      </c>
    </row>
    <row r="317" spans="1:24" x14ac:dyDescent="0.2">
      <c r="A317" s="3">
        <v>559</v>
      </c>
      <c r="B317" s="3">
        <v>556</v>
      </c>
      <c r="C317" s="3" t="s">
        <v>2816</v>
      </c>
      <c r="D317" s="3" t="s">
        <v>2817</v>
      </c>
      <c r="E317" s="3" t="s">
        <v>1477</v>
      </c>
      <c r="F317" s="3" t="s">
        <v>2818</v>
      </c>
      <c r="G317" s="3" t="s">
        <v>2819</v>
      </c>
      <c r="H317" s="3" t="s">
        <v>76</v>
      </c>
      <c r="I317" s="3" t="s">
        <v>73</v>
      </c>
      <c r="J317" s="3" t="s">
        <v>53</v>
      </c>
      <c r="K317" s="3" t="s">
        <v>53</v>
      </c>
      <c r="L317" s="6" t="s">
        <v>805</v>
      </c>
      <c r="M317" s="6" t="s">
        <v>311</v>
      </c>
      <c r="N317" s="3" t="s">
        <v>265</v>
      </c>
      <c r="O317" s="3" t="s">
        <v>62</v>
      </c>
      <c r="P317" s="3" t="s">
        <v>1219</v>
      </c>
      <c r="Q317" s="137">
        <v>2119</v>
      </c>
      <c r="R317" s="139">
        <v>1</v>
      </c>
      <c r="S317" s="140">
        <v>1420</v>
      </c>
      <c r="U317" s="137">
        <v>30.09</v>
      </c>
      <c r="V317" s="138">
        <v>1.2300000000000001E-4</v>
      </c>
      <c r="W317" s="138">
        <v>5.5552039755718801E-4</v>
      </c>
      <c r="X317" s="138">
        <v>9.0227899289563906E-5</v>
      </c>
    </row>
    <row r="318" spans="1:24" x14ac:dyDescent="0.2">
      <c r="A318" s="3">
        <v>559</v>
      </c>
      <c r="B318" s="3">
        <v>556</v>
      </c>
      <c r="C318" s="3" t="s">
        <v>2820</v>
      </c>
      <c r="D318" s="3" t="s">
        <v>2821</v>
      </c>
      <c r="E318" s="3" t="s">
        <v>1477</v>
      </c>
      <c r="F318" s="3" t="s">
        <v>2822</v>
      </c>
      <c r="G318" s="3" t="s">
        <v>2823</v>
      </c>
      <c r="H318" s="3" t="s">
        <v>76</v>
      </c>
      <c r="I318" s="3" t="s">
        <v>73</v>
      </c>
      <c r="J318" s="3" t="s">
        <v>53</v>
      </c>
      <c r="K318" s="3" t="s">
        <v>53</v>
      </c>
      <c r="L318" s="6" t="s">
        <v>805</v>
      </c>
      <c r="M318" s="6" t="s">
        <v>311</v>
      </c>
      <c r="N318" s="3" t="s">
        <v>634</v>
      </c>
      <c r="O318" s="3" t="s">
        <v>62</v>
      </c>
      <c r="P318" s="3" t="s">
        <v>1219</v>
      </c>
      <c r="Q318" s="137">
        <v>732</v>
      </c>
      <c r="R318" s="139">
        <v>1</v>
      </c>
      <c r="S318" s="140">
        <v>32510</v>
      </c>
      <c r="U318" s="137">
        <v>237.97300000000001</v>
      </c>
      <c r="V318" s="138">
        <v>5.3000000000000001E-5</v>
      </c>
      <c r="W318" s="138">
        <v>4.3934810690651402E-3</v>
      </c>
      <c r="X318" s="138">
        <v>7.13591380574654E-4</v>
      </c>
    </row>
    <row r="319" spans="1:24" x14ac:dyDescent="0.2">
      <c r="A319" s="3">
        <v>559</v>
      </c>
      <c r="B319" s="3">
        <v>556</v>
      </c>
      <c r="C319" s="3" t="s">
        <v>2824</v>
      </c>
      <c r="D319" s="3" t="s">
        <v>2825</v>
      </c>
      <c r="E319" s="3" t="s">
        <v>1477</v>
      </c>
      <c r="F319" s="3" t="s">
        <v>2826</v>
      </c>
      <c r="G319" s="3" t="s">
        <v>2827</v>
      </c>
      <c r="H319" s="3" t="s">
        <v>76</v>
      </c>
      <c r="I319" s="3" t="s">
        <v>73</v>
      </c>
      <c r="J319" s="3" t="s">
        <v>53</v>
      </c>
      <c r="K319" s="3" t="s">
        <v>53</v>
      </c>
      <c r="L319" s="6" t="s">
        <v>805</v>
      </c>
      <c r="M319" s="6" t="s">
        <v>311</v>
      </c>
      <c r="N319" s="3" t="s">
        <v>634</v>
      </c>
      <c r="O319" s="3" t="s">
        <v>62</v>
      </c>
      <c r="P319" s="3" t="s">
        <v>1219</v>
      </c>
      <c r="Q319" s="137">
        <v>8338</v>
      </c>
      <c r="R319" s="139">
        <v>1</v>
      </c>
      <c r="S319" s="140">
        <v>3869</v>
      </c>
      <c r="U319" s="137">
        <v>322.59699999999998</v>
      </c>
      <c r="V319" s="138">
        <v>3.0000000000000001E-5</v>
      </c>
      <c r="W319" s="138">
        <v>5.95581678526424E-3</v>
      </c>
      <c r="X319" s="138">
        <v>9.6734672471247005E-4</v>
      </c>
    </row>
    <row r="320" spans="1:24" x14ac:dyDescent="0.2">
      <c r="A320" s="3">
        <v>559</v>
      </c>
      <c r="B320" s="3">
        <v>556</v>
      </c>
      <c r="C320" s="3" t="s">
        <v>2174</v>
      </c>
      <c r="D320" s="3" t="s">
        <v>2175</v>
      </c>
      <c r="E320" s="3" t="s">
        <v>1477</v>
      </c>
      <c r="F320" s="3" t="s">
        <v>2828</v>
      </c>
      <c r="G320" s="3" t="s">
        <v>2829</v>
      </c>
      <c r="H320" s="3" t="s">
        <v>76</v>
      </c>
      <c r="I320" s="3" t="s">
        <v>73</v>
      </c>
      <c r="J320" s="3" t="s">
        <v>53</v>
      </c>
      <c r="K320" s="3" t="s">
        <v>53</v>
      </c>
      <c r="L320" s="6" t="s">
        <v>805</v>
      </c>
      <c r="M320" s="6" t="s">
        <v>311</v>
      </c>
      <c r="N320" s="3" t="s">
        <v>261</v>
      </c>
      <c r="O320" s="3" t="s">
        <v>62</v>
      </c>
      <c r="P320" s="3" t="s">
        <v>1219</v>
      </c>
      <c r="Q320" s="137">
        <v>14330</v>
      </c>
      <c r="R320" s="139">
        <v>1</v>
      </c>
      <c r="S320" s="140">
        <v>9235</v>
      </c>
      <c r="U320" s="137">
        <v>1323.376</v>
      </c>
      <c r="V320" s="138">
        <v>1.22E-4</v>
      </c>
      <c r="W320" s="138">
        <v>2.4432268871093999E-2</v>
      </c>
      <c r="X320" s="138">
        <v>3.9683012627626697E-3</v>
      </c>
    </row>
    <row r="321" spans="1:24" x14ac:dyDescent="0.2">
      <c r="A321" s="3">
        <v>559</v>
      </c>
      <c r="B321" s="3">
        <v>556</v>
      </c>
      <c r="C321" s="3" t="s">
        <v>2830</v>
      </c>
      <c r="D321" s="3" t="s">
        <v>2831</v>
      </c>
      <c r="E321" s="3" t="s">
        <v>1477</v>
      </c>
      <c r="F321" s="3" t="s">
        <v>2832</v>
      </c>
      <c r="G321" s="3" t="s">
        <v>2833</v>
      </c>
      <c r="H321" s="3" t="s">
        <v>76</v>
      </c>
      <c r="I321" s="3" t="s">
        <v>73</v>
      </c>
      <c r="J321" s="3" t="s">
        <v>53</v>
      </c>
      <c r="K321" s="3" t="s">
        <v>53</v>
      </c>
      <c r="L321" s="6" t="s">
        <v>805</v>
      </c>
      <c r="M321" s="6" t="s">
        <v>311</v>
      </c>
      <c r="N321" s="3" t="s">
        <v>264</v>
      </c>
      <c r="O321" s="3" t="s">
        <v>62</v>
      </c>
      <c r="P321" s="3" t="s">
        <v>1219</v>
      </c>
      <c r="Q321" s="137">
        <v>1060</v>
      </c>
      <c r="R321" s="139">
        <v>1</v>
      </c>
      <c r="S321" s="140">
        <v>10400</v>
      </c>
      <c r="U321" s="137">
        <v>110.24</v>
      </c>
      <c r="V321" s="138">
        <v>8.1000000000000004E-5</v>
      </c>
      <c r="W321" s="138">
        <v>2.0352600757301302E-3</v>
      </c>
      <c r="X321" s="138">
        <v>3.3056795384753398E-4</v>
      </c>
    </row>
    <row r="322" spans="1:24" x14ac:dyDescent="0.2">
      <c r="A322" s="3">
        <v>559</v>
      </c>
      <c r="B322" s="3">
        <v>556</v>
      </c>
      <c r="C322" s="3" t="s">
        <v>2889</v>
      </c>
      <c r="D322" s="3" t="s">
        <v>2890</v>
      </c>
      <c r="E322" s="3" t="s">
        <v>1477</v>
      </c>
      <c r="F322" s="3" t="s">
        <v>2891</v>
      </c>
      <c r="G322" s="3" t="s">
        <v>2892</v>
      </c>
      <c r="H322" s="3" t="s">
        <v>76</v>
      </c>
      <c r="I322" s="3" t="s">
        <v>73</v>
      </c>
      <c r="J322" s="3" t="s">
        <v>53</v>
      </c>
      <c r="K322" s="3" t="s">
        <v>53</v>
      </c>
      <c r="L322" s="6" t="s">
        <v>805</v>
      </c>
      <c r="M322" s="6" t="s">
        <v>311</v>
      </c>
      <c r="N322" s="3" t="s">
        <v>692</v>
      </c>
      <c r="O322" s="3" t="s">
        <v>62</v>
      </c>
      <c r="P322" s="3" t="s">
        <v>1219</v>
      </c>
      <c r="Q322" s="137">
        <v>750</v>
      </c>
      <c r="R322" s="139">
        <v>1</v>
      </c>
      <c r="S322" s="140">
        <v>570.6</v>
      </c>
      <c r="U322" s="137">
        <v>4.2789999999999999</v>
      </c>
      <c r="V322" s="138">
        <v>1.15E-4</v>
      </c>
      <c r="W322" s="138">
        <v>7.9008485976842196E-5</v>
      </c>
      <c r="X322" s="138">
        <v>1.2832597591532299E-5</v>
      </c>
    </row>
    <row r="323" spans="1:24" x14ac:dyDescent="0.2">
      <c r="A323" s="3">
        <v>559</v>
      </c>
      <c r="B323" s="3">
        <v>556</v>
      </c>
      <c r="C323" s="3" t="s">
        <v>2834</v>
      </c>
      <c r="D323" s="3" t="s">
        <v>2835</v>
      </c>
      <c r="E323" s="3" t="s">
        <v>1477</v>
      </c>
      <c r="F323" s="3" t="s">
        <v>2836</v>
      </c>
      <c r="G323" s="3" t="s">
        <v>2837</v>
      </c>
      <c r="H323" s="3" t="s">
        <v>76</v>
      </c>
      <c r="I323" s="3" t="s">
        <v>73</v>
      </c>
      <c r="J323" s="3" t="s">
        <v>53</v>
      </c>
      <c r="K323" s="3" t="s">
        <v>317</v>
      </c>
      <c r="L323" s="6" t="s">
        <v>805</v>
      </c>
      <c r="M323" s="6" t="s">
        <v>311</v>
      </c>
      <c r="N323" s="3" t="s">
        <v>261</v>
      </c>
      <c r="O323" s="3" t="s">
        <v>62</v>
      </c>
      <c r="P323" s="3" t="s">
        <v>1219</v>
      </c>
      <c r="Q323" s="137">
        <v>17791</v>
      </c>
      <c r="R323" s="139">
        <v>1</v>
      </c>
      <c r="S323" s="140">
        <v>4070</v>
      </c>
      <c r="U323" s="137">
        <v>724.09400000000005</v>
      </c>
      <c r="V323" s="138">
        <v>1.76E-4</v>
      </c>
      <c r="W323" s="138">
        <v>1.33682782900736E-2</v>
      </c>
      <c r="X323" s="138">
        <v>2.1712824093150398E-3</v>
      </c>
    </row>
    <row r="324" spans="1:24" x14ac:dyDescent="0.2">
      <c r="A324" s="3">
        <v>559</v>
      </c>
      <c r="B324" s="3">
        <v>556</v>
      </c>
      <c r="C324" s="3" t="s">
        <v>2893</v>
      </c>
      <c r="D324" s="3" t="s">
        <v>2894</v>
      </c>
      <c r="E324" s="3" t="s">
        <v>1477</v>
      </c>
      <c r="F324" s="3" t="s">
        <v>2895</v>
      </c>
      <c r="G324" s="3" t="s">
        <v>2896</v>
      </c>
      <c r="H324" s="3" t="s">
        <v>76</v>
      </c>
      <c r="I324" s="3" t="s">
        <v>73</v>
      </c>
      <c r="J324" s="3" t="s">
        <v>53</v>
      </c>
      <c r="K324" s="3" t="s">
        <v>53</v>
      </c>
      <c r="L324" s="6" t="s">
        <v>805</v>
      </c>
      <c r="M324" s="6" t="s">
        <v>311</v>
      </c>
      <c r="N324" s="3" t="s">
        <v>140</v>
      </c>
      <c r="O324" s="3" t="s">
        <v>62</v>
      </c>
      <c r="P324" s="3" t="s">
        <v>1219</v>
      </c>
      <c r="Q324" s="137">
        <v>3933.3</v>
      </c>
      <c r="R324" s="139">
        <v>1</v>
      </c>
      <c r="S324" s="140">
        <v>1419</v>
      </c>
      <c r="U324" s="137">
        <v>55.814</v>
      </c>
      <c r="V324" s="138">
        <v>6.3000000000000003E-4</v>
      </c>
      <c r="W324" s="138">
        <v>1.03043399119E-3</v>
      </c>
      <c r="X324" s="138">
        <v>1.6736360139154601E-4</v>
      </c>
    </row>
    <row r="325" spans="1:24" x14ac:dyDescent="0.2">
      <c r="A325" s="3">
        <v>559</v>
      </c>
      <c r="B325" s="3">
        <v>556</v>
      </c>
      <c r="C325" s="3" t="s">
        <v>2897</v>
      </c>
      <c r="D325" s="3" t="s">
        <v>2898</v>
      </c>
      <c r="E325" s="3" t="s">
        <v>430</v>
      </c>
      <c r="F325" s="3" t="s">
        <v>2899</v>
      </c>
      <c r="G325" s="3" t="s">
        <v>2900</v>
      </c>
      <c r="H325" s="3" t="s">
        <v>76</v>
      </c>
      <c r="I325" s="3" t="s">
        <v>73</v>
      </c>
      <c r="J325" s="3" t="s">
        <v>61</v>
      </c>
      <c r="K325" s="3" t="s">
        <v>153</v>
      </c>
      <c r="L325" s="6" t="s">
        <v>805</v>
      </c>
      <c r="M325" s="6" t="s">
        <v>488</v>
      </c>
      <c r="N325" s="3" t="s">
        <v>915</v>
      </c>
      <c r="O325" s="3" t="s">
        <v>62</v>
      </c>
      <c r="P325" s="3" t="s">
        <v>1215</v>
      </c>
      <c r="Q325" s="137">
        <v>33499.758000000002</v>
      </c>
      <c r="R325" s="139">
        <v>3.9552</v>
      </c>
      <c r="S325" s="140">
        <v>311.2</v>
      </c>
      <c r="U325" s="137">
        <v>412.33499999999998</v>
      </c>
      <c r="V325" s="138">
        <v>2.1999999999999999E-5</v>
      </c>
      <c r="W325" s="138">
        <v>7.6125545197824798E-3</v>
      </c>
      <c r="X325" s="138">
        <v>1.23643489162167E-3</v>
      </c>
    </row>
    <row r="326" spans="1:24" x14ac:dyDescent="0.2">
      <c r="A326" s="3">
        <v>559</v>
      </c>
      <c r="B326" s="3">
        <v>556</v>
      </c>
      <c r="C326" s="3" t="s">
        <v>2901</v>
      </c>
      <c r="D326" s="3" t="s">
        <v>2902</v>
      </c>
      <c r="E326" s="3" t="s">
        <v>430</v>
      </c>
      <c r="F326" s="3" t="s">
        <v>2903</v>
      </c>
      <c r="G326" s="3" t="s">
        <v>2904</v>
      </c>
      <c r="H326" s="3" t="s">
        <v>76</v>
      </c>
      <c r="I326" s="3" t="s">
        <v>73</v>
      </c>
      <c r="J326" s="3" t="s">
        <v>61</v>
      </c>
      <c r="K326" s="3" t="s">
        <v>315</v>
      </c>
      <c r="L326" s="6" t="s">
        <v>805</v>
      </c>
      <c r="M326" s="6" t="s">
        <v>479</v>
      </c>
      <c r="N326" s="3" t="s">
        <v>894</v>
      </c>
      <c r="O326" s="3" t="s">
        <v>62</v>
      </c>
      <c r="P326" s="3" t="s">
        <v>1217</v>
      </c>
      <c r="Q326" s="137">
        <v>1320</v>
      </c>
      <c r="R326" s="139">
        <v>3.3719999999999999</v>
      </c>
      <c r="S326" s="140">
        <v>6988</v>
      </c>
      <c r="U326" s="137">
        <v>311.03899999999999</v>
      </c>
      <c r="V326" s="138">
        <v>0</v>
      </c>
      <c r="W326" s="138">
        <v>5.7424219670042798E-3</v>
      </c>
      <c r="X326" s="138">
        <v>9.32687032187152E-4</v>
      </c>
    </row>
    <row r="327" spans="1:24" x14ac:dyDescent="0.2">
      <c r="A327" s="3">
        <v>559</v>
      </c>
      <c r="B327" s="3">
        <v>556</v>
      </c>
      <c r="C327" s="3" t="s">
        <v>2905</v>
      </c>
      <c r="D327" s="3" t="s">
        <v>2906</v>
      </c>
      <c r="E327" s="3" t="s">
        <v>430</v>
      </c>
      <c r="F327" s="3" t="s">
        <v>2907</v>
      </c>
      <c r="G327" s="3" t="s">
        <v>2908</v>
      </c>
      <c r="H327" s="3" t="s">
        <v>76</v>
      </c>
      <c r="I327" s="3" t="s">
        <v>73</v>
      </c>
      <c r="J327" s="3" t="s">
        <v>61</v>
      </c>
      <c r="K327" s="3" t="s">
        <v>314</v>
      </c>
      <c r="L327" s="6" t="s">
        <v>805</v>
      </c>
      <c r="M327" s="6" t="s">
        <v>479</v>
      </c>
      <c r="N327" s="3" t="s">
        <v>2262</v>
      </c>
      <c r="O327" s="3" t="s">
        <v>62</v>
      </c>
      <c r="P327" s="3" t="s">
        <v>1217</v>
      </c>
      <c r="Q327" s="137">
        <v>1990</v>
      </c>
      <c r="R327" s="139">
        <v>3.3719999999999999</v>
      </c>
      <c r="S327" s="140">
        <v>197</v>
      </c>
      <c r="U327" s="137">
        <v>13.218999999999999</v>
      </c>
      <c r="V327" s="138">
        <v>5.5999999999999999E-5</v>
      </c>
      <c r="W327" s="138">
        <v>2.4405492573033099E-4</v>
      </c>
      <c r="X327" s="138">
        <v>3.96395224311297E-5</v>
      </c>
    </row>
    <row r="328" spans="1:24" x14ac:dyDescent="0.2">
      <c r="A328" s="3">
        <v>559</v>
      </c>
      <c r="B328" s="3">
        <v>556</v>
      </c>
      <c r="C328" s="3" t="s">
        <v>2909</v>
      </c>
      <c r="D328" s="3" t="s">
        <v>2910</v>
      </c>
      <c r="E328" s="3" t="s">
        <v>430</v>
      </c>
      <c r="F328" s="3" t="s">
        <v>2911</v>
      </c>
      <c r="G328" s="3" t="s">
        <v>2912</v>
      </c>
      <c r="H328" s="3" t="s">
        <v>76</v>
      </c>
      <c r="I328" s="3" t="s">
        <v>73</v>
      </c>
      <c r="J328" s="3" t="s">
        <v>61</v>
      </c>
      <c r="K328" s="3" t="s">
        <v>314</v>
      </c>
      <c r="L328" s="6" t="s">
        <v>805</v>
      </c>
      <c r="M328" s="6" t="s">
        <v>479</v>
      </c>
      <c r="N328" s="3" t="s">
        <v>899</v>
      </c>
      <c r="O328" s="3" t="s">
        <v>62</v>
      </c>
      <c r="P328" s="3" t="s">
        <v>1217</v>
      </c>
      <c r="Q328" s="137">
        <v>200</v>
      </c>
      <c r="R328" s="139">
        <v>3.3719999999999999</v>
      </c>
      <c r="S328" s="140">
        <v>22125</v>
      </c>
      <c r="U328" s="137">
        <v>149.21100000000001</v>
      </c>
      <c r="V328" s="138">
        <v>9.9999999999999995E-7</v>
      </c>
      <c r="W328" s="138">
        <v>2.7547459285174902E-3</v>
      </c>
      <c r="X328" s="138">
        <v>4.47427203932732E-4</v>
      </c>
    </row>
    <row r="329" spans="1:24" x14ac:dyDescent="0.2">
      <c r="A329" s="3">
        <v>559</v>
      </c>
      <c r="B329" s="3">
        <v>556</v>
      </c>
      <c r="C329" s="3" t="s">
        <v>2913</v>
      </c>
      <c r="D329" s="3" t="s">
        <v>2914</v>
      </c>
      <c r="E329" s="3" t="s">
        <v>430</v>
      </c>
      <c r="F329" s="3" t="s">
        <v>2915</v>
      </c>
      <c r="G329" s="3" t="s">
        <v>2916</v>
      </c>
      <c r="H329" s="3" t="s">
        <v>76</v>
      </c>
      <c r="I329" s="3" t="s">
        <v>73</v>
      </c>
      <c r="J329" s="3" t="s">
        <v>61</v>
      </c>
      <c r="K329" s="3" t="s">
        <v>314</v>
      </c>
      <c r="L329" s="6" t="s">
        <v>805</v>
      </c>
      <c r="M329" s="6" t="s">
        <v>476</v>
      </c>
      <c r="N329" s="3" t="s">
        <v>195</v>
      </c>
      <c r="O329" s="3" t="s">
        <v>62</v>
      </c>
      <c r="P329" s="3" t="s">
        <v>1217</v>
      </c>
      <c r="Q329" s="137">
        <v>1344</v>
      </c>
      <c r="R329" s="139">
        <v>3.3719999999999999</v>
      </c>
      <c r="S329" s="140">
        <v>8512</v>
      </c>
      <c r="T329" s="131">
        <v>3.0000000000000001E-3</v>
      </c>
      <c r="U329" s="137">
        <v>385.77199999999999</v>
      </c>
      <c r="V329" s="138">
        <v>0</v>
      </c>
      <c r="W329" s="138">
        <v>7.1221605887835599E-3</v>
      </c>
      <c r="X329" s="138">
        <v>1.1567848654246899E-3</v>
      </c>
    </row>
    <row r="330" spans="1:24" x14ac:dyDescent="0.2">
      <c r="A330" s="3">
        <v>559</v>
      </c>
      <c r="B330" s="3">
        <v>556</v>
      </c>
      <c r="C330" s="3" t="s">
        <v>2917</v>
      </c>
      <c r="D330" s="3" t="s">
        <v>2918</v>
      </c>
      <c r="E330" s="3" t="s">
        <v>430</v>
      </c>
      <c r="F330" s="3" t="s">
        <v>2919</v>
      </c>
      <c r="G330" s="3" t="s">
        <v>2920</v>
      </c>
      <c r="H330" s="3" t="s">
        <v>76</v>
      </c>
      <c r="I330" s="3" t="s">
        <v>73</v>
      </c>
      <c r="J330" s="3" t="s">
        <v>61</v>
      </c>
      <c r="K330" s="3" t="s">
        <v>315</v>
      </c>
      <c r="L330" s="6" t="s">
        <v>805</v>
      </c>
      <c r="M330" s="6" t="s">
        <v>476</v>
      </c>
      <c r="N330" s="3" t="s">
        <v>887</v>
      </c>
      <c r="O330" s="3" t="s">
        <v>62</v>
      </c>
      <c r="P330" s="3" t="s">
        <v>1217</v>
      </c>
      <c r="Q330" s="137">
        <v>450</v>
      </c>
      <c r="R330" s="139">
        <v>3.3719999999999999</v>
      </c>
      <c r="S330" s="140">
        <v>10084</v>
      </c>
      <c r="U330" s="137">
        <v>153.01499999999999</v>
      </c>
      <c r="V330" s="138">
        <v>9.9999999999999995E-7</v>
      </c>
      <c r="W330" s="138">
        <v>2.8249686043902099E-3</v>
      </c>
      <c r="X330" s="138">
        <v>4.5883280587705102E-4</v>
      </c>
    </row>
    <row r="331" spans="1:24" x14ac:dyDescent="0.2">
      <c r="A331" s="3">
        <v>559</v>
      </c>
      <c r="B331" s="3">
        <v>556</v>
      </c>
      <c r="C331" s="3" t="s">
        <v>2921</v>
      </c>
      <c r="D331" s="3" t="s">
        <v>2922</v>
      </c>
      <c r="E331" s="3" t="s">
        <v>430</v>
      </c>
      <c r="F331" s="3" t="s">
        <v>2923</v>
      </c>
      <c r="G331" s="3" t="s">
        <v>2924</v>
      </c>
      <c r="H331" s="3" t="s">
        <v>76</v>
      </c>
      <c r="I331" s="3" t="s">
        <v>73</v>
      </c>
      <c r="J331" s="3" t="s">
        <v>61</v>
      </c>
      <c r="K331" s="3" t="s">
        <v>317</v>
      </c>
      <c r="L331" s="6" t="s">
        <v>805</v>
      </c>
      <c r="M331" s="6" t="s">
        <v>476</v>
      </c>
      <c r="N331" s="3" t="s">
        <v>894</v>
      </c>
      <c r="O331" s="3" t="s">
        <v>62</v>
      </c>
      <c r="P331" s="3" t="s">
        <v>1217</v>
      </c>
      <c r="Q331" s="137">
        <v>1477.6</v>
      </c>
      <c r="R331" s="139">
        <v>3.3719999999999999</v>
      </c>
      <c r="S331" s="140">
        <v>3840</v>
      </c>
      <c r="U331" s="137">
        <v>191.327</v>
      </c>
      <c r="V331" s="138">
        <v>9.9999999999999995E-7</v>
      </c>
      <c r="W331" s="138">
        <v>3.5322902423668701E-3</v>
      </c>
      <c r="X331" s="138">
        <v>5.7371633814216005E-4</v>
      </c>
    </row>
    <row r="332" spans="1:24" x14ac:dyDescent="0.2">
      <c r="A332" s="3">
        <v>559</v>
      </c>
      <c r="B332" s="3">
        <v>556</v>
      </c>
      <c r="C332" s="3" t="s">
        <v>2290</v>
      </c>
      <c r="D332" s="3" t="s">
        <v>2291</v>
      </c>
      <c r="E332" s="3" t="s">
        <v>430</v>
      </c>
      <c r="F332" s="3" t="s">
        <v>2925</v>
      </c>
      <c r="G332" s="3" t="s">
        <v>2926</v>
      </c>
      <c r="H332" s="3" t="s">
        <v>76</v>
      </c>
      <c r="I332" s="3" t="s">
        <v>73</v>
      </c>
      <c r="J332" s="3" t="s">
        <v>61</v>
      </c>
      <c r="K332" s="3" t="s">
        <v>153</v>
      </c>
      <c r="L332" s="6" t="s">
        <v>805</v>
      </c>
      <c r="M332" s="6" t="s">
        <v>488</v>
      </c>
      <c r="N332" s="3" t="s">
        <v>915</v>
      </c>
      <c r="O332" s="3" t="s">
        <v>62</v>
      </c>
      <c r="P332" s="3" t="s">
        <v>1215</v>
      </c>
      <c r="Q332" s="137">
        <v>10691.93</v>
      </c>
      <c r="R332" s="139">
        <v>3.9552</v>
      </c>
      <c r="S332" s="140">
        <v>1106</v>
      </c>
      <c r="U332" s="137">
        <v>467.71300000000002</v>
      </c>
      <c r="V332" s="138">
        <v>6.0999999999999999E-5</v>
      </c>
      <c r="W332" s="138">
        <v>8.6349612241522194E-3</v>
      </c>
      <c r="X332" s="138">
        <v>1.4024946970950601E-3</v>
      </c>
    </row>
    <row r="333" spans="1:24" x14ac:dyDescent="0.2">
      <c r="A333" s="3">
        <v>559</v>
      </c>
      <c r="B333" s="3">
        <v>556</v>
      </c>
      <c r="C333" s="3" t="s">
        <v>2927</v>
      </c>
      <c r="D333" s="3" t="s">
        <v>2928</v>
      </c>
      <c r="E333" s="3" t="s">
        <v>1477</v>
      </c>
      <c r="F333" s="3" t="s">
        <v>2929</v>
      </c>
      <c r="G333" s="3" t="s">
        <v>2930</v>
      </c>
      <c r="H333" s="3" t="s">
        <v>76</v>
      </c>
      <c r="I333" s="3" t="s">
        <v>73</v>
      </c>
      <c r="J333" s="3" t="s">
        <v>61</v>
      </c>
      <c r="K333" s="3" t="s">
        <v>314</v>
      </c>
      <c r="L333" s="6" t="s">
        <v>805</v>
      </c>
      <c r="M333" s="6" t="s">
        <v>479</v>
      </c>
      <c r="N333" s="3" t="s">
        <v>890</v>
      </c>
      <c r="O333" s="3" t="s">
        <v>62</v>
      </c>
      <c r="P333" s="3" t="s">
        <v>1217</v>
      </c>
      <c r="Q333" s="137">
        <v>1389</v>
      </c>
      <c r="R333" s="139">
        <v>3.3719999999999999</v>
      </c>
      <c r="S333" s="140">
        <v>1444</v>
      </c>
      <c r="U333" s="137">
        <v>67.632999999999996</v>
      </c>
      <c r="V333" s="138">
        <v>1.5999999999999999E-5</v>
      </c>
      <c r="W333" s="138">
        <v>1.2486413524886799E-3</v>
      </c>
      <c r="X333" s="138">
        <v>2.0280494955099299E-4</v>
      </c>
    </row>
    <row r="334" spans="1:24" x14ac:dyDescent="0.2">
      <c r="A334" s="3">
        <v>559</v>
      </c>
      <c r="B334" s="3">
        <v>556</v>
      </c>
      <c r="C334" s="3" t="s">
        <v>2931</v>
      </c>
      <c r="D334" s="3" t="s">
        <v>2932</v>
      </c>
      <c r="E334" s="3" t="s">
        <v>430</v>
      </c>
      <c r="F334" s="3" t="s">
        <v>2933</v>
      </c>
      <c r="G334" s="3" t="s">
        <v>2934</v>
      </c>
      <c r="H334" s="3" t="s">
        <v>76</v>
      </c>
      <c r="I334" s="3" t="s">
        <v>73</v>
      </c>
      <c r="J334" s="3" t="s">
        <v>61</v>
      </c>
      <c r="K334" s="3" t="s">
        <v>314</v>
      </c>
      <c r="L334" s="6" t="s">
        <v>805</v>
      </c>
      <c r="M334" s="6" t="s">
        <v>476</v>
      </c>
      <c r="N334" s="3" t="s">
        <v>865</v>
      </c>
      <c r="O334" s="3" t="s">
        <v>62</v>
      </c>
      <c r="P334" s="3" t="s">
        <v>1217</v>
      </c>
      <c r="Q334" s="137">
        <v>702.51</v>
      </c>
      <c r="R334" s="139">
        <v>3.3719999999999999</v>
      </c>
      <c r="S334" s="140">
        <v>7355</v>
      </c>
      <c r="T334" s="131">
        <v>0.21099999999999999</v>
      </c>
      <c r="U334" s="137">
        <v>174.94</v>
      </c>
      <c r="V334" s="138">
        <v>3.0000000000000001E-6</v>
      </c>
      <c r="W334" s="138">
        <v>3.22975588695167E-3</v>
      </c>
      <c r="X334" s="138">
        <v>5.2457855765368499E-4</v>
      </c>
    </row>
    <row r="335" spans="1:24" x14ac:dyDescent="0.2">
      <c r="A335" s="3">
        <v>559</v>
      </c>
      <c r="B335" s="3">
        <v>556</v>
      </c>
      <c r="C335" s="3" t="s">
        <v>2211</v>
      </c>
      <c r="D335" s="3" t="s">
        <v>2212</v>
      </c>
      <c r="E335" s="3" t="s">
        <v>430</v>
      </c>
      <c r="F335" s="3" t="s">
        <v>2838</v>
      </c>
      <c r="G335" s="3" t="s">
        <v>2839</v>
      </c>
      <c r="H335" s="3" t="s">
        <v>76</v>
      </c>
      <c r="I335" s="3" t="s">
        <v>73</v>
      </c>
      <c r="J335" s="3" t="s">
        <v>61</v>
      </c>
      <c r="K335" s="3" t="s">
        <v>315</v>
      </c>
      <c r="L335" s="6" t="s">
        <v>805</v>
      </c>
      <c r="M335" s="6" t="s">
        <v>494</v>
      </c>
      <c r="N335" s="3" t="s">
        <v>2215</v>
      </c>
      <c r="O335" s="3" t="s">
        <v>62</v>
      </c>
      <c r="P335" s="3" t="s">
        <v>1218</v>
      </c>
      <c r="Q335" s="137">
        <v>30000</v>
      </c>
      <c r="R335" s="139">
        <v>4.6235999999999997</v>
      </c>
      <c r="S335" s="140">
        <v>157.6</v>
      </c>
      <c r="U335" s="137">
        <v>218.60400000000001</v>
      </c>
      <c r="V335" s="138">
        <v>0</v>
      </c>
      <c r="W335" s="138">
        <v>4.0358817382526698E-3</v>
      </c>
      <c r="X335" s="138">
        <v>6.5550991939259003E-4</v>
      </c>
    </row>
    <row r="336" spans="1:24" x14ac:dyDescent="0.2">
      <c r="A336" s="3">
        <v>559</v>
      </c>
      <c r="B336" s="3">
        <v>556</v>
      </c>
      <c r="C336" s="3" t="s">
        <v>2840</v>
      </c>
      <c r="D336" s="3" t="s">
        <v>2841</v>
      </c>
      <c r="E336" s="3" t="s">
        <v>430</v>
      </c>
      <c r="F336" s="3" t="s">
        <v>2842</v>
      </c>
      <c r="G336" s="3" t="s">
        <v>2843</v>
      </c>
      <c r="H336" s="3" t="s">
        <v>76</v>
      </c>
      <c r="I336" s="3" t="s">
        <v>73</v>
      </c>
      <c r="J336" s="3" t="s">
        <v>61</v>
      </c>
      <c r="K336" s="3" t="s">
        <v>314</v>
      </c>
      <c r="L336" s="6" t="s">
        <v>805</v>
      </c>
      <c r="M336" s="6" t="s">
        <v>476</v>
      </c>
      <c r="N336" s="3" t="s">
        <v>894</v>
      </c>
      <c r="O336" s="3" t="s">
        <v>62</v>
      </c>
      <c r="P336" s="3" t="s">
        <v>1217</v>
      </c>
      <c r="Q336" s="137">
        <v>658</v>
      </c>
      <c r="R336" s="139">
        <v>3.3719999999999999</v>
      </c>
      <c r="S336" s="140">
        <v>15275</v>
      </c>
      <c r="U336" s="137">
        <v>338.91800000000001</v>
      </c>
      <c r="V336" s="138">
        <v>0</v>
      </c>
      <c r="W336" s="138">
        <v>6.2571330147419002E-3</v>
      </c>
      <c r="X336" s="138">
        <v>1.0162866565802699E-3</v>
      </c>
    </row>
    <row r="337" spans="1:24" x14ac:dyDescent="0.2">
      <c r="A337" s="3">
        <v>559</v>
      </c>
      <c r="B337" s="3">
        <v>556</v>
      </c>
      <c r="C337" s="3" t="s">
        <v>2844</v>
      </c>
      <c r="D337" s="3" t="s">
        <v>2845</v>
      </c>
      <c r="E337" s="3" t="s">
        <v>1477</v>
      </c>
      <c r="F337" s="3" t="s">
        <v>2846</v>
      </c>
      <c r="G337" s="3" t="s">
        <v>2847</v>
      </c>
      <c r="H337" s="3" t="s">
        <v>76</v>
      </c>
      <c r="I337" s="3" t="s">
        <v>73</v>
      </c>
      <c r="J337" s="3" t="s">
        <v>53</v>
      </c>
      <c r="K337" s="3" t="s">
        <v>314</v>
      </c>
      <c r="L337" s="6" t="s">
        <v>805</v>
      </c>
      <c r="M337" s="6" t="s">
        <v>479</v>
      </c>
      <c r="N337" s="3" t="s">
        <v>2262</v>
      </c>
      <c r="O337" s="3" t="s">
        <v>62</v>
      </c>
      <c r="P337" s="3" t="s">
        <v>1217</v>
      </c>
      <c r="Q337" s="137">
        <v>1898</v>
      </c>
      <c r="R337" s="139">
        <v>3.3719999999999999</v>
      </c>
      <c r="S337" s="140">
        <v>1991</v>
      </c>
      <c r="U337" s="137">
        <v>127.425</v>
      </c>
      <c r="V337" s="138">
        <v>3.8000000000000002E-5</v>
      </c>
      <c r="W337" s="138">
        <v>2.3525331016274499E-3</v>
      </c>
      <c r="X337" s="138">
        <v>3.8209959652679601E-4</v>
      </c>
    </row>
    <row r="338" spans="1:24" x14ac:dyDescent="0.2">
      <c r="A338" s="3">
        <v>559</v>
      </c>
      <c r="B338" s="3">
        <v>556</v>
      </c>
      <c r="C338" s="3" t="s">
        <v>2848</v>
      </c>
      <c r="D338" s="3" t="s">
        <v>2849</v>
      </c>
      <c r="E338" s="3" t="s">
        <v>430</v>
      </c>
      <c r="F338" s="3" t="s">
        <v>2848</v>
      </c>
      <c r="G338" s="3" t="s">
        <v>2850</v>
      </c>
      <c r="H338" s="3" t="s">
        <v>76</v>
      </c>
      <c r="I338" s="3" t="s">
        <v>73</v>
      </c>
      <c r="J338" s="3" t="s">
        <v>61</v>
      </c>
      <c r="K338" s="3" t="s">
        <v>314</v>
      </c>
      <c r="L338" s="6" t="s">
        <v>805</v>
      </c>
      <c r="M338" s="6" t="s">
        <v>476</v>
      </c>
      <c r="N338" s="3" t="s">
        <v>894</v>
      </c>
      <c r="O338" s="3" t="s">
        <v>62</v>
      </c>
      <c r="P338" s="3" t="s">
        <v>1217</v>
      </c>
      <c r="Q338" s="137">
        <v>5171</v>
      </c>
      <c r="R338" s="139">
        <v>3.3719999999999999</v>
      </c>
      <c r="S338" s="140">
        <v>2424</v>
      </c>
      <c r="U338" s="137">
        <v>422.66300000000001</v>
      </c>
      <c r="V338" s="138">
        <v>9.9999999999999995E-7</v>
      </c>
      <c r="W338" s="138">
        <v>7.8032483299403897E-3</v>
      </c>
      <c r="X338" s="138">
        <v>1.2674074751194699E-3</v>
      </c>
    </row>
    <row r="339" spans="1:24" x14ac:dyDescent="0.2">
      <c r="A339" s="3">
        <v>559</v>
      </c>
      <c r="B339" s="3">
        <v>556</v>
      </c>
      <c r="C339" s="3" t="s">
        <v>2851</v>
      </c>
      <c r="D339" s="3" t="s">
        <v>2852</v>
      </c>
      <c r="E339" s="3" t="s">
        <v>1477</v>
      </c>
      <c r="F339" s="3" t="s">
        <v>2853</v>
      </c>
      <c r="G339" s="3" t="s">
        <v>2854</v>
      </c>
      <c r="H339" s="3" t="s">
        <v>76</v>
      </c>
      <c r="I339" s="3" t="s">
        <v>73</v>
      </c>
      <c r="J339" s="3" t="s">
        <v>53</v>
      </c>
      <c r="K339" s="3" t="s">
        <v>53</v>
      </c>
      <c r="L339" s="6" t="s">
        <v>805</v>
      </c>
      <c r="M339" s="6" t="s">
        <v>479</v>
      </c>
      <c r="N339" s="3" t="s">
        <v>899</v>
      </c>
      <c r="O339" s="3" t="s">
        <v>62</v>
      </c>
      <c r="P339" s="3" t="s">
        <v>1217</v>
      </c>
      <c r="Q339" s="137">
        <v>2068</v>
      </c>
      <c r="R339" s="139">
        <v>3.3719999999999999</v>
      </c>
      <c r="S339" s="140">
        <v>1359</v>
      </c>
      <c r="U339" s="137">
        <v>94.766999999999996</v>
      </c>
      <c r="V339" s="138">
        <v>1.34E-4</v>
      </c>
      <c r="W339" s="138">
        <v>1.7495979693687501E-3</v>
      </c>
      <c r="X339" s="138">
        <v>2.84170572442711E-4</v>
      </c>
    </row>
    <row r="340" spans="1:24" x14ac:dyDescent="0.2">
      <c r="A340" s="3">
        <v>559</v>
      </c>
      <c r="B340" s="3">
        <v>556</v>
      </c>
      <c r="C340" s="3" t="s">
        <v>2935</v>
      </c>
      <c r="D340" s="3" t="s">
        <v>2936</v>
      </c>
      <c r="E340" s="3" t="s">
        <v>1477</v>
      </c>
      <c r="F340" s="3" t="s">
        <v>2937</v>
      </c>
      <c r="G340" s="3" t="s">
        <v>2938</v>
      </c>
      <c r="H340" s="3" t="s">
        <v>76</v>
      </c>
      <c r="I340" s="3" t="s">
        <v>73</v>
      </c>
      <c r="J340" s="3" t="s">
        <v>53</v>
      </c>
      <c r="K340" s="3" t="s">
        <v>53</v>
      </c>
      <c r="L340" s="6" t="s">
        <v>805</v>
      </c>
      <c r="M340" s="6" t="s">
        <v>479</v>
      </c>
      <c r="N340" s="3" t="s">
        <v>899</v>
      </c>
      <c r="O340" s="3" t="s">
        <v>62</v>
      </c>
      <c r="P340" s="3" t="s">
        <v>1217</v>
      </c>
      <c r="Q340" s="137">
        <v>1194</v>
      </c>
      <c r="R340" s="139">
        <v>3.3719999999999999</v>
      </c>
      <c r="S340" s="140">
        <v>2944</v>
      </c>
      <c r="U340" s="137">
        <v>118.53</v>
      </c>
      <c r="V340" s="138">
        <v>1.9000000000000001E-5</v>
      </c>
      <c r="W340" s="138">
        <v>2.18831787213226E-3</v>
      </c>
      <c r="X340" s="138">
        <v>3.5542767727079902E-4</v>
      </c>
    </row>
    <row r="341" spans="1:24" x14ac:dyDescent="0.2">
      <c r="A341" s="3">
        <v>559</v>
      </c>
      <c r="B341" s="3">
        <v>556</v>
      </c>
      <c r="C341" s="3" t="s">
        <v>2939</v>
      </c>
      <c r="D341" s="3" t="s">
        <v>2940</v>
      </c>
      <c r="E341" s="3" t="s">
        <v>78</v>
      </c>
      <c r="F341" s="3" t="s">
        <v>2941</v>
      </c>
      <c r="G341" s="3" t="s">
        <v>2942</v>
      </c>
      <c r="H341" s="3" t="s">
        <v>76</v>
      </c>
      <c r="I341" s="3" t="s">
        <v>73</v>
      </c>
      <c r="J341" s="3" t="s">
        <v>61</v>
      </c>
      <c r="K341" s="3" t="s">
        <v>314</v>
      </c>
      <c r="L341" s="6" t="s">
        <v>805</v>
      </c>
      <c r="M341" s="6" t="s">
        <v>479</v>
      </c>
      <c r="N341" s="3" t="s">
        <v>901</v>
      </c>
      <c r="O341" s="3" t="s">
        <v>62</v>
      </c>
      <c r="P341" s="3" t="s">
        <v>1217</v>
      </c>
      <c r="Q341" s="137">
        <v>400000</v>
      </c>
      <c r="R341" s="139">
        <v>3.3719999999999999</v>
      </c>
      <c r="S341" s="140">
        <v>0</v>
      </c>
      <c r="U341" s="137">
        <v>0</v>
      </c>
      <c r="V341" s="138">
        <v>2.1870000000000001E-3</v>
      </c>
      <c r="W341" s="138">
        <v>0</v>
      </c>
      <c r="X341" s="138">
        <v>0</v>
      </c>
    </row>
    <row r="342" spans="1:24" x14ac:dyDescent="0.2">
      <c r="A342" s="3">
        <v>559</v>
      </c>
      <c r="B342" s="3">
        <v>556</v>
      </c>
      <c r="C342" s="3" t="s">
        <v>2943</v>
      </c>
      <c r="D342" s="3" t="s">
        <v>2944</v>
      </c>
      <c r="E342" s="3" t="s">
        <v>430</v>
      </c>
      <c r="F342" s="3" t="s">
        <v>2945</v>
      </c>
      <c r="G342" s="3" t="s">
        <v>2946</v>
      </c>
      <c r="H342" s="3" t="s">
        <v>76</v>
      </c>
      <c r="I342" s="3" t="s">
        <v>73</v>
      </c>
      <c r="J342" s="3" t="s">
        <v>61</v>
      </c>
      <c r="K342" s="3" t="s">
        <v>158</v>
      </c>
      <c r="L342" s="6" t="s">
        <v>805</v>
      </c>
      <c r="M342" s="6" t="s">
        <v>476</v>
      </c>
      <c r="N342" s="3" t="s">
        <v>862</v>
      </c>
      <c r="O342" s="3" t="s">
        <v>62</v>
      </c>
      <c r="P342" s="3" t="s">
        <v>1217</v>
      </c>
      <c r="Q342" s="137">
        <v>420</v>
      </c>
      <c r="R342" s="139">
        <v>3.3719999999999999</v>
      </c>
      <c r="S342" s="140">
        <v>7041</v>
      </c>
      <c r="U342" s="137">
        <v>99.716999999999999</v>
      </c>
      <c r="V342" s="138">
        <v>0</v>
      </c>
      <c r="W342" s="138">
        <v>1.8409920349673401E-3</v>
      </c>
      <c r="X342" s="138">
        <v>2.9901484203705202E-4</v>
      </c>
    </row>
    <row r="343" spans="1:24" x14ac:dyDescent="0.2">
      <c r="A343" s="3">
        <v>559</v>
      </c>
      <c r="B343" s="3">
        <v>556</v>
      </c>
      <c r="C343" s="3" t="s">
        <v>2947</v>
      </c>
      <c r="D343" s="3" t="s">
        <v>2948</v>
      </c>
      <c r="E343" s="3" t="s">
        <v>1477</v>
      </c>
      <c r="F343" s="3" t="s">
        <v>2949</v>
      </c>
      <c r="G343" s="3" t="s">
        <v>2950</v>
      </c>
      <c r="H343" s="3" t="s">
        <v>76</v>
      </c>
      <c r="I343" s="3" t="s">
        <v>73</v>
      </c>
      <c r="J343" s="3" t="s">
        <v>53</v>
      </c>
      <c r="K343" s="3" t="s">
        <v>53</v>
      </c>
      <c r="L343" s="6" t="s">
        <v>805</v>
      </c>
      <c r="M343" s="6" t="s">
        <v>479</v>
      </c>
      <c r="N343" s="3" t="s">
        <v>901</v>
      </c>
      <c r="O343" s="3" t="s">
        <v>62</v>
      </c>
      <c r="P343" s="3" t="s">
        <v>1217</v>
      </c>
      <c r="Q343" s="137">
        <v>1800</v>
      </c>
      <c r="R343" s="139">
        <v>3.3719999999999999</v>
      </c>
      <c r="S343" s="140">
        <v>1546.6</v>
      </c>
      <c r="U343" s="137">
        <v>93.872</v>
      </c>
      <c r="V343" s="138">
        <v>2.33E-4</v>
      </c>
      <c r="W343" s="138">
        <v>1.73308069954379E-3</v>
      </c>
      <c r="X343" s="138">
        <v>2.8148782926197801E-4</v>
      </c>
    </row>
    <row r="344" spans="1:24" x14ac:dyDescent="0.2">
      <c r="A344" s="3">
        <v>559</v>
      </c>
      <c r="B344" s="3">
        <v>556</v>
      </c>
      <c r="C344" s="3" t="s">
        <v>2855</v>
      </c>
      <c r="D344" s="3" t="s">
        <v>2856</v>
      </c>
      <c r="E344" s="3" t="s">
        <v>1477</v>
      </c>
      <c r="F344" s="3" t="s">
        <v>2857</v>
      </c>
      <c r="G344" s="3" t="s">
        <v>2858</v>
      </c>
      <c r="H344" s="3" t="s">
        <v>76</v>
      </c>
      <c r="I344" s="3" t="s">
        <v>73</v>
      </c>
      <c r="J344" s="3" t="s">
        <v>61</v>
      </c>
      <c r="K344" s="3" t="s">
        <v>314</v>
      </c>
      <c r="L344" s="6" t="s">
        <v>805</v>
      </c>
      <c r="M344" s="6" t="s">
        <v>479</v>
      </c>
      <c r="N344" s="3" t="s">
        <v>202</v>
      </c>
      <c r="O344" s="3" t="s">
        <v>62</v>
      </c>
      <c r="P344" s="3" t="s">
        <v>1217</v>
      </c>
      <c r="Q344" s="137">
        <v>646</v>
      </c>
      <c r="R344" s="139">
        <v>3.3719999999999999</v>
      </c>
      <c r="S344" s="140">
        <v>2040</v>
      </c>
      <c r="U344" s="137">
        <v>44.438000000000002</v>
      </c>
      <c r="V344" s="138">
        <v>1.1E-5</v>
      </c>
      <c r="W344" s="138">
        <v>8.20410028121467E-4</v>
      </c>
      <c r="X344" s="138">
        <v>1.3325140484309899E-4</v>
      </c>
    </row>
    <row r="345" spans="1:24" x14ac:dyDescent="0.2">
      <c r="A345" s="3">
        <v>559</v>
      </c>
      <c r="B345" s="3">
        <v>556</v>
      </c>
      <c r="C345" s="3" t="s">
        <v>2859</v>
      </c>
      <c r="D345" s="3" t="s">
        <v>2860</v>
      </c>
      <c r="E345" s="3" t="s">
        <v>430</v>
      </c>
      <c r="F345" s="3" t="s">
        <v>2861</v>
      </c>
      <c r="G345" s="3" t="s">
        <v>2862</v>
      </c>
      <c r="H345" s="3" t="s">
        <v>76</v>
      </c>
      <c r="I345" s="3" t="s">
        <v>73</v>
      </c>
      <c r="J345" s="3" t="s">
        <v>53</v>
      </c>
      <c r="K345" s="3" t="s">
        <v>53</v>
      </c>
      <c r="L345" s="6" t="s">
        <v>805</v>
      </c>
      <c r="M345" s="6" t="s">
        <v>476</v>
      </c>
      <c r="N345" s="3" t="s">
        <v>878</v>
      </c>
      <c r="O345" s="3" t="s">
        <v>62</v>
      </c>
      <c r="P345" s="3" t="s">
        <v>1217</v>
      </c>
      <c r="Q345" s="137">
        <v>1109</v>
      </c>
      <c r="R345" s="139">
        <v>3.3719999999999999</v>
      </c>
      <c r="S345" s="140">
        <v>1609</v>
      </c>
      <c r="U345" s="137">
        <v>60.168999999999997</v>
      </c>
      <c r="V345" s="138">
        <v>9.0000000000000002E-6</v>
      </c>
      <c r="W345" s="138">
        <v>1.1108511400393199E-3</v>
      </c>
      <c r="X345" s="138">
        <v>1.8042499470750101E-4</v>
      </c>
    </row>
    <row r="346" spans="1:24" x14ac:dyDescent="0.2">
      <c r="A346" s="3">
        <v>559</v>
      </c>
      <c r="B346" s="3">
        <v>556</v>
      </c>
      <c r="C346" s="3" t="s">
        <v>1545</v>
      </c>
      <c r="D346" s="3" t="s">
        <v>1546</v>
      </c>
      <c r="E346" s="3" t="s">
        <v>1477</v>
      </c>
      <c r="F346" s="3" t="s">
        <v>2863</v>
      </c>
      <c r="G346" s="3" t="s">
        <v>2864</v>
      </c>
      <c r="H346" s="3" t="s">
        <v>78</v>
      </c>
      <c r="I346" s="3" t="s">
        <v>73</v>
      </c>
      <c r="J346" s="3" t="s">
        <v>61</v>
      </c>
      <c r="L346" s="6" t="s">
        <v>805</v>
      </c>
      <c r="M346" s="6" t="s">
        <v>102</v>
      </c>
      <c r="N346" s="3" t="s">
        <v>638</v>
      </c>
      <c r="O346" s="3" t="s">
        <v>62</v>
      </c>
      <c r="P346" s="3" t="s">
        <v>1217</v>
      </c>
      <c r="Q346" s="137">
        <v>80</v>
      </c>
      <c r="R346" s="139">
        <v>3.3719999999999999</v>
      </c>
      <c r="S346" s="140">
        <v>44950</v>
      </c>
      <c r="T346" s="131">
        <v>3.7999999999999999E-2</v>
      </c>
      <c r="U346" s="137">
        <v>121.387</v>
      </c>
      <c r="V346" s="138">
        <v>0</v>
      </c>
      <c r="W346" s="138">
        <v>2.2410499039715601E-3</v>
      </c>
      <c r="X346" s="138">
        <v>3.6399244011128498E-4</v>
      </c>
    </row>
    <row r="347" spans="1:24" x14ac:dyDescent="0.2">
      <c r="A347" s="3">
        <v>559</v>
      </c>
      <c r="B347" s="3">
        <v>7205</v>
      </c>
      <c r="C347" s="3" t="s">
        <v>2504</v>
      </c>
      <c r="D347" s="3" t="s">
        <v>2505</v>
      </c>
      <c r="E347" s="3" t="s">
        <v>1477</v>
      </c>
      <c r="F347" s="3" t="s">
        <v>2506</v>
      </c>
      <c r="G347" s="3" t="s">
        <v>2507</v>
      </c>
      <c r="H347" s="3" t="s">
        <v>76</v>
      </c>
      <c r="I347" s="3" t="s">
        <v>73</v>
      </c>
      <c r="J347" s="3" t="s">
        <v>53</v>
      </c>
      <c r="K347" s="3" t="s">
        <v>53</v>
      </c>
      <c r="L347" s="6" t="s">
        <v>805</v>
      </c>
      <c r="M347" s="6" t="s">
        <v>311</v>
      </c>
      <c r="N347" s="3" t="s">
        <v>156</v>
      </c>
      <c r="O347" s="3" t="s">
        <v>62</v>
      </c>
      <c r="P347" s="3" t="s">
        <v>1219</v>
      </c>
      <c r="Q347" s="137">
        <v>174791.8</v>
      </c>
      <c r="R347" s="139">
        <v>1</v>
      </c>
      <c r="S347" s="140">
        <v>4100</v>
      </c>
      <c r="U347" s="137">
        <v>7166.4639999999999</v>
      </c>
      <c r="V347" s="138">
        <v>6.3100000000000005E-4</v>
      </c>
      <c r="W347" s="138">
        <v>1.9137914493593099E-2</v>
      </c>
      <c r="X347" s="138">
        <v>3.7384510266768498E-3</v>
      </c>
    </row>
    <row r="348" spans="1:24" x14ac:dyDescent="0.2">
      <c r="A348" s="3">
        <v>559</v>
      </c>
      <c r="B348" s="3">
        <v>7205</v>
      </c>
      <c r="C348" s="3" t="s">
        <v>2508</v>
      </c>
      <c r="D348" s="3" t="s">
        <v>2509</v>
      </c>
      <c r="E348" s="3" t="s">
        <v>1477</v>
      </c>
      <c r="F348" s="3" t="s">
        <v>2510</v>
      </c>
      <c r="G348" s="3" t="s">
        <v>2511</v>
      </c>
      <c r="H348" s="3" t="s">
        <v>76</v>
      </c>
      <c r="I348" s="3" t="s">
        <v>73</v>
      </c>
      <c r="J348" s="3" t="s">
        <v>53</v>
      </c>
      <c r="K348" s="3" t="s">
        <v>53</v>
      </c>
      <c r="L348" s="6" t="s">
        <v>805</v>
      </c>
      <c r="M348" s="6" t="s">
        <v>311</v>
      </c>
      <c r="N348" s="3" t="s">
        <v>258</v>
      </c>
      <c r="O348" s="3" t="s">
        <v>62</v>
      </c>
      <c r="P348" s="3" t="s">
        <v>1219</v>
      </c>
      <c r="Q348" s="137">
        <v>162056.68</v>
      </c>
      <c r="R348" s="139">
        <v>1</v>
      </c>
      <c r="S348" s="140">
        <v>452</v>
      </c>
      <c r="U348" s="137">
        <v>732.49599999999998</v>
      </c>
      <c r="V348" s="138">
        <v>2.9380000000000001E-3</v>
      </c>
      <c r="W348" s="138">
        <v>1.95611809551026E-3</v>
      </c>
      <c r="X348" s="138">
        <v>3.8211330210037499E-4</v>
      </c>
    </row>
    <row r="349" spans="1:24" x14ac:dyDescent="0.2">
      <c r="A349" s="3">
        <v>559</v>
      </c>
      <c r="B349" s="3">
        <v>7205</v>
      </c>
      <c r="C349" s="3" t="s">
        <v>2512</v>
      </c>
      <c r="D349" s="3" t="s">
        <v>2513</v>
      </c>
      <c r="E349" s="3" t="s">
        <v>1477</v>
      </c>
      <c r="F349" s="3" t="s">
        <v>2514</v>
      </c>
      <c r="G349" s="3" t="s">
        <v>2515</v>
      </c>
      <c r="H349" s="3" t="s">
        <v>76</v>
      </c>
      <c r="I349" s="3" t="s">
        <v>73</v>
      </c>
      <c r="J349" s="3" t="s">
        <v>53</v>
      </c>
      <c r="K349" s="3" t="s">
        <v>314</v>
      </c>
      <c r="L349" s="6" t="s">
        <v>805</v>
      </c>
      <c r="M349" s="6" t="s">
        <v>311</v>
      </c>
      <c r="N349" s="3" t="s">
        <v>638</v>
      </c>
      <c r="O349" s="3" t="s">
        <v>62</v>
      </c>
      <c r="P349" s="3" t="s">
        <v>1219</v>
      </c>
      <c r="Q349" s="137">
        <v>33157</v>
      </c>
      <c r="R349" s="139">
        <v>1</v>
      </c>
      <c r="S349" s="140">
        <v>3925</v>
      </c>
      <c r="U349" s="137">
        <v>1301.412</v>
      </c>
      <c r="V349" s="138">
        <v>1.3010000000000001E-3</v>
      </c>
      <c r="W349" s="138">
        <v>3.47539833542654E-3</v>
      </c>
      <c r="X349" s="138">
        <v>6.7889353772251405E-4</v>
      </c>
    </row>
    <row r="350" spans="1:24" x14ac:dyDescent="0.2">
      <c r="A350" s="3">
        <v>559</v>
      </c>
      <c r="B350" s="3">
        <v>7205</v>
      </c>
      <c r="C350" s="3" t="s">
        <v>1511</v>
      </c>
      <c r="D350" s="3" t="s">
        <v>1512</v>
      </c>
      <c r="E350" s="3" t="s">
        <v>1477</v>
      </c>
      <c r="F350" s="3" t="s">
        <v>2516</v>
      </c>
      <c r="G350" s="3" t="s">
        <v>2517</v>
      </c>
      <c r="H350" s="3" t="s">
        <v>76</v>
      </c>
      <c r="I350" s="3" t="s">
        <v>73</v>
      </c>
      <c r="J350" s="3" t="s">
        <v>53</v>
      </c>
      <c r="K350" s="3" t="s">
        <v>53</v>
      </c>
      <c r="L350" s="6" t="s">
        <v>805</v>
      </c>
      <c r="M350" s="6" t="s">
        <v>311</v>
      </c>
      <c r="N350" s="3" t="s">
        <v>258</v>
      </c>
      <c r="O350" s="3" t="s">
        <v>62</v>
      </c>
      <c r="P350" s="3" t="s">
        <v>1219</v>
      </c>
      <c r="Q350" s="137">
        <v>22995</v>
      </c>
      <c r="R350" s="139">
        <v>1</v>
      </c>
      <c r="S350" s="140">
        <v>2683</v>
      </c>
      <c r="U350" s="137">
        <v>616.95600000000002</v>
      </c>
      <c r="V350" s="138">
        <v>1.2769999999999999E-3</v>
      </c>
      <c r="W350" s="138">
        <v>1.64756965682601E-3</v>
      </c>
      <c r="X350" s="138">
        <v>3.21840630918527E-4</v>
      </c>
    </row>
    <row r="351" spans="1:24" x14ac:dyDescent="0.2">
      <c r="A351" s="3">
        <v>559</v>
      </c>
      <c r="B351" s="3">
        <v>7205</v>
      </c>
      <c r="C351" s="3" t="s">
        <v>1511</v>
      </c>
      <c r="D351" s="3" t="s">
        <v>1512</v>
      </c>
      <c r="E351" s="3" t="s">
        <v>1477</v>
      </c>
      <c r="F351" s="3" t="s">
        <v>2518</v>
      </c>
      <c r="G351" s="3" t="s">
        <v>2517</v>
      </c>
      <c r="H351" s="3" t="s">
        <v>76</v>
      </c>
      <c r="I351" s="3" t="s">
        <v>73</v>
      </c>
      <c r="J351" s="3" t="s">
        <v>53</v>
      </c>
      <c r="L351" s="6" t="s">
        <v>805</v>
      </c>
      <c r="M351" s="6" t="s">
        <v>102</v>
      </c>
      <c r="N351" s="3" t="s">
        <v>258</v>
      </c>
      <c r="O351" s="3" t="s">
        <v>62</v>
      </c>
      <c r="P351" s="3" t="s">
        <v>1219</v>
      </c>
      <c r="Q351" s="137">
        <v>25189</v>
      </c>
      <c r="R351" s="139">
        <v>1</v>
      </c>
      <c r="S351" s="140">
        <v>2556.9960000000001</v>
      </c>
      <c r="U351" s="137">
        <v>644.08199999999999</v>
      </c>
      <c r="V351" s="138">
        <v>0</v>
      </c>
      <c r="W351" s="138">
        <v>1.7200085410095001E-3</v>
      </c>
      <c r="X351" s="138">
        <v>3.35991034873866E-4</v>
      </c>
    </row>
    <row r="352" spans="1:24" x14ac:dyDescent="0.2">
      <c r="A352" s="3">
        <v>559</v>
      </c>
      <c r="B352" s="3">
        <v>7205</v>
      </c>
      <c r="C352" s="3" t="s">
        <v>2519</v>
      </c>
      <c r="D352" s="3" t="s">
        <v>2520</v>
      </c>
      <c r="E352" s="3" t="s">
        <v>430</v>
      </c>
      <c r="F352" s="3" t="s">
        <v>2521</v>
      </c>
      <c r="G352" s="3" t="s">
        <v>2522</v>
      </c>
      <c r="H352" s="3" t="s">
        <v>76</v>
      </c>
      <c r="I352" s="3" t="s">
        <v>73</v>
      </c>
      <c r="J352" s="3" t="s">
        <v>53</v>
      </c>
      <c r="K352" s="3" t="s">
        <v>314</v>
      </c>
      <c r="L352" s="6" t="s">
        <v>805</v>
      </c>
      <c r="M352" s="6" t="s">
        <v>311</v>
      </c>
      <c r="N352" s="3" t="s">
        <v>631</v>
      </c>
      <c r="O352" s="3" t="s">
        <v>62</v>
      </c>
      <c r="P352" s="3" t="s">
        <v>1219</v>
      </c>
      <c r="Q352" s="137">
        <v>7565</v>
      </c>
      <c r="R352" s="139">
        <v>1</v>
      </c>
      <c r="S352" s="140">
        <v>27780</v>
      </c>
      <c r="U352" s="137">
        <v>2101.5569999999998</v>
      </c>
      <c r="V352" s="138">
        <v>1.3300000000000001E-4</v>
      </c>
      <c r="W352" s="138">
        <v>5.6121707011778897E-3</v>
      </c>
      <c r="X352" s="138">
        <v>1.0962963245931599E-3</v>
      </c>
    </row>
    <row r="353" spans="1:24" x14ac:dyDescent="0.2">
      <c r="A353" s="3">
        <v>559</v>
      </c>
      <c r="B353" s="3">
        <v>7205</v>
      </c>
      <c r="C353" s="3" t="s">
        <v>1517</v>
      </c>
      <c r="D353" s="3" t="s">
        <v>1518</v>
      </c>
      <c r="E353" s="3" t="s">
        <v>1477</v>
      </c>
      <c r="F353" s="3" t="s">
        <v>2523</v>
      </c>
      <c r="G353" s="3" t="s">
        <v>2524</v>
      </c>
      <c r="H353" s="3" t="s">
        <v>76</v>
      </c>
      <c r="I353" s="3" t="s">
        <v>73</v>
      </c>
      <c r="J353" s="3" t="s">
        <v>53</v>
      </c>
      <c r="K353" s="3" t="s">
        <v>53</v>
      </c>
      <c r="L353" s="6" t="s">
        <v>805</v>
      </c>
      <c r="M353" s="6" t="s">
        <v>311</v>
      </c>
      <c r="N353" s="3" t="s">
        <v>140</v>
      </c>
      <c r="O353" s="3" t="s">
        <v>62</v>
      </c>
      <c r="P353" s="3" t="s">
        <v>1219</v>
      </c>
      <c r="Q353" s="137">
        <v>61434</v>
      </c>
      <c r="R353" s="139">
        <v>1</v>
      </c>
      <c r="S353" s="140">
        <v>2366</v>
      </c>
      <c r="U353" s="137">
        <v>1453.528</v>
      </c>
      <c r="V353" s="138">
        <v>2.9100000000000003E-4</v>
      </c>
      <c r="W353" s="138">
        <v>3.88162192331534E-3</v>
      </c>
      <c r="X353" s="138">
        <v>7.5824633186900305E-4</v>
      </c>
    </row>
    <row r="354" spans="1:24" x14ac:dyDescent="0.2">
      <c r="A354" s="3">
        <v>559</v>
      </c>
      <c r="B354" s="3">
        <v>7205</v>
      </c>
      <c r="C354" s="3" t="s">
        <v>2525</v>
      </c>
      <c r="D354" s="3" t="s">
        <v>2526</v>
      </c>
      <c r="E354" s="3" t="s">
        <v>1477</v>
      </c>
      <c r="F354" s="3" t="s">
        <v>2527</v>
      </c>
      <c r="G354" s="3" t="s">
        <v>2528</v>
      </c>
      <c r="H354" s="3" t="s">
        <v>76</v>
      </c>
      <c r="I354" s="3" t="s">
        <v>73</v>
      </c>
      <c r="J354" s="3" t="s">
        <v>53</v>
      </c>
      <c r="K354" s="3" t="s">
        <v>53</v>
      </c>
      <c r="L354" s="6" t="s">
        <v>805</v>
      </c>
      <c r="M354" s="6" t="s">
        <v>311</v>
      </c>
      <c r="N354" s="3" t="s">
        <v>269</v>
      </c>
      <c r="O354" s="3" t="s">
        <v>62</v>
      </c>
      <c r="P354" s="3" t="s">
        <v>1219</v>
      </c>
      <c r="Q354" s="137">
        <v>5196</v>
      </c>
      <c r="R354" s="139">
        <v>1</v>
      </c>
      <c r="S354" s="140">
        <v>21960</v>
      </c>
      <c r="U354" s="137">
        <v>1141.0419999999999</v>
      </c>
      <c r="V354" s="138">
        <v>3.5199999999999999E-4</v>
      </c>
      <c r="W354" s="138">
        <v>3.0471313584857101E-3</v>
      </c>
      <c r="X354" s="138">
        <v>5.9523472943531699E-4</v>
      </c>
    </row>
    <row r="355" spans="1:24" x14ac:dyDescent="0.2">
      <c r="A355" s="3">
        <v>559</v>
      </c>
      <c r="B355" s="3">
        <v>7205</v>
      </c>
      <c r="C355" s="3" t="s">
        <v>2529</v>
      </c>
      <c r="D355" s="3" t="s">
        <v>2530</v>
      </c>
      <c r="E355" s="3" t="s">
        <v>1477</v>
      </c>
      <c r="F355" s="3" t="s">
        <v>2531</v>
      </c>
      <c r="G355" s="3" t="s">
        <v>2532</v>
      </c>
      <c r="H355" s="3" t="s">
        <v>76</v>
      </c>
      <c r="I355" s="3" t="s">
        <v>73</v>
      </c>
      <c r="J355" s="3" t="s">
        <v>53</v>
      </c>
      <c r="K355" s="3" t="s">
        <v>53</v>
      </c>
      <c r="L355" s="6" t="s">
        <v>805</v>
      </c>
      <c r="M355" s="6" t="s">
        <v>311</v>
      </c>
      <c r="N355" s="3" t="s">
        <v>75</v>
      </c>
      <c r="O355" s="3" t="s">
        <v>62</v>
      </c>
      <c r="P355" s="3" t="s">
        <v>1219</v>
      </c>
      <c r="Q355" s="137">
        <v>6835.38</v>
      </c>
      <c r="R355" s="139">
        <v>1</v>
      </c>
      <c r="S355" s="140">
        <v>6434</v>
      </c>
      <c r="U355" s="137">
        <v>439.78800000000001</v>
      </c>
      <c r="V355" s="138">
        <v>6.0599999999999998E-4</v>
      </c>
      <c r="W355" s="138">
        <v>1.1744469876856199E-3</v>
      </c>
      <c r="X355" s="138">
        <v>2.29419592629109E-4</v>
      </c>
    </row>
    <row r="356" spans="1:24" x14ac:dyDescent="0.2">
      <c r="A356" s="3">
        <v>559</v>
      </c>
      <c r="B356" s="3">
        <v>7205</v>
      </c>
      <c r="C356" s="3" t="s">
        <v>1535</v>
      </c>
      <c r="D356" s="3" t="s">
        <v>1536</v>
      </c>
      <c r="E356" s="3" t="s">
        <v>1477</v>
      </c>
      <c r="F356" s="3" t="s">
        <v>2533</v>
      </c>
      <c r="G356" s="3" t="s">
        <v>2534</v>
      </c>
      <c r="H356" s="3" t="s">
        <v>76</v>
      </c>
      <c r="I356" s="3" t="s">
        <v>73</v>
      </c>
      <c r="J356" s="3" t="s">
        <v>53</v>
      </c>
      <c r="K356" s="3" t="s">
        <v>53</v>
      </c>
      <c r="L356" s="6" t="s">
        <v>805</v>
      </c>
      <c r="M356" s="6" t="s">
        <v>311</v>
      </c>
      <c r="N356" s="3" t="s">
        <v>635</v>
      </c>
      <c r="O356" s="3" t="s">
        <v>62</v>
      </c>
      <c r="P356" s="3" t="s">
        <v>1219</v>
      </c>
      <c r="Q356" s="137">
        <v>29739</v>
      </c>
      <c r="R356" s="139">
        <v>1</v>
      </c>
      <c r="S356" s="140">
        <v>6170</v>
      </c>
      <c r="U356" s="137">
        <v>1834.896</v>
      </c>
      <c r="V356" s="138">
        <v>2.2599999999999999E-4</v>
      </c>
      <c r="W356" s="138">
        <v>4.9000580305743396E-3</v>
      </c>
      <c r="X356" s="138">
        <v>9.5719034492025904E-4</v>
      </c>
    </row>
    <row r="357" spans="1:24" x14ac:dyDescent="0.2">
      <c r="A357" s="3">
        <v>559</v>
      </c>
      <c r="B357" s="3">
        <v>7205</v>
      </c>
      <c r="C357" s="3" t="s">
        <v>1545</v>
      </c>
      <c r="D357" s="3" t="s">
        <v>1546</v>
      </c>
      <c r="E357" s="3" t="s">
        <v>1477</v>
      </c>
      <c r="F357" s="3" t="s">
        <v>2535</v>
      </c>
      <c r="G357" s="3" t="s">
        <v>2536</v>
      </c>
      <c r="H357" s="3" t="s">
        <v>76</v>
      </c>
      <c r="I357" s="3" t="s">
        <v>73</v>
      </c>
      <c r="J357" s="3" t="s">
        <v>53</v>
      </c>
      <c r="K357" s="3" t="s">
        <v>53</v>
      </c>
      <c r="L357" s="6" t="s">
        <v>805</v>
      </c>
      <c r="M357" s="6" t="s">
        <v>311</v>
      </c>
      <c r="N357" s="3" t="s">
        <v>638</v>
      </c>
      <c r="O357" s="3" t="s">
        <v>62</v>
      </c>
      <c r="P357" s="3" t="s">
        <v>1219</v>
      </c>
      <c r="Q357" s="137">
        <v>3553</v>
      </c>
      <c r="R357" s="139">
        <v>1</v>
      </c>
      <c r="S357" s="140">
        <v>149800</v>
      </c>
      <c r="T357" s="131">
        <v>6.9720000000000004</v>
      </c>
      <c r="U357" s="137">
        <v>5329.366</v>
      </c>
      <c r="V357" s="138">
        <v>7.7000000000000001E-5</v>
      </c>
      <c r="W357" s="138">
        <v>1.4231976888916699E-2</v>
      </c>
      <c r="X357" s="138">
        <v>2.7801121501417501E-3</v>
      </c>
    </row>
    <row r="358" spans="1:24" x14ac:dyDescent="0.2">
      <c r="A358" s="3">
        <v>559</v>
      </c>
      <c r="B358" s="3">
        <v>7205</v>
      </c>
      <c r="C358" s="3" t="s">
        <v>1555</v>
      </c>
      <c r="D358" s="3" t="s">
        <v>1556</v>
      </c>
      <c r="E358" s="3" t="s">
        <v>1477</v>
      </c>
      <c r="F358" s="3" t="s">
        <v>2537</v>
      </c>
      <c r="G358" s="3" t="s">
        <v>2538</v>
      </c>
      <c r="H358" s="3" t="s">
        <v>76</v>
      </c>
      <c r="I358" s="3" t="s">
        <v>73</v>
      </c>
      <c r="J358" s="3" t="s">
        <v>53</v>
      </c>
      <c r="K358" s="3" t="s">
        <v>53</v>
      </c>
      <c r="L358" s="6" t="s">
        <v>805</v>
      </c>
      <c r="M358" s="6" t="s">
        <v>1227</v>
      </c>
      <c r="N358" s="3" t="s">
        <v>258</v>
      </c>
      <c r="O358" s="3" t="s">
        <v>62</v>
      </c>
      <c r="P358" s="3" t="s">
        <v>1219</v>
      </c>
      <c r="Q358" s="137">
        <v>53052</v>
      </c>
      <c r="R358" s="139">
        <v>1</v>
      </c>
      <c r="S358" s="140">
        <v>840.4</v>
      </c>
      <c r="U358" s="137">
        <v>445.84899999999999</v>
      </c>
      <c r="V358" s="138">
        <v>5.2400000000000005E-4</v>
      </c>
      <c r="W358" s="138">
        <v>1.19063186953617E-3</v>
      </c>
      <c r="X358" s="138">
        <v>2.3258119041924899E-4</v>
      </c>
    </row>
    <row r="359" spans="1:24" x14ac:dyDescent="0.2">
      <c r="A359" s="3">
        <v>559</v>
      </c>
      <c r="B359" s="3">
        <v>7205</v>
      </c>
      <c r="C359" s="3" t="s">
        <v>1565</v>
      </c>
      <c r="D359" s="3" t="s">
        <v>1566</v>
      </c>
      <c r="E359" s="3" t="s">
        <v>1477</v>
      </c>
      <c r="F359" s="3" t="s">
        <v>2539</v>
      </c>
      <c r="G359" s="3" t="s">
        <v>2540</v>
      </c>
      <c r="H359" s="3" t="s">
        <v>76</v>
      </c>
      <c r="I359" s="3" t="s">
        <v>73</v>
      </c>
      <c r="J359" s="3" t="s">
        <v>53</v>
      </c>
      <c r="K359" s="3" t="s">
        <v>53</v>
      </c>
      <c r="L359" s="6" t="s">
        <v>805</v>
      </c>
      <c r="M359" s="6" t="s">
        <v>311</v>
      </c>
      <c r="N359" s="3" t="s">
        <v>631</v>
      </c>
      <c r="O359" s="3" t="s">
        <v>62</v>
      </c>
      <c r="P359" s="3" t="s">
        <v>1219</v>
      </c>
      <c r="Q359" s="137">
        <v>56064</v>
      </c>
      <c r="R359" s="139">
        <v>1</v>
      </c>
      <c r="S359" s="140">
        <v>6078</v>
      </c>
      <c r="U359" s="137">
        <v>3407.57</v>
      </c>
      <c r="V359" s="138">
        <v>4.2760000000000003E-3</v>
      </c>
      <c r="W359" s="138">
        <v>9.0998550442548502E-3</v>
      </c>
      <c r="X359" s="138">
        <v>1.7775898436683899E-3</v>
      </c>
    </row>
    <row r="360" spans="1:24" x14ac:dyDescent="0.2">
      <c r="A360" s="3">
        <v>559</v>
      </c>
      <c r="B360" s="3">
        <v>7205</v>
      </c>
      <c r="C360" s="3" t="s">
        <v>1579</v>
      </c>
      <c r="D360" s="3" t="s">
        <v>1580</v>
      </c>
      <c r="E360" s="3" t="s">
        <v>1477</v>
      </c>
      <c r="F360" s="3" t="s">
        <v>2541</v>
      </c>
      <c r="G360" s="3" t="s">
        <v>2542</v>
      </c>
      <c r="H360" s="3" t="s">
        <v>76</v>
      </c>
      <c r="I360" s="3" t="s">
        <v>73</v>
      </c>
      <c r="J360" s="3" t="s">
        <v>53</v>
      </c>
      <c r="K360" s="3" t="s">
        <v>53</v>
      </c>
      <c r="L360" s="6" t="s">
        <v>805</v>
      </c>
      <c r="M360" s="6" t="s">
        <v>311</v>
      </c>
      <c r="N360" s="3" t="s">
        <v>635</v>
      </c>
      <c r="O360" s="3" t="s">
        <v>62</v>
      </c>
      <c r="P360" s="3" t="s">
        <v>1219</v>
      </c>
      <c r="Q360" s="137">
        <v>63680</v>
      </c>
      <c r="R360" s="139">
        <v>1</v>
      </c>
      <c r="S360" s="140">
        <v>3489</v>
      </c>
      <c r="U360" s="137">
        <v>2221.7950000000001</v>
      </c>
      <c r="V360" s="138">
        <v>2.9599999999999998E-4</v>
      </c>
      <c r="W360" s="138">
        <v>5.9332646820703296E-3</v>
      </c>
      <c r="X360" s="138">
        <v>1.15901967529728E-3</v>
      </c>
    </row>
    <row r="361" spans="1:24" x14ac:dyDescent="0.2">
      <c r="A361" s="3">
        <v>559</v>
      </c>
      <c r="B361" s="3">
        <v>7205</v>
      </c>
      <c r="C361" s="3" t="s">
        <v>2543</v>
      </c>
      <c r="D361" s="3" t="s">
        <v>2544</v>
      </c>
      <c r="E361" s="3" t="s">
        <v>1477</v>
      </c>
      <c r="F361" s="3" t="s">
        <v>2545</v>
      </c>
      <c r="G361" s="3" t="s">
        <v>2546</v>
      </c>
      <c r="H361" s="3" t="s">
        <v>76</v>
      </c>
      <c r="I361" s="3" t="s">
        <v>73</v>
      </c>
      <c r="J361" s="3" t="s">
        <v>53</v>
      </c>
      <c r="K361" s="3" t="s">
        <v>53</v>
      </c>
      <c r="L361" s="6" t="s">
        <v>805</v>
      </c>
      <c r="M361" s="6" t="s">
        <v>311</v>
      </c>
      <c r="N361" s="3" t="s">
        <v>257</v>
      </c>
      <c r="O361" s="3" t="s">
        <v>62</v>
      </c>
      <c r="P361" s="3" t="s">
        <v>1219</v>
      </c>
      <c r="Q361" s="137">
        <v>147057</v>
      </c>
      <c r="R361" s="139">
        <v>1</v>
      </c>
      <c r="S361" s="140">
        <v>598</v>
      </c>
      <c r="U361" s="137">
        <v>879.40099999999995</v>
      </c>
      <c r="V361" s="138">
        <v>7.4299999999999995E-4</v>
      </c>
      <c r="W361" s="138">
        <v>2.3484244020422198E-3</v>
      </c>
      <c r="X361" s="138">
        <v>4.5874745755745001E-4</v>
      </c>
    </row>
    <row r="362" spans="1:24" x14ac:dyDescent="0.2">
      <c r="A362" s="3">
        <v>559</v>
      </c>
      <c r="B362" s="3">
        <v>7205</v>
      </c>
      <c r="C362" s="3" t="s">
        <v>2547</v>
      </c>
      <c r="D362" s="3" t="s">
        <v>2548</v>
      </c>
      <c r="E362" s="3" t="s">
        <v>1477</v>
      </c>
      <c r="F362" s="3" t="s">
        <v>2549</v>
      </c>
      <c r="G362" s="3" t="s">
        <v>2550</v>
      </c>
      <c r="H362" s="3" t="s">
        <v>76</v>
      </c>
      <c r="I362" s="3" t="s">
        <v>73</v>
      </c>
      <c r="J362" s="3" t="s">
        <v>53</v>
      </c>
      <c r="K362" s="3" t="s">
        <v>53</v>
      </c>
      <c r="L362" s="6" t="s">
        <v>805</v>
      </c>
      <c r="M362" s="6" t="s">
        <v>311</v>
      </c>
      <c r="N362" s="3" t="s">
        <v>692</v>
      </c>
      <c r="O362" s="3" t="s">
        <v>62</v>
      </c>
      <c r="P362" s="3" t="s">
        <v>1219</v>
      </c>
      <c r="Q362" s="137">
        <v>25357</v>
      </c>
      <c r="R362" s="139">
        <v>1</v>
      </c>
      <c r="S362" s="140">
        <v>18600</v>
      </c>
      <c r="U362" s="137">
        <v>4716.402</v>
      </c>
      <c r="V362" s="138">
        <v>7.3200000000000001E-4</v>
      </c>
      <c r="W362" s="138">
        <v>1.25950679041191E-2</v>
      </c>
      <c r="X362" s="138">
        <v>2.4603540032004001E-3</v>
      </c>
    </row>
    <row r="363" spans="1:24" x14ac:dyDescent="0.2">
      <c r="A363" s="3">
        <v>559</v>
      </c>
      <c r="B363" s="3">
        <v>7205</v>
      </c>
      <c r="C363" s="3" t="s">
        <v>2865</v>
      </c>
      <c r="D363" s="3" t="s">
        <v>2866</v>
      </c>
      <c r="E363" s="3" t="s">
        <v>1477</v>
      </c>
      <c r="F363" s="3" t="s">
        <v>2867</v>
      </c>
      <c r="G363" s="3" t="s">
        <v>2868</v>
      </c>
      <c r="H363" s="3" t="s">
        <v>76</v>
      </c>
      <c r="I363" s="3" t="s">
        <v>73</v>
      </c>
      <c r="J363" s="3" t="s">
        <v>53</v>
      </c>
      <c r="K363" s="3" t="s">
        <v>53</v>
      </c>
      <c r="L363" s="6" t="s">
        <v>805</v>
      </c>
      <c r="M363" s="6" t="s">
        <v>311</v>
      </c>
      <c r="N363" s="3" t="s">
        <v>156</v>
      </c>
      <c r="O363" s="3" t="s">
        <v>62</v>
      </c>
      <c r="P363" s="3" t="s">
        <v>1219</v>
      </c>
      <c r="Q363" s="137">
        <v>20030</v>
      </c>
      <c r="R363" s="139">
        <v>1</v>
      </c>
      <c r="S363" s="140">
        <v>3094</v>
      </c>
      <c r="U363" s="137">
        <v>619.72799999999995</v>
      </c>
      <c r="V363" s="138">
        <v>1.1199999999999999E-3</v>
      </c>
      <c r="W363" s="138">
        <v>1.65497316833839E-3</v>
      </c>
      <c r="X363" s="138">
        <v>3.2328685251303401E-4</v>
      </c>
    </row>
    <row r="364" spans="1:24" x14ac:dyDescent="0.2">
      <c r="A364" s="3">
        <v>559</v>
      </c>
      <c r="B364" s="3">
        <v>7205</v>
      </c>
      <c r="C364" s="3" t="s">
        <v>1609</v>
      </c>
      <c r="D364" s="3" t="s">
        <v>1610</v>
      </c>
      <c r="E364" s="3" t="s">
        <v>1477</v>
      </c>
      <c r="F364" s="3" t="s">
        <v>2551</v>
      </c>
      <c r="G364" s="3" t="s">
        <v>2552</v>
      </c>
      <c r="H364" s="3" t="s">
        <v>76</v>
      </c>
      <c r="I364" s="3" t="s">
        <v>73</v>
      </c>
      <c r="J364" s="3" t="s">
        <v>53</v>
      </c>
      <c r="K364" s="3" t="s">
        <v>53</v>
      </c>
      <c r="L364" s="6" t="s">
        <v>805</v>
      </c>
      <c r="M364" s="6" t="s">
        <v>311</v>
      </c>
      <c r="N364" s="3" t="s">
        <v>635</v>
      </c>
      <c r="O364" s="3" t="s">
        <v>62</v>
      </c>
      <c r="P364" s="3" t="s">
        <v>1219</v>
      </c>
      <c r="Q364" s="137">
        <v>208485</v>
      </c>
      <c r="R364" s="139">
        <v>1</v>
      </c>
      <c r="S364" s="140">
        <v>2281</v>
      </c>
      <c r="U364" s="137">
        <v>4755.5429999999997</v>
      </c>
      <c r="V364" s="138">
        <v>4.4200000000000001E-4</v>
      </c>
      <c r="W364" s="138">
        <v>1.26995928499517E-2</v>
      </c>
      <c r="X364" s="138">
        <v>2.4807721836239902E-3</v>
      </c>
    </row>
    <row r="365" spans="1:24" x14ac:dyDescent="0.2">
      <c r="A365" s="3">
        <v>559</v>
      </c>
      <c r="B365" s="3">
        <v>7205</v>
      </c>
      <c r="C365" s="3" t="s">
        <v>1617</v>
      </c>
      <c r="D365" s="3" t="s">
        <v>1618</v>
      </c>
      <c r="E365" s="3" t="s">
        <v>1477</v>
      </c>
      <c r="F365" s="3" t="s">
        <v>2553</v>
      </c>
      <c r="G365" s="3" t="s">
        <v>2554</v>
      </c>
      <c r="H365" s="3" t="s">
        <v>76</v>
      </c>
      <c r="I365" s="3" t="s">
        <v>73</v>
      </c>
      <c r="J365" s="3" t="s">
        <v>53</v>
      </c>
      <c r="K365" s="3" t="s">
        <v>314</v>
      </c>
      <c r="L365" s="6" t="s">
        <v>805</v>
      </c>
      <c r="M365" s="6" t="s">
        <v>311</v>
      </c>
      <c r="N365" s="3" t="s">
        <v>631</v>
      </c>
      <c r="O365" s="3" t="s">
        <v>62</v>
      </c>
      <c r="P365" s="3" t="s">
        <v>1219</v>
      </c>
      <c r="Q365" s="137">
        <v>186659.4</v>
      </c>
      <c r="R365" s="139">
        <v>1</v>
      </c>
      <c r="S365" s="140">
        <v>7640</v>
      </c>
      <c r="U365" s="137">
        <v>14260.778</v>
      </c>
      <c r="V365" s="138">
        <v>1.562E-3</v>
      </c>
      <c r="W365" s="138">
        <v>3.8083155187106303E-2</v>
      </c>
      <c r="X365" s="138">
        <v>7.43926464171392E-3</v>
      </c>
    </row>
    <row r="366" spans="1:24" x14ac:dyDescent="0.2">
      <c r="A366" s="3">
        <v>559</v>
      </c>
      <c r="B366" s="3">
        <v>7205</v>
      </c>
      <c r="C366" s="3" t="s">
        <v>2434</v>
      </c>
      <c r="D366" s="3" t="s">
        <v>2435</v>
      </c>
      <c r="E366" s="3" t="s">
        <v>430</v>
      </c>
      <c r="F366" s="3" t="s">
        <v>2555</v>
      </c>
      <c r="G366" s="3" t="s">
        <v>2556</v>
      </c>
      <c r="H366" s="3" t="s">
        <v>76</v>
      </c>
      <c r="I366" s="3" t="s">
        <v>73</v>
      </c>
      <c r="J366" s="3" t="s">
        <v>53</v>
      </c>
      <c r="K366" s="3" t="s">
        <v>315</v>
      </c>
      <c r="L366" s="6" t="s">
        <v>805</v>
      </c>
      <c r="M366" s="6" t="s">
        <v>311</v>
      </c>
      <c r="N366" s="3" t="s">
        <v>267</v>
      </c>
      <c r="O366" s="3" t="s">
        <v>62</v>
      </c>
      <c r="P366" s="3" t="s">
        <v>1219</v>
      </c>
      <c r="Q366" s="137">
        <v>36822</v>
      </c>
      <c r="R366" s="139">
        <v>1</v>
      </c>
      <c r="S366" s="140">
        <v>4272</v>
      </c>
      <c r="T366" s="131">
        <v>37.249000000000002</v>
      </c>
      <c r="U366" s="137">
        <v>1610.2850000000001</v>
      </c>
      <c r="V366" s="138">
        <v>2.0000000000000001E-4</v>
      </c>
      <c r="W366" s="138">
        <v>4.3002374707725799E-3</v>
      </c>
      <c r="X366" s="138">
        <v>8.4001980429716902E-4</v>
      </c>
    </row>
    <row r="367" spans="1:24" x14ac:dyDescent="0.2">
      <c r="A367" s="3">
        <v>559</v>
      </c>
      <c r="B367" s="3">
        <v>7205</v>
      </c>
      <c r="C367" s="3" t="s">
        <v>1635</v>
      </c>
      <c r="D367" s="3" t="s">
        <v>1636</v>
      </c>
      <c r="E367" s="3" t="s">
        <v>1477</v>
      </c>
      <c r="F367" s="3" t="s">
        <v>2557</v>
      </c>
      <c r="G367" s="3" t="s">
        <v>2558</v>
      </c>
      <c r="H367" s="3" t="s">
        <v>76</v>
      </c>
      <c r="I367" s="3" t="s">
        <v>73</v>
      </c>
      <c r="J367" s="3" t="s">
        <v>53</v>
      </c>
      <c r="K367" s="3" t="s">
        <v>53</v>
      </c>
      <c r="L367" s="6" t="s">
        <v>805</v>
      </c>
      <c r="M367" s="6" t="s">
        <v>311</v>
      </c>
      <c r="N367" s="3" t="s">
        <v>636</v>
      </c>
      <c r="O367" s="3" t="s">
        <v>62</v>
      </c>
      <c r="P367" s="3" t="s">
        <v>1219</v>
      </c>
      <c r="Q367" s="137">
        <v>7257</v>
      </c>
      <c r="R367" s="139">
        <v>1</v>
      </c>
      <c r="S367" s="140">
        <v>19300</v>
      </c>
      <c r="U367" s="137">
        <v>1400.6010000000001</v>
      </c>
      <c r="V367" s="138">
        <v>1.9100000000000001E-4</v>
      </c>
      <c r="W367" s="138">
        <v>3.7402801333680001E-3</v>
      </c>
      <c r="X367" s="138">
        <v>7.3063625137053203E-4</v>
      </c>
    </row>
    <row r="368" spans="1:24" x14ac:dyDescent="0.2">
      <c r="A368" s="3">
        <v>559</v>
      </c>
      <c r="B368" s="3">
        <v>7205</v>
      </c>
      <c r="C368" s="3" t="s">
        <v>1655</v>
      </c>
      <c r="D368" s="3" t="s">
        <v>1656</v>
      </c>
      <c r="E368" s="3" t="s">
        <v>1477</v>
      </c>
      <c r="F368" s="3" t="s">
        <v>2559</v>
      </c>
      <c r="G368" s="3" t="s">
        <v>2560</v>
      </c>
      <c r="H368" s="3" t="s">
        <v>76</v>
      </c>
      <c r="I368" s="3" t="s">
        <v>73</v>
      </c>
      <c r="J368" s="3" t="s">
        <v>53</v>
      </c>
      <c r="K368" s="3" t="s">
        <v>53</v>
      </c>
      <c r="L368" s="6" t="s">
        <v>805</v>
      </c>
      <c r="M368" s="6" t="s">
        <v>311</v>
      </c>
      <c r="N368" s="3" t="s">
        <v>631</v>
      </c>
      <c r="O368" s="3" t="s">
        <v>62</v>
      </c>
      <c r="P368" s="3" t="s">
        <v>1219</v>
      </c>
      <c r="Q368" s="137">
        <v>13215</v>
      </c>
      <c r="R368" s="139">
        <v>1</v>
      </c>
      <c r="S368" s="140">
        <v>3258</v>
      </c>
      <c r="U368" s="137">
        <v>430.54500000000002</v>
      </c>
      <c r="V368" s="138">
        <v>2.3499999999999999E-4</v>
      </c>
      <c r="W368" s="138">
        <v>1.14976198641646E-3</v>
      </c>
      <c r="X368" s="138">
        <v>2.24597558944661E-4</v>
      </c>
    </row>
    <row r="369" spans="1:24" x14ac:dyDescent="0.2">
      <c r="A369" s="3">
        <v>559</v>
      </c>
      <c r="B369" s="3">
        <v>7205</v>
      </c>
      <c r="C369" s="3" t="s">
        <v>2561</v>
      </c>
      <c r="D369" s="3" t="s">
        <v>2562</v>
      </c>
      <c r="E369" s="3" t="s">
        <v>1477</v>
      </c>
      <c r="F369" s="3" t="s">
        <v>2563</v>
      </c>
      <c r="G369" s="3" t="s">
        <v>2564</v>
      </c>
      <c r="H369" s="3" t="s">
        <v>76</v>
      </c>
      <c r="I369" s="3" t="s">
        <v>73</v>
      </c>
      <c r="J369" s="3" t="s">
        <v>53</v>
      </c>
      <c r="K369" s="3" t="s">
        <v>53</v>
      </c>
      <c r="L369" s="6" t="s">
        <v>805</v>
      </c>
      <c r="M369" s="6" t="s">
        <v>311</v>
      </c>
      <c r="N369" s="3" t="s">
        <v>140</v>
      </c>
      <c r="O369" s="3" t="s">
        <v>62</v>
      </c>
      <c r="P369" s="3" t="s">
        <v>1219</v>
      </c>
      <c r="Q369" s="137">
        <v>13911</v>
      </c>
      <c r="R369" s="139">
        <v>1</v>
      </c>
      <c r="S369" s="140">
        <v>5490</v>
      </c>
      <c r="U369" s="137">
        <v>763.71400000000006</v>
      </c>
      <c r="V369" s="138">
        <v>2.2100000000000001E-4</v>
      </c>
      <c r="W369" s="138">
        <v>2.0394844268617502E-3</v>
      </c>
      <c r="X369" s="138">
        <v>3.9839830259693498E-4</v>
      </c>
    </row>
    <row r="370" spans="1:24" x14ac:dyDescent="0.2">
      <c r="A370" s="3">
        <v>559</v>
      </c>
      <c r="B370" s="3">
        <v>7205</v>
      </c>
      <c r="C370" s="3" t="s">
        <v>2565</v>
      </c>
      <c r="D370" s="3" t="s">
        <v>2566</v>
      </c>
      <c r="E370" s="3" t="s">
        <v>1477</v>
      </c>
      <c r="F370" s="3" t="s">
        <v>2567</v>
      </c>
      <c r="G370" s="3" t="s">
        <v>2568</v>
      </c>
      <c r="H370" s="3" t="s">
        <v>76</v>
      </c>
      <c r="I370" s="3" t="s">
        <v>73</v>
      </c>
      <c r="J370" s="3" t="s">
        <v>53</v>
      </c>
      <c r="K370" s="3" t="s">
        <v>317</v>
      </c>
      <c r="L370" s="6" t="s">
        <v>805</v>
      </c>
      <c r="M370" s="6" t="s">
        <v>311</v>
      </c>
      <c r="N370" s="3" t="s">
        <v>637</v>
      </c>
      <c r="O370" s="3" t="s">
        <v>62</v>
      </c>
      <c r="P370" s="3" t="s">
        <v>1219</v>
      </c>
      <c r="Q370" s="137">
        <v>42721</v>
      </c>
      <c r="R370" s="139">
        <v>1</v>
      </c>
      <c r="S370" s="140">
        <v>5310</v>
      </c>
      <c r="U370" s="137">
        <v>2268.4850000000001</v>
      </c>
      <c r="V370" s="138">
        <v>1.727E-3</v>
      </c>
      <c r="W370" s="138">
        <v>6.05794923205918E-3</v>
      </c>
      <c r="X370" s="138">
        <v>1.1833758863187399E-3</v>
      </c>
    </row>
    <row r="371" spans="1:24" x14ac:dyDescent="0.2">
      <c r="A371" s="3">
        <v>559</v>
      </c>
      <c r="B371" s="3">
        <v>7205</v>
      </c>
      <c r="C371" s="3" t="s">
        <v>1659</v>
      </c>
      <c r="D371" s="3" t="s">
        <v>1660</v>
      </c>
      <c r="E371" s="3" t="s">
        <v>1477</v>
      </c>
      <c r="F371" s="3" t="s">
        <v>2569</v>
      </c>
      <c r="G371" s="3" t="s">
        <v>2570</v>
      </c>
      <c r="H371" s="3" t="s">
        <v>76</v>
      </c>
      <c r="I371" s="3" t="s">
        <v>73</v>
      </c>
      <c r="J371" s="3" t="s">
        <v>53</v>
      </c>
      <c r="K371" s="3" t="s">
        <v>53</v>
      </c>
      <c r="L371" s="6" t="s">
        <v>805</v>
      </c>
      <c r="M371" s="6" t="s">
        <v>311</v>
      </c>
      <c r="N371" s="3" t="s">
        <v>635</v>
      </c>
      <c r="O371" s="3" t="s">
        <v>62</v>
      </c>
      <c r="P371" s="3" t="s">
        <v>1219</v>
      </c>
      <c r="Q371" s="137">
        <v>702348</v>
      </c>
      <c r="R371" s="139">
        <v>1</v>
      </c>
      <c r="S371" s="140">
        <v>296.5</v>
      </c>
      <c r="U371" s="137">
        <v>2082.462</v>
      </c>
      <c r="V371" s="138">
        <v>2.1789999999999999E-3</v>
      </c>
      <c r="W371" s="138">
        <v>5.5611773616064597E-3</v>
      </c>
      <c r="X371" s="138">
        <v>1.0863351502583901E-3</v>
      </c>
    </row>
    <row r="372" spans="1:24" x14ac:dyDescent="0.2">
      <c r="A372" s="3">
        <v>559</v>
      </c>
      <c r="B372" s="3">
        <v>7205</v>
      </c>
      <c r="C372" s="3" t="s">
        <v>2869</v>
      </c>
      <c r="D372" s="3" t="s">
        <v>2870</v>
      </c>
      <c r="E372" s="3" t="s">
        <v>1477</v>
      </c>
      <c r="F372" s="3" t="s">
        <v>2871</v>
      </c>
      <c r="G372" s="3" t="s">
        <v>2872</v>
      </c>
      <c r="H372" s="3" t="s">
        <v>76</v>
      </c>
      <c r="I372" s="3" t="s">
        <v>73</v>
      </c>
      <c r="J372" s="3" t="s">
        <v>53</v>
      </c>
      <c r="K372" s="3" t="s">
        <v>53</v>
      </c>
      <c r="L372" s="6" t="s">
        <v>805</v>
      </c>
      <c r="M372" s="6" t="s">
        <v>311</v>
      </c>
      <c r="N372" s="3" t="s">
        <v>258</v>
      </c>
      <c r="O372" s="3" t="s">
        <v>62</v>
      </c>
      <c r="P372" s="3" t="s">
        <v>1219</v>
      </c>
      <c r="Q372" s="137">
        <v>23090</v>
      </c>
      <c r="R372" s="139">
        <v>1</v>
      </c>
      <c r="S372" s="140">
        <v>2541</v>
      </c>
      <c r="U372" s="137">
        <v>586.71699999999998</v>
      </c>
      <c r="V372" s="138">
        <v>4.7260000000000002E-3</v>
      </c>
      <c r="W372" s="138">
        <v>1.5668170770842399E-3</v>
      </c>
      <c r="X372" s="138">
        <v>3.0606620760069398E-4</v>
      </c>
    </row>
    <row r="373" spans="1:24" x14ac:dyDescent="0.2">
      <c r="A373" s="3">
        <v>559</v>
      </c>
      <c r="B373" s="3">
        <v>7205</v>
      </c>
      <c r="C373" s="3" t="s">
        <v>1676</v>
      </c>
      <c r="D373" s="3" t="s">
        <v>1677</v>
      </c>
      <c r="E373" s="3" t="s">
        <v>1477</v>
      </c>
      <c r="F373" s="3" t="s">
        <v>2571</v>
      </c>
      <c r="G373" s="3" t="s">
        <v>2572</v>
      </c>
      <c r="H373" s="3" t="s">
        <v>76</v>
      </c>
      <c r="I373" s="3" t="s">
        <v>73</v>
      </c>
      <c r="J373" s="3" t="s">
        <v>53</v>
      </c>
      <c r="K373" s="3" t="s">
        <v>53</v>
      </c>
      <c r="L373" s="6" t="s">
        <v>805</v>
      </c>
      <c r="M373" s="6" t="s">
        <v>311</v>
      </c>
      <c r="N373" s="3" t="s">
        <v>156</v>
      </c>
      <c r="O373" s="3" t="s">
        <v>62</v>
      </c>
      <c r="P373" s="3" t="s">
        <v>1219</v>
      </c>
      <c r="Q373" s="137">
        <v>984235</v>
      </c>
      <c r="R373" s="139">
        <v>1</v>
      </c>
      <c r="S373" s="140">
        <v>90.8</v>
      </c>
      <c r="U373" s="137">
        <v>893.68499999999995</v>
      </c>
      <c r="V373" s="138">
        <v>3.0600000000000001E-4</v>
      </c>
      <c r="W373" s="138">
        <v>2.38657095939203E-3</v>
      </c>
      <c r="X373" s="138">
        <v>4.66199107345954E-4</v>
      </c>
    </row>
    <row r="374" spans="1:24" x14ac:dyDescent="0.2">
      <c r="A374" s="3">
        <v>559</v>
      </c>
      <c r="B374" s="3">
        <v>7205</v>
      </c>
      <c r="C374" s="3" t="s">
        <v>1681</v>
      </c>
      <c r="D374" s="3" t="s">
        <v>1682</v>
      </c>
      <c r="E374" s="3" t="s">
        <v>1477</v>
      </c>
      <c r="F374" s="3" t="s">
        <v>2573</v>
      </c>
      <c r="G374" s="3" t="s">
        <v>2574</v>
      </c>
      <c r="H374" s="3" t="s">
        <v>76</v>
      </c>
      <c r="I374" s="3" t="s">
        <v>73</v>
      </c>
      <c r="J374" s="3" t="s">
        <v>53</v>
      </c>
      <c r="K374" s="3" t="s">
        <v>53</v>
      </c>
      <c r="L374" s="6" t="s">
        <v>805</v>
      </c>
      <c r="M374" s="6" t="s">
        <v>311</v>
      </c>
      <c r="N374" s="3" t="s">
        <v>260</v>
      </c>
      <c r="O374" s="3" t="s">
        <v>62</v>
      </c>
      <c r="P374" s="3" t="s">
        <v>1219</v>
      </c>
      <c r="Q374" s="137">
        <v>1705665</v>
      </c>
      <c r="R374" s="139">
        <v>1</v>
      </c>
      <c r="S374" s="140">
        <v>575</v>
      </c>
      <c r="U374" s="137">
        <v>9807.5740000000005</v>
      </c>
      <c r="V374" s="138">
        <v>6.1600000000000001E-4</v>
      </c>
      <c r="W374" s="138">
        <v>2.6190951779747802E-2</v>
      </c>
      <c r="X374" s="138">
        <v>5.1162100553548296E-3</v>
      </c>
    </row>
    <row r="375" spans="1:24" x14ac:dyDescent="0.2">
      <c r="A375" s="3">
        <v>559</v>
      </c>
      <c r="B375" s="3">
        <v>7205</v>
      </c>
      <c r="C375" s="3" t="s">
        <v>1688</v>
      </c>
      <c r="D375" s="3" t="s">
        <v>1689</v>
      </c>
      <c r="E375" s="3" t="s">
        <v>1477</v>
      </c>
      <c r="F375" s="3" t="s">
        <v>2575</v>
      </c>
      <c r="G375" s="3" t="s">
        <v>2576</v>
      </c>
      <c r="H375" s="3" t="s">
        <v>76</v>
      </c>
      <c r="I375" s="3" t="s">
        <v>73</v>
      </c>
      <c r="J375" s="3" t="s">
        <v>53</v>
      </c>
      <c r="K375" s="3" t="s">
        <v>53</v>
      </c>
      <c r="L375" s="6" t="s">
        <v>805</v>
      </c>
      <c r="M375" s="6" t="s">
        <v>311</v>
      </c>
      <c r="N375" s="3" t="s">
        <v>635</v>
      </c>
      <c r="O375" s="3" t="s">
        <v>62</v>
      </c>
      <c r="P375" s="3" t="s">
        <v>1219</v>
      </c>
      <c r="Q375" s="137">
        <v>12513.08</v>
      </c>
      <c r="R375" s="139">
        <v>1</v>
      </c>
      <c r="S375" s="140">
        <v>64490</v>
      </c>
      <c r="U375" s="137">
        <v>8069.6850000000004</v>
      </c>
      <c r="V375" s="138">
        <v>5.0299999999999997E-4</v>
      </c>
      <c r="W375" s="138">
        <v>2.1549951470975399E-2</v>
      </c>
      <c r="X375" s="138">
        <v>4.2096247335870803E-3</v>
      </c>
    </row>
    <row r="376" spans="1:24" x14ac:dyDescent="0.2">
      <c r="A376" s="3">
        <v>559</v>
      </c>
      <c r="B376" s="3">
        <v>7205</v>
      </c>
      <c r="C376" s="3" t="s">
        <v>2577</v>
      </c>
      <c r="D376" s="3" t="s">
        <v>2578</v>
      </c>
      <c r="E376" s="3" t="s">
        <v>1477</v>
      </c>
      <c r="F376" s="3" t="s">
        <v>2579</v>
      </c>
      <c r="G376" s="3" t="s">
        <v>2580</v>
      </c>
      <c r="H376" s="3" t="s">
        <v>76</v>
      </c>
      <c r="I376" s="3" t="s">
        <v>73</v>
      </c>
      <c r="J376" s="3" t="s">
        <v>53</v>
      </c>
      <c r="K376" s="3" t="s">
        <v>314</v>
      </c>
      <c r="L376" s="6" t="s">
        <v>805</v>
      </c>
      <c r="M376" s="6" t="s">
        <v>311</v>
      </c>
      <c r="N376" s="3" t="s">
        <v>630</v>
      </c>
      <c r="O376" s="3" t="s">
        <v>62</v>
      </c>
      <c r="P376" s="3" t="s">
        <v>1219</v>
      </c>
      <c r="Q376" s="137">
        <v>46374</v>
      </c>
      <c r="R376" s="139">
        <v>1</v>
      </c>
      <c r="S376" s="140">
        <v>2457</v>
      </c>
      <c r="U376" s="137">
        <v>1139.4090000000001</v>
      </c>
      <c r="V376" s="138">
        <v>8.1300000000000003E-4</v>
      </c>
      <c r="W376" s="138">
        <v>3.0427720098237299E-3</v>
      </c>
      <c r="X376" s="138">
        <v>5.9438316269399497E-4</v>
      </c>
    </row>
    <row r="377" spans="1:24" x14ac:dyDescent="0.2">
      <c r="A377" s="3">
        <v>559</v>
      </c>
      <c r="B377" s="3">
        <v>7205</v>
      </c>
      <c r="C377" s="3" t="s">
        <v>2581</v>
      </c>
      <c r="D377" s="3" t="s">
        <v>2582</v>
      </c>
      <c r="E377" s="3" t="s">
        <v>1477</v>
      </c>
      <c r="F377" s="3" t="s">
        <v>2583</v>
      </c>
      <c r="G377" s="3" t="s">
        <v>2584</v>
      </c>
      <c r="H377" s="3" t="s">
        <v>76</v>
      </c>
      <c r="I377" s="3" t="s">
        <v>73</v>
      </c>
      <c r="J377" s="3" t="s">
        <v>53</v>
      </c>
      <c r="K377" s="3" t="s">
        <v>53</v>
      </c>
      <c r="L377" s="6" t="s">
        <v>805</v>
      </c>
      <c r="M377" s="6" t="s">
        <v>311</v>
      </c>
      <c r="N377" s="3" t="s">
        <v>75</v>
      </c>
      <c r="O377" s="3" t="s">
        <v>62</v>
      </c>
      <c r="P377" s="3" t="s">
        <v>1219</v>
      </c>
      <c r="Q377" s="137">
        <v>1173.8900000000001</v>
      </c>
      <c r="R377" s="139">
        <v>1</v>
      </c>
      <c r="S377" s="140">
        <v>60590</v>
      </c>
      <c r="U377" s="137">
        <v>711.26</v>
      </c>
      <c r="V377" s="138">
        <v>9.5500000000000001E-4</v>
      </c>
      <c r="W377" s="138">
        <v>1.89940708623341E-3</v>
      </c>
      <c r="X377" s="138">
        <v>3.7103522298543901E-4</v>
      </c>
    </row>
    <row r="378" spans="1:24" x14ac:dyDescent="0.2">
      <c r="A378" s="3">
        <v>559</v>
      </c>
      <c r="B378" s="3">
        <v>7205</v>
      </c>
      <c r="C378" s="3" t="s">
        <v>2585</v>
      </c>
      <c r="D378" s="3" t="s">
        <v>2586</v>
      </c>
      <c r="E378" s="3" t="s">
        <v>1477</v>
      </c>
      <c r="F378" s="3" t="s">
        <v>2587</v>
      </c>
      <c r="G378" s="3" t="s">
        <v>2588</v>
      </c>
      <c r="H378" s="3" t="s">
        <v>76</v>
      </c>
      <c r="I378" s="3" t="s">
        <v>73</v>
      </c>
      <c r="J378" s="3" t="s">
        <v>53</v>
      </c>
      <c r="K378" s="3" t="s">
        <v>53</v>
      </c>
      <c r="L378" s="6" t="s">
        <v>805</v>
      </c>
      <c r="M378" s="6" t="s">
        <v>311</v>
      </c>
      <c r="N378" s="3" t="s">
        <v>265</v>
      </c>
      <c r="O378" s="3" t="s">
        <v>62</v>
      </c>
      <c r="P378" s="3" t="s">
        <v>1219</v>
      </c>
      <c r="Q378" s="137">
        <v>50649</v>
      </c>
      <c r="R378" s="139">
        <v>1</v>
      </c>
      <c r="S378" s="140">
        <v>867.5</v>
      </c>
      <c r="U378" s="137">
        <v>439.38</v>
      </c>
      <c r="V378" s="138">
        <v>3.3370000000000001E-3</v>
      </c>
      <c r="W378" s="138">
        <v>1.1733566986745301E-3</v>
      </c>
      <c r="X378" s="138">
        <v>2.2920661267905999E-4</v>
      </c>
    </row>
    <row r="379" spans="1:24" x14ac:dyDescent="0.2">
      <c r="A379" s="3">
        <v>559</v>
      </c>
      <c r="B379" s="3">
        <v>7205</v>
      </c>
      <c r="C379" s="3" t="s">
        <v>2589</v>
      </c>
      <c r="D379" s="3" t="s">
        <v>2590</v>
      </c>
      <c r="E379" s="3" t="s">
        <v>1477</v>
      </c>
      <c r="F379" s="3" t="s">
        <v>2591</v>
      </c>
      <c r="G379" s="3" t="s">
        <v>2592</v>
      </c>
      <c r="H379" s="3" t="s">
        <v>76</v>
      </c>
      <c r="I379" s="3" t="s">
        <v>73</v>
      </c>
      <c r="J379" s="3" t="s">
        <v>53</v>
      </c>
      <c r="K379" s="3" t="s">
        <v>53</v>
      </c>
      <c r="L379" s="6" t="s">
        <v>805</v>
      </c>
      <c r="M379" s="6" t="s">
        <v>311</v>
      </c>
      <c r="N379" s="3" t="s">
        <v>255</v>
      </c>
      <c r="O379" s="3" t="s">
        <v>62</v>
      </c>
      <c r="P379" s="3" t="s">
        <v>1219</v>
      </c>
      <c r="Q379" s="137">
        <v>82906</v>
      </c>
      <c r="R379" s="139">
        <v>1</v>
      </c>
      <c r="S379" s="140">
        <v>24.9</v>
      </c>
      <c r="U379" s="137">
        <v>20.643999999999998</v>
      </c>
      <c r="V379" s="138">
        <v>7.45E-4</v>
      </c>
      <c r="W379" s="138">
        <v>5.5128351700102199E-5</v>
      </c>
      <c r="X379" s="138">
        <v>1.07689185820767E-5</v>
      </c>
    </row>
    <row r="380" spans="1:24" x14ac:dyDescent="0.2">
      <c r="A380" s="3">
        <v>559</v>
      </c>
      <c r="B380" s="3">
        <v>7205</v>
      </c>
      <c r="C380" s="3" t="s">
        <v>2593</v>
      </c>
      <c r="D380" s="3" t="s">
        <v>2594</v>
      </c>
      <c r="E380" s="3" t="s">
        <v>1477</v>
      </c>
      <c r="F380" s="3" t="s">
        <v>2595</v>
      </c>
      <c r="G380" s="3" t="s">
        <v>2596</v>
      </c>
      <c r="H380" s="3" t="s">
        <v>76</v>
      </c>
      <c r="I380" s="3" t="s">
        <v>73</v>
      </c>
      <c r="J380" s="3" t="s">
        <v>53</v>
      </c>
      <c r="K380" s="3" t="s">
        <v>53</v>
      </c>
      <c r="L380" s="6" t="s">
        <v>805</v>
      </c>
      <c r="M380" s="6" t="s">
        <v>311</v>
      </c>
      <c r="N380" s="3" t="s">
        <v>140</v>
      </c>
      <c r="O380" s="3" t="s">
        <v>62</v>
      </c>
      <c r="P380" s="3" t="s">
        <v>1219</v>
      </c>
      <c r="Q380" s="137">
        <v>3230</v>
      </c>
      <c r="R380" s="139">
        <v>1</v>
      </c>
      <c r="S380" s="140">
        <v>23700</v>
      </c>
      <c r="U380" s="137">
        <v>765.51</v>
      </c>
      <c r="V380" s="138">
        <v>3.5799999999999997E-4</v>
      </c>
      <c r="W380" s="138">
        <v>2.0442808800611601E-3</v>
      </c>
      <c r="X380" s="138">
        <v>3.9933525449907298E-4</v>
      </c>
    </row>
    <row r="381" spans="1:24" x14ac:dyDescent="0.2">
      <c r="A381" s="3">
        <v>559</v>
      </c>
      <c r="B381" s="3">
        <v>7205</v>
      </c>
      <c r="C381" s="3" t="s">
        <v>1762</v>
      </c>
      <c r="D381" s="3" t="s">
        <v>1763</v>
      </c>
      <c r="E381" s="3" t="s">
        <v>1477</v>
      </c>
      <c r="F381" s="3" t="s">
        <v>2597</v>
      </c>
      <c r="G381" s="3" t="s">
        <v>2598</v>
      </c>
      <c r="H381" s="3" t="s">
        <v>76</v>
      </c>
      <c r="I381" s="3" t="s">
        <v>73</v>
      </c>
      <c r="J381" s="3" t="s">
        <v>53</v>
      </c>
      <c r="K381" s="3" t="s">
        <v>53</v>
      </c>
      <c r="L381" s="6" t="s">
        <v>805</v>
      </c>
      <c r="M381" s="6" t="s">
        <v>311</v>
      </c>
      <c r="N381" s="3" t="s">
        <v>631</v>
      </c>
      <c r="O381" s="3" t="s">
        <v>62</v>
      </c>
      <c r="P381" s="3" t="s">
        <v>1219</v>
      </c>
      <c r="Q381" s="137">
        <v>42648</v>
      </c>
      <c r="R381" s="139">
        <v>1</v>
      </c>
      <c r="S381" s="140">
        <v>1532</v>
      </c>
      <c r="U381" s="137">
        <v>653.36699999999996</v>
      </c>
      <c r="V381" s="138">
        <v>2.4000000000000001E-4</v>
      </c>
      <c r="W381" s="138">
        <v>1.74480594858857E-3</v>
      </c>
      <c r="X381" s="138">
        <v>3.4083502630532299E-4</v>
      </c>
    </row>
    <row r="382" spans="1:24" x14ac:dyDescent="0.2">
      <c r="A382" s="3">
        <v>559</v>
      </c>
      <c r="B382" s="3">
        <v>7205</v>
      </c>
      <c r="C382" s="3" t="s">
        <v>2295</v>
      </c>
      <c r="D382" s="3" t="s">
        <v>2296</v>
      </c>
      <c r="E382" s="3" t="s">
        <v>1477</v>
      </c>
      <c r="F382" s="3" t="s">
        <v>2599</v>
      </c>
      <c r="G382" s="3" t="s">
        <v>2600</v>
      </c>
      <c r="H382" s="3" t="s">
        <v>76</v>
      </c>
      <c r="I382" s="3" t="s">
        <v>73</v>
      </c>
      <c r="J382" s="3" t="s">
        <v>53</v>
      </c>
      <c r="K382" s="3" t="s">
        <v>53</v>
      </c>
      <c r="L382" s="6" t="s">
        <v>805</v>
      </c>
      <c r="M382" s="6" t="s">
        <v>311</v>
      </c>
      <c r="N382" s="3" t="s">
        <v>256</v>
      </c>
      <c r="O382" s="3" t="s">
        <v>62</v>
      </c>
      <c r="P382" s="3" t="s">
        <v>1219</v>
      </c>
      <c r="Q382" s="137">
        <v>436354</v>
      </c>
      <c r="R382" s="139">
        <v>1</v>
      </c>
      <c r="S382" s="140">
        <v>3356</v>
      </c>
      <c r="U382" s="137">
        <v>14644.04</v>
      </c>
      <c r="V382" s="138">
        <v>3.5300000000000002E-4</v>
      </c>
      <c r="W382" s="138">
        <v>3.9106649775284698E-2</v>
      </c>
      <c r="X382" s="138">
        <v>7.6391967918577998E-3</v>
      </c>
    </row>
    <row r="383" spans="1:24" x14ac:dyDescent="0.2">
      <c r="A383" s="3">
        <v>559</v>
      </c>
      <c r="B383" s="3">
        <v>7205</v>
      </c>
      <c r="C383" s="3" t="s">
        <v>2601</v>
      </c>
      <c r="D383" s="3" t="s">
        <v>2602</v>
      </c>
      <c r="E383" s="3" t="s">
        <v>1477</v>
      </c>
      <c r="F383" s="3" t="s">
        <v>2603</v>
      </c>
      <c r="G383" s="3" t="s">
        <v>2604</v>
      </c>
      <c r="H383" s="3" t="s">
        <v>76</v>
      </c>
      <c r="I383" s="3" t="s">
        <v>73</v>
      </c>
      <c r="J383" s="3" t="s">
        <v>53</v>
      </c>
      <c r="K383" s="3" t="s">
        <v>53</v>
      </c>
      <c r="L383" s="6" t="s">
        <v>805</v>
      </c>
      <c r="M383" s="6" t="s">
        <v>311</v>
      </c>
      <c r="N383" s="3" t="s">
        <v>75</v>
      </c>
      <c r="O383" s="3" t="s">
        <v>62</v>
      </c>
      <c r="P383" s="3" t="s">
        <v>1219</v>
      </c>
      <c r="Q383" s="137">
        <v>36223</v>
      </c>
      <c r="R383" s="139">
        <v>1</v>
      </c>
      <c r="S383" s="140">
        <v>4845</v>
      </c>
      <c r="U383" s="137">
        <v>1755.0039999999999</v>
      </c>
      <c r="V383" s="138">
        <v>1.317E-3</v>
      </c>
      <c r="W383" s="138">
        <v>4.68670799483895E-3</v>
      </c>
      <c r="X383" s="138">
        <v>9.1551398251391903E-4</v>
      </c>
    </row>
    <row r="384" spans="1:24" x14ac:dyDescent="0.2">
      <c r="A384" s="3">
        <v>559</v>
      </c>
      <c r="B384" s="3">
        <v>7205</v>
      </c>
      <c r="C384" s="3" t="s">
        <v>2605</v>
      </c>
      <c r="D384" s="3" t="s">
        <v>2606</v>
      </c>
      <c r="E384" s="3" t="s">
        <v>1477</v>
      </c>
      <c r="F384" s="3" t="s">
        <v>2607</v>
      </c>
      <c r="G384" s="3" t="s">
        <v>2608</v>
      </c>
      <c r="H384" s="3" t="s">
        <v>76</v>
      </c>
      <c r="I384" s="3" t="s">
        <v>73</v>
      </c>
      <c r="J384" s="3" t="s">
        <v>53</v>
      </c>
      <c r="K384" s="3" t="s">
        <v>53</v>
      </c>
      <c r="L384" s="6" t="s">
        <v>805</v>
      </c>
      <c r="M384" s="6" t="s">
        <v>311</v>
      </c>
      <c r="N384" s="3" t="s">
        <v>75</v>
      </c>
      <c r="O384" s="3" t="s">
        <v>62</v>
      </c>
      <c r="P384" s="3" t="s">
        <v>1219</v>
      </c>
      <c r="Q384" s="137">
        <v>19412</v>
      </c>
      <c r="R384" s="139">
        <v>1</v>
      </c>
      <c r="S384" s="140">
        <v>2836</v>
      </c>
      <c r="T384" s="131">
        <v>38.823999999999998</v>
      </c>
      <c r="U384" s="137">
        <v>589.34799999999996</v>
      </c>
      <c r="V384" s="138">
        <v>2.0000000000000001E-4</v>
      </c>
      <c r="W384" s="138">
        <v>1.5738442375307501E-3</v>
      </c>
      <c r="X384" s="138">
        <v>3.0743891177881602E-4</v>
      </c>
    </row>
    <row r="385" spans="1:24" x14ac:dyDescent="0.2">
      <c r="A385" s="3">
        <v>559</v>
      </c>
      <c r="B385" s="3">
        <v>7205</v>
      </c>
      <c r="C385" s="3" t="s">
        <v>2609</v>
      </c>
      <c r="D385" s="3" t="s">
        <v>2610</v>
      </c>
      <c r="E385" s="3" t="s">
        <v>1477</v>
      </c>
      <c r="F385" s="3" t="s">
        <v>2611</v>
      </c>
      <c r="G385" s="3" t="s">
        <v>2612</v>
      </c>
      <c r="H385" s="3" t="s">
        <v>76</v>
      </c>
      <c r="I385" s="3" t="s">
        <v>73</v>
      </c>
      <c r="J385" s="3" t="s">
        <v>53</v>
      </c>
      <c r="K385" s="3" t="s">
        <v>53</v>
      </c>
      <c r="L385" s="6" t="s">
        <v>805</v>
      </c>
      <c r="M385" s="6" t="s">
        <v>311</v>
      </c>
      <c r="N385" s="3" t="s">
        <v>140</v>
      </c>
      <c r="O385" s="3" t="s">
        <v>62</v>
      </c>
      <c r="P385" s="3" t="s">
        <v>1219</v>
      </c>
      <c r="Q385" s="137">
        <v>8638</v>
      </c>
      <c r="R385" s="139">
        <v>1</v>
      </c>
      <c r="S385" s="140">
        <v>36740</v>
      </c>
      <c r="U385" s="137">
        <v>3173.6010000000001</v>
      </c>
      <c r="V385" s="138">
        <v>4.1300000000000001E-4</v>
      </c>
      <c r="W385" s="138">
        <v>8.4750457265080105E-3</v>
      </c>
      <c r="X385" s="138">
        <v>1.65553793272533E-3</v>
      </c>
    </row>
    <row r="386" spans="1:24" x14ac:dyDescent="0.2">
      <c r="A386" s="3">
        <v>559</v>
      </c>
      <c r="B386" s="3">
        <v>7205</v>
      </c>
      <c r="C386" s="3" t="s">
        <v>2613</v>
      </c>
      <c r="D386" s="3" t="s">
        <v>2614</v>
      </c>
      <c r="E386" s="3" t="s">
        <v>1477</v>
      </c>
      <c r="F386" s="3" t="s">
        <v>2615</v>
      </c>
      <c r="G386" s="3" t="s">
        <v>2616</v>
      </c>
      <c r="H386" s="3" t="s">
        <v>76</v>
      </c>
      <c r="I386" s="3" t="s">
        <v>73</v>
      </c>
      <c r="J386" s="3" t="s">
        <v>53</v>
      </c>
      <c r="K386" s="3" t="s">
        <v>53</v>
      </c>
      <c r="L386" s="6" t="s">
        <v>805</v>
      </c>
      <c r="M386" s="6" t="s">
        <v>311</v>
      </c>
      <c r="N386" s="3" t="s">
        <v>258</v>
      </c>
      <c r="O386" s="3" t="s">
        <v>62</v>
      </c>
      <c r="P386" s="3" t="s">
        <v>1219</v>
      </c>
      <c r="Q386" s="137">
        <v>1691</v>
      </c>
      <c r="R386" s="139">
        <v>1</v>
      </c>
      <c r="S386" s="140">
        <v>48100</v>
      </c>
      <c r="U386" s="137">
        <v>813.37099999999998</v>
      </c>
      <c r="V386" s="138">
        <v>2.7099999999999997E-4</v>
      </c>
      <c r="W386" s="138">
        <v>2.1720928318326701E-3</v>
      </c>
      <c r="X386" s="138">
        <v>4.2430238048773398E-4</v>
      </c>
    </row>
    <row r="387" spans="1:24" x14ac:dyDescent="0.2">
      <c r="A387" s="3">
        <v>559</v>
      </c>
      <c r="B387" s="3">
        <v>7205</v>
      </c>
      <c r="C387" s="3" t="s">
        <v>2617</v>
      </c>
      <c r="D387" s="3" t="s">
        <v>2618</v>
      </c>
      <c r="E387" s="3" t="s">
        <v>1477</v>
      </c>
      <c r="F387" s="3" t="s">
        <v>2619</v>
      </c>
      <c r="G387" s="3" t="s">
        <v>2620</v>
      </c>
      <c r="H387" s="3" t="s">
        <v>76</v>
      </c>
      <c r="I387" s="3" t="s">
        <v>73</v>
      </c>
      <c r="J387" s="3" t="s">
        <v>53</v>
      </c>
      <c r="K387" s="3" t="s">
        <v>53</v>
      </c>
      <c r="L387" s="6" t="s">
        <v>805</v>
      </c>
      <c r="M387" s="6" t="s">
        <v>311</v>
      </c>
      <c r="N387" s="3" t="s">
        <v>269</v>
      </c>
      <c r="O387" s="3" t="s">
        <v>62</v>
      </c>
      <c r="P387" s="3" t="s">
        <v>1219</v>
      </c>
      <c r="Q387" s="137">
        <v>27944.63</v>
      </c>
      <c r="R387" s="139">
        <v>1</v>
      </c>
      <c r="S387" s="140">
        <v>9745</v>
      </c>
      <c r="U387" s="137">
        <v>2723.2040000000002</v>
      </c>
      <c r="V387" s="138">
        <v>1.06E-4</v>
      </c>
      <c r="W387" s="138">
        <v>7.2722685076281402E-3</v>
      </c>
      <c r="X387" s="138">
        <v>1.4205842375204301E-3</v>
      </c>
    </row>
    <row r="388" spans="1:24" x14ac:dyDescent="0.2">
      <c r="A388" s="3">
        <v>559</v>
      </c>
      <c r="B388" s="3">
        <v>7205</v>
      </c>
      <c r="C388" s="3" t="s">
        <v>2621</v>
      </c>
      <c r="D388" s="3" t="s">
        <v>2622</v>
      </c>
      <c r="E388" s="3" t="s">
        <v>1477</v>
      </c>
      <c r="F388" s="3" t="s">
        <v>2623</v>
      </c>
      <c r="G388" s="3" t="s">
        <v>2624</v>
      </c>
      <c r="H388" s="3" t="s">
        <v>76</v>
      </c>
      <c r="I388" s="3" t="s">
        <v>73</v>
      </c>
      <c r="J388" s="3" t="s">
        <v>53</v>
      </c>
      <c r="K388" s="3" t="s">
        <v>53</v>
      </c>
      <c r="L388" s="6" t="s">
        <v>805</v>
      </c>
      <c r="M388" s="6" t="s">
        <v>311</v>
      </c>
      <c r="N388" s="3" t="s">
        <v>269</v>
      </c>
      <c r="O388" s="3" t="s">
        <v>62</v>
      </c>
      <c r="P388" s="3" t="s">
        <v>1219</v>
      </c>
      <c r="Q388" s="137">
        <v>65350</v>
      </c>
      <c r="R388" s="139">
        <v>1</v>
      </c>
      <c r="S388" s="140">
        <v>9432</v>
      </c>
      <c r="U388" s="137">
        <v>6163.8119999999999</v>
      </c>
      <c r="V388" s="138">
        <v>2.9E-4</v>
      </c>
      <c r="W388" s="138">
        <v>1.6460350641913899E-2</v>
      </c>
      <c r="X388" s="138">
        <v>3.21540859519071E-3</v>
      </c>
    </row>
    <row r="389" spans="1:24" x14ac:dyDescent="0.2">
      <c r="A389" s="3">
        <v>559</v>
      </c>
      <c r="B389" s="3">
        <v>7205</v>
      </c>
      <c r="C389" s="3" t="s">
        <v>2625</v>
      </c>
      <c r="D389" s="3" t="s">
        <v>2626</v>
      </c>
      <c r="E389" s="3" t="s">
        <v>1477</v>
      </c>
      <c r="F389" s="3" t="s">
        <v>2627</v>
      </c>
      <c r="G389" s="3" t="s">
        <v>2628</v>
      </c>
      <c r="H389" s="3" t="s">
        <v>76</v>
      </c>
      <c r="I389" s="3" t="s">
        <v>73</v>
      </c>
      <c r="J389" s="3" t="s">
        <v>53</v>
      </c>
      <c r="K389" s="3" t="s">
        <v>53</v>
      </c>
      <c r="L389" s="6" t="s">
        <v>805</v>
      </c>
      <c r="M389" s="6" t="s">
        <v>311</v>
      </c>
      <c r="N389" s="3" t="s">
        <v>252</v>
      </c>
      <c r="O389" s="3" t="s">
        <v>62</v>
      </c>
      <c r="P389" s="3" t="s">
        <v>1219</v>
      </c>
      <c r="Q389" s="137">
        <v>38401</v>
      </c>
      <c r="R389" s="139">
        <v>1</v>
      </c>
      <c r="S389" s="140">
        <v>8680</v>
      </c>
      <c r="U389" s="137">
        <v>3333.2069999999999</v>
      </c>
      <c r="V389" s="138">
        <v>5.3399999999999997E-4</v>
      </c>
      <c r="W389" s="138">
        <v>8.9012696509906293E-3</v>
      </c>
      <c r="X389" s="138">
        <v>1.7387976457212101E-3</v>
      </c>
    </row>
    <row r="390" spans="1:24" x14ac:dyDescent="0.2">
      <c r="A390" s="3">
        <v>559</v>
      </c>
      <c r="B390" s="3">
        <v>7205</v>
      </c>
      <c r="C390" s="3" t="s">
        <v>2629</v>
      </c>
      <c r="D390" s="3" t="s">
        <v>2630</v>
      </c>
      <c r="E390" s="3" t="s">
        <v>1477</v>
      </c>
      <c r="F390" s="3" t="s">
        <v>2631</v>
      </c>
      <c r="G390" s="3" t="s">
        <v>2632</v>
      </c>
      <c r="H390" s="3" t="s">
        <v>76</v>
      </c>
      <c r="I390" s="3" t="s">
        <v>73</v>
      </c>
      <c r="J390" s="3" t="s">
        <v>53</v>
      </c>
      <c r="K390" s="3" t="s">
        <v>53</v>
      </c>
      <c r="L390" s="6" t="s">
        <v>805</v>
      </c>
      <c r="M390" s="6" t="s">
        <v>311</v>
      </c>
      <c r="N390" s="3" t="s">
        <v>635</v>
      </c>
      <c r="O390" s="3" t="s">
        <v>62</v>
      </c>
      <c r="P390" s="3" t="s">
        <v>1219</v>
      </c>
      <c r="Q390" s="137">
        <v>6901</v>
      </c>
      <c r="R390" s="139">
        <v>1</v>
      </c>
      <c r="S390" s="140">
        <v>21400</v>
      </c>
      <c r="U390" s="137">
        <v>1476.8140000000001</v>
      </c>
      <c r="V390" s="138">
        <v>3.8900000000000002E-4</v>
      </c>
      <c r="W390" s="138">
        <v>3.9438055983679401E-3</v>
      </c>
      <c r="X390" s="138">
        <v>7.7039345604602697E-4</v>
      </c>
    </row>
    <row r="391" spans="1:24" x14ac:dyDescent="0.2">
      <c r="A391" s="3">
        <v>559</v>
      </c>
      <c r="B391" s="3">
        <v>7205</v>
      </c>
      <c r="C391" s="3" t="s">
        <v>1802</v>
      </c>
      <c r="D391" s="3" t="s">
        <v>1803</v>
      </c>
      <c r="E391" s="3" t="s">
        <v>1477</v>
      </c>
      <c r="F391" s="3" t="s">
        <v>2633</v>
      </c>
      <c r="G391" s="3" t="s">
        <v>2634</v>
      </c>
      <c r="H391" s="3" t="s">
        <v>76</v>
      </c>
      <c r="I391" s="3" t="s">
        <v>73</v>
      </c>
      <c r="J391" s="3" t="s">
        <v>53</v>
      </c>
      <c r="K391" s="3" t="s">
        <v>53</v>
      </c>
      <c r="L391" s="6" t="s">
        <v>805</v>
      </c>
      <c r="M391" s="6" t="s">
        <v>311</v>
      </c>
      <c r="N391" s="3" t="s">
        <v>692</v>
      </c>
      <c r="O391" s="3" t="s">
        <v>62</v>
      </c>
      <c r="P391" s="3" t="s">
        <v>1219</v>
      </c>
      <c r="Q391" s="137">
        <v>10093</v>
      </c>
      <c r="R391" s="139">
        <v>1</v>
      </c>
      <c r="S391" s="140">
        <v>112370</v>
      </c>
      <c r="U391" s="137">
        <v>11341.504000000001</v>
      </c>
      <c r="V391" s="138">
        <v>1.31E-3</v>
      </c>
      <c r="W391" s="138">
        <v>3.0287285577935301E-2</v>
      </c>
      <c r="X391" s="138">
        <v>5.9163987749027199E-3</v>
      </c>
    </row>
    <row r="392" spans="1:24" x14ac:dyDescent="0.2">
      <c r="A392" s="3">
        <v>559</v>
      </c>
      <c r="B392" s="3">
        <v>7205</v>
      </c>
      <c r="C392" s="3" t="s">
        <v>2635</v>
      </c>
      <c r="D392" s="3" t="s">
        <v>2636</v>
      </c>
      <c r="E392" s="3" t="s">
        <v>1477</v>
      </c>
      <c r="F392" s="3" t="s">
        <v>2637</v>
      </c>
      <c r="G392" s="3" t="s">
        <v>2638</v>
      </c>
      <c r="H392" s="3" t="s">
        <v>76</v>
      </c>
      <c r="I392" s="3" t="s">
        <v>73</v>
      </c>
      <c r="J392" s="3" t="s">
        <v>53</v>
      </c>
      <c r="K392" s="3" t="s">
        <v>317</v>
      </c>
      <c r="L392" s="6" t="s">
        <v>805</v>
      </c>
      <c r="M392" s="6" t="s">
        <v>311</v>
      </c>
      <c r="N392" s="3" t="s">
        <v>254</v>
      </c>
      <c r="O392" s="3" t="s">
        <v>62</v>
      </c>
      <c r="P392" s="3" t="s">
        <v>1219</v>
      </c>
      <c r="Q392" s="137">
        <v>15628</v>
      </c>
      <c r="R392" s="139">
        <v>1</v>
      </c>
      <c r="S392" s="140">
        <v>14620</v>
      </c>
      <c r="U392" s="137">
        <v>2284.8139999999999</v>
      </c>
      <c r="V392" s="138">
        <v>1.3999999999999999E-4</v>
      </c>
      <c r="W392" s="138">
        <v>6.1015542017526904E-3</v>
      </c>
      <c r="X392" s="138">
        <v>1.19189379686607E-3</v>
      </c>
    </row>
    <row r="393" spans="1:24" x14ac:dyDescent="0.2">
      <c r="A393" s="3">
        <v>559</v>
      </c>
      <c r="B393" s="3">
        <v>7205</v>
      </c>
      <c r="C393" s="3" t="s">
        <v>2325</v>
      </c>
      <c r="D393" s="3" t="s">
        <v>2326</v>
      </c>
      <c r="E393" s="3" t="s">
        <v>1477</v>
      </c>
      <c r="F393" s="3" t="s">
        <v>2639</v>
      </c>
      <c r="G393" s="3" t="s">
        <v>2640</v>
      </c>
      <c r="H393" s="3" t="s">
        <v>76</v>
      </c>
      <c r="I393" s="3" t="s">
        <v>73</v>
      </c>
      <c r="J393" s="3" t="s">
        <v>53</v>
      </c>
      <c r="K393" s="3" t="s">
        <v>314</v>
      </c>
      <c r="L393" s="6" t="s">
        <v>805</v>
      </c>
      <c r="M393" s="6" t="s">
        <v>311</v>
      </c>
      <c r="N393" s="3" t="s">
        <v>85</v>
      </c>
      <c r="O393" s="3" t="s">
        <v>62</v>
      </c>
      <c r="P393" s="3" t="s">
        <v>1219</v>
      </c>
      <c r="Q393" s="137">
        <v>110419</v>
      </c>
      <c r="R393" s="139">
        <v>1</v>
      </c>
      <c r="S393" s="140">
        <v>5699</v>
      </c>
      <c r="U393" s="137">
        <v>6292.7790000000005</v>
      </c>
      <c r="V393" s="138">
        <v>8.7999999999999998E-5</v>
      </c>
      <c r="W393" s="138">
        <v>1.68047542210252E-2</v>
      </c>
      <c r="X393" s="138">
        <v>3.2826853046958602E-3</v>
      </c>
    </row>
    <row r="394" spans="1:24" x14ac:dyDescent="0.2">
      <c r="A394" s="3">
        <v>559</v>
      </c>
      <c r="B394" s="3">
        <v>7205</v>
      </c>
      <c r="C394" s="3" t="s">
        <v>2641</v>
      </c>
      <c r="D394" s="3" t="s">
        <v>2642</v>
      </c>
      <c r="E394" s="3" t="s">
        <v>1477</v>
      </c>
      <c r="F394" s="3" t="s">
        <v>2643</v>
      </c>
      <c r="G394" s="3" t="s">
        <v>2644</v>
      </c>
      <c r="H394" s="3" t="s">
        <v>76</v>
      </c>
      <c r="I394" s="3" t="s">
        <v>73</v>
      </c>
      <c r="J394" s="3" t="s">
        <v>53</v>
      </c>
      <c r="L394" s="6" t="s">
        <v>805</v>
      </c>
      <c r="M394" s="6" t="s">
        <v>102</v>
      </c>
      <c r="N394" s="3" t="s">
        <v>631</v>
      </c>
      <c r="O394" s="3" t="s">
        <v>62</v>
      </c>
      <c r="P394" s="3" t="s">
        <v>1219</v>
      </c>
      <c r="Q394" s="137">
        <v>70500</v>
      </c>
      <c r="R394" s="139">
        <v>1</v>
      </c>
      <c r="S394" s="140">
        <v>902.39300000000003</v>
      </c>
      <c r="U394" s="137">
        <v>636.18700000000001</v>
      </c>
      <c r="V394" s="138">
        <v>0</v>
      </c>
      <c r="W394" s="138">
        <v>1.69892557377405E-3</v>
      </c>
      <c r="X394" s="138">
        <v>3.3187263208064898E-4</v>
      </c>
    </row>
    <row r="395" spans="1:24" x14ac:dyDescent="0.2">
      <c r="A395" s="3">
        <v>559</v>
      </c>
      <c r="B395" s="3">
        <v>7205</v>
      </c>
      <c r="C395" s="3" t="s">
        <v>2645</v>
      </c>
      <c r="D395" s="3" t="s">
        <v>2646</v>
      </c>
      <c r="E395" s="3" t="s">
        <v>1477</v>
      </c>
      <c r="F395" s="3" t="s">
        <v>2647</v>
      </c>
      <c r="G395" s="3" t="s">
        <v>2648</v>
      </c>
      <c r="H395" s="3" t="s">
        <v>76</v>
      </c>
      <c r="I395" s="3" t="s">
        <v>73</v>
      </c>
      <c r="J395" s="3" t="s">
        <v>53</v>
      </c>
      <c r="K395" s="3" t="s">
        <v>53</v>
      </c>
      <c r="L395" s="6" t="s">
        <v>805</v>
      </c>
      <c r="M395" s="6" t="s">
        <v>311</v>
      </c>
      <c r="N395" s="3" t="s">
        <v>257</v>
      </c>
      <c r="O395" s="3" t="s">
        <v>62</v>
      </c>
      <c r="P395" s="3" t="s">
        <v>1219</v>
      </c>
      <c r="Q395" s="137">
        <v>153317</v>
      </c>
      <c r="R395" s="139">
        <v>1</v>
      </c>
      <c r="S395" s="140">
        <v>1735</v>
      </c>
      <c r="U395" s="137">
        <v>2660.05</v>
      </c>
      <c r="V395" s="138">
        <v>7.5699999999999997E-4</v>
      </c>
      <c r="W395" s="138">
        <v>7.1036162202879703E-3</v>
      </c>
      <c r="X395" s="138">
        <v>1.38763925195425E-3</v>
      </c>
    </row>
    <row r="396" spans="1:24" x14ac:dyDescent="0.2">
      <c r="A396" s="3">
        <v>559</v>
      </c>
      <c r="B396" s="3">
        <v>7205</v>
      </c>
      <c r="C396" s="3" t="s">
        <v>1833</v>
      </c>
      <c r="D396" s="3" t="s">
        <v>1834</v>
      </c>
      <c r="E396" s="3" t="s">
        <v>432</v>
      </c>
      <c r="F396" s="3" t="s">
        <v>2649</v>
      </c>
      <c r="G396" s="3" t="s">
        <v>2650</v>
      </c>
      <c r="H396" s="3" t="s">
        <v>76</v>
      </c>
      <c r="I396" s="3" t="s">
        <v>73</v>
      </c>
      <c r="J396" s="3" t="s">
        <v>53</v>
      </c>
      <c r="K396" s="3" t="s">
        <v>53</v>
      </c>
      <c r="L396" s="6" t="s">
        <v>805</v>
      </c>
      <c r="M396" s="6" t="s">
        <v>311</v>
      </c>
      <c r="N396" s="3" t="s">
        <v>267</v>
      </c>
      <c r="O396" s="3" t="s">
        <v>62</v>
      </c>
      <c r="P396" s="3" t="s">
        <v>1219</v>
      </c>
      <c r="Q396" s="137">
        <v>2051498.97</v>
      </c>
      <c r="R396" s="139">
        <v>1</v>
      </c>
      <c r="S396" s="140">
        <v>229.9</v>
      </c>
      <c r="U396" s="137">
        <v>4716.3959999999997</v>
      </c>
      <c r="V396" s="138">
        <v>7.8899999999999999E-4</v>
      </c>
      <c r="W396" s="138">
        <v>1.2595052233809301E-2</v>
      </c>
      <c r="X396" s="138">
        <v>2.4603509421204702E-3</v>
      </c>
    </row>
    <row r="397" spans="1:24" x14ac:dyDescent="0.2">
      <c r="A397" s="3">
        <v>559</v>
      </c>
      <c r="B397" s="3">
        <v>7205</v>
      </c>
      <c r="C397" s="3" t="s">
        <v>2651</v>
      </c>
      <c r="D397" s="3" t="s">
        <v>2652</v>
      </c>
      <c r="E397" s="3" t="s">
        <v>1477</v>
      </c>
      <c r="F397" s="3" t="s">
        <v>2653</v>
      </c>
      <c r="G397" s="3" t="s">
        <v>2654</v>
      </c>
      <c r="H397" s="3" t="s">
        <v>76</v>
      </c>
      <c r="I397" s="3" t="s">
        <v>73</v>
      </c>
      <c r="J397" s="3" t="s">
        <v>53</v>
      </c>
      <c r="K397" s="3" t="s">
        <v>53</v>
      </c>
      <c r="L397" s="6" t="s">
        <v>805</v>
      </c>
      <c r="M397" s="6" t="s">
        <v>311</v>
      </c>
      <c r="N397" s="3" t="s">
        <v>635</v>
      </c>
      <c r="O397" s="3" t="s">
        <v>62</v>
      </c>
      <c r="P397" s="3" t="s">
        <v>1219</v>
      </c>
      <c r="Q397" s="137">
        <v>1675</v>
      </c>
      <c r="R397" s="139">
        <v>1</v>
      </c>
      <c r="S397" s="140">
        <v>45650</v>
      </c>
      <c r="U397" s="137">
        <v>764.63800000000003</v>
      </c>
      <c r="V397" s="138">
        <v>2.6200000000000003E-4</v>
      </c>
      <c r="W397" s="138">
        <v>2.0419508842833699E-3</v>
      </c>
      <c r="X397" s="138">
        <v>3.9888010693790401E-4</v>
      </c>
    </row>
    <row r="398" spans="1:24" x14ac:dyDescent="0.2">
      <c r="A398" s="3">
        <v>559</v>
      </c>
      <c r="B398" s="3">
        <v>7205</v>
      </c>
      <c r="C398" s="3" t="s">
        <v>1849</v>
      </c>
      <c r="D398" s="3" t="s">
        <v>1850</v>
      </c>
      <c r="E398" s="3" t="s">
        <v>1477</v>
      </c>
      <c r="F398" s="3" t="s">
        <v>2655</v>
      </c>
      <c r="G398" s="3" t="s">
        <v>2656</v>
      </c>
      <c r="H398" s="3" t="s">
        <v>76</v>
      </c>
      <c r="I398" s="3" t="s">
        <v>73</v>
      </c>
      <c r="J398" s="3" t="s">
        <v>53</v>
      </c>
      <c r="K398" s="3" t="s">
        <v>53</v>
      </c>
      <c r="L398" s="6" t="s">
        <v>805</v>
      </c>
      <c r="M398" s="6" t="s">
        <v>311</v>
      </c>
      <c r="N398" s="3" t="s">
        <v>269</v>
      </c>
      <c r="O398" s="3" t="s">
        <v>62</v>
      </c>
      <c r="P398" s="3" t="s">
        <v>1219</v>
      </c>
      <c r="Q398" s="137">
        <v>40654</v>
      </c>
      <c r="R398" s="139">
        <v>1</v>
      </c>
      <c r="S398" s="140">
        <v>14880</v>
      </c>
      <c r="U398" s="137">
        <v>6049.3149999999996</v>
      </c>
      <c r="V398" s="138">
        <v>5.1099999999999995E-4</v>
      </c>
      <c r="W398" s="138">
        <v>1.6154588967908098E-2</v>
      </c>
      <c r="X398" s="138">
        <v>3.15568029801977E-3</v>
      </c>
    </row>
    <row r="399" spans="1:24" x14ac:dyDescent="0.2">
      <c r="A399" s="3">
        <v>559</v>
      </c>
      <c r="B399" s="3">
        <v>7205</v>
      </c>
      <c r="C399" s="3" t="s">
        <v>2873</v>
      </c>
      <c r="D399" s="3" t="s">
        <v>2874</v>
      </c>
      <c r="E399" s="3" t="s">
        <v>1477</v>
      </c>
      <c r="F399" s="3" t="s">
        <v>2875</v>
      </c>
      <c r="G399" s="3" t="s">
        <v>2876</v>
      </c>
      <c r="H399" s="3" t="s">
        <v>76</v>
      </c>
      <c r="I399" s="3" t="s">
        <v>73</v>
      </c>
      <c r="J399" s="3" t="s">
        <v>53</v>
      </c>
      <c r="K399" s="3" t="s">
        <v>53</v>
      </c>
      <c r="L399" s="6" t="s">
        <v>805</v>
      </c>
      <c r="M399" s="6" t="s">
        <v>311</v>
      </c>
      <c r="N399" s="3" t="s">
        <v>265</v>
      </c>
      <c r="O399" s="3" t="s">
        <v>62</v>
      </c>
      <c r="P399" s="3" t="s">
        <v>1219</v>
      </c>
      <c r="Q399" s="137">
        <v>5128</v>
      </c>
      <c r="R399" s="139">
        <v>1</v>
      </c>
      <c r="S399" s="140">
        <v>2980</v>
      </c>
      <c r="U399" s="137">
        <v>152.81399999999999</v>
      </c>
      <c r="V399" s="138">
        <v>2.13E-4</v>
      </c>
      <c r="W399" s="138">
        <v>4.08088145312299E-4</v>
      </c>
      <c r="X399" s="138">
        <v>7.9717021743835E-5</v>
      </c>
    </row>
    <row r="400" spans="1:24" x14ac:dyDescent="0.2">
      <c r="A400" s="3">
        <v>559</v>
      </c>
      <c r="B400" s="3">
        <v>7205</v>
      </c>
      <c r="C400" s="3" t="s">
        <v>1220</v>
      </c>
      <c r="D400" s="3" t="s">
        <v>1483</v>
      </c>
      <c r="E400" s="3" t="s">
        <v>1477</v>
      </c>
      <c r="F400" s="3" t="s">
        <v>2657</v>
      </c>
      <c r="G400" s="3" t="s">
        <v>2658</v>
      </c>
      <c r="H400" s="3" t="s">
        <v>76</v>
      </c>
      <c r="I400" s="3" t="s">
        <v>73</v>
      </c>
      <c r="J400" s="3" t="s">
        <v>53</v>
      </c>
      <c r="K400" s="3" t="s">
        <v>53</v>
      </c>
      <c r="L400" s="6" t="s">
        <v>805</v>
      </c>
      <c r="M400" s="6" t="s">
        <v>311</v>
      </c>
      <c r="N400" s="3" t="s">
        <v>256</v>
      </c>
      <c r="O400" s="3" t="s">
        <v>62</v>
      </c>
      <c r="P400" s="3" t="s">
        <v>1219</v>
      </c>
      <c r="Q400" s="137">
        <v>377509</v>
      </c>
      <c r="R400" s="139">
        <v>1</v>
      </c>
      <c r="S400" s="140">
        <v>6262</v>
      </c>
      <c r="U400" s="137">
        <v>23639.614000000001</v>
      </c>
      <c r="V400" s="138">
        <v>2.34E-4</v>
      </c>
      <c r="W400" s="138">
        <v>6.3129168859489895E-2</v>
      </c>
      <c r="X400" s="138">
        <v>1.2331819447465101E-2</v>
      </c>
    </row>
    <row r="401" spans="1:24" x14ac:dyDescent="0.2">
      <c r="A401" s="3">
        <v>559</v>
      </c>
      <c r="B401" s="3">
        <v>7205</v>
      </c>
      <c r="C401" s="3" t="s">
        <v>2487</v>
      </c>
      <c r="D401" s="3" t="s">
        <v>2488</v>
      </c>
      <c r="E401" s="3" t="s">
        <v>1477</v>
      </c>
      <c r="F401" s="3" t="s">
        <v>2659</v>
      </c>
      <c r="G401" s="3" t="s">
        <v>2660</v>
      </c>
      <c r="H401" s="3" t="s">
        <v>76</v>
      </c>
      <c r="I401" s="3" t="s">
        <v>73</v>
      </c>
      <c r="J401" s="3" t="s">
        <v>53</v>
      </c>
      <c r="K401" s="3" t="s">
        <v>53</v>
      </c>
      <c r="L401" s="6" t="s">
        <v>805</v>
      </c>
      <c r="M401" s="6" t="s">
        <v>311</v>
      </c>
      <c r="N401" s="3" t="s">
        <v>692</v>
      </c>
      <c r="O401" s="3" t="s">
        <v>62</v>
      </c>
      <c r="P401" s="3" t="s">
        <v>1219</v>
      </c>
      <c r="Q401" s="137">
        <v>472654</v>
      </c>
      <c r="R401" s="139">
        <v>1</v>
      </c>
      <c r="S401" s="140">
        <v>519.29999999999995</v>
      </c>
      <c r="U401" s="137">
        <v>2454.4920000000002</v>
      </c>
      <c r="V401" s="138">
        <v>1.7669999999999999E-3</v>
      </c>
      <c r="W401" s="138">
        <v>6.5546779528594399E-3</v>
      </c>
      <c r="X401" s="138">
        <v>1.28040819341141E-3</v>
      </c>
    </row>
    <row r="402" spans="1:24" x14ac:dyDescent="0.2">
      <c r="A402" s="3">
        <v>559</v>
      </c>
      <c r="B402" s="3">
        <v>7205</v>
      </c>
      <c r="C402" s="3" t="s">
        <v>1871</v>
      </c>
      <c r="D402" s="3" t="s">
        <v>1872</v>
      </c>
      <c r="E402" s="3" t="s">
        <v>1477</v>
      </c>
      <c r="F402" s="3" t="s">
        <v>2661</v>
      </c>
      <c r="G402" s="3" t="s">
        <v>2662</v>
      </c>
      <c r="H402" s="3" t="s">
        <v>76</v>
      </c>
      <c r="I402" s="3" t="s">
        <v>73</v>
      </c>
      <c r="J402" s="3" t="s">
        <v>53</v>
      </c>
      <c r="K402" s="3" t="s">
        <v>53</v>
      </c>
      <c r="L402" s="6" t="s">
        <v>805</v>
      </c>
      <c r="M402" s="6" t="s">
        <v>311</v>
      </c>
      <c r="N402" s="3" t="s">
        <v>692</v>
      </c>
      <c r="O402" s="3" t="s">
        <v>62</v>
      </c>
      <c r="P402" s="3" t="s">
        <v>1219</v>
      </c>
      <c r="Q402" s="137">
        <v>20750</v>
      </c>
      <c r="R402" s="139">
        <v>1</v>
      </c>
      <c r="S402" s="140">
        <v>8096</v>
      </c>
      <c r="U402" s="137">
        <v>1679.92</v>
      </c>
      <c r="V402" s="138">
        <v>3.2299999999999999E-4</v>
      </c>
      <c r="W402" s="138">
        <v>4.4861965696494401E-3</v>
      </c>
      <c r="X402" s="138">
        <v>8.7634554837700705E-4</v>
      </c>
    </row>
    <row r="403" spans="1:24" x14ac:dyDescent="0.2">
      <c r="A403" s="3">
        <v>559</v>
      </c>
      <c r="B403" s="3">
        <v>7205</v>
      </c>
      <c r="C403" s="3" t="s">
        <v>2663</v>
      </c>
      <c r="D403" s="3" t="s">
        <v>2664</v>
      </c>
      <c r="E403" s="3" t="s">
        <v>1477</v>
      </c>
      <c r="F403" s="3" t="s">
        <v>2665</v>
      </c>
      <c r="G403" s="3" t="s">
        <v>2666</v>
      </c>
      <c r="H403" s="3" t="s">
        <v>76</v>
      </c>
      <c r="I403" s="3" t="s">
        <v>73</v>
      </c>
      <c r="J403" s="3" t="s">
        <v>53</v>
      </c>
      <c r="K403" s="3" t="s">
        <v>53</v>
      </c>
      <c r="L403" s="6" t="s">
        <v>805</v>
      </c>
      <c r="M403" s="6" t="s">
        <v>311</v>
      </c>
      <c r="N403" s="3" t="s">
        <v>634</v>
      </c>
      <c r="O403" s="3" t="s">
        <v>62</v>
      </c>
      <c r="P403" s="3" t="s">
        <v>1219</v>
      </c>
      <c r="Q403" s="137">
        <v>4556</v>
      </c>
      <c r="R403" s="139">
        <v>1</v>
      </c>
      <c r="S403" s="140">
        <v>30850</v>
      </c>
      <c r="U403" s="137">
        <v>1405.5260000000001</v>
      </c>
      <c r="V403" s="138">
        <v>3.1399999999999999E-4</v>
      </c>
      <c r="W403" s="138">
        <v>3.7534322585320102E-3</v>
      </c>
      <c r="X403" s="138">
        <v>7.3320542241781797E-4</v>
      </c>
    </row>
    <row r="404" spans="1:24" x14ac:dyDescent="0.2">
      <c r="A404" s="3">
        <v>559</v>
      </c>
      <c r="B404" s="3">
        <v>7205</v>
      </c>
      <c r="C404" s="3" t="s">
        <v>2667</v>
      </c>
      <c r="D404" s="3" t="s">
        <v>2668</v>
      </c>
      <c r="E404" s="3" t="s">
        <v>1477</v>
      </c>
      <c r="F404" s="3" t="s">
        <v>2669</v>
      </c>
      <c r="G404" s="3" t="s">
        <v>2670</v>
      </c>
      <c r="H404" s="3" t="s">
        <v>76</v>
      </c>
      <c r="I404" s="3" t="s">
        <v>73</v>
      </c>
      <c r="J404" s="3" t="s">
        <v>53</v>
      </c>
      <c r="K404" s="3" t="s">
        <v>53</v>
      </c>
      <c r="L404" s="6" t="s">
        <v>805</v>
      </c>
      <c r="M404" s="6" t="s">
        <v>311</v>
      </c>
      <c r="N404" s="3" t="s">
        <v>692</v>
      </c>
      <c r="O404" s="3" t="s">
        <v>62</v>
      </c>
      <c r="P404" s="3" t="s">
        <v>1219</v>
      </c>
      <c r="Q404" s="137">
        <v>6360</v>
      </c>
      <c r="R404" s="139">
        <v>1</v>
      </c>
      <c r="S404" s="140">
        <v>28350</v>
      </c>
      <c r="U404" s="137">
        <v>1803.06</v>
      </c>
      <c r="V404" s="138">
        <v>6.0099999999999997E-4</v>
      </c>
      <c r="W404" s="138">
        <v>4.8150397559836898E-3</v>
      </c>
      <c r="X404" s="138">
        <v>9.4058264944559705E-4</v>
      </c>
    </row>
    <row r="405" spans="1:24" x14ac:dyDescent="0.2">
      <c r="A405" s="3">
        <v>559</v>
      </c>
      <c r="B405" s="3">
        <v>7205</v>
      </c>
      <c r="C405" s="3" t="s">
        <v>1881</v>
      </c>
      <c r="D405" s="3" t="s">
        <v>1882</v>
      </c>
      <c r="E405" s="3" t="s">
        <v>1477</v>
      </c>
      <c r="F405" s="3" t="s">
        <v>2671</v>
      </c>
      <c r="G405" s="3" t="s">
        <v>2672</v>
      </c>
      <c r="H405" s="3" t="s">
        <v>76</v>
      </c>
      <c r="I405" s="3" t="s">
        <v>73</v>
      </c>
      <c r="J405" s="3" t="s">
        <v>53</v>
      </c>
      <c r="K405" s="3" t="s">
        <v>53</v>
      </c>
      <c r="L405" s="6" t="s">
        <v>805</v>
      </c>
      <c r="M405" s="6" t="s">
        <v>311</v>
      </c>
      <c r="N405" s="3" t="s">
        <v>635</v>
      </c>
      <c r="O405" s="3" t="s">
        <v>62</v>
      </c>
      <c r="P405" s="3" t="s">
        <v>1219</v>
      </c>
      <c r="Q405" s="137">
        <v>160308.12</v>
      </c>
      <c r="R405" s="139">
        <v>1</v>
      </c>
      <c r="S405" s="140">
        <v>1262</v>
      </c>
      <c r="U405" s="137">
        <v>2023.088</v>
      </c>
      <c r="V405" s="138">
        <v>2.2000000000000001E-4</v>
      </c>
      <c r="W405" s="138">
        <v>5.40262189506083E-3</v>
      </c>
      <c r="X405" s="138">
        <v>1.0553625044724001E-3</v>
      </c>
    </row>
    <row r="406" spans="1:24" x14ac:dyDescent="0.2">
      <c r="A406" s="3">
        <v>559</v>
      </c>
      <c r="B406" s="3">
        <v>7205</v>
      </c>
      <c r="C406" s="3" t="s">
        <v>2673</v>
      </c>
      <c r="D406" s="3" t="s">
        <v>2674</v>
      </c>
      <c r="E406" s="3" t="s">
        <v>1477</v>
      </c>
      <c r="F406" s="3" t="s">
        <v>2675</v>
      </c>
      <c r="G406" s="3" t="s">
        <v>2676</v>
      </c>
      <c r="H406" s="3" t="s">
        <v>76</v>
      </c>
      <c r="I406" s="3" t="s">
        <v>73</v>
      </c>
      <c r="J406" s="3" t="s">
        <v>53</v>
      </c>
      <c r="K406" s="3" t="s">
        <v>53</v>
      </c>
      <c r="L406" s="6" t="s">
        <v>805</v>
      </c>
      <c r="M406" s="6" t="s">
        <v>311</v>
      </c>
      <c r="N406" s="3" t="s">
        <v>269</v>
      </c>
      <c r="O406" s="3" t="s">
        <v>62</v>
      </c>
      <c r="P406" s="3" t="s">
        <v>1219</v>
      </c>
      <c r="Q406" s="137">
        <v>495771</v>
      </c>
      <c r="R406" s="139">
        <v>1</v>
      </c>
      <c r="S406" s="140">
        <v>927.1</v>
      </c>
      <c r="U406" s="137">
        <v>4596.2929999999997</v>
      </c>
      <c r="V406" s="138">
        <v>4.6999999999999999E-4</v>
      </c>
      <c r="W406" s="138">
        <v>1.22743187919771E-2</v>
      </c>
      <c r="X406" s="138">
        <v>2.3976980200735801E-3</v>
      </c>
    </row>
    <row r="407" spans="1:24" x14ac:dyDescent="0.2">
      <c r="A407" s="3">
        <v>559</v>
      </c>
      <c r="B407" s="3">
        <v>7205</v>
      </c>
      <c r="C407" s="3" t="s">
        <v>1489</v>
      </c>
      <c r="D407" s="3" t="s">
        <v>1490</v>
      </c>
      <c r="E407" s="3" t="s">
        <v>1477</v>
      </c>
      <c r="F407" s="3" t="s">
        <v>2677</v>
      </c>
      <c r="G407" s="3" t="s">
        <v>2678</v>
      </c>
      <c r="H407" s="3" t="s">
        <v>76</v>
      </c>
      <c r="I407" s="3" t="s">
        <v>73</v>
      </c>
      <c r="J407" s="3" t="s">
        <v>53</v>
      </c>
      <c r="K407" s="3" t="s">
        <v>53</v>
      </c>
      <c r="L407" s="6" t="s">
        <v>805</v>
      </c>
      <c r="M407" s="6" t="s">
        <v>311</v>
      </c>
      <c r="N407" s="3" t="s">
        <v>635</v>
      </c>
      <c r="O407" s="3" t="s">
        <v>62</v>
      </c>
      <c r="P407" s="3" t="s">
        <v>1219</v>
      </c>
      <c r="Q407" s="137">
        <v>37074.93</v>
      </c>
      <c r="R407" s="139">
        <v>1</v>
      </c>
      <c r="S407" s="140">
        <v>15730</v>
      </c>
      <c r="U407" s="137">
        <v>5831.8860000000004</v>
      </c>
      <c r="V407" s="138">
        <v>1.0120000000000001E-3</v>
      </c>
      <c r="W407" s="138">
        <v>1.5573949450888599E-2</v>
      </c>
      <c r="X407" s="138">
        <v>3.0422566332177501E-3</v>
      </c>
    </row>
    <row r="408" spans="1:24" x14ac:dyDescent="0.2">
      <c r="A408" s="3">
        <v>559</v>
      </c>
      <c r="B408" s="3">
        <v>7205</v>
      </c>
      <c r="C408" s="3" t="s">
        <v>2679</v>
      </c>
      <c r="D408" s="3" t="s">
        <v>2680</v>
      </c>
      <c r="E408" s="3" t="s">
        <v>1477</v>
      </c>
      <c r="F408" s="3" t="s">
        <v>2681</v>
      </c>
      <c r="G408" s="3" t="s">
        <v>2682</v>
      </c>
      <c r="H408" s="3" t="s">
        <v>76</v>
      </c>
      <c r="I408" s="3" t="s">
        <v>73</v>
      </c>
      <c r="J408" s="3" t="s">
        <v>53</v>
      </c>
      <c r="K408" s="3" t="s">
        <v>53</v>
      </c>
      <c r="L408" s="6" t="s">
        <v>805</v>
      </c>
      <c r="M408" s="6" t="s">
        <v>311</v>
      </c>
      <c r="N408" s="3" t="s">
        <v>253</v>
      </c>
      <c r="O408" s="3" t="s">
        <v>62</v>
      </c>
      <c r="P408" s="3" t="s">
        <v>1219</v>
      </c>
      <c r="Q408" s="137">
        <v>30807</v>
      </c>
      <c r="R408" s="139">
        <v>1</v>
      </c>
      <c r="S408" s="140">
        <v>6440</v>
      </c>
      <c r="U408" s="137">
        <v>1983.971</v>
      </c>
      <c r="V408" s="138">
        <v>6.2799999999999998E-4</v>
      </c>
      <c r="W408" s="138">
        <v>5.2981588392570196E-3</v>
      </c>
      <c r="X408" s="138">
        <v>1.0349564138113501E-3</v>
      </c>
    </row>
    <row r="409" spans="1:24" x14ac:dyDescent="0.2">
      <c r="A409" s="3">
        <v>559</v>
      </c>
      <c r="B409" s="3">
        <v>7205</v>
      </c>
      <c r="C409" s="3" t="s">
        <v>2500</v>
      </c>
      <c r="D409" s="3" t="s">
        <v>2501</v>
      </c>
      <c r="E409" s="3" t="s">
        <v>1477</v>
      </c>
      <c r="F409" s="3" t="s">
        <v>2683</v>
      </c>
      <c r="G409" s="3" t="s">
        <v>2684</v>
      </c>
      <c r="H409" s="3" t="s">
        <v>76</v>
      </c>
      <c r="I409" s="3" t="s">
        <v>73</v>
      </c>
      <c r="J409" s="3" t="s">
        <v>53</v>
      </c>
      <c r="K409" s="3" t="s">
        <v>53</v>
      </c>
      <c r="L409" s="6" t="s">
        <v>805</v>
      </c>
      <c r="M409" s="6" t="s">
        <v>311</v>
      </c>
      <c r="N409" s="3" t="s">
        <v>257</v>
      </c>
      <c r="O409" s="3" t="s">
        <v>62</v>
      </c>
      <c r="P409" s="3" t="s">
        <v>1219</v>
      </c>
      <c r="Q409" s="137">
        <v>1427.8</v>
      </c>
      <c r="R409" s="139">
        <v>1</v>
      </c>
      <c r="S409" s="140">
        <v>2690</v>
      </c>
      <c r="U409" s="137">
        <v>38.408000000000001</v>
      </c>
      <c r="V409" s="138">
        <v>1.9000000000000001E-5</v>
      </c>
      <c r="W409" s="138">
        <v>1.02567402216601E-4</v>
      </c>
      <c r="X409" s="138">
        <v>2.0035788656522599E-5</v>
      </c>
    </row>
    <row r="410" spans="1:24" x14ac:dyDescent="0.2">
      <c r="A410" s="3">
        <v>559</v>
      </c>
      <c r="B410" s="3">
        <v>7205</v>
      </c>
      <c r="C410" s="3" t="s">
        <v>2685</v>
      </c>
      <c r="D410" s="3" t="s">
        <v>2686</v>
      </c>
      <c r="E410" s="3" t="s">
        <v>1477</v>
      </c>
      <c r="F410" s="3" t="s">
        <v>2687</v>
      </c>
      <c r="G410" s="3" t="s">
        <v>2688</v>
      </c>
      <c r="H410" s="3" t="s">
        <v>76</v>
      </c>
      <c r="I410" s="3" t="s">
        <v>73</v>
      </c>
      <c r="J410" s="3" t="s">
        <v>53</v>
      </c>
      <c r="K410" s="3" t="s">
        <v>53</v>
      </c>
      <c r="L410" s="6" t="s">
        <v>805</v>
      </c>
      <c r="M410" s="6" t="s">
        <v>311</v>
      </c>
      <c r="N410" s="3" t="s">
        <v>256</v>
      </c>
      <c r="O410" s="3" t="s">
        <v>62</v>
      </c>
      <c r="P410" s="3" t="s">
        <v>1219</v>
      </c>
      <c r="Q410" s="137">
        <v>40934.839999999997</v>
      </c>
      <c r="R410" s="139">
        <v>1</v>
      </c>
      <c r="S410" s="140">
        <v>21950</v>
      </c>
      <c r="U410" s="137">
        <v>8985.1970000000001</v>
      </c>
      <c r="V410" s="138">
        <v>1.5799999999999999E-4</v>
      </c>
      <c r="W410" s="138">
        <v>2.3994810267024099E-2</v>
      </c>
      <c r="X410" s="138">
        <v>4.6872099416946896E-3</v>
      </c>
    </row>
    <row r="411" spans="1:24" x14ac:dyDescent="0.2">
      <c r="A411" s="3">
        <v>559</v>
      </c>
      <c r="B411" s="3">
        <v>7205</v>
      </c>
      <c r="C411" s="3" t="s">
        <v>2689</v>
      </c>
      <c r="D411" s="3" t="s">
        <v>2690</v>
      </c>
      <c r="E411" s="3" t="s">
        <v>1477</v>
      </c>
      <c r="F411" s="3" t="s">
        <v>2691</v>
      </c>
      <c r="G411" s="3" t="s">
        <v>2692</v>
      </c>
      <c r="H411" s="3" t="s">
        <v>76</v>
      </c>
      <c r="I411" s="3" t="s">
        <v>73</v>
      </c>
      <c r="J411" s="3" t="s">
        <v>53</v>
      </c>
      <c r="K411" s="3" t="s">
        <v>53</v>
      </c>
      <c r="L411" s="6" t="s">
        <v>805</v>
      </c>
      <c r="M411" s="6" t="s">
        <v>311</v>
      </c>
      <c r="N411" s="3" t="s">
        <v>252</v>
      </c>
      <c r="O411" s="3" t="s">
        <v>62</v>
      </c>
      <c r="P411" s="3" t="s">
        <v>1219</v>
      </c>
      <c r="Q411" s="137">
        <v>2141</v>
      </c>
      <c r="R411" s="139">
        <v>1</v>
      </c>
      <c r="S411" s="140">
        <v>48250</v>
      </c>
      <c r="U411" s="137">
        <v>1033.0329999999999</v>
      </c>
      <c r="V411" s="138">
        <v>4.6099999999999998E-4</v>
      </c>
      <c r="W411" s="138">
        <v>2.7586949722822399E-3</v>
      </c>
      <c r="X411" s="138">
        <v>5.3889079998081498E-4</v>
      </c>
    </row>
    <row r="412" spans="1:24" x14ac:dyDescent="0.2">
      <c r="A412" s="3">
        <v>559</v>
      </c>
      <c r="B412" s="3">
        <v>7205</v>
      </c>
      <c r="C412" s="3" t="s">
        <v>2693</v>
      </c>
      <c r="D412" s="3" t="s">
        <v>2694</v>
      </c>
      <c r="E412" s="3" t="s">
        <v>1477</v>
      </c>
      <c r="F412" s="3" t="s">
        <v>2695</v>
      </c>
      <c r="G412" s="3" t="s">
        <v>2696</v>
      </c>
      <c r="H412" s="3" t="s">
        <v>76</v>
      </c>
      <c r="I412" s="3" t="s">
        <v>73</v>
      </c>
      <c r="J412" s="3" t="s">
        <v>53</v>
      </c>
      <c r="K412" s="3" t="s">
        <v>53</v>
      </c>
      <c r="L412" s="6" t="s">
        <v>805</v>
      </c>
      <c r="M412" s="6" t="s">
        <v>311</v>
      </c>
      <c r="N412" s="3" t="s">
        <v>252</v>
      </c>
      <c r="O412" s="3" t="s">
        <v>62</v>
      </c>
      <c r="P412" s="3" t="s">
        <v>1219</v>
      </c>
      <c r="Q412" s="137">
        <v>7863</v>
      </c>
      <c r="R412" s="139">
        <v>1</v>
      </c>
      <c r="S412" s="140">
        <v>11720</v>
      </c>
      <c r="U412" s="137">
        <v>921.54399999999998</v>
      </c>
      <c r="V412" s="138">
        <v>1.22E-4</v>
      </c>
      <c r="W412" s="138">
        <v>2.4609658418867498E-3</v>
      </c>
      <c r="X412" s="138">
        <v>4.80731601204415E-4</v>
      </c>
    </row>
    <row r="413" spans="1:24" x14ac:dyDescent="0.2">
      <c r="A413" s="3">
        <v>559</v>
      </c>
      <c r="B413" s="3">
        <v>7205</v>
      </c>
      <c r="C413" s="3" t="s">
        <v>1947</v>
      </c>
      <c r="D413" s="3" t="s">
        <v>1948</v>
      </c>
      <c r="E413" s="3" t="s">
        <v>1477</v>
      </c>
      <c r="F413" s="3" t="s">
        <v>2697</v>
      </c>
      <c r="G413" s="3" t="s">
        <v>2698</v>
      </c>
      <c r="H413" s="3" t="s">
        <v>76</v>
      </c>
      <c r="I413" s="3" t="s">
        <v>73</v>
      </c>
      <c r="J413" s="3" t="s">
        <v>53</v>
      </c>
      <c r="K413" s="3" t="s">
        <v>53</v>
      </c>
      <c r="L413" s="6" t="s">
        <v>805</v>
      </c>
      <c r="M413" s="6" t="s">
        <v>311</v>
      </c>
      <c r="N413" s="3" t="s">
        <v>635</v>
      </c>
      <c r="O413" s="3" t="s">
        <v>62</v>
      </c>
      <c r="P413" s="3" t="s">
        <v>1219</v>
      </c>
      <c r="Q413" s="137">
        <v>17450.88</v>
      </c>
      <c r="R413" s="139">
        <v>1</v>
      </c>
      <c r="S413" s="140">
        <v>38400</v>
      </c>
      <c r="U413" s="137">
        <v>6701.1379999999999</v>
      </c>
      <c r="V413" s="138">
        <v>3.6699999999999998E-4</v>
      </c>
      <c r="W413" s="138">
        <v>1.7895269982768101E-2</v>
      </c>
      <c r="X413" s="138">
        <v>3.4957095488192002E-3</v>
      </c>
    </row>
    <row r="414" spans="1:24" x14ac:dyDescent="0.2">
      <c r="A414" s="3">
        <v>559</v>
      </c>
      <c r="B414" s="3">
        <v>7205</v>
      </c>
      <c r="C414" s="3" t="s">
        <v>2699</v>
      </c>
      <c r="D414" s="3" t="s">
        <v>2700</v>
      </c>
      <c r="E414" s="3" t="s">
        <v>1477</v>
      </c>
      <c r="F414" s="3" t="s">
        <v>2701</v>
      </c>
      <c r="G414" s="3" t="s">
        <v>2702</v>
      </c>
      <c r="H414" s="3" t="s">
        <v>76</v>
      </c>
      <c r="I414" s="3" t="s">
        <v>73</v>
      </c>
      <c r="J414" s="3" t="s">
        <v>53</v>
      </c>
      <c r="K414" s="3" t="s">
        <v>53</v>
      </c>
      <c r="L414" s="6" t="s">
        <v>805</v>
      </c>
      <c r="M414" s="6" t="s">
        <v>311</v>
      </c>
      <c r="N414" s="3" t="s">
        <v>252</v>
      </c>
      <c r="O414" s="3" t="s">
        <v>62</v>
      </c>
      <c r="P414" s="3" t="s">
        <v>1219</v>
      </c>
      <c r="Q414" s="137">
        <v>9278</v>
      </c>
      <c r="R414" s="139">
        <v>1</v>
      </c>
      <c r="S414" s="140">
        <v>9951</v>
      </c>
      <c r="U414" s="137">
        <v>923.25400000000002</v>
      </c>
      <c r="V414" s="138">
        <v>3.5500000000000001E-4</v>
      </c>
      <c r="W414" s="138">
        <v>2.4655328472498001E-3</v>
      </c>
      <c r="X414" s="138">
        <v>4.8162373215703398E-4</v>
      </c>
    </row>
    <row r="415" spans="1:24" x14ac:dyDescent="0.2">
      <c r="A415" s="3">
        <v>559</v>
      </c>
      <c r="B415" s="3">
        <v>7205</v>
      </c>
      <c r="C415" s="3" t="s">
        <v>2703</v>
      </c>
      <c r="D415" s="3" t="s">
        <v>2704</v>
      </c>
      <c r="E415" s="3" t="s">
        <v>1477</v>
      </c>
      <c r="F415" s="3" t="s">
        <v>2705</v>
      </c>
      <c r="G415" s="3" t="s">
        <v>2706</v>
      </c>
      <c r="H415" s="3" t="s">
        <v>76</v>
      </c>
      <c r="I415" s="3" t="s">
        <v>73</v>
      </c>
      <c r="J415" s="3" t="s">
        <v>53</v>
      </c>
      <c r="K415" s="3" t="s">
        <v>53</v>
      </c>
      <c r="L415" s="6" t="s">
        <v>805</v>
      </c>
      <c r="M415" s="6" t="s">
        <v>311</v>
      </c>
      <c r="N415" s="3" t="s">
        <v>692</v>
      </c>
      <c r="O415" s="3" t="s">
        <v>62</v>
      </c>
      <c r="P415" s="3" t="s">
        <v>1219</v>
      </c>
      <c r="Q415" s="137">
        <v>5875</v>
      </c>
      <c r="R415" s="139">
        <v>1</v>
      </c>
      <c r="S415" s="140">
        <v>16220</v>
      </c>
      <c r="U415" s="137">
        <v>952.92499999999995</v>
      </c>
      <c r="V415" s="138">
        <v>7.6199999999999998E-4</v>
      </c>
      <c r="W415" s="138">
        <v>2.5447693140942399E-3</v>
      </c>
      <c r="X415" s="138">
        <v>4.9710199395635495E-4</v>
      </c>
    </row>
    <row r="416" spans="1:24" x14ac:dyDescent="0.2">
      <c r="A416" s="3">
        <v>559</v>
      </c>
      <c r="B416" s="3">
        <v>7205</v>
      </c>
      <c r="C416" s="3" t="s">
        <v>1961</v>
      </c>
      <c r="D416" s="3" t="s">
        <v>1962</v>
      </c>
      <c r="E416" s="3" t="s">
        <v>1477</v>
      </c>
      <c r="F416" s="3" t="s">
        <v>2707</v>
      </c>
      <c r="G416" s="3" t="s">
        <v>2708</v>
      </c>
      <c r="H416" s="3" t="s">
        <v>76</v>
      </c>
      <c r="I416" s="3" t="s">
        <v>73</v>
      </c>
      <c r="J416" s="3" t="s">
        <v>53</v>
      </c>
      <c r="K416" s="3" t="s">
        <v>53</v>
      </c>
      <c r="L416" s="6" t="s">
        <v>805</v>
      </c>
      <c r="M416" s="6" t="s">
        <v>311</v>
      </c>
      <c r="N416" s="3" t="s">
        <v>635</v>
      </c>
      <c r="O416" s="3" t="s">
        <v>62</v>
      </c>
      <c r="P416" s="3" t="s">
        <v>1219</v>
      </c>
      <c r="Q416" s="137">
        <v>391419</v>
      </c>
      <c r="R416" s="139">
        <v>1</v>
      </c>
      <c r="S416" s="140">
        <v>217</v>
      </c>
      <c r="T416" s="131">
        <v>12.525</v>
      </c>
      <c r="U416" s="137">
        <v>861.90499999999997</v>
      </c>
      <c r="V416" s="138">
        <v>5.1500000000000005E-4</v>
      </c>
      <c r="W416" s="138">
        <v>2.3017010567961201E-3</v>
      </c>
      <c r="X416" s="138">
        <v>4.4962039525065899E-4</v>
      </c>
    </row>
    <row r="417" spans="1:24" x14ac:dyDescent="0.2">
      <c r="A417" s="3">
        <v>559</v>
      </c>
      <c r="B417" s="3">
        <v>7205</v>
      </c>
      <c r="C417" s="3" t="s">
        <v>2709</v>
      </c>
      <c r="D417" s="3" t="s">
        <v>2710</v>
      </c>
      <c r="E417" s="3" t="s">
        <v>1477</v>
      </c>
      <c r="F417" s="3" t="s">
        <v>2711</v>
      </c>
      <c r="G417" s="3" t="s">
        <v>2712</v>
      </c>
      <c r="H417" s="3" t="s">
        <v>76</v>
      </c>
      <c r="I417" s="3" t="s">
        <v>73</v>
      </c>
      <c r="J417" s="3" t="s">
        <v>53</v>
      </c>
      <c r="K417" s="3" t="s">
        <v>53</v>
      </c>
      <c r="L417" s="6" t="s">
        <v>805</v>
      </c>
      <c r="M417" s="6" t="s">
        <v>311</v>
      </c>
      <c r="N417" s="3" t="s">
        <v>634</v>
      </c>
      <c r="O417" s="3" t="s">
        <v>62</v>
      </c>
      <c r="P417" s="3" t="s">
        <v>1219</v>
      </c>
      <c r="Q417" s="137">
        <v>56411</v>
      </c>
      <c r="R417" s="139">
        <v>1</v>
      </c>
      <c r="S417" s="140">
        <v>1600</v>
      </c>
      <c r="U417" s="137">
        <v>902.57600000000002</v>
      </c>
      <c r="V417" s="138">
        <v>3.9399999999999998E-4</v>
      </c>
      <c r="W417" s="138">
        <v>2.4103132024429199E-3</v>
      </c>
      <c r="X417" s="138">
        <v>4.7083698013710503E-4</v>
      </c>
    </row>
    <row r="418" spans="1:24" x14ac:dyDescent="0.2">
      <c r="A418" s="3">
        <v>559</v>
      </c>
      <c r="B418" s="3">
        <v>7205</v>
      </c>
      <c r="C418" s="3" t="s">
        <v>1990</v>
      </c>
      <c r="D418" s="3" t="s">
        <v>1991</v>
      </c>
      <c r="E418" s="3" t="s">
        <v>432</v>
      </c>
      <c r="F418" s="3" t="s">
        <v>2713</v>
      </c>
      <c r="G418" s="3" t="s">
        <v>2714</v>
      </c>
      <c r="H418" s="3" t="s">
        <v>76</v>
      </c>
      <c r="I418" s="3" t="s">
        <v>73</v>
      </c>
      <c r="J418" s="3" t="s">
        <v>53</v>
      </c>
      <c r="K418" s="3" t="s">
        <v>314</v>
      </c>
      <c r="L418" s="6" t="s">
        <v>805</v>
      </c>
      <c r="M418" s="6" t="s">
        <v>311</v>
      </c>
      <c r="N418" s="3" t="s">
        <v>267</v>
      </c>
      <c r="O418" s="3" t="s">
        <v>62</v>
      </c>
      <c r="P418" s="3" t="s">
        <v>1219</v>
      </c>
      <c r="Q418" s="137">
        <v>3744</v>
      </c>
      <c r="R418" s="139">
        <v>1</v>
      </c>
      <c r="S418" s="140">
        <v>9900</v>
      </c>
      <c r="U418" s="137">
        <v>370.65600000000001</v>
      </c>
      <c r="V418" s="138">
        <v>3.6000000000000001E-5</v>
      </c>
      <c r="W418" s="138">
        <v>9.8983027508451693E-4</v>
      </c>
      <c r="X418" s="138">
        <v>1.9335607384829499E-4</v>
      </c>
    </row>
    <row r="419" spans="1:24" x14ac:dyDescent="0.2">
      <c r="A419" s="3">
        <v>559</v>
      </c>
      <c r="B419" s="3">
        <v>7205</v>
      </c>
      <c r="C419" s="3" t="s">
        <v>2715</v>
      </c>
      <c r="D419" s="3" t="s">
        <v>2716</v>
      </c>
      <c r="E419" s="3" t="s">
        <v>1477</v>
      </c>
      <c r="F419" s="3" t="s">
        <v>2717</v>
      </c>
      <c r="G419" s="3" t="s">
        <v>2718</v>
      </c>
      <c r="H419" s="3" t="s">
        <v>76</v>
      </c>
      <c r="I419" s="3" t="s">
        <v>73</v>
      </c>
      <c r="J419" s="3" t="s">
        <v>53</v>
      </c>
      <c r="K419" s="3" t="s">
        <v>317</v>
      </c>
      <c r="L419" s="6" t="s">
        <v>805</v>
      </c>
      <c r="M419" s="6" t="s">
        <v>311</v>
      </c>
      <c r="N419" s="3" t="s">
        <v>254</v>
      </c>
      <c r="O419" s="3" t="s">
        <v>62</v>
      </c>
      <c r="P419" s="3" t="s">
        <v>1219</v>
      </c>
      <c r="Q419" s="137">
        <v>4802</v>
      </c>
      <c r="R419" s="139">
        <v>1</v>
      </c>
      <c r="S419" s="140">
        <v>95280</v>
      </c>
      <c r="U419" s="137">
        <v>4575.3459999999995</v>
      </c>
      <c r="V419" s="138">
        <v>1.64E-4</v>
      </c>
      <c r="W419" s="138">
        <v>1.22183792892999E-2</v>
      </c>
      <c r="X419" s="138">
        <v>2.3867706491060999E-3</v>
      </c>
    </row>
    <row r="420" spans="1:24" x14ac:dyDescent="0.2">
      <c r="A420" s="3">
        <v>559</v>
      </c>
      <c r="B420" s="3">
        <v>7205</v>
      </c>
      <c r="C420" s="3" t="s">
        <v>2719</v>
      </c>
      <c r="D420" s="3" t="s">
        <v>2720</v>
      </c>
      <c r="E420" s="3" t="s">
        <v>1477</v>
      </c>
      <c r="F420" s="3" t="s">
        <v>2721</v>
      </c>
      <c r="G420" s="3" t="s">
        <v>2722</v>
      </c>
      <c r="H420" s="3" t="s">
        <v>76</v>
      </c>
      <c r="I420" s="3" t="s">
        <v>73</v>
      </c>
      <c r="J420" s="3" t="s">
        <v>53</v>
      </c>
      <c r="K420" s="3" t="s">
        <v>53</v>
      </c>
      <c r="L420" s="6" t="s">
        <v>805</v>
      </c>
      <c r="M420" s="6" t="s">
        <v>311</v>
      </c>
      <c r="N420" s="3" t="s">
        <v>258</v>
      </c>
      <c r="O420" s="3" t="s">
        <v>62</v>
      </c>
      <c r="P420" s="3" t="s">
        <v>1219</v>
      </c>
      <c r="Q420" s="137">
        <v>543637</v>
      </c>
      <c r="R420" s="139">
        <v>1</v>
      </c>
      <c r="S420" s="140">
        <v>141.1</v>
      </c>
      <c r="U420" s="137">
        <v>767.072</v>
      </c>
      <c r="V420" s="138">
        <v>1.0640000000000001E-3</v>
      </c>
      <c r="W420" s="138">
        <v>2.04845165795883E-3</v>
      </c>
      <c r="X420" s="138">
        <v>4.00149985326657E-4</v>
      </c>
    </row>
    <row r="421" spans="1:24" x14ac:dyDescent="0.2">
      <c r="A421" s="3">
        <v>559</v>
      </c>
      <c r="B421" s="3">
        <v>7205</v>
      </c>
      <c r="C421" s="3" t="s">
        <v>1998</v>
      </c>
      <c r="D421" s="3" t="s">
        <v>1999</v>
      </c>
      <c r="E421" s="3" t="s">
        <v>1477</v>
      </c>
      <c r="F421" s="3" t="s">
        <v>2723</v>
      </c>
      <c r="G421" s="3" t="s">
        <v>2724</v>
      </c>
      <c r="H421" s="3" t="s">
        <v>76</v>
      </c>
      <c r="I421" s="3" t="s">
        <v>73</v>
      </c>
      <c r="J421" s="3" t="s">
        <v>53</v>
      </c>
      <c r="K421" s="3" t="s">
        <v>53</v>
      </c>
      <c r="L421" s="6" t="s">
        <v>805</v>
      </c>
      <c r="M421" s="6" t="s">
        <v>311</v>
      </c>
      <c r="N421" s="3" t="s">
        <v>631</v>
      </c>
      <c r="O421" s="3" t="s">
        <v>62</v>
      </c>
      <c r="P421" s="3" t="s">
        <v>1219</v>
      </c>
      <c r="Q421" s="137">
        <v>24338</v>
      </c>
      <c r="R421" s="139">
        <v>1</v>
      </c>
      <c r="S421" s="140">
        <v>9339</v>
      </c>
      <c r="U421" s="137">
        <v>2272.9259999999999</v>
      </c>
      <c r="V421" s="138">
        <v>6.8499999999999995E-4</v>
      </c>
      <c r="W421" s="138">
        <v>6.0698080960710204E-3</v>
      </c>
      <c r="X421" s="138">
        <v>1.18569242829906E-3</v>
      </c>
    </row>
    <row r="422" spans="1:24" x14ac:dyDescent="0.2">
      <c r="A422" s="3">
        <v>559</v>
      </c>
      <c r="B422" s="3">
        <v>7205</v>
      </c>
      <c r="C422" s="3" t="s">
        <v>2725</v>
      </c>
      <c r="D422" s="3" t="s">
        <v>2726</v>
      </c>
      <c r="E422" s="3" t="s">
        <v>1477</v>
      </c>
      <c r="F422" s="3" t="s">
        <v>2727</v>
      </c>
      <c r="G422" s="3" t="s">
        <v>2728</v>
      </c>
      <c r="H422" s="3" t="s">
        <v>76</v>
      </c>
      <c r="I422" s="3" t="s">
        <v>73</v>
      </c>
      <c r="J422" s="3" t="s">
        <v>53</v>
      </c>
      <c r="K422" s="3" t="s">
        <v>53</v>
      </c>
      <c r="L422" s="6" t="s">
        <v>805</v>
      </c>
      <c r="M422" s="6" t="s">
        <v>311</v>
      </c>
      <c r="N422" s="3" t="s">
        <v>75</v>
      </c>
      <c r="O422" s="3" t="s">
        <v>62</v>
      </c>
      <c r="P422" s="3" t="s">
        <v>1219</v>
      </c>
      <c r="Q422" s="137">
        <v>7165</v>
      </c>
      <c r="R422" s="139">
        <v>1</v>
      </c>
      <c r="S422" s="140">
        <v>13850</v>
      </c>
      <c r="U422" s="137">
        <v>992.35199999999998</v>
      </c>
      <c r="V422" s="138">
        <v>3.4299999999999999E-4</v>
      </c>
      <c r="W422" s="138">
        <v>2.6500597536686498E-3</v>
      </c>
      <c r="X422" s="138">
        <v>5.1766970795978E-4</v>
      </c>
    </row>
    <row r="423" spans="1:24" x14ac:dyDescent="0.2">
      <c r="A423" s="3">
        <v>559</v>
      </c>
      <c r="B423" s="3">
        <v>7205</v>
      </c>
      <c r="C423" s="3" t="s">
        <v>2729</v>
      </c>
      <c r="D423" s="3" t="s">
        <v>2730</v>
      </c>
      <c r="E423" s="3" t="s">
        <v>1477</v>
      </c>
      <c r="F423" s="3" t="s">
        <v>2731</v>
      </c>
      <c r="G423" s="3" t="s">
        <v>2732</v>
      </c>
      <c r="H423" s="3" t="s">
        <v>76</v>
      </c>
      <c r="I423" s="3" t="s">
        <v>73</v>
      </c>
      <c r="J423" s="3" t="s">
        <v>53</v>
      </c>
      <c r="K423" s="3" t="s">
        <v>314</v>
      </c>
      <c r="L423" s="6" t="s">
        <v>805</v>
      </c>
      <c r="M423" s="6" t="s">
        <v>311</v>
      </c>
      <c r="N423" s="3" t="s">
        <v>253</v>
      </c>
      <c r="O423" s="3" t="s">
        <v>62</v>
      </c>
      <c r="P423" s="3" t="s">
        <v>1219</v>
      </c>
      <c r="Q423" s="137">
        <v>7786</v>
      </c>
      <c r="R423" s="139">
        <v>1</v>
      </c>
      <c r="S423" s="140">
        <v>57150</v>
      </c>
      <c r="U423" s="137">
        <v>4449.6989999999996</v>
      </c>
      <c r="V423" s="138">
        <v>1.0399999999999999E-4</v>
      </c>
      <c r="W423" s="138">
        <v>1.1882842272115701E-2</v>
      </c>
      <c r="X423" s="138">
        <v>2.3212259573477398E-3</v>
      </c>
    </row>
    <row r="424" spans="1:24" x14ac:dyDescent="0.2">
      <c r="A424" s="3">
        <v>559</v>
      </c>
      <c r="B424" s="3">
        <v>7205</v>
      </c>
      <c r="C424" s="3" t="s">
        <v>2877</v>
      </c>
      <c r="D424" s="3" t="s">
        <v>2878</v>
      </c>
      <c r="E424" s="3" t="s">
        <v>1477</v>
      </c>
      <c r="F424" s="3" t="s">
        <v>2879</v>
      </c>
      <c r="G424" s="3" t="s">
        <v>2880</v>
      </c>
      <c r="H424" s="3" t="s">
        <v>76</v>
      </c>
      <c r="I424" s="3" t="s">
        <v>73</v>
      </c>
      <c r="J424" s="3" t="s">
        <v>53</v>
      </c>
      <c r="K424" s="3" t="s">
        <v>53</v>
      </c>
      <c r="L424" s="6" t="s">
        <v>805</v>
      </c>
      <c r="M424" s="6" t="s">
        <v>311</v>
      </c>
      <c r="N424" s="3" t="s">
        <v>266</v>
      </c>
      <c r="O424" s="3" t="s">
        <v>62</v>
      </c>
      <c r="P424" s="3" t="s">
        <v>1219</v>
      </c>
      <c r="Q424" s="137">
        <v>41255</v>
      </c>
      <c r="R424" s="139">
        <v>1</v>
      </c>
      <c r="S424" s="140">
        <v>1150</v>
      </c>
      <c r="U424" s="137">
        <v>474.43299999999999</v>
      </c>
      <c r="V424" s="138">
        <v>4.4120000000000001E-3</v>
      </c>
      <c r="W424" s="138">
        <v>1.26696357804551E-3</v>
      </c>
      <c r="X424" s="138">
        <v>2.4749202901350902E-4</v>
      </c>
    </row>
    <row r="425" spans="1:24" x14ac:dyDescent="0.2">
      <c r="A425" s="3">
        <v>559</v>
      </c>
      <c r="B425" s="3">
        <v>7205</v>
      </c>
      <c r="C425" s="3" t="s">
        <v>2020</v>
      </c>
      <c r="D425" s="3" t="s">
        <v>2021</v>
      </c>
      <c r="E425" s="3" t="s">
        <v>1477</v>
      </c>
      <c r="F425" s="3" t="s">
        <v>2733</v>
      </c>
      <c r="G425" s="3" t="s">
        <v>2734</v>
      </c>
      <c r="H425" s="3" t="s">
        <v>76</v>
      </c>
      <c r="I425" s="3" t="s">
        <v>73</v>
      </c>
      <c r="J425" s="3" t="s">
        <v>53</v>
      </c>
      <c r="K425" s="3" t="s">
        <v>317</v>
      </c>
      <c r="L425" s="6" t="s">
        <v>805</v>
      </c>
      <c r="M425" s="6" t="s">
        <v>311</v>
      </c>
      <c r="N425" s="3" t="s">
        <v>636</v>
      </c>
      <c r="O425" s="3" t="s">
        <v>62</v>
      </c>
      <c r="P425" s="3" t="s">
        <v>1219</v>
      </c>
      <c r="Q425" s="137">
        <v>56089</v>
      </c>
      <c r="R425" s="139">
        <v>1</v>
      </c>
      <c r="S425" s="140">
        <v>6127</v>
      </c>
      <c r="U425" s="137">
        <v>3436.5729999999999</v>
      </c>
      <c r="V425" s="138">
        <v>7.5900000000000002E-4</v>
      </c>
      <c r="W425" s="138">
        <v>9.1773073351920208E-3</v>
      </c>
      <c r="X425" s="138">
        <v>1.79271957980915E-3</v>
      </c>
    </row>
    <row r="426" spans="1:24" x14ac:dyDescent="0.2">
      <c r="A426" s="3">
        <v>559</v>
      </c>
      <c r="B426" s="3">
        <v>7205</v>
      </c>
      <c r="C426" s="3" t="s">
        <v>2334</v>
      </c>
      <c r="D426" s="3" t="s">
        <v>2335</v>
      </c>
      <c r="E426" s="3" t="s">
        <v>767</v>
      </c>
      <c r="F426" s="3" t="s">
        <v>2735</v>
      </c>
      <c r="G426" s="3" t="s">
        <v>2736</v>
      </c>
      <c r="H426" s="3" t="s">
        <v>76</v>
      </c>
      <c r="I426" s="3" t="s">
        <v>73</v>
      </c>
      <c r="J426" s="3" t="s">
        <v>53</v>
      </c>
      <c r="K426" s="3" t="s">
        <v>53</v>
      </c>
      <c r="L426" s="6" t="s">
        <v>805</v>
      </c>
      <c r="M426" s="6" t="s">
        <v>311</v>
      </c>
      <c r="N426" s="3" t="s">
        <v>253</v>
      </c>
      <c r="O426" s="3" t="s">
        <v>62</v>
      </c>
      <c r="P426" s="3" t="s">
        <v>1219</v>
      </c>
      <c r="Q426" s="137">
        <v>13935</v>
      </c>
      <c r="R426" s="139">
        <v>1</v>
      </c>
      <c r="S426" s="140">
        <v>9883</v>
      </c>
      <c r="U426" s="137">
        <v>1377.1959999999999</v>
      </c>
      <c r="V426" s="138">
        <v>2.3900000000000001E-4</v>
      </c>
      <c r="W426" s="138">
        <v>3.6777776294375699E-3</v>
      </c>
      <c r="X426" s="138">
        <v>7.1842684631404996E-4</v>
      </c>
    </row>
    <row r="427" spans="1:24" x14ac:dyDescent="0.2">
      <c r="A427" s="3">
        <v>559</v>
      </c>
      <c r="B427" s="3">
        <v>7205</v>
      </c>
      <c r="C427" s="3" t="s">
        <v>2737</v>
      </c>
      <c r="D427" s="3" t="s">
        <v>2738</v>
      </c>
      <c r="E427" s="3" t="s">
        <v>1477</v>
      </c>
      <c r="F427" s="3" t="s">
        <v>2737</v>
      </c>
      <c r="G427" s="3" t="s">
        <v>2739</v>
      </c>
      <c r="H427" s="3" t="s">
        <v>76</v>
      </c>
      <c r="I427" s="3" t="s">
        <v>73</v>
      </c>
      <c r="J427" s="3" t="s">
        <v>53</v>
      </c>
      <c r="K427" s="3" t="s">
        <v>53</v>
      </c>
      <c r="L427" s="6" t="s">
        <v>805</v>
      </c>
      <c r="M427" s="6" t="s">
        <v>311</v>
      </c>
      <c r="N427" s="3" t="s">
        <v>71</v>
      </c>
      <c r="O427" s="3" t="s">
        <v>62</v>
      </c>
      <c r="P427" s="3" t="s">
        <v>1219</v>
      </c>
      <c r="Q427" s="137">
        <v>38438</v>
      </c>
      <c r="R427" s="139">
        <v>1</v>
      </c>
      <c r="S427" s="140">
        <v>2006</v>
      </c>
      <c r="U427" s="137">
        <v>771.06600000000003</v>
      </c>
      <c r="V427" s="138">
        <v>1.072E-3</v>
      </c>
      <c r="W427" s="138">
        <v>2.0591188272705602E-3</v>
      </c>
      <c r="X427" s="138">
        <v>4.0223373850041598E-4</v>
      </c>
    </row>
    <row r="428" spans="1:24" x14ac:dyDescent="0.2">
      <c r="A428" s="3">
        <v>559</v>
      </c>
      <c r="B428" s="3">
        <v>7205</v>
      </c>
      <c r="C428" s="3" t="s">
        <v>2740</v>
      </c>
      <c r="D428" s="3" t="s">
        <v>2741</v>
      </c>
      <c r="E428" s="3" t="s">
        <v>1477</v>
      </c>
      <c r="F428" s="3" t="s">
        <v>2742</v>
      </c>
      <c r="G428" s="3" t="s">
        <v>2743</v>
      </c>
      <c r="H428" s="3" t="s">
        <v>76</v>
      </c>
      <c r="I428" s="3" t="s">
        <v>73</v>
      </c>
      <c r="J428" s="3" t="s">
        <v>53</v>
      </c>
      <c r="K428" s="3" t="s">
        <v>53</v>
      </c>
      <c r="L428" s="6" t="s">
        <v>805</v>
      </c>
      <c r="M428" s="6" t="s">
        <v>311</v>
      </c>
      <c r="N428" s="3" t="s">
        <v>266</v>
      </c>
      <c r="O428" s="3" t="s">
        <v>62</v>
      </c>
      <c r="P428" s="3" t="s">
        <v>1219</v>
      </c>
      <c r="Q428" s="137">
        <v>154587</v>
      </c>
      <c r="R428" s="139">
        <v>1</v>
      </c>
      <c r="S428" s="140">
        <v>350.6</v>
      </c>
      <c r="U428" s="137">
        <v>541.98199999999997</v>
      </c>
      <c r="V428" s="138">
        <v>2.3280000000000002E-3</v>
      </c>
      <c r="W428" s="138">
        <v>1.4473533786776001E-3</v>
      </c>
      <c r="X428" s="138">
        <v>2.8272985158821201E-4</v>
      </c>
    </row>
    <row r="429" spans="1:24" x14ac:dyDescent="0.2">
      <c r="A429" s="3">
        <v>559</v>
      </c>
      <c r="B429" s="3">
        <v>7205</v>
      </c>
      <c r="C429" s="3" t="s">
        <v>2057</v>
      </c>
      <c r="D429" s="3" t="s">
        <v>2058</v>
      </c>
      <c r="E429" s="3" t="s">
        <v>1477</v>
      </c>
      <c r="F429" s="3" t="s">
        <v>2744</v>
      </c>
      <c r="G429" s="3" t="s">
        <v>2745</v>
      </c>
      <c r="H429" s="3" t="s">
        <v>76</v>
      </c>
      <c r="I429" s="3" t="s">
        <v>73</v>
      </c>
      <c r="J429" s="3" t="s">
        <v>53</v>
      </c>
      <c r="K429" s="3" t="s">
        <v>53</v>
      </c>
      <c r="L429" s="6" t="s">
        <v>805</v>
      </c>
      <c r="M429" s="6" t="s">
        <v>311</v>
      </c>
      <c r="N429" s="3" t="s">
        <v>635</v>
      </c>
      <c r="O429" s="3" t="s">
        <v>62</v>
      </c>
      <c r="P429" s="3" t="s">
        <v>1219</v>
      </c>
      <c r="Q429" s="137">
        <v>20524</v>
      </c>
      <c r="R429" s="139">
        <v>1</v>
      </c>
      <c r="S429" s="140">
        <v>30970</v>
      </c>
      <c r="U429" s="137">
        <v>6356.2830000000004</v>
      </c>
      <c r="V429" s="138">
        <v>1.6899999999999999E-4</v>
      </c>
      <c r="W429" s="138">
        <v>1.69743405001915E-2</v>
      </c>
      <c r="X429" s="138">
        <v>3.3158127387050199E-3</v>
      </c>
    </row>
    <row r="430" spans="1:24" x14ac:dyDescent="0.2">
      <c r="A430" s="3">
        <v>559</v>
      </c>
      <c r="B430" s="3">
        <v>7205</v>
      </c>
      <c r="C430" s="3" t="s">
        <v>2068</v>
      </c>
      <c r="D430" s="3" t="s">
        <v>2069</v>
      </c>
      <c r="E430" s="3" t="s">
        <v>1477</v>
      </c>
      <c r="F430" s="3" t="s">
        <v>2746</v>
      </c>
      <c r="G430" s="3" t="s">
        <v>2747</v>
      </c>
      <c r="H430" s="3" t="s">
        <v>76</v>
      </c>
      <c r="I430" s="3" t="s">
        <v>73</v>
      </c>
      <c r="J430" s="3" t="s">
        <v>53</v>
      </c>
      <c r="K430" s="3" t="s">
        <v>53</v>
      </c>
      <c r="L430" s="6" t="s">
        <v>805</v>
      </c>
      <c r="M430" s="6" t="s">
        <v>1227</v>
      </c>
      <c r="N430" s="3" t="s">
        <v>140</v>
      </c>
      <c r="O430" s="3" t="s">
        <v>62</v>
      </c>
      <c r="P430" s="3" t="s">
        <v>1219</v>
      </c>
      <c r="Q430" s="137">
        <v>18400</v>
      </c>
      <c r="R430" s="139">
        <v>1</v>
      </c>
      <c r="S430" s="140">
        <v>3825</v>
      </c>
      <c r="U430" s="137">
        <v>703.8</v>
      </c>
      <c r="V430" s="138">
        <v>2.33E-4</v>
      </c>
      <c r="W430" s="138">
        <v>1.8794854193766801E-3</v>
      </c>
      <c r="X430" s="138">
        <v>3.6714367169135299E-4</v>
      </c>
    </row>
    <row r="431" spans="1:24" x14ac:dyDescent="0.2">
      <c r="A431" s="3">
        <v>559</v>
      </c>
      <c r="B431" s="3">
        <v>7205</v>
      </c>
      <c r="C431" s="3" t="s">
        <v>2748</v>
      </c>
      <c r="D431" s="3" t="s">
        <v>2749</v>
      </c>
      <c r="E431" s="3" t="s">
        <v>1477</v>
      </c>
      <c r="F431" s="3" t="s">
        <v>2750</v>
      </c>
      <c r="G431" s="3" t="s">
        <v>2751</v>
      </c>
      <c r="H431" s="3" t="s">
        <v>76</v>
      </c>
      <c r="I431" s="3" t="s">
        <v>73</v>
      </c>
      <c r="J431" s="3" t="s">
        <v>53</v>
      </c>
      <c r="K431" s="3" t="s">
        <v>53</v>
      </c>
      <c r="L431" s="6" t="s">
        <v>805</v>
      </c>
      <c r="M431" s="6" t="s">
        <v>311</v>
      </c>
      <c r="N431" s="3" t="s">
        <v>265</v>
      </c>
      <c r="O431" s="3" t="s">
        <v>62</v>
      </c>
      <c r="P431" s="3" t="s">
        <v>1219</v>
      </c>
      <c r="Q431" s="137">
        <v>62583</v>
      </c>
      <c r="R431" s="139">
        <v>1</v>
      </c>
      <c r="S431" s="140">
        <v>1010</v>
      </c>
      <c r="U431" s="137">
        <v>632.08799999999997</v>
      </c>
      <c r="V431" s="138">
        <v>5.8600000000000004E-4</v>
      </c>
      <c r="W431" s="138">
        <v>1.68798059620431E-3</v>
      </c>
      <c r="X431" s="138">
        <v>3.2973461110421398E-4</v>
      </c>
    </row>
    <row r="432" spans="1:24" x14ac:dyDescent="0.2">
      <c r="A432" s="3">
        <v>559</v>
      </c>
      <c r="B432" s="3">
        <v>7205</v>
      </c>
      <c r="C432" s="3" t="s">
        <v>2072</v>
      </c>
      <c r="D432" s="3" t="s">
        <v>2073</v>
      </c>
      <c r="E432" s="3" t="s">
        <v>1477</v>
      </c>
      <c r="F432" s="3" t="s">
        <v>2752</v>
      </c>
      <c r="G432" s="3" t="s">
        <v>2753</v>
      </c>
      <c r="H432" s="3" t="s">
        <v>76</v>
      </c>
      <c r="I432" s="3" t="s">
        <v>73</v>
      </c>
      <c r="J432" s="3" t="s">
        <v>53</v>
      </c>
      <c r="K432" s="3" t="s">
        <v>53</v>
      </c>
      <c r="L432" s="6" t="s">
        <v>805</v>
      </c>
      <c r="M432" s="6" t="s">
        <v>311</v>
      </c>
      <c r="N432" s="3" t="s">
        <v>256</v>
      </c>
      <c r="O432" s="3" t="s">
        <v>62</v>
      </c>
      <c r="P432" s="3" t="s">
        <v>1219</v>
      </c>
      <c r="Q432" s="137">
        <v>380665</v>
      </c>
      <c r="R432" s="139">
        <v>1</v>
      </c>
      <c r="S432" s="140">
        <v>6462</v>
      </c>
      <c r="U432" s="137">
        <v>24598.572</v>
      </c>
      <c r="V432" s="138">
        <v>2.8499999999999999E-4</v>
      </c>
      <c r="W432" s="138">
        <v>6.5690051115846998E-2</v>
      </c>
      <c r="X432" s="138">
        <v>1.2832068986341601E-2</v>
      </c>
    </row>
    <row r="433" spans="1:24" x14ac:dyDescent="0.2">
      <c r="A433" s="3">
        <v>559</v>
      </c>
      <c r="B433" s="3">
        <v>7205</v>
      </c>
      <c r="C433" s="3" t="s">
        <v>2754</v>
      </c>
      <c r="D433" s="3" t="s">
        <v>2755</v>
      </c>
      <c r="E433" s="3" t="s">
        <v>1477</v>
      </c>
      <c r="F433" s="3" t="s">
        <v>2756</v>
      </c>
      <c r="G433" s="3" t="s">
        <v>2757</v>
      </c>
      <c r="H433" s="3" t="s">
        <v>76</v>
      </c>
      <c r="I433" s="3" t="s">
        <v>73</v>
      </c>
      <c r="J433" s="3" t="s">
        <v>53</v>
      </c>
      <c r="K433" s="3" t="s">
        <v>53</v>
      </c>
      <c r="L433" s="6" t="s">
        <v>805</v>
      </c>
      <c r="M433" s="6" t="s">
        <v>311</v>
      </c>
      <c r="N433" s="3" t="s">
        <v>634</v>
      </c>
      <c r="O433" s="3" t="s">
        <v>62</v>
      </c>
      <c r="P433" s="3" t="s">
        <v>1219</v>
      </c>
      <c r="Q433" s="137">
        <v>3423</v>
      </c>
      <c r="R433" s="139">
        <v>1</v>
      </c>
      <c r="S433" s="140">
        <v>33720</v>
      </c>
      <c r="U433" s="137">
        <v>1154.2360000000001</v>
      </c>
      <c r="V433" s="138">
        <v>2.4699999999999999E-4</v>
      </c>
      <c r="W433" s="138">
        <v>3.08236570151392E-3</v>
      </c>
      <c r="X433" s="138">
        <v>6.0211749954656405E-4</v>
      </c>
    </row>
    <row r="434" spans="1:24" x14ac:dyDescent="0.2">
      <c r="A434" s="3">
        <v>559</v>
      </c>
      <c r="B434" s="3">
        <v>7205</v>
      </c>
      <c r="C434" s="3" t="s">
        <v>2089</v>
      </c>
      <c r="D434" s="3" t="s">
        <v>2090</v>
      </c>
      <c r="E434" s="3" t="s">
        <v>1477</v>
      </c>
      <c r="F434" s="3" t="s">
        <v>2758</v>
      </c>
      <c r="G434" s="3" t="s">
        <v>2759</v>
      </c>
      <c r="H434" s="3" t="s">
        <v>76</v>
      </c>
      <c r="I434" s="3" t="s">
        <v>73</v>
      </c>
      <c r="J434" s="3" t="s">
        <v>53</v>
      </c>
      <c r="K434" s="3" t="s">
        <v>53</v>
      </c>
      <c r="L434" s="6" t="s">
        <v>805</v>
      </c>
      <c r="M434" s="6" t="s">
        <v>311</v>
      </c>
      <c r="N434" s="3" t="s">
        <v>252</v>
      </c>
      <c r="O434" s="3" t="s">
        <v>62</v>
      </c>
      <c r="P434" s="3" t="s">
        <v>1219</v>
      </c>
      <c r="Q434" s="137">
        <v>25664.55</v>
      </c>
      <c r="R434" s="139">
        <v>1</v>
      </c>
      <c r="S434" s="140">
        <v>42880</v>
      </c>
      <c r="U434" s="137">
        <v>11004.959000000001</v>
      </c>
      <c r="V434" s="138">
        <v>1.614E-3</v>
      </c>
      <c r="W434" s="138">
        <v>2.93885479632248E-2</v>
      </c>
      <c r="X434" s="138">
        <v>5.7408369831749798E-3</v>
      </c>
    </row>
    <row r="435" spans="1:24" x14ac:dyDescent="0.2">
      <c r="A435" s="3">
        <v>559</v>
      </c>
      <c r="B435" s="3">
        <v>7205</v>
      </c>
      <c r="C435" s="3" t="s">
        <v>2760</v>
      </c>
      <c r="D435" s="3" t="s">
        <v>2761</v>
      </c>
      <c r="E435" s="3" t="s">
        <v>1477</v>
      </c>
      <c r="F435" s="3" t="s">
        <v>2762</v>
      </c>
      <c r="G435" s="3" t="s">
        <v>2763</v>
      </c>
      <c r="H435" s="3" t="s">
        <v>76</v>
      </c>
      <c r="I435" s="3" t="s">
        <v>73</v>
      </c>
      <c r="J435" s="3" t="s">
        <v>53</v>
      </c>
      <c r="K435" s="3" t="s">
        <v>53</v>
      </c>
      <c r="L435" s="6" t="s">
        <v>805</v>
      </c>
      <c r="M435" s="6" t="s">
        <v>311</v>
      </c>
      <c r="N435" s="3" t="s">
        <v>156</v>
      </c>
      <c r="O435" s="3" t="s">
        <v>62</v>
      </c>
      <c r="P435" s="3" t="s">
        <v>1219</v>
      </c>
      <c r="Q435" s="137">
        <v>9537</v>
      </c>
      <c r="R435" s="139">
        <v>1</v>
      </c>
      <c r="S435" s="140">
        <v>6455</v>
      </c>
      <c r="U435" s="137">
        <v>615.61300000000006</v>
      </c>
      <c r="V435" s="138">
        <v>7.6300000000000001E-4</v>
      </c>
      <c r="W435" s="138">
        <v>1.6439845343828299E-3</v>
      </c>
      <c r="X435" s="138">
        <v>3.2114030358228798E-4</v>
      </c>
    </row>
    <row r="436" spans="1:24" x14ac:dyDescent="0.2">
      <c r="A436" s="3">
        <v>559</v>
      </c>
      <c r="B436" s="3">
        <v>7205</v>
      </c>
      <c r="C436" s="3" t="s">
        <v>2764</v>
      </c>
      <c r="D436" s="3" t="s">
        <v>2765</v>
      </c>
      <c r="E436" s="3" t="s">
        <v>1477</v>
      </c>
      <c r="F436" s="3" t="s">
        <v>2766</v>
      </c>
      <c r="G436" s="3" t="s">
        <v>2767</v>
      </c>
      <c r="H436" s="3" t="s">
        <v>76</v>
      </c>
      <c r="I436" s="3" t="s">
        <v>73</v>
      </c>
      <c r="J436" s="3" t="s">
        <v>53</v>
      </c>
      <c r="K436" s="3" t="s">
        <v>53</v>
      </c>
      <c r="L436" s="6" t="s">
        <v>805</v>
      </c>
      <c r="M436" s="6" t="s">
        <v>311</v>
      </c>
      <c r="N436" s="3" t="s">
        <v>156</v>
      </c>
      <c r="O436" s="3" t="s">
        <v>62</v>
      </c>
      <c r="P436" s="3" t="s">
        <v>1219</v>
      </c>
      <c r="Q436" s="137">
        <v>1287</v>
      </c>
      <c r="R436" s="139">
        <v>1</v>
      </c>
      <c r="S436" s="140">
        <v>61570</v>
      </c>
      <c r="T436" s="131">
        <v>15.614000000000001</v>
      </c>
      <c r="U436" s="137">
        <v>808.02</v>
      </c>
      <c r="V436" s="138">
        <v>9.2999999999999997E-5</v>
      </c>
      <c r="W436" s="138">
        <v>2.15780393577732E-3</v>
      </c>
      <c r="X436" s="138">
        <v>4.2151114959650799E-4</v>
      </c>
    </row>
    <row r="437" spans="1:24" x14ac:dyDescent="0.2">
      <c r="A437" s="3">
        <v>559</v>
      </c>
      <c r="B437" s="3">
        <v>7205</v>
      </c>
      <c r="C437" s="3" t="s">
        <v>2768</v>
      </c>
      <c r="D437" s="3" t="s">
        <v>2769</v>
      </c>
      <c r="E437" s="3" t="s">
        <v>1477</v>
      </c>
      <c r="F437" s="3" t="s">
        <v>2770</v>
      </c>
      <c r="G437" s="3" t="s">
        <v>2771</v>
      </c>
      <c r="H437" s="3" t="s">
        <v>76</v>
      </c>
      <c r="I437" s="3" t="s">
        <v>73</v>
      </c>
      <c r="J437" s="3" t="s">
        <v>53</v>
      </c>
      <c r="K437" s="3" t="s">
        <v>53</v>
      </c>
      <c r="L437" s="6" t="s">
        <v>805</v>
      </c>
      <c r="M437" s="6" t="s">
        <v>311</v>
      </c>
      <c r="N437" s="3" t="s">
        <v>256</v>
      </c>
      <c r="O437" s="3" t="s">
        <v>62</v>
      </c>
      <c r="P437" s="3" t="s">
        <v>1219</v>
      </c>
      <c r="Q437" s="137">
        <v>40563.300000000003</v>
      </c>
      <c r="R437" s="139">
        <v>1</v>
      </c>
      <c r="S437" s="140">
        <v>25090</v>
      </c>
      <c r="U437" s="137">
        <v>10177.332</v>
      </c>
      <c r="V437" s="138">
        <v>1.1440000000000001E-3</v>
      </c>
      <c r="W437" s="138">
        <v>2.7178384549262798E-2</v>
      </c>
      <c r="X437" s="138">
        <v>5.3090977941000197E-3</v>
      </c>
    </row>
    <row r="438" spans="1:24" x14ac:dyDescent="0.2">
      <c r="A438" s="3">
        <v>559</v>
      </c>
      <c r="B438" s="3">
        <v>7205</v>
      </c>
      <c r="C438" s="3" t="s">
        <v>2772</v>
      </c>
      <c r="D438" s="3" t="s">
        <v>2773</v>
      </c>
      <c r="E438" s="3" t="s">
        <v>1477</v>
      </c>
      <c r="F438" s="3" t="s">
        <v>2774</v>
      </c>
      <c r="G438" s="3" t="s">
        <v>2775</v>
      </c>
      <c r="H438" s="3" t="s">
        <v>76</v>
      </c>
      <c r="I438" s="3" t="s">
        <v>73</v>
      </c>
      <c r="J438" s="3" t="s">
        <v>53</v>
      </c>
      <c r="K438" s="3" t="s">
        <v>53</v>
      </c>
      <c r="L438" s="6" t="s">
        <v>805</v>
      </c>
      <c r="M438" s="6" t="s">
        <v>311</v>
      </c>
      <c r="N438" s="3" t="s">
        <v>255</v>
      </c>
      <c r="O438" s="3" t="s">
        <v>62</v>
      </c>
      <c r="P438" s="3" t="s">
        <v>1219</v>
      </c>
      <c r="Q438" s="137">
        <v>86696</v>
      </c>
      <c r="R438" s="139">
        <v>1</v>
      </c>
      <c r="S438" s="140">
        <v>89.1</v>
      </c>
      <c r="U438" s="137">
        <v>77.245999999999995</v>
      </c>
      <c r="V438" s="138">
        <v>9.9299999999999996E-4</v>
      </c>
      <c r="W438" s="138">
        <v>2.0628443636713301E-4</v>
      </c>
      <c r="X438" s="138">
        <v>4.0296149467191799E-5</v>
      </c>
    </row>
    <row r="439" spans="1:24" x14ac:dyDescent="0.2">
      <c r="A439" s="3">
        <v>559</v>
      </c>
      <c r="B439" s="3">
        <v>7205</v>
      </c>
      <c r="C439" s="3" t="s">
        <v>2776</v>
      </c>
      <c r="D439" s="3" t="s">
        <v>2777</v>
      </c>
      <c r="E439" s="3" t="s">
        <v>1477</v>
      </c>
      <c r="F439" s="3" t="s">
        <v>2778</v>
      </c>
      <c r="G439" s="3" t="s">
        <v>2779</v>
      </c>
      <c r="H439" s="3" t="s">
        <v>76</v>
      </c>
      <c r="I439" s="3" t="s">
        <v>73</v>
      </c>
      <c r="J439" s="3" t="s">
        <v>53</v>
      </c>
      <c r="K439" s="3" t="s">
        <v>53</v>
      </c>
      <c r="L439" s="6" t="s">
        <v>805</v>
      </c>
      <c r="M439" s="6" t="s">
        <v>311</v>
      </c>
      <c r="N439" s="3" t="s">
        <v>637</v>
      </c>
      <c r="O439" s="3" t="s">
        <v>62</v>
      </c>
      <c r="P439" s="3" t="s">
        <v>1219</v>
      </c>
      <c r="Q439" s="137">
        <v>123320.27</v>
      </c>
      <c r="R439" s="139">
        <v>1</v>
      </c>
      <c r="S439" s="140">
        <v>1256</v>
      </c>
      <c r="U439" s="137">
        <v>1548.903</v>
      </c>
      <c r="V439" s="138">
        <v>1.707E-3</v>
      </c>
      <c r="W439" s="138">
        <v>4.13631690280642E-3</v>
      </c>
      <c r="X439" s="138">
        <v>8.0799912535581004E-4</v>
      </c>
    </row>
    <row r="440" spans="1:24" x14ac:dyDescent="0.2">
      <c r="A440" s="3">
        <v>559</v>
      </c>
      <c r="B440" s="3">
        <v>7205</v>
      </c>
      <c r="C440" s="3" t="s">
        <v>2780</v>
      </c>
      <c r="D440" s="3" t="s">
        <v>2781</v>
      </c>
      <c r="E440" s="3" t="s">
        <v>1477</v>
      </c>
      <c r="F440" s="3" t="s">
        <v>2782</v>
      </c>
      <c r="G440" s="3" t="s">
        <v>2783</v>
      </c>
      <c r="H440" s="3" t="s">
        <v>76</v>
      </c>
      <c r="I440" s="3" t="s">
        <v>73</v>
      </c>
      <c r="J440" s="3" t="s">
        <v>53</v>
      </c>
      <c r="K440" s="3" t="s">
        <v>53</v>
      </c>
      <c r="L440" s="6" t="s">
        <v>805</v>
      </c>
      <c r="M440" s="6" t="s">
        <v>311</v>
      </c>
      <c r="N440" s="3" t="s">
        <v>260</v>
      </c>
      <c r="O440" s="3" t="s">
        <v>62</v>
      </c>
      <c r="P440" s="3" t="s">
        <v>1219</v>
      </c>
      <c r="Q440" s="137">
        <v>14179</v>
      </c>
      <c r="R440" s="139">
        <v>1</v>
      </c>
      <c r="S440" s="140">
        <v>2555</v>
      </c>
      <c r="U440" s="137">
        <v>362.27300000000002</v>
      </c>
      <c r="V440" s="138">
        <v>7.3999999999999996E-5</v>
      </c>
      <c r="W440" s="138">
        <v>9.6744482395891903E-4</v>
      </c>
      <c r="X440" s="138">
        <v>1.8898324039399501E-4</v>
      </c>
    </row>
    <row r="441" spans="1:24" x14ac:dyDescent="0.2">
      <c r="A441" s="3">
        <v>559</v>
      </c>
      <c r="B441" s="3">
        <v>7205</v>
      </c>
      <c r="C441" s="3" t="s">
        <v>2103</v>
      </c>
      <c r="D441" s="3" t="s">
        <v>2104</v>
      </c>
      <c r="E441" s="3" t="s">
        <v>1477</v>
      </c>
      <c r="F441" s="3" t="s">
        <v>2784</v>
      </c>
      <c r="G441" s="3" t="s">
        <v>2785</v>
      </c>
      <c r="H441" s="3" t="s">
        <v>76</v>
      </c>
      <c r="I441" s="3" t="s">
        <v>73</v>
      </c>
      <c r="J441" s="3" t="s">
        <v>53</v>
      </c>
      <c r="K441" s="3" t="s">
        <v>317</v>
      </c>
      <c r="L441" s="6" t="s">
        <v>805</v>
      </c>
      <c r="M441" s="6" t="s">
        <v>311</v>
      </c>
      <c r="N441" s="3" t="s">
        <v>254</v>
      </c>
      <c r="O441" s="3" t="s">
        <v>62</v>
      </c>
      <c r="P441" s="3" t="s">
        <v>1219</v>
      </c>
      <c r="Q441" s="137">
        <v>17210</v>
      </c>
      <c r="R441" s="139">
        <v>1</v>
      </c>
      <c r="S441" s="140">
        <v>19820</v>
      </c>
      <c r="U441" s="137">
        <v>3411.0219999999999</v>
      </c>
      <c r="V441" s="138">
        <v>1.328E-3</v>
      </c>
      <c r="W441" s="138">
        <v>9.10907376267844E-3</v>
      </c>
      <c r="X441" s="138">
        <v>1.77939065260015E-3</v>
      </c>
    </row>
    <row r="442" spans="1:24" x14ac:dyDescent="0.2">
      <c r="A442" s="3">
        <v>559</v>
      </c>
      <c r="B442" s="3">
        <v>7205</v>
      </c>
      <c r="C442" s="3" t="s">
        <v>2111</v>
      </c>
      <c r="D442" s="3" t="s">
        <v>2112</v>
      </c>
      <c r="E442" s="3" t="s">
        <v>1477</v>
      </c>
      <c r="F442" s="3" t="s">
        <v>2786</v>
      </c>
      <c r="G442" s="3" t="s">
        <v>2787</v>
      </c>
      <c r="H442" s="3" t="s">
        <v>76</v>
      </c>
      <c r="I442" s="3" t="s">
        <v>73</v>
      </c>
      <c r="J442" s="3" t="s">
        <v>53</v>
      </c>
      <c r="K442" s="3" t="s">
        <v>53</v>
      </c>
      <c r="L442" s="6" t="s">
        <v>805</v>
      </c>
      <c r="M442" s="6" t="s">
        <v>311</v>
      </c>
      <c r="N442" s="3" t="s">
        <v>140</v>
      </c>
      <c r="O442" s="3" t="s">
        <v>62</v>
      </c>
      <c r="P442" s="3" t="s">
        <v>1219</v>
      </c>
      <c r="Q442" s="137">
        <v>9595</v>
      </c>
      <c r="R442" s="139">
        <v>1</v>
      </c>
      <c r="S442" s="140">
        <v>11810</v>
      </c>
      <c r="U442" s="137">
        <v>1133.1690000000001</v>
      </c>
      <c r="V442" s="138">
        <v>4.2400000000000001E-4</v>
      </c>
      <c r="W442" s="138">
        <v>3.0261090550332001E-3</v>
      </c>
      <c r="X442" s="138">
        <v>5.9112817686651699E-4</v>
      </c>
    </row>
    <row r="443" spans="1:24" x14ac:dyDescent="0.2">
      <c r="A443" s="3">
        <v>559</v>
      </c>
      <c r="B443" s="3">
        <v>7205</v>
      </c>
      <c r="C443" s="3" t="s">
        <v>2122</v>
      </c>
      <c r="D443" s="3" t="s">
        <v>2123</v>
      </c>
      <c r="E443" s="3" t="s">
        <v>1477</v>
      </c>
      <c r="F443" s="3" t="s">
        <v>2788</v>
      </c>
      <c r="G443" s="3" t="s">
        <v>2789</v>
      </c>
      <c r="H443" s="3" t="s">
        <v>76</v>
      </c>
      <c r="I443" s="3" t="s">
        <v>73</v>
      </c>
      <c r="J443" s="3" t="s">
        <v>53</v>
      </c>
      <c r="K443" s="3" t="s">
        <v>53</v>
      </c>
      <c r="L443" s="6" t="s">
        <v>805</v>
      </c>
      <c r="M443" s="6" t="s">
        <v>311</v>
      </c>
      <c r="N443" s="3" t="s">
        <v>259</v>
      </c>
      <c r="O443" s="3" t="s">
        <v>62</v>
      </c>
      <c r="P443" s="3" t="s">
        <v>1219</v>
      </c>
      <c r="Q443" s="137">
        <v>4840</v>
      </c>
      <c r="R443" s="139">
        <v>1</v>
      </c>
      <c r="S443" s="140">
        <v>58480</v>
      </c>
      <c r="U443" s="137">
        <v>2830.4319999999998</v>
      </c>
      <c r="V443" s="138">
        <v>2.9399999999999999E-4</v>
      </c>
      <c r="W443" s="138">
        <v>7.5586184633946799E-3</v>
      </c>
      <c r="X443" s="138">
        <v>1.47652059811409E-3</v>
      </c>
    </row>
    <row r="444" spans="1:24" x14ac:dyDescent="0.2">
      <c r="A444" s="3">
        <v>559</v>
      </c>
      <c r="B444" s="3">
        <v>7205</v>
      </c>
      <c r="C444" s="3" t="s">
        <v>2790</v>
      </c>
      <c r="D444" s="3" t="s">
        <v>2791</v>
      </c>
      <c r="E444" s="3" t="s">
        <v>1477</v>
      </c>
      <c r="F444" s="3" t="s">
        <v>2792</v>
      </c>
      <c r="G444" s="3" t="s">
        <v>2793</v>
      </c>
      <c r="H444" s="3" t="s">
        <v>76</v>
      </c>
      <c r="I444" s="3" t="s">
        <v>73</v>
      </c>
      <c r="J444" s="3" t="s">
        <v>53</v>
      </c>
      <c r="K444" s="3" t="s">
        <v>314</v>
      </c>
      <c r="L444" s="6" t="s">
        <v>805</v>
      </c>
      <c r="M444" s="6" t="s">
        <v>311</v>
      </c>
      <c r="N444" s="3" t="s">
        <v>254</v>
      </c>
      <c r="O444" s="3" t="s">
        <v>62</v>
      </c>
      <c r="P444" s="3" t="s">
        <v>1219</v>
      </c>
      <c r="Q444" s="137">
        <v>12441</v>
      </c>
      <c r="R444" s="139">
        <v>1</v>
      </c>
      <c r="S444" s="140">
        <v>38800</v>
      </c>
      <c r="U444" s="137">
        <v>4827.1080000000002</v>
      </c>
      <c r="V444" s="138">
        <v>2.7179999999999999E-3</v>
      </c>
      <c r="W444" s="138">
        <v>1.2890706313947901E-2</v>
      </c>
      <c r="X444" s="138">
        <v>2.5181047950706202E-3</v>
      </c>
    </row>
    <row r="445" spans="1:24" x14ac:dyDescent="0.2">
      <c r="A445" s="3">
        <v>559</v>
      </c>
      <c r="B445" s="3">
        <v>7205</v>
      </c>
      <c r="C445" s="3" t="s">
        <v>2794</v>
      </c>
      <c r="D445" s="3" t="s">
        <v>2795</v>
      </c>
      <c r="E445" s="3" t="s">
        <v>1477</v>
      </c>
      <c r="F445" s="3" t="s">
        <v>2796</v>
      </c>
      <c r="G445" s="3" t="s">
        <v>2797</v>
      </c>
      <c r="H445" s="3" t="s">
        <v>76</v>
      </c>
      <c r="I445" s="3" t="s">
        <v>73</v>
      </c>
      <c r="J445" s="3" t="s">
        <v>53</v>
      </c>
      <c r="K445" s="3" t="s">
        <v>317</v>
      </c>
      <c r="L445" s="6" t="s">
        <v>805</v>
      </c>
      <c r="M445" s="6" t="s">
        <v>311</v>
      </c>
      <c r="N445" s="3" t="s">
        <v>254</v>
      </c>
      <c r="O445" s="3" t="s">
        <v>62</v>
      </c>
      <c r="P445" s="3" t="s">
        <v>1219</v>
      </c>
      <c r="Q445" s="137">
        <v>6574</v>
      </c>
      <c r="R445" s="139">
        <v>1</v>
      </c>
      <c r="S445" s="140">
        <v>29040</v>
      </c>
      <c r="U445" s="137">
        <v>1909.09</v>
      </c>
      <c r="V445" s="138">
        <v>1.3799999999999999E-4</v>
      </c>
      <c r="W445" s="138">
        <v>5.09818992254001E-3</v>
      </c>
      <c r="X445" s="138">
        <v>9.9589395471977402E-4</v>
      </c>
    </row>
    <row r="446" spans="1:24" x14ac:dyDescent="0.2">
      <c r="A446" s="3">
        <v>559</v>
      </c>
      <c r="B446" s="3">
        <v>7205</v>
      </c>
      <c r="C446" s="3" t="s">
        <v>2798</v>
      </c>
      <c r="D446" s="3" t="s">
        <v>2799</v>
      </c>
      <c r="E446" s="3" t="s">
        <v>430</v>
      </c>
      <c r="F446" s="3" t="s">
        <v>2800</v>
      </c>
      <c r="G446" s="3" t="s">
        <v>2801</v>
      </c>
      <c r="H446" s="3" t="s">
        <v>76</v>
      </c>
      <c r="I446" s="3" t="s">
        <v>73</v>
      </c>
      <c r="J446" s="3" t="s">
        <v>53</v>
      </c>
      <c r="K446" s="3" t="s">
        <v>53</v>
      </c>
      <c r="L446" s="6" t="s">
        <v>805</v>
      </c>
      <c r="M446" s="6" t="s">
        <v>311</v>
      </c>
      <c r="N446" s="3" t="s">
        <v>692</v>
      </c>
      <c r="O446" s="3" t="s">
        <v>62</v>
      </c>
      <c r="P446" s="3" t="s">
        <v>1219</v>
      </c>
      <c r="Q446" s="137">
        <v>42565</v>
      </c>
      <c r="R446" s="139">
        <v>1</v>
      </c>
      <c r="S446" s="140">
        <v>13890</v>
      </c>
      <c r="U446" s="137">
        <v>5912.2790000000005</v>
      </c>
      <c r="V446" s="138">
        <v>8.1700000000000002E-4</v>
      </c>
      <c r="W446" s="138">
        <v>1.5788634890656801E-2</v>
      </c>
      <c r="X446" s="138">
        <v>3.0841938569932401E-3</v>
      </c>
    </row>
    <row r="447" spans="1:24" x14ac:dyDescent="0.2">
      <c r="A447" s="3">
        <v>559</v>
      </c>
      <c r="B447" s="3">
        <v>7205</v>
      </c>
      <c r="C447" s="3" t="s">
        <v>2881</v>
      </c>
      <c r="D447" s="3" t="s">
        <v>2882</v>
      </c>
      <c r="E447" s="3" t="s">
        <v>1477</v>
      </c>
      <c r="F447" s="3" t="s">
        <v>2883</v>
      </c>
      <c r="G447" s="3" t="s">
        <v>2884</v>
      </c>
      <c r="H447" s="3" t="s">
        <v>76</v>
      </c>
      <c r="I447" s="3" t="s">
        <v>73</v>
      </c>
      <c r="J447" s="3" t="s">
        <v>53</v>
      </c>
      <c r="K447" s="3" t="s">
        <v>53</v>
      </c>
      <c r="L447" s="6" t="s">
        <v>805</v>
      </c>
      <c r="M447" s="6" t="s">
        <v>311</v>
      </c>
      <c r="N447" s="3" t="s">
        <v>270</v>
      </c>
      <c r="O447" s="3" t="s">
        <v>62</v>
      </c>
      <c r="P447" s="3" t="s">
        <v>1219</v>
      </c>
      <c r="Q447" s="137">
        <v>938247.3</v>
      </c>
      <c r="R447" s="139">
        <v>1</v>
      </c>
      <c r="S447" s="140">
        <v>56.5</v>
      </c>
      <c r="U447" s="137">
        <v>530.11</v>
      </c>
      <c r="V447" s="138">
        <v>6.3229999999999996E-3</v>
      </c>
      <c r="W447" s="138">
        <v>1.41564861873762E-3</v>
      </c>
      <c r="X447" s="138">
        <v>2.7653655960815801E-4</v>
      </c>
    </row>
    <row r="448" spans="1:24" x14ac:dyDescent="0.2">
      <c r="A448" s="3">
        <v>559</v>
      </c>
      <c r="B448" s="3">
        <v>7205</v>
      </c>
      <c r="C448" s="3" t="s">
        <v>2802</v>
      </c>
      <c r="D448" s="3" t="s">
        <v>2803</v>
      </c>
      <c r="E448" s="3" t="s">
        <v>1477</v>
      </c>
      <c r="F448" s="3" t="s">
        <v>2804</v>
      </c>
      <c r="G448" s="3" t="s">
        <v>2805</v>
      </c>
      <c r="H448" s="3" t="s">
        <v>76</v>
      </c>
      <c r="I448" s="3" t="s">
        <v>73</v>
      </c>
      <c r="J448" s="3" t="s">
        <v>53</v>
      </c>
      <c r="K448" s="3" t="s">
        <v>53</v>
      </c>
      <c r="L448" s="6" t="s">
        <v>805</v>
      </c>
      <c r="M448" s="6" t="s">
        <v>311</v>
      </c>
      <c r="N448" s="3" t="s">
        <v>261</v>
      </c>
      <c r="O448" s="3" t="s">
        <v>62</v>
      </c>
      <c r="P448" s="3" t="s">
        <v>1219</v>
      </c>
      <c r="Q448" s="137">
        <v>9619</v>
      </c>
      <c r="R448" s="139">
        <v>1</v>
      </c>
      <c r="S448" s="140">
        <v>8117</v>
      </c>
      <c r="U448" s="137">
        <v>780.774</v>
      </c>
      <c r="V448" s="138">
        <v>7.6499999999999995E-4</v>
      </c>
      <c r="W448" s="138">
        <v>2.0850437355925799E-3</v>
      </c>
      <c r="X448" s="138">
        <v>4.0729797892041601E-4</v>
      </c>
    </row>
    <row r="449" spans="1:24" x14ac:dyDescent="0.2">
      <c r="A449" s="3">
        <v>559</v>
      </c>
      <c r="B449" s="3">
        <v>7205</v>
      </c>
      <c r="C449" s="3" t="s">
        <v>2885</v>
      </c>
      <c r="D449" s="3" t="s">
        <v>2886</v>
      </c>
      <c r="E449" s="3" t="s">
        <v>1477</v>
      </c>
      <c r="F449" s="3" t="s">
        <v>2887</v>
      </c>
      <c r="G449" s="3" t="s">
        <v>2888</v>
      </c>
      <c r="H449" s="3" t="s">
        <v>76</v>
      </c>
      <c r="I449" s="3" t="s">
        <v>73</v>
      </c>
      <c r="J449" s="3" t="s">
        <v>53</v>
      </c>
      <c r="K449" s="3" t="s">
        <v>53</v>
      </c>
      <c r="L449" s="6" t="s">
        <v>805</v>
      </c>
      <c r="M449" s="6" t="s">
        <v>311</v>
      </c>
      <c r="N449" s="3" t="s">
        <v>75</v>
      </c>
      <c r="O449" s="3" t="s">
        <v>62</v>
      </c>
      <c r="P449" s="3" t="s">
        <v>1219</v>
      </c>
      <c r="Q449" s="137">
        <v>12204.25</v>
      </c>
      <c r="R449" s="139">
        <v>1</v>
      </c>
      <c r="S449" s="140">
        <v>5925</v>
      </c>
      <c r="U449" s="137">
        <v>723.10199999999998</v>
      </c>
      <c r="V449" s="138">
        <v>2.895E-3</v>
      </c>
      <c r="W449" s="138">
        <v>1.93103056737511E-3</v>
      </c>
      <c r="X449" s="138">
        <v>3.7721263774924998E-4</v>
      </c>
    </row>
    <row r="450" spans="1:24" x14ac:dyDescent="0.2">
      <c r="A450" s="3">
        <v>559</v>
      </c>
      <c r="B450" s="3">
        <v>7205</v>
      </c>
      <c r="C450" s="3" t="s">
        <v>2806</v>
      </c>
      <c r="D450" s="3" t="s">
        <v>2807</v>
      </c>
      <c r="E450" s="3" t="s">
        <v>1477</v>
      </c>
      <c r="F450" s="3" t="s">
        <v>2808</v>
      </c>
      <c r="G450" s="3" t="s">
        <v>2809</v>
      </c>
      <c r="H450" s="3" t="s">
        <v>76</v>
      </c>
      <c r="I450" s="3" t="s">
        <v>73</v>
      </c>
      <c r="J450" s="3" t="s">
        <v>53</v>
      </c>
      <c r="K450" s="3" t="s">
        <v>53</v>
      </c>
      <c r="L450" s="6" t="s">
        <v>805</v>
      </c>
      <c r="M450" s="6" t="s">
        <v>311</v>
      </c>
      <c r="N450" s="3" t="s">
        <v>265</v>
      </c>
      <c r="O450" s="3" t="s">
        <v>62</v>
      </c>
      <c r="P450" s="3" t="s">
        <v>1219</v>
      </c>
      <c r="Q450" s="137">
        <v>209179</v>
      </c>
      <c r="R450" s="139">
        <v>1</v>
      </c>
      <c r="S450" s="140">
        <v>212.9</v>
      </c>
      <c r="U450" s="137">
        <v>445.34199999999998</v>
      </c>
      <c r="V450" s="138">
        <v>2.4489999999999998E-3</v>
      </c>
      <c r="W450" s="138">
        <v>1.1892781566769301E-3</v>
      </c>
      <c r="X450" s="138">
        <v>2.3231675255533499E-4</v>
      </c>
    </row>
    <row r="451" spans="1:24" x14ac:dyDescent="0.2">
      <c r="A451" s="3">
        <v>559</v>
      </c>
      <c r="B451" s="3">
        <v>7205</v>
      </c>
      <c r="C451" s="3" t="s">
        <v>2157</v>
      </c>
      <c r="D451" s="3" t="s">
        <v>2158</v>
      </c>
      <c r="E451" s="3" t="s">
        <v>1477</v>
      </c>
      <c r="F451" s="3" t="s">
        <v>2810</v>
      </c>
      <c r="G451" s="3" t="s">
        <v>2811</v>
      </c>
      <c r="H451" s="3" t="s">
        <v>76</v>
      </c>
      <c r="I451" s="3" t="s">
        <v>73</v>
      </c>
      <c r="J451" s="3" t="s">
        <v>53</v>
      </c>
      <c r="K451" s="3" t="s">
        <v>53</v>
      </c>
      <c r="L451" s="6" t="s">
        <v>805</v>
      </c>
      <c r="M451" s="6" t="s">
        <v>311</v>
      </c>
      <c r="N451" s="3" t="s">
        <v>635</v>
      </c>
      <c r="O451" s="3" t="s">
        <v>62</v>
      </c>
      <c r="P451" s="3" t="s">
        <v>1219</v>
      </c>
      <c r="Q451" s="137">
        <v>25808</v>
      </c>
      <c r="R451" s="139">
        <v>1</v>
      </c>
      <c r="S451" s="140">
        <v>2261</v>
      </c>
      <c r="U451" s="137">
        <v>583.51900000000001</v>
      </c>
      <c r="V451" s="138">
        <v>1.3200000000000001E-4</v>
      </c>
      <c r="W451" s="138">
        <v>1.5582768213853501E-3</v>
      </c>
      <c r="X451" s="138">
        <v>3.0439793137883802E-4</v>
      </c>
    </row>
    <row r="452" spans="1:24" x14ac:dyDescent="0.2">
      <c r="A452" s="3">
        <v>559</v>
      </c>
      <c r="B452" s="3">
        <v>7205</v>
      </c>
      <c r="C452" s="3" t="s">
        <v>2812</v>
      </c>
      <c r="D452" s="3" t="s">
        <v>2813</v>
      </c>
      <c r="E452" s="3" t="s">
        <v>1477</v>
      </c>
      <c r="F452" s="3" t="s">
        <v>2814</v>
      </c>
      <c r="G452" s="3" t="s">
        <v>2815</v>
      </c>
      <c r="H452" s="3" t="s">
        <v>76</v>
      </c>
      <c r="I452" s="3" t="s">
        <v>73</v>
      </c>
      <c r="J452" s="3" t="s">
        <v>53</v>
      </c>
      <c r="K452" s="3" t="s">
        <v>53</v>
      </c>
      <c r="L452" s="6" t="s">
        <v>805</v>
      </c>
      <c r="M452" s="6" t="s">
        <v>311</v>
      </c>
      <c r="N452" s="3" t="s">
        <v>634</v>
      </c>
      <c r="O452" s="3" t="s">
        <v>62</v>
      </c>
      <c r="P452" s="3" t="s">
        <v>1219</v>
      </c>
      <c r="Q452" s="137">
        <v>11492</v>
      </c>
      <c r="R452" s="139">
        <v>1</v>
      </c>
      <c r="S452" s="140">
        <v>6518</v>
      </c>
      <c r="U452" s="137">
        <v>749.04899999999998</v>
      </c>
      <c r="V452" s="138">
        <v>2.3699999999999999E-4</v>
      </c>
      <c r="W452" s="138">
        <v>2.0003208964551001E-3</v>
      </c>
      <c r="X452" s="138">
        <v>3.9074799459153298E-4</v>
      </c>
    </row>
    <row r="453" spans="1:24" x14ac:dyDescent="0.2">
      <c r="A453" s="3">
        <v>559</v>
      </c>
      <c r="B453" s="3">
        <v>7205</v>
      </c>
      <c r="C453" s="3" t="s">
        <v>2816</v>
      </c>
      <c r="D453" s="3" t="s">
        <v>2817</v>
      </c>
      <c r="E453" s="3" t="s">
        <v>1477</v>
      </c>
      <c r="F453" s="3" t="s">
        <v>2818</v>
      </c>
      <c r="G453" s="3" t="s">
        <v>2819</v>
      </c>
      <c r="H453" s="3" t="s">
        <v>76</v>
      </c>
      <c r="I453" s="3" t="s">
        <v>73</v>
      </c>
      <c r="J453" s="3" t="s">
        <v>53</v>
      </c>
      <c r="K453" s="3" t="s">
        <v>53</v>
      </c>
      <c r="L453" s="6" t="s">
        <v>805</v>
      </c>
      <c r="M453" s="6" t="s">
        <v>311</v>
      </c>
      <c r="N453" s="3" t="s">
        <v>265</v>
      </c>
      <c r="O453" s="3" t="s">
        <v>62</v>
      </c>
      <c r="P453" s="3" t="s">
        <v>1219</v>
      </c>
      <c r="Q453" s="137">
        <v>15179</v>
      </c>
      <c r="R453" s="139">
        <v>1</v>
      </c>
      <c r="S453" s="140">
        <v>1420</v>
      </c>
      <c r="U453" s="137">
        <v>215.542</v>
      </c>
      <c r="V453" s="138">
        <v>8.8099999999999995E-4</v>
      </c>
      <c r="W453" s="138">
        <v>5.75600554655022E-4</v>
      </c>
      <c r="X453" s="138">
        <v>1.12439340515719E-4</v>
      </c>
    </row>
    <row r="454" spans="1:24" x14ac:dyDescent="0.2">
      <c r="A454" s="3">
        <v>559</v>
      </c>
      <c r="B454" s="3">
        <v>7205</v>
      </c>
      <c r="C454" s="3" t="s">
        <v>2820</v>
      </c>
      <c r="D454" s="3" t="s">
        <v>2821</v>
      </c>
      <c r="E454" s="3" t="s">
        <v>1477</v>
      </c>
      <c r="F454" s="3" t="s">
        <v>2822</v>
      </c>
      <c r="G454" s="3" t="s">
        <v>2823</v>
      </c>
      <c r="H454" s="3" t="s">
        <v>76</v>
      </c>
      <c r="I454" s="3" t="s">
        <v>73</v>
      </c>
      <c r="J454" s="3" t="s">
        <v>53</v>
      </c>
      <c r="K454" s="3" t="s">
        <v>53</v>
      </c>
      <c r="L454" s="6" t="s">
        <v>805</v>
      </c>
      <c r="M454" s="6" t="s">
        <v>311</v>
      </c>
      <c r="N454" s="3" t="s">
        <v>634</v>
      </c>
      <c r="O454" s="3" t="s">
        <v>62</v>
      </c>
      <c r="P454" s="3" t="s">
        <v>1219</v>
      </c>
      <c r="Q454" s="137">
        <v>5322</v>
      </c>
      <c r="R454" s="139">
        <v>1</v>
      </c>
      <c r="S454" s="140">
        <v>32510</v>
      </c>
      <c r="U454" s="137">
        <v>1730.182</v>
      </c>
      <c r="V454" s="138">
        <v>3.86E-4</v>
      </c>
      <c r="W454" s="138">
        <v>4.6204208834400001E-3</v>
      </c>
      <c r="X454" s="138">
        <v>9.0256528218673299E-4</v>
      </c>
    </row>
    <row r="455" spans="1:24" x14ac:dyDescent="0.2">
      <c r="A455" s="3">
        <v>559</v>
      </c>
      <c r="B455" s="3">
        <v>7205</v>
      </c>
      <c r="C455" s="3" t="s">
        <v>2824</v>
      </c>
      <c r="D455" s="3" t="s">
        <v>2825</v>
      </c>
      <c r="E455" s="3" t="s">
        <v>1477</v>
      </c>
      <c r="F455" s="3" t="s">
        <v>2826</v>
      </c>
      <c r="G455" s="3" t="s">
        <v>2827</v>
      </c>
      <c r="H455" s="3" t="s">
        <v>76</v>
      </c>
      <c r="I455" s="3" t="s">
        <v>73</v>
      </c>
      <c r="J455" s="3" t="s">
        <v>53</v>
      </c>
      <c r="K455" s="3" t="s">
        <v>53</v>
      </c>
      <c r="L455" s="6" t="s">
        <v>805</v>
      </c>
      <c r="M455" s="6" t="s">
        <v>311</v>
      </c>
      <c r="N455" s="3" t="s">
        <v>634</v>
      </c>
      <c r="O455" s="3" t="s">
        <v>62</v>
      </c>
      <c r="P455" s="3" t="s">
        <v>1219</v>
      </c>
      <c r="Q455" s="137">
        <v>56642</v>
      </c>
      <c r="R455" s="139">
        <v>1</v>
      </c>
      <c r="S455" s="140">
        <v>3869</v>
      </c>
      <c r="U455" s="137">
        <v>2191.4789999999998</v>
      </c>
      <c r="V455" s="138">
        <v>2.0599999999999999E-4</v>
      </c>
      <c r="W455" s="138">
        <v>5.8523057541638003E-3</v>
      </c>
      <c r="X455" s="138">
        <v>1.1432049433810999E-3</v>
      </c>
    </row>
    <row r="456" spans="1:24" x14ac:dyDescent="0.2">
      <c r="A456" s="3">
        <v>559</v>
      </c>
      <c r="B456" s="3">
        <v>7205</v>
      </c>
      <c r="C456" s="3" t="s">
        <v>2174</v>
      </c>
      <c r="D456" s="3" t="s">
        <v>2175</v>
      </c>
      <c r="E456" s="3" t="s">
        <v>1477</v>
      </c>
      <c r="F456" s="3" t="s">
        <v>2828</v>
      </c>
      <c r="G456" s="3" t="s">
        <v>2829</v>
      </c>
      <c r="H456" s="3" t="s">
        <v>76</v>
      </c>
      <c r="I456" s="3" t="s">
        <v>73</v>
      </c>
      <c r="J456" s="3" t="s">
        <v>53</v>
      </c>
      <c r="K456" s="3" t="s">
        <v>53</v>
      </c>
      <c r="L456" s="6" t="s">
        <v>805</v>
      </c>
      <c r="M456" s="6" t="s">
        <v>311</v>
      </c>
      <c r="N456" s="3" t="s">
        <v>261</v>
      </c>
      <c r="O456" s="3" t="s">
        <v>62</v>
      </c>
      <c r="P456" s="3" t="s">
        <v>1219</v>
      </c>
      <c r="Q456" s="137">
        <v>99649</v>
      </c>
      <c r="R456" s="139">
        <v>1</v>
      </c>
      <c r="S456" s="140">
        <v>9235</v>
      </c>
      <c r="U456" s="137">
        <v>9202.5849999999991</v>
      </c>
      <c r="V456" s="138">
        <v>8.4800000000000001E-4</v>
      </c>
      <c r="W456" s="138">
        <v>2.45753404518292E-2</v>
      </c>
      <c r="X456" s="138">
        <v>4.8006122492516602E-3</v>
      </c>
    </row>
    <row r="457" spans="1:24" x14ac:dyDescent="0.2">
      <c r="A457" s="3">
        <v>559</v>
      </c>
      <c r="B457" s="3">
        <v>7205</v>
      </c>
      <c r="C457" s="3" t="s">
        <v>2830</v>
      </c>
      <c r="D457" s="3" t="s">
        <v>2831</v>
      </c>
      <c r="E457" s="3" t="s">
        <v>1477</v>
      </c>
      <c r="F457" s="3" t="s">
        <v>2832</v>
      </c>
      <c r="G457" s="3" t="s">
        <v>2833</v>
      </c>
      <c r="H457" s="3" t="s">
        <v>76</v>
      </c>
      <c r="I457" s="3" t="s">
        <v>73</v>
      </c>
      <c r="J457" s="3" t="s">
        <v>53</v>
      </c>
      <c r="K457" s="3" t="s">
        <v>53</v>
      </c>
      <c r="L457" s="6" t="s">
        <v>805</v>
      </c>
      <c r="M457" s="6" t="s">
        <v>311</v>
      </c>
      <c r="N457" s="3" t="s">
        <v>264</v>
      </c>
      <c r="O457" s="3" t="s">
        <v>62</v>
      </c>
      <c r="P457" s="3" t="s">
        <v>1219</v>
      </c>
      <c r="Q457" s="137">
        <v>6580</v>
      </c>
      <c r="R457" s="139">
        <v>1</v>
      </c>
      <c r="S457" s="140">
        <v>10400</v>
      </c>
      <c r="U457" s="137">
        <v>684.32</v>
      </c>
      <c r="V457" s="138">
        <v>5.0299999999999997E-4</v>
      </c>
      <c r="W457" s="138">
        <v>1.8274644248193401E-3</v>
      </c>
      <c r="X457" s="138">
        <v>3.5698175250330601E-4</v>
      </c>
    </row>
    <row r="458" spans="1:24" x14ac:dyDescent="0.2">
      <c r="A458" s="3">
        <v>559</v>
      </c>
      <c r="B458" s="3">
        <v>7205</v>
      </c>
      <c r="C458" s="3" t="s">
        <v>2889</v>
      </c>
      <c r="D458" s="3" t="s">
        <v>2890</v>
      </c>
      <c r="E458" s="3" t="s">
        <v>1477</v>
      </c>
      <c r="F458" s="3" t="s">
        <v>2891</v>
      </c>
      <c r="G458" s="3" t="s">
        <v>2892</v>
      </c>
      <c r="H458" s="3" t="s">
        <v>76</v>
      </c>
      <c r="I458" s="3" t="s">
        <v>73</v>
      </c>
      <c r="J458" s="3" t="s">
        <v>53</v>
      </c>
      <c r="K458" s="3" t="s">
        <v>53</v>
      </c>
      <c r="L458" s="6" t="s">
        <v>805</v>
      </c>
      <c r="M458" s="6" t="s">
        <v>311</v>
      </c>
      <c r="N458" s="3" t="s">
        <v>692</v>
      </c>
      <c r="O458" s="3" t="s">
        <v>62</v>
      </c>
      <c r="P458" s="3" t="s">
        <v>1219</v>
      </c>
      <c r="Q458" s="137">
        <v>21759</v>
      </c>
      <c r="R458" s="139">
        <v>1</v>
      </c>
      <c r="S458" s="140">
        <v>570.6</v>
      </c>
      <c r="U458" s="137">
        <v>124.157</v>
      </c>
      <c r="V458" s="138">
        <v>3.3270000000000001E-3</v>
      </c>
      <c r="W458" s="138">
        <v>3.3155867690917799E-4</v>
      </c>
      <c r="X458" s="138">
        <v>6.4767552206887298E-5</v>
      </c>
    </row>
    <row r="459" spans="1:24" x14ac:dyDescent="0.2">
      <c r="A459" s="3">
        <v>559</v>
      </c>
      <c r="B459" s="3">
        <v>7205</v>
      </c>
      <c r="C459" s="3" t="s">
        <v>2834</v>
      </c>
      <c r="D459" s="3" t="s">
        <v>2835</v>
      </c>
      <c r="E459" s="3" t="s">
        <v>1477</v>
      </c>
      <c r="F459" s="3" t="s">
        <v>2836</v>
      </c>
      <c r="G459" s="3" t="s">
        <v>2837</v>
      </c>
      <c r="H459" s="3" t="s">
        <v>76</v>
      </c>
      <c r="I459" s="3" t="s">
        <v>73</v>
      </c>
      <c r="J459" s="3" t="s">
        <v>53</v>
      </c>
      <c r="K459" s="3" t="s">
        <v>317</v>
      </c>
      <c r="L459" s="6" t="s">
        <v>805</v>
      </c>
      <c r="M459" s="6" t="s">
        <v>311</v>
      </c>
      <c r="N459" s="3" t="s">
        <v>261</v>
      </c>
      <c r="O459" s="3" t="s">
        <v>62</v>
      </c>
      <c r="P459" s="3" t="s">
        <v>1219</v>
      </c>
      <c r="Q459" s="137">
        <v>130906</v>
      </c>
      <c r="R459" s="139">
        <v>1</v>
      </c>
      <c r="S459" s="140">
        <v>4070</v>
      </c>
      <c r="U459" s="137">
        <v>5327.8739999999998</v>
      </c>
      <c r="V459" s="138">
        <v>1.2979999999999999E-3</v>
      </c>
      <c r="W459" s="138">
        <v>1.42279935708627E-2</v>
      </c>
      <c r="X459" s="138">
        <v>2.7793340382177198E-3</v>
      </c>
    </row>
    <row r="460" spans="1:24" x14ac:dyDescent="0.2">
      <c r="A460" s="3">
        <v>559</v>
      </c>
      <c r="B460" s="3">
        <v>7205</v>
      </c>
      <c r="C460" s="3" t="s">
        <v>2893</v>
      </c>
      <c r="D460" s="3" t="s">
        <v>2894</v>
      </c>
      <c r="E460" s="3" t="s">
        <v>1477</v>
      </c>
      <c r="F460" s="3" t="s">
        <v>2895</v>
      </c>
      <c r="G460" s="3" t="s">
        <v>2896</v>
      </c>
      <c r="H460" s="3" t="s">
        <v>76</v>
      </c>
      <c r="I460" s="3" t="s">
        <v>73</v>
      </c>
      <c r="J460" s="3" t="s">
        <v>53</v>
      </c>
      <c r="K460" s="3" t="s">
        <v>53</v>
      </c>
      <c r="L460" s="6" t="s">
        <v>805</v>
      </c>
      <c r="M460" s="6" t="s">
        <v>311</v>
      </c>
      <c r="N460" s="3" t="s">
        <v>140</v>
      </c>
      <c r="O460" s="3" t="s">
        <v>62</v>
      </c>
      <c r="P460" s="3" t="s">
        <v>1219</v>
      </c>
      <c r="Q460" s="137">
        <v>23032</v>
      </c>
      <c r="R460" s="139">
        <v>1</v>
      </c>
      <c r="S460" s="140">
        <v>1419</v>
      </c>
      <c r="U460" s="137">
        <v>326.82400000000001</v>
      </c>
      <c r="V460" s="138">
        <v>3.6909999999999998E-3</v>
      </c>
      <c r="W460" s="138">
        <v>8.7277791000454398E-4</v>
      </c>
      <c r="X460" s="138">
        <v>1.7049075408972499E-4</v>
      </c>
    </row>
    <row r="461" spans="1:24" x14ac:dyDescent="0.2">
      <c r="A461" s="3">
        <v>559</v>
      </c>
      <c r="B461" s="3">
        <v>7205</v>
      </c>
      <c r="C461" s="3" t="s">
        <v>2897</v>
      </c>
      <c r="D461" s="3" t="s">
        <v>2898</v>
      </c>
      <c r="E461" s="3" t="s">
        <v>430</v>
      </c>
      <c r="F461" s="3" t="s">
        <v>2899</v>
      </c>
      <c r="G461" s="3" t="s">
        <v>2900</v>
      </c>
      <c r="H461" s="3" t="s">
        <v>76</v>
      </c>
      <c r="I461" s="3" t="s">
        <v>73</v>
      </c>
      <c r="J461" s="3" t="s">
        <v>61</v>
      </c>
      <c r="K461" s="3" t="s">
        <v>153</v>
      </c>
      <c r="L461" s="6" t="s">
        <v>805</v>
      </c>
      <c r="M461" s="6" t="s">
        <v>488</v>
      </c>
      <c r="N461" s="3" t="s">
        <v>915</v>
      </c>
      <c r="O461" s="3" t="s">
        <v>62</v>
      </c>
      <c r="P461" s="3" t="s">
        <v>1215</v>
      </c>
      <c r="Q461" s="137">
        <v>194328.18299999999</v>
      </c>
      <c r="R461" s="139">
        <v>3.9552</v>
      </c>
      <c r="S461" s="140">
        <v>311.2</v>
      </c>
      <c r="U461" s="137">
        <v>2391.904</v>
      </c>
      <c r="V461" s="138">
        <v>1.26E-4</v>
      </c>
      <c r="W461" s="138">
        <v>6.3875384258872299E-3</v>
      </c>
      <c r="X461" s="138">
        <v>1.2477587144717501E-3</v>
      </c>
    </row>
    <row r="462" spans="1:24" x14ac:dyDescent="0.2">
      <c r="A462" s="3">
        <v>559</v>
      </c>
      <c r="B462" s="3">
        <v>7205</v>
      </c>
      <c r="C462" s="3" t="s">
        <v>2901</v>
      </c>
      <c r="D462" s="3" t="s">
        <v>2902</v>
      </c>
      <c r="E462" s="3" t="s">
        <v>430</v>
      </c>
      <c r="F462" s="3" t="s">
        <v>2903</v>
      </c>
      <c r="G462" s="3" t="s">
        <v>2904</v>
      </c>
      <c r="H462" s="3" t="s">
        <v>76</v>
      </c>
      <c r="I462" s="3" t="s">
        <v>73</v>
      </c>
      <c r="J462" s="3" t="s">
        <v>61</v>
      </c>
      <c r="K462" s="3" t="s">
        <v>315</v>
      </c>
      <c r="L462" s="6" t="s">
        <v>805</v>
      </c>
      <c r="M462" s="6" t="s">
        <v>479</v>
      </c>
      <c r="N462" s="3" t="s">
        <v>894</v>
      </c>
      <c r="O462" s="3" t="s">
        <v>62</v>
      </c>
      <c r="P462" s="3" t="s">
        <v>1217</v>
      </c>
      <c r="Q462" s="137">
        <v>9129.9699999999993</v>
      </c>
      <c r="R462" s="139">
        <v>3.3719999999999999</v>
      </c>
      <c r="S462" s="140">
        <v>6988</v>
      </c>
      <c r="U462" s="137">
        <v>2151.3440000000001</v>
      </c>
      <c r="V462" s="138">
        <v>3.0000000000000001E-6</v>
      </c>
      <c r="W462" s="138">
        <v>5.7451253815469202E-3</v>
      </c>
      <c r="X462" s="138">
        <v>1.1222680448395601E-3</v>
      </c>
    </row>
    <row r="463" spans="1:24" x14ac:dyDescent="0.2">
      <c r="A463" s="3">
        <v>559</v>
      </c>
      <c r="B463" s="3">
        <v>7205</v>
      </c>
      <c r="C463" s="3" t="s">
        <v>2905</v>
      </c>
      <c r="D463" s="3" t="s">
        <v>2906</v>
      </c>
      <c r="E463" s="3" t="s">
        <v>430</v>
      </c>
      <c r="F463" s="3" t="s">
        <v>2907</v>
      </c>
      <c r="G463" s="3" t="s">
        <v>2908</v>
      </c>
      <c r="H463" s="3" t="s">
        <v>76</v>
      </c>
      <c r="I463" s="3" t="s">
        <v>73</v>
      </c>
      <c r="J463" s="3" t="s">
        <v>61</v>
      </c>
      <c r="K463" s="3" t="s">
        <v>314</v>
      </c>
      <c r="L463" s="6" t="s">
        <v>805</v>
      </c>
      <c r="M463" s="6" t="s">
        <v>479</v>
      </c>
      <c r="N463" s="3" t="s">
        <v>2262</v>
      </c>
      <c r="O463" s="3" t="s">
        <v>62</v>
      </c>
      <c r="P463" s="3" t="s">
        <v>1217</v>
      </c>
      <c r="Q463" s="137">
        <v>18542</v>
      </c>
      <c r="R463" s="139">
        <v>3.3719999999999999</v>
      </c>
      <c r="S463" s="140">
        <v>197</v>
      </c>
      <c r="U463" s="137">
        <v>123.172</v>
      </c>
      <c r="V463" s="138">
        <v>5.1999999999999995E-4</v>
      </c>
      <c r="W463" s="138">
        <v>3.28927411422197E-4</v>
      </c>
      <c r="X463" s="138">
        <v>6.4253553820879398E-5</v>
      </c>
    </row>
    <row r="464" spans="1:24" x14ac:dyDescent="0.2">
      <c r="A464" s="3">
        <v>559</v>
      </c>
      <c r="B464" s="3">
        <v>7205</v>
      </c>
      <c r="C464" s="3" t="s">
        <v>2909</v>
      </c>
      <c r="D464" s="3" t="s">
        <v>2910</v>
      </c>
      <c r="E464" s="3" t="s">
        <v>430</v>
      </c>
      <c r="F464" s="3" t="s">
        <v>2911</v>
      </c>
      <c r="G464" s="3" t="s">
        <v>2912</v>
      </c>
      <c r="H464" s="3" t="s">
        <v>76</v>
      </c>
      <c r="I464" s="3" t="s">
        <v>73</v>
      </c>
      <c r="J464" s="3" t="s">
        <v>61</v>
      </c>
      <c r="K464" s="3" t="s">
        <v>314</v>
      </c>
      <c r="L464" s="6" t="s">
        <v>805</v>
      </c>
      <c r="M464" s="6" t="s">
        <v>479</v>
      </c>
      <c r="N464" s="3" t="s">
        <v>899</v>
      </c>
      <c r="O464" s="3" t="s">
        <v>62</v>
      </c>
      <c r="P464" s="3" t="s">
        <v>1217</v>
      </c>
      <c r="Q464" s="137">
        <v>4200</v>
      </c>
      <c r="R464" s="139">
        <v>3.3719999999999999</v>
      </c>
      <c r="S464" s="140">
        <v>22125</v>
      </c>
      <c r="U464" s="137">
        <v>3133.431</v>
      </c>
      <c r="V464" s="138">
        <v>1.5999999999999999E-5</v>
      </c>
      <c r="W464" s="138">
        <v>8.3677719197540398E-3</v>
      </c>
      <c r="X464" s="138">
        <v>1.63458278251138E-3</v>
      </c>
    </row>
    <row r="465" spans="1:24" x14ac:dyDescent="0.2">
      <c r="A465" s="3">
        <v>559</v>
      </c>
      <c r="B465" s="3">
        <v>7205</v>
      </c>
      <c r="C465" s="3" t="s">
        <v>2913</v>
      </c>
      <c r="D465" s="3" t="s">
        <v>2914</v>
      </c>
      <c r="E465" s="3" t="s">
        <v>430</v>
      </c>
      <c r="F465" s="3" t="s">
        <v>2915</v>
      </c>
      <c r="G465" s="3" t="s">
        <v>2916</v>
      </c>
      <c r="H465" s="3" t="s">
        <v>76</v>
      </c>
      <c r="I465" s="3" t="s">
        <v>73</v>
      </c>
      <c r="J465" s="3" t="s">
        <v>61</v>
      </c>
      <c r="K465" s="3" t="s">
        <v>314</v>
      </c>
      <c r="L465" s="6" t="s">
        <v>805</v>
      </c>
      <c r="M465" s="6" t="s">
        <v>476</v>
      </c>
      <c r="N465" s="3" t="s">
        <v>195</v>
      </c>
      <c r="O465" s="3" t="s">
        <v>62</v>
      </c>
      <c r="P465" s="3" t="s">
        <v>1217</v>
      </c>
      <c r="Q465" s="137">
        <v>9040</v>
      </c>
      <c r="R465" s="139">
        <v>3.3719999999999999</v>
      </c>
      <c r="S465" s="140">
        <v>8512</v>
      </c>
      <c r="T465" s="131">
        <v>2.1999999999999999E-2</v>
      </c>
      <c r="U465" s="137">
        <v>2594.7779999999998</v>
      </c>
      <c r="V465" s="138">
        <v>3.0000000000000001E-6</v>
      </c>
      <c r="W465" s="138">
        <v>6.9293092887068499E-3</v>
      </c>
      <c r="X465" s="138">
        <v>1.35358967316945E-3</v>
      </c>
    </row>
    <row r="466" spans="1:24" x14ac:dyDescent="0.2">
      <c r="A466" s="3">
        <v>559</v>
      </c>
      <c r="B466" s="3">
        <v>7205</v>
      </c>
      <c r="C466" s="3" t="s">
        <v>2917</v>
      </c>
      <c r="D466" s="3" t="s">
        <v>2918</v>
      </c>
      <c r="E466" s="3" t="s">
        <v>430</v>
      </c>
      <c r="F466" s="3" t="s">
        <v>2919</v>
      </c>
      <c r="G466" s="3" t="s">
        <v>2920</v>
      </c>
      <c r="H466" s="3" t="s">
        <v>76</v>
      </c>
      <c r="I466" s="3" t="s">
        <v>73</v>
      </c>
      <c r="J466" s="3" t="s">
        <v>61</v>
      </c>
      <c r="K466" s="3" t="s">
        <v>315</v>
      </c>
      <c r="L466" s="6" t="s">
        <v>805</v>
      </c>
      <c r="M466" s="6" t="s">
        <v>476</v>
      </c>
      <c r="N466" s="3" t="s">
        <v>887</v>
      </c>
      <c r="O466" s="3" t="s">
        <v>62</v>
      </c>
      <c r="P466" s="3" t="s">
        <v>1217</v>
      </c>
      <c r="Q466" s="137">
        <v>3000</v>
      </c>
      <c r="R466" s="139">
        <v>3.3719999999999999</v>
      </c>
      <c r="S466" s="140">
        <v>10084</v>
      </c>
      <c r="U466" s="137">
        <v>1020.097</v>
      </c>
      <c r="V466" s="138">
        <v>5.0000000000000004E-6</v>
      </c>
      <c r="W466" s="138">
        <v>2.7241521239322001E-3</v>
      </c>
      <c r="X466" s="138">
        <v>5.3214310827585899E-4</v>
      </c>
    </row>
    <row r="467" spans="1:24" x14ac:dyDescent="0.2">
      <c r="A467" s="3">
        <v>559</v>
      </c>
      <c r="B467" s="3">
        <v>7205</v>
      </c>
      <c r="C467" s="3" t="s">
        <v>2921</v>
      </c>
      <c r="D467" s="3" t="s">
        <v>2922</v>
      </c>
      <c r="E467" s="3" t="s">
        <v>430</v>
      </c>
      <c r="F467" s="3" t="s">
        <v>2923</v>
      </c>
      <c r="G467" s="3" t="s">
        <v>2924</v>
      </c>
      <c r="H467" s="3" t="s">
        <v>76</v>
      </c>
      <c r="I467" s="3" t="s">
        <v>73</v>
      </c>
      <c r="J467" s="3" t="s">
        <v>61</v>
      </c>
      <c r="K467" s="3" t="s">
        <v>317</v>
      </c>
      <c r="L467" s="6" t="s">
        <v>805</v>
      </c>
      <c r="M467" s="6" t="s">
        <v>476</v>
      </c>
      <c r="N467" s="3" t="s">
        <v>894</v>
      </c>
      <c r="O467" s="3" t="s">
        <v>62</v>
      </c>
      <c r="P467" s="3" t="s">
        <v>1217</v>
      </c>
      <c r="Q467" s="137">
        <v>5909.6</v>
      </c>
      <c r="R467" s="139">
        <v>3.3719999999999999</v>
      </c>
      <c r="S467" s="140">
        <v>3840</v>
      </c>
      <c r="U467" s="137">
        <v>765.20299999999997</v>
      </c>
      <c r="V467" s="138">
        <v>3.0000000000000001E-6</v>
      </c>
      <c r="W467" s="138">
        <v>2.0434620409792601E-3</v>
      </c>
      <c r="X467" s="138">
        <v>3.9917530029886801E-4</v>
      </c>
    </row>
    <row r="468" spans="1:24" x14ac:dyDescent="0.2">
      <c r="A468" s="3">
        <v>559</v>
      </c>
      <c r="B468" s="3">
        <v>7205</v>
      </c>
      <c r="C468" s="3" t="s">
        <v>2290</v>
      </c>
      <c r="D468" s="3" t="s">
        <v>2291</v>
      </c>
      <c r="E468" s="3" t="s">
        <v>430</v>
      </c>
      <c r="F468" s="3" t="s">
        <v>2925</v>
      </c>
      <c r="G468" s="3" t="s">
        <v>2926</v>
      </c>
      <c r="H468" s="3" t="s">
        <v>76</v>
      </c>
      <c r="I468" s="3" t="s">
        <v>73</v>
      </c>
      <c r="J468" s="3" t="s">
        <v>61</v>
      </c>
      <c r="K468" s="3" t="s">
        <v>153</v>
      </c>
      <c r="L468" s="6" t="s">
        <v>805</v>
      </c>
      <c r="M468" s="6" t="s">
        <v>488</v>
      </c>
      <c r="N468" s="3" t="s">
        <v>915</v>
      </c>
      <c r="O468" s="3" t="s">
        <v>62</v>
      </c>
      <c r="P468" s="3" t="s">
        <v>1215</v>
      </c>
      <c r="Q468" s="137">
        <v>62729.07</v>
      </c>
      <c r="R468" s="139">
        <v>3.9552</v>
      </c>
      <c r="S468" s="140">
        <v>1106</v>
      </c>
      <c r="U468" s="137">
        <v>2744.0529999999999</v>
      </c>
      <c r="V468" s="138">
        <v>3.5599999999999998E-4</v>
      </c>
      <c r="W468" s="138">
        <v>7.3279436882774402E-3</v>
      </c>
      <c r="X468" s="138">
        <v>1.43145997512123E-3</v>
      </c>
    </row>
    <row r="469" spans="1:24" x14ac:dyDescent="0.2">
      <c r="A469" s="3">
        <v>559</v>
      </c>
      <c r="B469" s="3">
        <v>7205</v>
      </c>
      <c r="C469" s="3" t="s">
        <v>2927</v>
      </c>
      <c r="D469" s="3" t="s">
        <v>2928</v>
      </c>
      <c r="E469" s="3" t="s">
        <v>1477</v>
      </c>
      <c r="F469" s="3" t="s">
        <v>2929</v>
      </c>
      <c r="G469" s="3" t="s">
        <v>2930</v>
      </c>
      <c r="H469" s="3" t="s">
        <v>76</v>
      </c>
      <c r="I469" s="3" t="s">
        <v>73</v>
      </c>
      <c r="J469" s="3" t="s">
        <v>61</v>
      </c>
      <c r="K469" s="3" t="s">
        <v>314</v>
      </c>
      <c r="L469" s="6" t="s">
        <v>805</v>
      </c>
      <c r="M469" s="6" t="s">
        <v>479</v>
      </c>
      <c r="N469" s="3" t="s">
        <v>890</v>
      </c>
      <c r="O469" s="3" t="s">
        <v>62</v>
      </c>
      <c r="P469" s="3" t="s">
        <v>1217</v>
      </c>
      <c r="Q469" s="137">
        <v>9398</v>
      </c>
      <c r="R469" s="139">
        <v>3.3719999999999999</v>
      </c>
      <c r="S469" s="140">
        <v>1444</v>
      </c>
      <c r="U469" s="137">
        <v>457.60399999999998</v>
      </c>
      <c r="V469" s="138">
        <v>1.11E-4</v>
      </c>
      <c r="W469" s="138">
        <v>1.2220244584844699E-3</v>
      </c>
      <c r="X469" s="138">
        <v>2.3871350208900201E-4</v>
      </c>
    </row>
    <row r="470" spans="1:24" x14ac:dyDescent="0.2">
      <c r="A470" s="3">
        <v>559</v>
      </c>
      <c r="B470" s="3">
        <v>7205</v>
      </c>
      <c r="C470" s="3" t="s">
        <v>2931</v>
      </c>
      <c r="D470" s="3" t="s">
        <v>2932</v>
      </c>
      <c r="E470" s="3" t="s">
        <v>430</v>
      </c>
      <c r="F470" s="3" t="s">
        <v>2933</v>
      </c>
      <c r="G470" s="3" t="s">
        <v>2934</v>
      </c>
      <c r="H470" s="3" t="s">
        <v>76</v>
      </c>
      <c r="I470" s="3" t="s">
        <v>73</v>
      </c>
      <c r="J470" s="3" t="s">
        <v>61</v>
      </c>
      <c r="K470" s="3" t="s">
        <v>314</v>
      </c>
      <c r="L470" s="6" t="s">
        <v>805</v>
      </c>
      <c r="M470" s="6" t="s">
        <v>476</v>
      </c>
      <c r="N470" s="3" t="s">
        <v>865</v>
      </c>
      <c r="O470" s="3" t="s">
        <v>62</v>
      </c>
      <c r="P470" s="3" t="s">
        <v>1217</v>
      </c>
      <c r="Q470" s="137">
        <v>4585.46</v>
      </c>
      <c r="R470" s="139">
        <v>3.3719999999999999</v>
      </c>
      <c r="S470" s="140">
        <v>7355</v>
      </c>
      <c r="T470" s="131">
        <v>1.3740000000000001</v>
      </c>
      <c r="U470" s="137">
        <v>1141.877</v>
      </c>
      <c r="V470" s="138">
        <v>1.7E-5</v>
      </c>
      <c r="W470" s="138">
        <v>3.0493627757499598E-3</v>
      </c>
      <c r="X470" s="138">
        <v>5.9567062040793398E-4</v>
      </c>
    </row>
    <row r="471" spans="1:24" x14ac:dyDescent="0.2">
      <c r="A471" s="3">
        <v>559</v>
      </c>
      <c r="B471" s="3">
        <v>7205</v>
      </c>
      <c r="C471" s="3" t="s">
        <v>2211</v>
      </c>
      <c r="D471" s="3" t="s">
        <v>2212</v>
      </c>
      <c r="E471" s="3" t="s">
        <v>430</v>
      </c>
      <c r="F471" s="3" t="s">
        <v>2838</v>
      </c>
      <c r="G471" s="3" t="s">
        <v>2839</v>
      </c>
      <c r="H471" s="3" t="s">
        <v>76</v>
      </c>
      <c r="I471" s="3" t="s">
        <v>73</v>
      </c>
      <c r="J471" s="3" t="s">
        <v>61</v>
      </c>
      <c r="K471" s="3" t="s">
        <v>315</v>
      </c>
      <c r="L471" s="6" t="s">
        <v>805</v>
      </c>
      <c r="M471" s="6" t="s">
        <v>494</v>
      </c>
      <c r="N471" s="3" t="s">
        <v>2215</v>
      </c>
      <c r="O471" s="3" t="s">
        <v>62</v>
      </c>
      <c r="P471" s="3" t="s">
        <v>1218</v>
      </c>
      <c r="Q471" s="137">
        <v>206323</v>
      </c>
      <c r="R471" s="139">
        <v>4.6235999999999997</v>
      </c>
      <c r="S471" s="140">
        <v>157.6</v>
      </c>
      <c r="U471" s="137">
        <v>1503.433</v>
      </c>
      <c r="V471" s="138">
        <v>0</v>
      </c>
      <c r="W471" s="138">
        <v>4.0148914754244798E-3</v>
      </c>
      <c r="X471" s="138">
        <v>7.8427955999707305E-4</v>
      </c>
    </row>
    <row r="472" spans="1:24" x14ac:dyDescent="0.2">
      <c r="A472" s="3">
        <v>559</v>
      </c>
      <c r="B472" s="3">
        <v>7205</v>
      </c>
      <c r="C472" s="3" t="s">
        <v>2840</v>
      </c>
      <c r="D472" s="3" t="s">
        <v>2841</v>
      </c>
      <c r="E472" s="3" t="s">
        <v>430</v>
      </c>
      <c r="F472" s="3" t="s">
        <v>2842</v>
      </c>
      <c r="G472" s="3" t="s">
        <v>2843</v>
      </c>
      <c r="H472" s="3" t="s">
        <v>76</v>
      </c>
      <c r="I472" s="3" t="s">
        <v>73</v>
      </c>
      <c r="J472" s="3" t="s">
        <v>61</v>
      </c>
      <c r="K472" s="3" t="s">
        <v>314</v>
      </c>
      <c r="L472" s="6" t="s">
        <v>805</v>
      </c>
      <c r="M472" s="6" t="s">
        <v>476</v>
      </c>
      <c r="N472" s="3" t="s">
        <v>894</v>
      </c>
      <c r="O472" s="3" t="s">
        <v>62</v>
      </c>
      <c r="P472" s="3" t="s">
        <v>1217</v>
      </c>
      <c r="Q472" s="137">
        <v>3865</v>
      </c>
      <c r="R472" s="139">
        <v>3.3719999999999999</v>
      </c>
      <c r="S472" s="140">
        <v>15275</v>
      </c>
      <c r="U472" s="137">
        <v>1990.7570000000001</v>
      </c>
      <c r="V472" s="138">
        <v>9.9999999999999995E-7</v>
      </c>
      <c r="W472" s="138">
        <v>5.3162816532359297E-3</v>
      </c>
      <c r="X472" s="138">
        <v>1.03849657240849E-3</v>
      </c>
    </row>
    <row r="473" spans="1:24" x14ac:dyDescent="0.2">
      <c r="A473" s="3">
        <v>559</v>
      </c>
      <c r="B473" s="3">
        <v>7205</v>
      </c>
      <c r="C473" s="3" t="s">
        <v>2844</v>
      </c>
      <c r="D473" s="3" t="s">
        <v>2845</v>
      </c>
      <c r="E473" s="3" t="s">
        <v>1477</v>
      </c>
      <c r="F473" s="3" t="s">
        <v>2846</v>
      </c>
      <c r="G473" s="3" t="s">
        <v>2847</v>
      </c>
      <c r="H473" s="3" t="s">
        <v>76</v>
      </c>
      <c r="I473" s="3" t="s">
        <v>73</v>
      </c>
      <c r="J473" s="3" t="s">
        <v>53</v>
      </c>
      <c r="K473" s="3" t="s">
        <v>314</v>
      </c>
      <c r="L473" s="6" t="s">
        <v>805</v>
      </c>
      <c r="M473" s="6" t="s">
        <v>479</v>
      </c>
      <c r="N473" s="3" t="s">
        <v>2262</v>
      </c>
      <c r="O473" s="3" t="s">
        <v>62</v>
      </c>
      <c r="P473" s="3" t="s">
        <v>1217</v>
      </c>
      <c r="Q473" s="137">
        <v>14142</v>
      </c>
      <c r="R473" s="139">
        <v>3.3719999999999999</v>
      </c>
      <c r="S473" s="140">
        <v>1991</v>
      </c>
      <c r="U473" s="137">
        <v>949.44500000000005</v>
      </c>
      <c r="V473" s="138">
        <v>2.81E-4</v>
      </c>
      <c r="W473" s="138">
        <v>2.5354751434374001E-3</v>
      </c>
      <c r="X473" s="138">
        <v>4.9528644598503498E-4</v>
      </c>
    </row>
    <row r="474" spans="1:24" x14ac:dyDescent="0.2">
      <c r="A474" s="3">
        <v>559</v>
      </c>
      <c r="B474" s="3">
        <v>7205</v>
      </c>
      <c r="C474" s="3" t="s">
        <v>2848</v>
      </c>
      <c r="D474" s="3" t="s">
        <v>2849</v>
      </c>
      <c r="E474" s="3" t="s">
        <v>430</v>
      </c>
      <c r="F474" s="3" t="s">
        <v>2848</v>
      </c>
      <c r="G474" s="3" t="s">
        <v>2850</v>
      </c>
      <c r="H474" s="3" t="s">
        <v>76</v>
      </c>
      <c r="I474" s="3" t="s">
        <v>73</v>
      </c>
      <c r="J474" s="3" t="s">
        <v>61</v>
      </c>
      <c r="K474" s="3" t="s">
        <v>314</v>
      </c>
      <c r="L474" s="6" t="s">
        <v>805</v>
      </c>
      <c r="M474" s="6" t="s">
        <v>476</v>
      </c>
      <c r="N474" s="3" t="s">
        <v>894</v>
      </c>
      <c r="O474" s="3" t="s">
        <v>62</v>
      </c>
      <c r="P474" s="3" t="s">
        <v>1217</v>
      </c>
      <c r="Q474" s="137">
        <v>37050</v>
      </c>
      <c r="R474" s="139">
        <v>3.3719999999999999</v>
      </c>
      <c r="S474" s="140">
        <v>2424</v>
      </c>
      <c r="U474" s="137">
        <v>3028.366</v>
      </c>
      <c r="V474" s="138">
        <v>3.9999999999999998E-6</v>
      </c>
      <c r="W474" s="138">
        <v>8.0871982985802997E-3</v>
      </c>
      <c r="X474" s="138">
        <v>1.5797747864527401E-3</v>
      </c>
    </row>
    <row r="475" spans="1:24" x14ac:dyDescent="0.2">
      <c r="A475" s="3">
        <v>559</v>
      </c>
      <c r="B475" s="3">
        <v>7205</v>
      </c>
      <c r="C475" s="3" t="s">
        <v>2851</v>
      </c>
      <c r="D475" s="3" t="s">
        <v>2852</v>
      </c>
      <c r="E475" s="3" t="s">
        <v>1477</v>
      </c>
      <c r="F475" s="3" t="s">
        <v>2853</v>
      </c>
      <c r="G475" s="3" t="s">
        <v>2854</v>
      </c>
      <c r="H475" s="3" t="s">
        <v>76</v>
      </c>
      <c r="I475" s="3" t="s">
        <v>73</v>
      </c>
      <c r="J475" s="3" t="s">
        <v>53</v>
      </c>
      <c r="K475" s="3" t="s">
        <v>53</v>
      </c>
      <c r="L475" s="6" t="s">
        <v>805</v>
      </c>
      <c r="M475" s="6" t="s">
        <v>479</v>
      </c>
      <c r="N475" s="3" t="s">
        <v>899</v>
      </c>
      <c r="O475" s="3" t="s">
        <v>62</v>
      </c>
      <c r="P475" s="3" t="s">
        <v>1217</v>
      </c>
      <c r="Q475" s="137">
        <v>20569</v>
      </c>
      <c r="R475" s="139">
        <v>3.3719999999999999</v>
      </c>
      <c r="S475" s="140">
        <v>1359</v>
      </c>
      <c r="U475" s="137">
        <v>942.58399999999995</v>
      </c>
      <c r="V475" s="138">
        <v>1.33E-3</v>
      </c>
      <c r="W475" s="138">
        <v>2.5171546530973902E-3</v>
      </c>
      <c r="X475" s="138">
        <v>4.9170767276270804E-4</v>
      </c>
    </row>
    <row r="476" spans="1:24" x14ac:dyDescent="0.2">
      <c r="A476" s="3">
        <v>559</v>
      </c>
      <c r="B476" s="3">
        <v>7205</v>
      </c>
      <c r="C476" s="3" t="s">
        <v>2935</v>
      </c>
      <c r="D476" s="3" t="s">
        <v>2936</v>
      </c>
      <c r="E476" s="3" t="s">
        <v>1477</v>
      </c>
      <c r="F476" s="3" t="s">
        <v>2937</v>
      </c>
      <c r="G476" s="3" t="s">
        <v>2938</v>
      </c>
      <c r="H476" s="3" t="s">
        <v>76</v>
      </c>
      <c r="I476" s="3" t="s">
        <v>73</v>
      </c>
      <c r="J476" s="3" t="s">
        <v>53</v>
      </c>
      <c r="K476" s="3" t="s">
        <v>53</v>
      </c>
      <c r="L476" s="6" t="s">
        <v>805</v>
      </c>
      <c r="M476" s="6" t="s">
        <v>479</v>
      </c>
      <c r="N476" s="3" t="s">
        <v>899</v>
      </c>
      <c r="O476" s="3" t="s">
        <v>62</v>
      </c>
      <c r="P476" s="3" t="s">
        <v>1217</v>
      </c>
      <c r="Q476" s="137">
        <v>11039</v>
      </c>
      <c r="R476" s="139">
        <v>3.3719999999999999</v>
      </c>
      <c r="S476" s="140">
        <v>2944</v>
      </c>
      <c r="U476" s="137">
        <v>1095.8599999999999</v>
      </c>
      <c r="V476" s="138">
        <v>1.7799999999999999E-4</v>
      </c>
      <c r="W476" s="138">
        <v>2.92647489857469E-3</v>
      </c>
      <c r="X476" s="138">
        <v>5.7166537622389401E-4</v>
      </c>
    </row>
    <row r="477" spans="1:24" x14ac:dyDescent="0.2">
      <c r="A477" s="3">
        <v>559</v>
      </c>
      <c r="B477" s="3">
        <v>7205</v>
      </c>
      <c r="C477" s="3" t="s">
        <v>2939</v>
      </c>
      <c r="D477" s="3" t="s">
        <v>2940</v>
      </c>
      <c r="E477" s="3" t="s">
        <v>78</v>
      </c>
      <c r="F477" s="3" t="s">
        <v>2941</v>
      </c>
      <c r="G477" s="3" t="s">
        <v>2942</v>
      </c>
      <c r="H477" s="3" t="s">
        <v>76</v>
      </c>
      <c r="I477" s="3" t="s">
        <v>73</v>
      </c>
      <c r="J477" s="3" t="s">
        <v>61</v>
      </c>
      <c r="K477" s="3" t="s">
        <v>314</v>
      </c>
      <c r="L477" s="6" t="s">
        <v>805</v>
      </c>
      <c r="M477" s="6" t="s">
        <v>479</v>
      </c>
      <c r="N477" s="3" t="s">
        <v>901</v>
      </c>
      <c r="O477" s="3" t="s">
        <v>62</v>
      </c>
      <c r="P477" s="3" t="s">
        <v>1217</v>
      </c>
      <c r="Q477" s="137">
        <v>1700000</v>
      </c>
      <c r="R477" s="139">
        <v>3.3719999999999999</v>
      </c>
      <c r="S477" s="140">
        <v>0</v>
      </c>
      <c r="U477" s="137">
        <v>0</v>
      </c>
      <c r="V477" s="138">
        <v>9.2940000000000002E-3</v>
      </c>
      <c r="W477" s="138">
        <v>0</v>
      </c>
      <c r="X477" s="138">
        <v>0</v>
      </c>
    </row>
    <row r="478" spans="1:24" x14ac:dyDescent="0.2">
      <c r="A478" s="3">
        <v>559</v>
      </c>
      <c r="B478" s="3">
        <v>7205</v>
      </c>
      <c r="C478" s="3" t="s">
        <v>2951</v>
      </c>
      <c r="D478" s="3" t="s">
        <v>2952</v>
      </c>
      <c r="E478" s="3" t="s">
        <v>430</v>
      </c>
      <c r="F478" s="3" t="s">
        <v>2953</v>
      </c>
      <c r="G478" s="3" t="s">
        <v>2954</v>
      </c>
      <c r="H478" s="3" t="s">
        <v>76</v>
      </c>
      <c r="I478" s="3" t="s">
        <v>73</v>
      </c>
      <c r="J478" s="3" t="s">
        <v>61</v>
      </c>
      <c r="K478" s="3" t="s">
        <v>314</v>
      </c>
      <c r="L478" s="6" t="s">
        <v>805</v>
      </c>
      <c r="M478" s="6" t="s">
        <v>102</v>
      </c>
      <c r="N478" s="3" t="s">
        <v>894</v>
      </c>
      <c r="O478" s="3" t="s">
        <v>62</v>
      </c>
      <c r="P478" s="3" t="s">
        <v>1217</v>
      </c>
      <c r="Q478" s="137">
        <v>6820</v>
      </c>
      <c r="R478" s="139">
        <v>3.3719999999999999</v>
      </c>
      <c r="S478" s="140">
        <v>4076</v>
      </c>
      <c r="U478" s="137">
        <v>937.35900000000004</v>
      </c>
      <c r="V478" s="138">
        <v>9.9999999999999995E-7</v>
      </c>
      <c r="W478" s="138">
        <v>2.5032015228661502E-3</v>
      </c>
      <c r="X478" s="138">
        <v>4.8898203125898997E-4</v>
      </c>
    </row>
    <row r="479" spans="1:24" x14ac:dyDescent="0.2">
      <c r="A479" s="3">
        <v>559</v>
      </c>
      <c r="B479" s="3">
        <v>7205</v>
      </c>
      <c r="C479" s="3" t="s">
        <v>2955</v>
      </c>
      <c r="D479" s="3" t="s">
        <v>2956</v>
      </c>
      <c r="E479" s="3" t="s">
        <v>430</v>
      </c>
      <c r="F479" s="3" t="s">
        <v>2957</v>
      </c>
      <c r="G479" s="3" t="s">
        <v>2958</v>
      </c>
      <c r="H479" s="3" t="s">
        <v>76</v>
      </c>
      <c r="I479" s="3" t="s">
        <v>73</v>
      </c>
      <c r="J479" s="3" t="s">
        <v>61</v>
      </c>
      <c r="K479" s="3" t="s">
        <v>203</v>
      </c>
      <c r="L479" s="6" t="s">
        <v>805</v>
      </c>
      <c r="M479" s="6" t="s">
        <v>479</v>
      </c>
      <c r="N479" s="3" t="s">
        <v>894</v>
      </c>
      <c r="O479" s="3" t="s">
        <v>62</v>
      </c>
      <c r="P479" s="3" t="s">
        <v>1217</v>
      </c>
      <c r="Q479" s="137">
        <v>3059</v>
      </c>
      <c r="R479" s="139">
        <v>3.3719999999999999</v>
      </c>
      <c r="S479" s="140">
        <v>4831</v>
      </c>
      <c r="U479" s="137">
        <v>498.315</v>
      </c>
      <c r="V479" s="138">
        <v>9.9999999999999995E-7</v>
      </c>
      <c r="W479" s="138">
        <v>1.3307417389885499E-3</v>
      </c>
      <c r="X479" s="138">
        <v>2.5995062429759301E-4</v>
      </c>
    </row>
    <row r="480" spans="1:24" x14ac:dyDescent="0.2">
      <c r="A480" s="3">
        <v>559</v>
      </c>
      <c r="B480" s="3">
        <v>7205</v>
      </c>
      <c r="C480" s="3" t="s">
        <v>2943</v>
      </c>
      <c r="D480" s="3" t="s">
        <v>2944</v>
      </c>
      <c r="E480" s="3" t="s">
        <v>430</v>
      </c>
      <c r="F480" s="3" t="s">
        <v>2945</v>
      </c>
      <c r="G480" s="3" t="s">
        <v>2946</v>
      </c>
      <c r="H480" s="3" t="s">
        <v>76</v>
      </c>
      <c r="I480" s="3" t="s">
        <v>73</v>
      </c>
      <c r="J480" s="3" t="s">
        <v>61</v>
      </c>
      <c r="K480" s="3" t="s">
        <v>158</v>
      </c>
      <c r="L480" s="6" t="s">
        <v>805</v>
      </c>
      <c r="M480" s="6" t="s">
        <v>476</v>
      </c>
      <c r="N480" s="3" t="s">
        <v>862</v>
      </c>
      <c r="O480" s="3" t="s">
        <v>62</v>
      </c>
      <c r="P480" s="3" t="s">
        <v>1217</v>
      </c>
      <c r="Q480" s="137">
        <v>3482.41</v>
      </c>
      <c r="R480" s="139">
        <v>3.3719999999999999</v>
      </c>
      <c r="S480" s="140">
        <v>7041</v>
      </c>
      <c r="U480" s="137">
        <v>826.803</v>
      </c>
      <c r="V480" s="138">
        <v>9.9999999999999995E-7</v>
      </c>
      <c r="W480" s="138">
        <v>2.2079615689486001E-3</v>
      </c>
      <c r="X480" s="138">
        <v>4.3130907482433802E-4</v>
      </c>
    </row>
    <row r="481" spans="1:24" x14ac:dyDescent="0.2">
      <c r="A481" s="3">
        <v>559</v>
      </c>
      <c r="B481" s="3">
        <v>7205</v>
      </c>
      <c r="C481" s="3" t="s">
        <v>2947</v>
      </c>
      <c r="D481" s="3" t="s">
        <v>2948</v>
      </c>
      <c r="E481" s="3" t="s">
        <v>1477</v>
      </c>
      <c r="F481" s="3" t="s">
        <v>2949</v>
      </c>
      <c r="G481" s="3" t="s">
        <v>2950</v>
      </c>
      <c r="H481" s="3" t="s">
        <v>76</v>
      </c>
      <c r="I481" s="3" t="s">
        <v>73</v>
      </c>
      <c r="J481" s="3" t="s">
        <v>53</v>
      </c>
      <c r="K481" s="3" t="s">
        <v>53</v>
      </c>
      <c r="L481" s="6" t="s">
        <v>805</v>
      </c>
      <c r="M481" s="6" t="s">
        <v>479</v>
      </c>
      <c r="N481" s="3" t="s">
        <v>901</v>
      </c>
      <c r="O481" s="3" t="s">
        <v>62</v>
      </c>
      <c r="P481" s="3" t="s">
        <v>1217</v>
      </c>
      <c r="Q481" s="137">
        <v>13759</v>
      </c>
      <c r="R481" s="139">
        <v>3.3719999999999999</v>
      </c>
      <c r="S481" s="140">
        <v>1546.6</v>
      </c>
      <c r="U481" s="137">
        <v>717.55</v>
      </c>
      <c r="V481" s="138">
        <v>1.7780000000000001E-3</v>
      </c>
      <c r="W481" s="138">
        <v>1.91620575805186E-3</v>
      </c>
      <c r="X481" s="138">
        <v>3.7431672013746802E-4</v>
      </c>
    </row>
    <row r="482" spans="1:24" x14ac:dyDescent="0.2">
      <c r="A482" s="3">
        <v>559</v>
      </c>
      <c r="B482" s="3">
        <v>7205</v>
      </c>
      <c r="C482" s="3" t="s">
        <v>2855</v>
      </c>
      <c r="D482" s="3" t="s">
        <v>2856</v>
      </c>
      <c r="E482" s="3" t="s">
        <v>1477</v>
      </c>
      <c r="F482" s="3" t="s">
        <v>2857</v>
      </c>
      <c r="G482" s="3" t="s">
        <v>2858</v>
      </c>
      <c r="H482" s="3" t="s">
        <v>76</v>
      </c>
      <c r="I482" s="3" t="s">
        <v>73</v>
      </c>
      <c r="J482" s="3" t="s">
        <v>61</v>
      </c>
      <c r="K482" s="3" t="s">
        <v>314</v>
      </c>
      <c r="L482" s="6" t="s">
        <v>805</v>
      </c>
      <c r="M482" s="6" t="s">
        <v>479</v>
      </c>
      <c r="N482" s="3" t="s">
        <v>202</v>
      </c>
      <c r="O482" s="3" t="s">
        <v>62</v>
      </c>
      <c r="P482" s="3" t="s">
        <v>1217</v>
      </c>
      <c r="Q482" s="137">
        <v>4477</v>
      </c>
      <c r="R482" s="139">
        <v>3.3719999999999999</v>
      </c>
      <c r="S482" s="140">
        <v>2040</v>
      </c>
      <c r="U482" s="137">
        <v>307.96699999999998</v>
      </c>
      <c r="V482" s="138">
        <v>7.7999999999999999E-5</v>
      </c>
      <c r="W482" s="138">
        <v>8.2242163427352405E-4</v>
      </c>
      <c r="X482" s="138">
        <v>1.60654025496896E-4</v>
      </c>
    </row>
    <row r="483" spans="1:24" x14ac:dyDescent="0.2">
      <c r="A483" s="3">
        <v>559</v>
      </c>
      <c r="B483" s="3">
        <v>7205</v>
      </c>
      <c r="C483" s="3" t="s">
        <v>2859</v>
      </c>
      <c r="D483" s="3" t="s">
        <v>2860</v>
      </c>
      <c r="E483" s="3" t="s">
        <v>430</v>
      </c>
      <c r="F483" s="3" t="s">
        <v>2861</v>
      </c>
      <c r="G483" s="3" t="s">
        <v>2862</v>
      </c>
      <c r="H483" s="3" t="s">
        <v>76</v>
      </c>
      <c r="I483" s="3" t="s">
        <v>73</v>
      </c>
      <c r="J483" s="3" t="s">
        <v>53</v>
      </c>
      <c r="K483" s="3" t="s">
        <v>53</v>
      </c>
      <c r="L483" s="6" t="s">
        <v>805</v>
      </c>
      <c r="M483" s="6" t="s">
        <v>476</v>
      </c>
      <c r="N483" s="3" t="s">
        <v>878</v>
      </c>
      <c r="O483" s="3" t="s">
        <v>62</v>
      </c>
      <c r="P483" s="3" t="s">
        <v>1217</v>
      </c>
      <c r="Q483" s="137">
        <v>9748</v>
      </c>
      <c r="R483" s="139">
        <v>3.3719999999999999</v>
      </c>
      <c r="S483" s="140">
        <v>1609</v>
      </c>
      <c r="U483" s="137">
        <v>528.88199999999995</v>
      </c>
      <c r="V483" s="138">
        <v>8.1000000000000004E-5</v>
      </c>
      <c r="W483" s="138">
        <v>1.4123711212707399E-3</v>
      </c>
      <c r="X483" s="138">
        <v>2.7589632455150701E-4</v>
      </c>
    </row>
    <row r="484" spans="1:24" x14ac:dyDescent="0.2">
      <c r="A484" s="3">
        <v>559</v>
      </c>
      <c r="B484" s="3">
        <v>7205</v>
      </c>
      <c r="C484" s="3" t="s">
        <v>1545</v>
      </c>
      <c r="D484" s="3" t="s">
        <v>1546</v>
      </c>
      <c r="E484" s="3" t="s">
        <v>1477</v>
      </c>
      <c r="F484" s="3" t="s">
        <v>2863</v>
      </c>
      <c r="G484" s="3" t="s">
        <v>2864</v>
      </c>
      <c r="H484" s="3" t="s">
        <v>78</v>
      </c>
      <c r="I484" s="3" t="s">
        <v>73</v>
      </c>
      <c r="J484" s="3" t="s">
        <v>61</v>
      </c>
      <c r="L484" s="6" t="s">
        <v>805</v>
      </c>
      <c r="M484" s="6" t="s">
        <v>102</v>
      </c>
      <c r="N484" s="3" t="s">
        <v>638</v>
      </c>
      <c r="O484" s="3" t="s">
        <v>62</v>
      </c>
      <c r="P484" s="3" t="s">
        <v>1217</v>
      </c>
      <c r="Q484" s="137">
        <v>584</v>
      </c>
      <c r="R484" s="139">
        <v>3.3719999999999999</v>
      </c>
      <c r="S484" s="140">
        <v>44950</v>
      </c>
      <c r="T484" s="131">
        <v>0.28000000000000003</v>
      </c>
      <c r="U484" s="137">
        <v>886.12199999999996</v>
      </c>
      <c r="V484" s="138">
        <v>0</v>
      </c>
      <c r="W484" s="138">
        <v>2.3663737708683901E-3</v>
      </c>
      <c r="X484" s="138">
        <v>4.6225373491796701E-4</v>
      </c>
    </row>
    <row r="485" spans="1:24" x14ac:dyDescent="0.2">
      <c r="A485" s="3">
        <v>559</v>
      </c>
      <c r="B485" s="3">
        <v>7206</v>
      </c>
      <c r="C485" s="3" t="s">
        <v>2504</v>
      </c>
      <c r="D485" s="3" t="s">
        <v>2505</v>
      </c>
      <c r="E485" s="3" t="s">
        <v>1477</v>
      </c>
      <c r="F485" s="3" t="s">
        <v>2506</v>
      </c>
      <c r="G485" s="3" t="s">
        <v>2507</v>
      </c>
      <c r="H485" s="3" t="s">
        <v>76</v>
      </c>
      <c r="I485" s="3" t="s">
        <v>73</v>
      </c>
      <c r="J485" s="3" t="s">
        <v>53</v>
      </c>
      <c r="K485" s="3" t="s">
        <v>53</v>
      </c>
      <c r="L485" s="6" t="s">
        <v>805</v>
      </c>
      <c r="M485" s="6" t="s">
        <v>311</v>
      </c>
      <c r="N485" s="3" t="s">
        <v>156</v>
      </c>
      <c r="O485" s="3" t="s">
        <v>62</v>
      </c>
      <c r="P485" s="3" t="s">
        <v>1219</v>
      </c>
      <c r="Q485" s="137">
        <v>6533.89</v>
      </c>
      <c r="R485" s="139">
        <v>1</v>
      </c>
      <c r="S485" s="140">
        <v>4100</v>
      </c>
      <c r="U485" s="137">
        <v>267.88900000000001</v>
      </c>
      <c r="V485" s="138">
        <v>2.4000000000000001E-5</v>
      </c>
      <c r="W485" s="138">
        <v>1.9717318285828199E-2</v>
      </c>
      <c r="X485" s="138">
        <v>3.0688140275991001E-3</v>
      </c>
    </row>
    <row r="486" spans="1:24" x14ac:dyDescent="0.2">
      <c r="A486" s="3">
        <v>559</v>
      </c>
      <c r="B486" s="3">
        <v>7206</v>
      </c>
      <c r="C486" s="3" t="s">
        <v>2508</v>
      </c>
      <c r="D486" s="3" t="s">
        <v>2509</v>
      </c>
      <c r="E486" s="3" t="s">
        <v>1477</v>
      </c>
      <c r="F486" s="3" t="s">
        <v>2510</v>
      </c>
      <c r="G486" s="3" t="s">
        <v>2511</v>
      </c>
      <c r="H486" s="3" t="s">
        <v>76</v>
      </c>
      <c r="I486" s="3" t="s">
        <v>73</v>
      </c>
      <c r="J486" s="3" t="s">
        <v>53</v>
      </c>
      <c r="K486" s="3" t="s">
        <v>53</v>
      </c>
      <c r="L486" s="6" t="s">
        <v>805</v>
      </c>
      <c r="M486" s="6" t="s">
        <v>311</v>
      </c>
      <c r="N486" s="3" t="s">
        <v>258</v>
      </c>
      <c r="O486" s="3" t="s">
        <v>62</v>
      </c>
      <c r="P486" s="3" t="s">
        <v>1219</v>
      </c>
      <c r="Q486" s="137">
        <v>4127.18</v>
      </c>
      <c r="R486" s="139">
        <v>1</v>
      </c>
      <c r="S486" s="140">
        <v>452</v>
      </c>
      <c r="T486" s="131">
        <v>7.0000000000000001E-3</v>
      </c>
      <c r="U486" s="137">
        <v>18.661999999999999</v>
      </c>
      <c r="V486" s="138">
        <v>7.4999999999999993E-5</v>
      </c>
      <c r="W486" s="138">
        <v>1.3735534163569899E-3</v>
      </c>
      <c r="X486" s="138">
        <v>2.1378059281026399E-4</v>
      </c>
    </row>
    <row r="487" spans="1:24" x14ac:dyDescent="0.2">
      <c r="A487" s="3">
        <v>559</v>
      </c>
      <c r="B487" s="3">
        <v>7206</v>
      </c>
      <c r="C487" s="3" t="s">
        <v>2512</v>
      </c>
      <c r="D487" s="3" t="s">
        <v>2513</v>
      </c>
      <c r="E487" s="3" t="s">
        <v>1477</v>
      </c>
      <c r="F487" s="3" t="s">
        <v>2514</v>
      </c>
      <c r="G487" s="3" t="s">
        <v>2515</v>
      </c>
      <c r="H487" s="3" t="s">
        <v>76</v>
      </c>
      <c r="I487" s="3" t="s">
        <v>73</v>
      </c>
      <c r="J487" s="3" t="s">
        <v>53</v>
      </c>
      <c r="K487" s="3" t="s">
        <v>314</v>
      </c>
      <c r="L487" s="6" t="s">
        <v>805</v>
      </c>
      <c r="M487" s="6" t="s">
        <v>311</v>
      </c>
      <c r="N487" s="3" t="s">
        <v>638</v>
      </c>
      <c r="O487" s="3" t="s">
        <v>62</v>
      </c>
      <c r="P487" s="3" t="s">
        <v>1219</v>
      </c>
      <c r="Q487" s="137">
        <v>1234</v>
      </c>
      <c r="R487" s="139">
        <v>1</v>
      </c>
      <c r="S487" s="140">
        <v>3925</v>
      </c>
      <c r="U487" s="137">
        <v>48.433999999999997</v>
      </c>
      <c r="V487" s="138">
        <v>4.8000000000000001E-5</v>
      </c>
      <c r="W487" s="138">
        <v>3.5648970495816999E-3</v>
      </c>
      <c r="X487" s="138">
        <v>5.5484249501445103E-4</v>
      </c>
    </row>
    <row r="488" spans="1:24" x14ac:dyDescent="0.2">
      <c r="A488" s="3">
        <v>559</v>
      </c>
      <c r="B488" s="3">
        <v>7206</v>
      </c>
      <c r="C488" s="3" t="s">
        <v>1511</v>
      </c>
      <c r="D488" s="3" t="s">
        <v>1512</v>
      </c>
      <c r="E488" s="3" t="s">
        <v>1477</v>
      </c>
      <c r="F488" s="3" t="s">
        <v>2516</v>
      </c>
      <c r="G488" s="3" t="s">
        <v>2517</v>
      </c>
      <c r="H488" s="3" t="s">
        <v>76</v>
      </c>
      <c r="I488" s="3" t="s">
        <v>73</v>
      </c>
      <c r="J488" s="3" t="s">
        <v>53</v>
      </c>
      <c r="K488" s="3" t="s">
        <v>53</v>
      </c>
      <c r="L488" s="6" t="s">
        <v>805</v>
      </c>
      <c r="M488" s="6" t="s">
        <v>311</v>
      </c>
      <c r="N488" s="3" t="s">
        <v>258</v>
      </c>
      <c r="O488" s="3" t="s">
        <v>62</v>
      </c>
      <c r="P488" s="3" t="s">
        <v>1219</v>
      </c>
      <c r="Q488" s="137">
        <v>811</v>
      </c>
      <c r="R488" s="139">
        <v>1</v>
      </c>
      <c r="S488" s="140">
        <v>2683</v>
      </c>
      <c r="U488" s="137">
        <v>21.759</v>
      </c>
      <c r="V488" s="138">
        <v>4.5000000000000003E-5</v>
      </c>
      <c r="W488" s="138">
        <v>1.60152491175638E-3</v>
      </c>
      <c r="X488" s="138">
        <v>2.4926219902226301E-4</v>
      </c>
    </row>
    <row r="489" spans="1:24" x14ac:dyDescent="0.2">
      <c r="A489" s="3">
        <v>559</v>
      </c>
      <c r="B489" s="3">
        <v>7206</v>
      </c>
      <c r="C489" s="3" t="s">
        <v>1511</v>
      </c>
      <c r="D489" s="3" t="s">
        <v>1512</v>
      </c>
      <c r="E489" s="3" t="s">
        <v>1477</v>
      </c>
      <c r="F489" s="3" t="s">
        <v>2518</v>
      </c>
      <c r="G489" s="3" t="s">
        <v>2517</v>
      </c>
      <c r="H489" s="3" t="s">
        <v>76</v>
      </c>
      <c r="I489" s="3" t="s">
        <v>73</v>
      </c>
      <c r="J489" s="3" t="s">
        <v>53</v>
      </c>
      <c r="L489" s="6" t="s">
        <v>805</v>
      </c>
      <c r="M489" s="6" t="s">
        <v>102</v>
      </c>
      <c r="N489" s="3" t="s">
        <v>258</v>
      </c>
      <c r="O489" s="3" t="s">
        <v>62</v>
      </c>
      <c r="P489" s="3" t="s">
        <v>1219</v>
      </c>
      <c r="Q489" s="137">
        <v>860</v>
      </c>
      <c r="R489" s="139">
        <v>1</v>
      </c>
      <c r="S489" s="140">
        <v>2556.9960000000001</v>
      </c>
      <c r="U489" s="137">
        <v>21.99</v>
      </c>
      <c r="V489" s="138">
        <v>0</v>
      </c>
      <c r="W489" s="138">
        <v>1.61852943327813E-3</v>
      </c>
      <c r="X489" s="138">
        <v>2.5190879190178499E-4</v>
      </c>
    </row>
    <row r="490" spans="1:24" x14ac:dyDescent="0.2">
      <c r="A490" s="3">
        <v>559</v>
      </c>
      <c r="B490" s="3">
        <v>7206</v>
      </c>
      <c r="C490" s="3" t="s">
        <v>2519</v>
      </c>
      <c r="D490" s="3" t="s">
        <v>2520</v>
      </c>
      <c r="E490" s="3" t="s">
        <v>430</v>
      </c>
      <c r="F490" s="3" t="s">
        <v>2521</v>
      </c>
      <c r="G490" s="3" t="s">
        <v>2522</v>
      </c>
      <c r="H490" s="3" t="s">
        <v>76</v>
      </c>
      <c r="I490" s="3" t="s">
        <v>73</v>
      </c>
      <c r="J490" s="3" t="s">
        <v>53</v>
      </c>
      <c r="K490" s="3" t="s">
        <v>314</v>
      </c>
      <c r="L490" s="6" t="s">
        <v>805</v>
      </c>
      <c r="M490" s="6" t="s">
        <v>311</v>
      </c>
      <c r="N490" s="3" t="s">
        <v>631</v>
      </c>
      <c r="O490" s="3" t="s">
        <v>62</v>
      </c>
      <c r="P490" s="3" t="s">
        <v>1219</v>
      </c>
      <c r="Q490" s="137">
        <v>286</v>
      </c>
      <c r="R490" s="139">
        <v>1</v>
      </c>
      <c r="S490" s="140">
        <v>27780</v>
      </c>
      <c r="U490" s="137">
        <v>79.450999999999993</v>
      </c>
      <c r="V490" s="138">
        <v>5.0000000000000004E-6</v>
      </c>
      <c r="W490" s="138">
        <v>5.8477721976464203E-3</v>
      </c>
      <c r="X490" s="138">
        <v>9.1015041144007199E-4</v>
      </c>
    </row>
    <row r="491" spans="1:24" x14ac:dyDescent="0.2">
      <c r="A491" s="3">
        <v>559</v>
      </c>
      <c r="B491" s="3">
        <v>7206</v>
      </c>
      <c r="C491" s="3" t="s">
        <v>1517</v>
      </c>
      <c r="D491" s="3" t="s">
        <v>1518</v>
      </c>
      <c r="E491" s="3" t="s">
        <v>1477</v>
      </c>
      <c r="F491" s="3" t="s">
        <v>2523</v>
      </c>
      <c r="G491" s="3" t="s">
        <v>2524</v>
      </c>
      <c r="H491" s="3" t="s">
        <v>76</v>
      </c>
      <c r="I491" s="3" t="s">
        <v>73</v>
      </c>
      <c r="J491" s="3" t="s">
        <v>53</v>
      </c>
      <c r="K491" s="3" t="s">
        <v>53</v>
      </c>
      <c r="L491" s="6" t="s">
        <v>805</v>
      </c>
      <c r="M491" s="6" t="s">
        <v>311</v>
      </c>
      <c r="N491" s="3" t="s">
        <v>140</v>
      </c>
      <c r="O491" s="3" t="s">
        <v>62</v>
      </c>
      <c r="P491" s="3" t="s">
        <v>1219</v>
      </c>
      <c r="Q491" s="137">
        <v>2800</v>
      </c>
      <c r="R491" s="139">
        <v>1</v>
      </c>
      <c r="S491" s="140">
        <v>2366</v>
      </c>
      <c r="U491" s="137">
        <v>66.248000000000005</v>
      </c>
      <c r="V491" s="138">
        <v>1.2999999999999999E-5</v>
      </c>
      <c r="W491" s="138">
        <v>4.8760139929324804E-3</v>
      </c>
      <c r="X491" s="138">
        <v>7.5890544156990102E-4</v>
      </c>
    </row>
    <row r="492" spans="1:24" x14ac:dyDescent="0.2">
      <c r="A492" s="3">
        <v>559</v>
      </c>
      <c r="B492" s="3">
        <v>7206</v>
      </c>
      <c r="C492" s="3" t="s">
        <v>2525</v>
      </c>
      <c r="D492" s="3" t="s">
        <v>2526</v>
      </c>
      <c r="E492" s="3" t="s">
        <v>1477</v>
      </c>
      <c r="F492" s="3" t="s">
        <v>2527</v>
      </c>
      <c r="G492" s="3" t="s">
        <v>2528</v>
      </c>
      <c r="H492" s="3" t="s">
        <v>76</v>
      </c>
      <c r="I492" s="3" t="s">
        <v>73</v>
      </c>
      <c r="J492" s="3" t="s">
        <v>53</v>
      </c>
      <c r="K492" s="3" t="s">
        <v>53</v>
      </c>
      <c r="L492" s="6" t="s">
        <v>805</v>
      </c>
      <c r="M492" s="6" t="s">
        <v>311</v>
      </c>
      <c r="N492" s="3" t="s">
        <v>269</v>
      </c>
      <c r="O492" s="3" t="s">
        <v>62</v>
      </c>
      <c r="P492" s="3" t="s">
        <v>1219</v>
      </c>
      <c r="Q492" s="137">
        <v>273</v>
      </c>
      <c r="R492" s="139">
        <v>1</v>
      </c>
      <c r="S492" s="140">
        <v>21960</v>
      </c>
      <c r="U492" s="137">
        <v>59.951000000000001</v>
      </c>
      <c r="V492" s="138">
        <v>1.9000000000000001E-5</v>
      </c>
      <c r="W492" s="138">
        <v>4.4125247507471399E-3</v>
      </c>
      <c r="X492" s="138">
        <v>6.8676772651957499E-4</v>
      </c>
    </row>
    <row r="493" spans="1:24" x14ac:dyDescent="0.2">
      <c r="A493" s="3">
        <v>559</v>
      </c>
      <c r="B493" s="3">
        <v>7206</v>
      </c>
      <c r="C493" s="3" t="s">
        <v>2529</v>
      </c>
      <c r="D493" s="3" t="s">
        <v>2530</v>
      </c>
      <c r="E493" s="3" t="s">
        <v>1477</v>
      </c>
      <c r="F493" s="3" t="s">
        <v>2531</v>
      </c>
      <c r="G493" s="3" t="s">
        <v>2532</v>
      </c>
      <c r="H493" s="3" t="s">
        <v>76</v>
      </c>
      <c r="I493" s="3" t="s">
        <v>73</v>
      </c>
      <c r="J493" s="3" t="s">
        <v>53</v>
      </c>
      <c r="K493" s="3" t="s">
        <v>53</v>
      </c>
      <c r="L493" s="6" t="s">
        <v>805</v>
      </c>
      <c r="M493" s="6" t="s">
        <v>311</v>
      </c>
      <c r="N493" s="3" t="s">
        <v>75</v>
      </c>
      <c r="O493" s="3" t="s">
        <v>62</v>
      </c>
      <c r="P493" s="3" t="s">
        <v>1219</v>
      </c>
      <c r="Q493" s="137">
        <v>115.72</v>
      </c>
      <c r="R493" s="139">
        <v>1</v>
      </c>
      <c r="S493" s="140">
        <v>6434</v>
      </c>
      <c r="U493" s="137">
        <v>7.4450000000000003</v>
      </c>
      <c r="V493" s="138">
        <v>1.0000000000000001E-5</v>
      </c>
      <c r="W493" s="138">
        <v>5.4800138129643995E-4</v>
      </c>
      <c r="X493" s="138">
        <v>8.5291229856289906E-5</v>
      </c>
    </row>
    <row r="494" spans="1:24" x14ac:dyDescent="0.2">
      <c r="A494" s="3">
        <v>559</v>
      </c>
      <c r="B494" s="3">
        <v>7206</v>
      </c>
      <c r="C494" s="3" t="s">
        <v>1535</v>
      </c>
      <c r="D494" s="3" t="s">
        <v>1536</v>
      </c>
      <c r="E494" s="3" t="s">
        <v>1477</v>
      </c>
      <c r="F494" s="3" t="s">
        <v>2533</v>
      </c>
      <c r="G494" s="3" t="s">
        <v>2534</v>
      </c>
      <c r="H494" s="3" t="s">
        <v>76</v>
      </c>
      <c r="I494" s="3" t="s">
        <v>73</v>
      </c>
      <c r="J494" s="3" t="s">
        <v>53</v>
      </c>
      <c r="K494" s="3" t="s">
        <v>53</v>
      </c>
      <c r="L494" s="6" t="s">
        <v>805</v>
      </c>
      <c r="M494" s="6" t="s">
        <v>311</v>
      </c>
      <c r="N494" s="3" t="s">
        <v>635</v>
      </c>
      <c r="O494" s="3" t="s">
        <v>62</v>
      </c>
      <c r="P494" s="3" t="s">
        <v>1219</v>
      </c>
      <c r="Q494" s="137">
        <v>1466</v>
      </c>
      <c r="R494" s="139">
        <v>1</v>
      </c>
      <c r="S494" s="140">
        <v>6170</v>
      </c>
      <c r="U494" s="137">
        <v>90.451999999999998</v>
      </c>
      <c r="V494" s="138">
        <v>1.1E-5</v>
      </c>
      <c r="W494" s="138">
        <v>6.65750200597041E-3</v>
      </c>
      <c r="X494" s="138">
        <v>1.0361771945110599E-3</v>
      </c>
    </row>
    <row r="495" spans="1:24" x14ac:dyDescent="0.2">
      <c r="A495" s="3">
        <v>559</v>
      </c>
      <c r="B495" s="3">
        <v>7206</v>
      </c>
      <c r="C495" s="3" t="s">
        <v>1545</v>
      </c>
      <c r="D495" s="3" t="s">
        <v>1546</v>
      </c>
      <c r="E495" s="3" t="s">
        <v>1477</v>
      </c>
      <c r="F495" s="3" t="s">
        <v>2535</v>
      </c>
      <c r="G495" s="3" t="s">
        <v>2536</v>
      </c>
      <c r="H495" s="3" t="s">
        <v>76</v>
      </c>
      <c r="I495" s="3" t="s">
        <v>73</v>
      </c>
      <c r="J495" s="3" t="s">
        <v>53</v>
      </c>
      <c r="K495" s="3" t="s">
        <v>53</v>
      </c>
      <c r="L495" s="6" t="s">
        <v>805</v>
      </c>
      <c r="M495" s="6" t="s">
        <v>311</v>
      </c>
      <c r="N495" s="3" t="s">
        <v>638</v>
      </c>
      <c r="O495" s="3" t="s">
        <v>62</v>
      </c>
      <c r="P495" s="3" t="s">
        <v>1219</v>
      </c>
      <c r="Q495" s="137">
        <v>126</v>
      </c>
      <c r="R495" s="139">
        <v>1</v>
      </c>
      <c r="S495" s="140">
        <v>149800</v>
      </c>
      <c r="T495" s="131">
        <v>0.247</v>
      </c>
      <c r="U495" s="137">
        <v>188.995</v>
      </c>
      <c r="V495" s="138">
        <v>3.0000000000000001E-6</v>
      </c>
      <c r="W495" s="138">
        <v>1.3910463152832E-2</v>
      </c>
      <c r="X495" s="138">
        <v>2.1650319701180601E-3</v>
      </c>
    </row>
    <row r="496" spans="1:24" x14ac:dyDescent="0.2">
      <c r="A496" s="3">
        <v>559</v>
      </c>
      <c r="B496" s="3">
        <v>7206</v>
      </c>
      <c r="C496" s="3" t="s">
        <v>1555</v>
      </c>
      <c r="D496" s="3" t="s">
        <v>1556</v>
      </c>
      <c r="E496" s="3" t="s">
        <v>1477</v>
      </c>
      <c r="F496" s="3" t="s">
        <v>2537</v>
      </c>
      <c r="G496" s="3" t="s">
        <v>2538</v>
      </c>
      <c r="H496" s="3" t="s">
        <v>76</v>
      </c>
      <c r="I496" s="3" t="s">
        <v>73</v>
      </c>
      <c r="J496" s="3" t="s">
        <v>53</v>
      </c>
      <c r="K496" s="3" t="s">
        <v>53</v>
      </c>
      <c r="L496" s="6" t="s">
        <v>805</v>
      </c>
      <c r="M496" s="6" t="s">
        <v>1227</v>
      </c>
      <c r="N496" s="3" t="s">
        <v>258</v>
      </c>
      <c r="O496" s="3" t="s">
        <v>62</v>
      </c>
      <c r="P496" s="3" t="s">
        <v>1219</v>
      </c>
      <c r="Q496" s="137">
        <v>2263</v>
      </c>
      <c r="R496" s="139">
        <v>1</v>
      </c>
      <c r="S496" s="140">
        <v>840.4</v>
      </c>
      <c r="U496" s="137">
        <v>19.018000000000001</v>
      </c>
      <c r="V496" s="138">
        <v>2.1999999999999999E-5</v>
      </c>
      <c r="W496" s="138">
        <v>1.3997896219224201E-3</v>
      </c>
      <c r="X496" s="138">
        <v>2.1786400996177499E-4</v>
      </c>
    </row>
    <row r="497" spans="1:24" x14ac:dyDescent="0.2">
      <c r="A497" s="3">
        <v>559</v>
      </c>
      <c r="B497" s="3">
        <v>7206</v>
      </c>
      <c r="C497" s="3" t="s">
        <v>1565</v>
      </c>
      <c r="D497" s="3" t="s">
        <v>1566</v>
      </c>
      <c r="E497" s="3" t="s">
        <v>1477</v>
      </c>
      <c r="F497" s="3" t="s">
        <v>2539</v>
      </c>
      <c r="G497" s="3" t="s">
        <v>2540</v>
      </c>
      <c r="H497" s="3" t="s">
        <v>76</v>
      </c>
      <c r="I497" s="3" t="s">
        <v>73</v>
      </c>
      <c r="J497" s="3" t="s">
        <v>53</v>
      </c>
      <c r="K497" s="3" t="s">
        <v>53</v>
      </c>
      <c r="L497" s="6" t="s">
        <v>805</v>
      </c>
      <c r="M497" s="6" t="s">
        <v>311</v>
      </c>
      <c r="N497" s="3" t="s">
        <v>631</v>
      </c>
      <c r="O497" s="3" t="s">
        <v>62</v>
      </c>
      <c r="P497" s="3" t="s">
        <v>1219</v>
      </c>
      <c r="Q497" s="137">
        <v>1724</v>
      </c>
      <c r="R497" s="139">
        <v>1</v>
      </c>
      <c r="S497" s="140">
        <v>6078</v>
      </c>
      <c r="U497" s="137">
        <v>104.785</v>
      </c>
      <c r="V497" s="138">
        <v>1.3100000000000001E-4</v>
      </c>
      <c r="W497" s="138">
        <v>7.7124103514900396E-3</v>
      </c>
      <c r="X497" s="138">
        <v>1.2003636970380799E-3</v>
      </c>
    </row>
    <row r="498" spans="1:24" x14ac:dyDescent="0.2">
      <c r="A498" s="3">
        <v>559</v>
      </c>
      <c r="B498" s="3">
        <v>7206</v>
      </c>
      <c r="C498" s="3" t="s">
        <v>1579</v>
      </c>
      <c r="D498" s="3" t="s">
        <v>1580</v>
      </c>
      <c r="E498" s="3" t="s">
        <v>1477</v>
      </c>
      <c r="F498" s="3" t="s">
        <v>2541</v>
      </c>
      <c r="G498" s="3" t="s">
        <v>2542</v>
      </c>
      <c r="H498" s="3" t="s">
        <v>76</v>
      </c>
      <c r="I498" s="3" t="s">
        <v>73</v>
      </c>
      <c r="J498" s="3" t="s">
        <v>53</v>
      </c>
      <c r="K498" s="3" t="s">
        <v>53</v>
      </c>
      <c r="L498" s="6" t="s">
        <v>805</v>
      </c>
      <c r="M498" s="6" t="s">
        <v>311</v>
      </c>
      <c r="N498" s="3" t="s">
        <v>635</v>
      </c>
      <c r="O498" s="3" t="s">
        <v>62</v>
      </c>
      <c r="P498" s="3" t="s">
        <v>1219</v>
      </c>
      <c r="Q498" s="137">
        <v>2381</v>
      </c>
      <c r="R498" s="139">
        <v>1</v>
      </c>
      <c r="S498" s="140">
        <v>3489</v>
      </c>
      <c r="U498" s="137">
        <v>83.072999999999993</v>
      </c>
      <c r="V498" s="138">
        <v>1.1E-5</v>
      </c>
      <c r="W498" s="138">
        <v>6.1143815553094298E-3</v>
      </c>
      <c r="X498" s="138">
        <v>9.5164563532523403E-4</v>
      </c>
    </row>
    <row r="499" spans="1:24" x14ac:dyDescent="0.2">
      <c r="A499" s="3">
        <v>559</v>
      </c>
      <c r="B499" s="3">
        <v>7206</v>
      </c>
      <c r="C499" s="3" t="s">
        <v>2543</v>
      </c>
      <c r="D499" s="3" t="s">
        <v>2544</v>
      </c>
      <c r="E499" s="3" t="s">
        <v>1477</v>
      </c>
      <c r="F499" s="3" t="s">
        <v>2545</v>
      </c>
      <c r="G499" s="3" t="s">
        <v>2546</v>
      </c>
      <c r="H499" s="3" t="s">
        <v>76</v>
      </c>
      <c r="I499" s="3" t="s">
        <v>73</v>
      </c>
      <c r="J499" s="3" t="s">
        <v>53</v>
      </c>
      <c r="K499" s="3" t="s">
        <v>53</v>
      </c>
      <c r="L499" s="6" t="s">
        <v>805</v>
      </c>
      <c r="M499" s="6" t="s">
        <v>311</v>
      </c>
      <c r="N499" s="3" t="s">
        <v>257</v>
      </c>
      <c r="O499" s="3" t="s">
        <v>62</v>
      </c>
      <c r="P499" s="3" t="s">
        <v>1219</v>
      </c>
      <c r="Q499" s="137">
        <v>4820</v>
      </c>
      <c r="R499" s="139">
        <v>1</v>
      </c>
      <c r="S499" s="140">
        <v>598</v>
      </c>
      <c r="U499" s="137">
        <v>28.824000000000002</v>
      </c>
      <c r="V499" s="138">
        <v>2.4000000000000001E-5</v>
      </c>
      <c r="W499" s="138">
        <v>2.1214870928433901E-3</v>
      </c>
      <c r="X499" s="138">
        <v>3.3018939267048401E-4</v>
      </c>
    </row>
    <row r="500" spans="1:24" x14ac:dyDescent="0.2">
      <c r="A500" s="3">
        <v>559</v>
      </c>
      <c r="B500" s="3">
        <v>7206</v>
      </c>
      <c r="C500" s="3" t="s">
        <v>2547</v>
      </c>
      <c r="D500" s="3" t="s">
        <v>2548</v>
      </c>
      <c r="E500" s="3" t="s">
        <v>1477</v>
      </c>
      <c r="F500" s="3" t="s">
        <v>2549</v>
      </c>
      <c r="G500" s="3" t="s">
        <v>2550</v>
      </c>
      <c r="H500" s="3" t="s">
        <v>76</v>
      </c>
      <c r="I500" s="3" t="s">
        <v>73</v>
      </c>
      <c r="J500" s="3" t="s">
        <v>53</v>
      </c>
      <c r="K500" s="3" t="s">
        <v>53</v>
      </c>
      <c r="L500" s="6" t="s">
        <v>805</v>
      </c>
      <c r="M500" s="6" t="s">
        <v>311</v>
      </c>
      <c r="N500" s="3" t="s">
        <v>692</v>
      </c>
      <c r="O500" s="3" t="s">
        <v>62</v>
      </c>
      <c r="P500" s="3" t="s">
        <v>1219</v>
      </c>
      <c r="Q500" s="137">
        <v>1012</v>
      </c>
      <c r="R500" s="139">
        <v>1</v>
      </c>
      <c r="S500" s="140">
        <v>18600</v>
      </c>
      <c r="U500" s="137">
        <v>188.232</v>
      </c>
      <c r="V500" s="138">
        <v>2.9E-5</v>
      </c>
      <c r="W500" s="138">
        <v>1.3854333201269E-2</v>
      </c>
      <c r="X500" s="138">
        <v>2.1562958742541E-3</v>
      </c>
    </row>
    <row r="501" spans="1:24" x14ac:dyDescent="0.2">
      <c r="A501" s="3">
        <v>559</v>
      </c>
      <c r="B501" s="3">
        <v>7206</v>
      </c>
      <c r="C501" s="3" t="s">
        <v>2865</v>
      </c>
      <c r="D501" s="3" t="s">
        <v>2866</v>
      </c>
      <c r="E501" s="3" t="s">
        <v>1477</v>
      </c>
      <c r="F501" s="3" t="s">
        <v>2867</v>
      </c>
      <c r="G501" s="3" t="s">
        <v>2868</v>
      </c>
      <c r="H501" s="3" t="s">
        <v>76</v>
      </c>
      <c r="I501" s="3" t="s">
        <v>73</v>
      </c>
      <c r="J501" s="3" t="s">
        <v>53</v>
      </c>
      <c r="K501" s="3" t="s">
        <v>53</v>
      </c>
      <c r="L501" s="6" t="s">
        <v>805</v>
      </c>
      <c r="M501" s="6" t="s">
        <v>311</v>
      </c>
      <c r="N501" s="3" t="s">
        <v>156</v>
      </c>
      <c r="O501" s="3" t="s">
        <v>62</v>
      </c>
      <c r="P501" s="3" t="s">
        <v>1219</v>
      </c>
      <c r="Q501" s="137">
        <v>660</v>
      </c>
      <c r="R501" s="139">
        <v>1</v>
      </c>
      <c r="S501" s="140">
        <v>3094</v>
      </c>
      <c r="U501" s="137">
        <v>20.420000000000002</v>
      </c>
      <c r="V501" s="138">
        <v>3.6999999999999998E-5</v>
      </c>
      <c r="W501" s="138">
        <v>1.50299112639292E-3</v>
      </c>
      <c r="X501" s="138">
        <v>2.3392634764874399E-4</v>
      </c>
    </row>
    <row r="502" spans="1:24" x14ac:dyDescent="0.2">
      <c r="A502" s="3">
        <v>559</v>
      </c>
      <c r="B502" s="3">
        <v>7206</v>
      </c>
      <c r="C502" s="3" t="s">
        <v>1609</v>
      </c>
      <c r="D502" s="3" t="s">
        <v>1610</v>
      </c>
      <c r="E502" s="3" t="s">
        <v>1477</v>
      </c>
      <c r="F502" s="3" t="s">
        <v>2551</v>
      </c>
      <c r="G502" s="3" t="s">
        <v>2552</v>
      </c>
      <c r="H502" s="3" t="s">
        <v>76</v>
      </c>
      <c r="I502" s="3" t="s">
        <v>73</v>
      </c>
      <c r="J502" s="3" t="s">
        <v>53</v>
      </c>
      <c r="K502" s="3" t="s">
        <v>53</v>
      </c>
      <c r="L502" s="6" t="s">
        <v>805</v>
      </c>
      <c r="M502" s="6" t="s">
        <v>311</v>
      </c>
      <c r="N502" s="3" t="s">
        <v>635</v>
      </c>
      <c r="O502" s="3" t="s">
        <v>62</v>
      </c>
      <c r="P502" s="3" t="s">
        <v>1219</v>
      </c>
      <c r="Q502" s="137">
        <v>8923</v>
      </c>
      <c r="R502" s="139">
        <v>1</v>
      </c>
      <c r="S502" s="140">
        <v>2281</v>
      </c>
      <c r="U502" s="137">
        <v>203.53399999999999</v>
      </c>
      <c r="V502" s="138">
        <v>1.9000000000000001E-5</v>
      </c>
      <c r="W502" s="138">
        <v>1.4980570400802201E-2</v>
      </c>
      <c r="X502" s="138">
        <v>2.3315840380007699E-3</v>
      </c>
    </row>
    <row r="503" spans="1:24" x14ac:dyDescent="0.2">
      <c r="A503" s="3">
        <v>559</v>
      </c>
      <c r="B503" s="3">
        <v>7206</v>
      </c>
      <c r="C503" s="3" t="s">
        <v>1617</v>
      </c>
      <c r="D503" s="3" t="s">
        <v>1618</v>
      </c>
      <c r="E503" s="3" t="s">
        <v>1477</v>
      </c>
      <c r="F503" s="3" t="s">
        <v>2553</v>
      </c>
      <c r="G503" s="3" t="s">
        <v>2554</v>
      </c>
      <c r="H503" s="3" t="s">
        <v>76</v>
      </c>
      <c r="I503" s="3" t="s">
        <v>73</v>
      </c>
      <c r="J503" s="3" t="s">
        <v>53</v>
      </c>
      <c r="K503" s="3" t="s">
        <v>314</v>
      </c>
      <c r="L503" s="6" t="s">
        <v>805</v>
      </c>
      <c r="M503" s="6" t="s">
        <v>311</v>
      </c>
      <c r="N503" s="3" t="s">
        <v>631</v>
      </c>
      <c r="O503" s="3" t="s">
        <v>62</v>
      </c>
      <c r="P503" s="3" t="s">
        <v>1219</v>
      </c>
      <c r="Q503" s="137">
        <v>6688.9</v>
      </c>
      <c r="R503" s="139">
        <v>1</v>
      </c>
      <c r="S503" s="140">
        <v>7640</v>
      </c>
      <c r="U503" s="137">
        <v>511.03199999999998</v>
      </c>
      <c r="V503" s="138">
        <v>5.5999999999999999E-5</v>
      </c>
      <c r="W503" s="138">
        <v>3.7613195685842801E-2</v>
      </c>
      <c r="X503" s="138">
        <v>5.8541380156402001E-3</v>
      </c>
    </row>
    <row r="504" spans="1:24" x14ac:dyDescent="0.2">
      <c r="A504" s="3">
        <v>559</v>
      </c>
      <c r="B504" s="3">
        <v>7206</v>
      </c>
      <c r="C504" s="3" t="s">
        <v>2434</v>
      </c>
      <c r="D504" s="3" t="s">
        <v>2435</v>
      </c>
      <c r="E504" s="3" t="s">
        <v>430</v>
      </c>
      <c r="F504" s="3" t="s">
        <v>2555</v>
      </c>
      <c r="G504" s="3" t="s">
        <v>2556</v>
      </c>
      <c r="H504" s="3" t="s">
        <v>76</v>
      </c>
      <c r="I504" s="3" t="s">
        <v>73</v>
      </c>
      <c r="J504" s="3" t="s">
        <v>53</v>
      </c>
      <c r="K504" s="3" t="s">
        <v>315</v>
      </c>
      <c r="L504" s="6" t="s">
        <v>805</v>
      </c>
      <c r="M504" s="6" t="s">
        <v>311</v>
      </c>
      <c r="N504" s="3" t="s">
        <v>267</v>
      </c>
      <c r="O504" s="3" t="s">
        <v>62</v>
      </c>
      <c r="P504" s="3" t="s">
        <v>1219</v>
      </c>
      <c r="Q504" s="137">
        <v>1707</v>
      </c>
      <c r="R504" s="139">
        <v>1</v>
      </c>
      <c r="S504" s="140">
        <v>4272</v>
      </c>
      <c r="T504" s="131">
        <v>1.7270000000000001</v>
      </c>
      <c r="U504" s="137">
        <v>74.650000000000006</v>
      </c>
      <c r="V504" s="138">
        <v>9.0000000000000002E-6</v>
      </c>
      <c r="W504" s="138">
        <v>5.4944099483967496E-3</v>
      </c>
      <c r="X504" s="138">
        <v>8.5515292082793395E-4</v>
      </c>
    </row>
    <row r="505" spans="1:24" x14ac:dyDescent="0.2">
      <c r="A505" s="3">
        <v>559</v>
      </c>
      <c r="B505" s="3">
        <v>7206</v>
      </c>
      <c r="C505" s="3" t="s">
        <v>1635</v>
      </c>
      <c r="D505" s="3" t="s">
        <v>1636</v>
      </c>
      <c r="E505" s="3" t="s">
        <v>1477</v>
      </c>
      <c r="F505" s="3" t="s">
        <v>2557</v>
      </c>
      <c r="G505" s="3" t="s">
        <v>2558</v>
      </c>
      <c r="H505" s="3" t="s">
        <v>76</v>
      </c>
      <c r="I505" s="3" t="s">
        <v>73</v>
      </c>
      <c r="J505" s="3" t="s">
        <v>53</v>
      </c>
      <c r="K505" s="3" t="s">
        <v>53</v>
      </c>
      <c r="L505" s="6" t="s">
        <v>805</v>
      </c>
      <c r="M505" s="6" t="s">
        <v>311</v>
      </c>
      <c r="N505" s="3" t="s">
        <v>636</v>
      </c>
      <c r="O505" s="3" t="s">
        <v>62</v>
      </c>
      <c r="P505" s="3" t="s">
        <v>1219</v>
      </c>
      <c r="Q505" s="137">
        <v>361</v>
      </c>
      <c r="R505" s="139">
        <v>1</v>
      </c>
      <c r="S505" s="140">
        <v>19300</v>
      </c>
      <c r="U505" s="137">
        <v>69.673000000000002</v>
      </c>
      <c r="V505" s="138">
        <v>9.0000000000000002E-6</v>
      </c>
      <c r="W505" s="138">
        <v>5.1281023265545402E-3</v>
      </c>
      <c r="X505" s="138">
        <v>7.9814060545978303E-4</v>
      </c>
    </row>
    <row r="506" spans="1:24" x14ac:dyDescent="0.2">
      <c r="A506" s="3">
        <v>559</v>
      </c>
      <c r="B506" s="3">
        <v>7206</v>
      </c>
      <c r="C506" s="3" t="s">
        <v>1655</v>
      </c>
      <c r="D506" s="3" t="s">
        <v>1656</v>
      </c>
      <c r="E506" s="3" t="s">
        <v>1477</v>
      </c>
      <c r="F506" s="3" t="s">
        <v>2559</v>
      </c>
      <c r="G506" s="3" t="s">
        <v>2560</v>
      </c>
      <c r="H506" s="3" t="s">
        <v>76</v>
      </c>
      <c r="I506" s="3" t="s">
        <v>73</v>
      </c>
      <c r="J506" s="3" t="s">
        <v>53</v>
      </c>
      <c r="K506" s="3" t="s">
        <v>53</v>
      </c>
      <c r="L506" s="6" t="s">
        <v>805</v>
      </c>
      <c r="M506" s="6" t="s">
        <v>311</v>
      </c>
      <c r="N506" s="3" t="s">
        <v>631</v>
      </c>
      <c r="O506" s="3" t="s">
        <v>62</v>
      </c>
      <c r="P506" s="3" t="s">
        <v>1219</v>
      </c>
      <c r="Q506" s="137">
        <v>446</v>
      </c>
      <c r="R506" s="139">
        <v>1</v>
      </c>
      <c r="S506" s="140">
        <v>3258</v>
      </c>
      <c r="U506" s="137">
        <v>14.531000000000001</v>
      </c>
      <c r="V506" s="138">
        <v>7.9999999999999996E-6</v>
      </c>
      <c r="W506" s="138">
        <v>1.0694934036774601E-3</v>
      </c>
      <c r="X506" s="138">
        <v>1.66456528826696E-4</v>
      </c>
    </row>
    <row r="507" spans="1:24" x14ac:dyDescent="0.2">
      <c r="A507" s="3">
        <v>559</v>
      </c>
      <c r="B507" s="3">
        <v>7206</v>
      </c>
      <c r="C507" s="3" t="s">
        <v>2561</v>
      </c>
      <c r="D507" s="3" t="s">
        <v>2562</v>
      </c>
      <c r="E507" s="3" t="s">
        <v>1477</v>
      </c>
      <c r="F507" s="3" t="s">
        <v>2563</v>
      </c>
      <c r="G507" s="3" t="s">
        <v>2564</v>
      </c>
      <c r="H507" s="3" t="s">
        <v>76</v>
      </c>
      <c r="I507" s="3" t="s">
        <v>73</v>
      </c>
      <c r="J507" s="3" t="s">
        <v>53</v>
      </c>
      <c r="K507" s="3" t="s">
        <v>53</v>
      </c>
      <c r="L507" s="6" t="s">
        <v>805</v>
      </c>
      <c r="M507" s="6" t="s">
        <v>311</v>
      </c>
      <c r="N507" s="3" t="s">
        <v>140</v>
      </c>
      <c r="O507" s="3" t="s">
        <v>62</v>
      </c>
      <c r="P507" s="3" t="s">
        <v>1219</v>
      </c>
      <c r="Q507" s="137">
        <v>520</v>
      </c>
      <c r="R507" s="139">
        <v>1</v>
      </c>
      <c r="S507" s="140">
        <v>5490</v>
      </c>
      <c r="U507" s="137">
        <v>28.547999999999998</v>
      </c>
      <c r="V507" s="138">
        <v>7.9999999999999996E-6</v>
      </c>
      <c r="W507" s="138">
        <v>2.10120226226054E-3</v>
      </c>
      <c r="X507" s="138">
        <v>3.2703225072360702E-4</v>
      </c>
    </row>
    <row r="508" spans="1:24" x14ac:dyDescent="0.2">
      <c r="A508" s="3">
        <v>559</v>
      </c>
      <c r="B508" s="3">
        <v>7206</v>
      </c>
      <c r="C508" s="3" t="s">
        <v>2565</v>
      </c>
      <c r="D508" s="3" t="s">
        <v>2566</v>
      </c>
      <c r="E508" s="3" t="s">
        <v>1477</v>
      </c>
      <c r="F508" s="3" t="s">
        <v>2567</v>
      </c>
      <c r="G508" s="3" t="s">
        <v>2568</v>
      </c>
      <c r="H508" s="3" t="s">
        <v>76</v>
      </c>
      <c r="I508" s="3" t="s">
        <v>73</v>
      </c>
      <c r="J508" s="3" t="s">
        <v>53</v>
      </c>
      <c r="K508" s="3" t="s">
        <v>317</v>
      </c>
      <c r="L508" s="6" t="s">
        <v>805</v>
      </c>
      <c r="M508" s="6" t="s">
        <v>311</v>
      </c>
      <c r="N508" s="3" t="s">
        <v>637</v>
      </c>
      <c r="O508" s="3" t="s">
        <v>62</v>
      </c>
      <c r="P508" s="3" t="s">
        <v>1219</v>
      </c>
      <c r="Q508" s="137">
        <v>1468</v>
      </c>
      <c r="R508" s="139">
        <v>1</v>
      </c>
      <c r="S508" s="140">
        <v>5310</v>
      </c>
      <c r="U508" s="137">
        <v>77.950999999999993</v>
      </c>
      <c r="V508" s="138">
        <v>5.8999999999999998E-5</v>
      </c>
      <c r="W508" s="138">
        <v>5.7373685478849402E-3</v>
      </c>
      <c r="X508" s="138">
        <v>8.9296712798464897E-4</v>
      </c>
    </row>
    <row r="509" spans="1:24" x14ac:dyDescent="0.2">
      <c r="A509" s="3">
        <v>559</v>
      </c>
      <c r="B509" s="3">
        <v>7206</v>
      </c>
      <c r="C509" s="3" t="s">
        <v>1659</v>
      </c>
      <c r="D509" s="3" t="s">
        <v>1660</v>
      </c>
      <c r="E509" s="3" t="s">
        <v>1477</v>
      </c>
      <c r="F509" s="3" t="s">
        <v>2569</v>
      </c>
      <c r="G509" s="3" t="s">
        <v>2570</v>
      </c>
      <c r="H509" s="3" t="s">
        <v>76</v>
      </c>
      <c r="I509" s="3" t="s">
        <v>73</v>
      </c>
      <c r="J509" s="3" t="s">
        <v>53</v>
      </c>
      <c r="K509" s="3" t="s">
        <v>53</v>
      </c>
      <c r="L509" s="6" t="s">
        <v>805</v>
      </c>
      <c r="M509" s="6" t="s">
        <v>311</v>
      </c>
      <c r="N509" s="3" t="s">
        <v>635</v>
      </c>
      <c r="O509" s="3" t="s">
        <v>62</v>
      </c>
      <c r="P509" s="3" t="s">
        <v>1219</v>
      </c>
      <c r="Q509" s="137">
        <v>30760</v>
      </c>
      <c r="R509" s="139">
        <v>1</v>
      </c>
      <c r="S509" s="140">
        <v>296.5</v>
      </c>
      <c r="U509" s="137">
        <v>91.203000000000003</v>
      </c>
      <c r="V509" s="138">
        <v>9.5000000000000005E-5</v>
      </c>
      <c r="W509" s="138">
        <v>6.7127921537709599E-3</v>
      </c>
      <c r="X509" s="138">
        <v>1.0447825828655401E-3</v>
      </c>
    </row>
    <row r="510" spans="1:24" x14ac:dyDescent="0.2">
      <c r="A510" s="3">
        <v>559</v>
      </c>
      <c r="B510" s="3">
        <v>7206</v>
      </c>
      <c r="C510" s="3" t="s">
        <v>1676</v>
      </c>
      <c r="D510" s="3" t="s">
        <v>1677</v>
      </c>
      <c r="E510" s="3" t="s">
        <v>1477</v>
      </c>
      <c r="F510" s="3" t="s">
        <v>2571</v>
      </c>
      <c r="G510" s="3" t="s">
        <v>2572</v>
      </c>
      <c r="H510" s="3" t="s">
        <v>76</v>
      </c>
      <c r="I510" s="3" t="s">
        <v>73</v>
      </c>
      <c r="J510" s="3" t="s">
        <v>53</v>
      </c>
      <c r="K510" s="3" t="s">
        <v>53</v>
      </c>
      <c r="L510" s="6" t="s">
        <v>805</v>
      </c>
      <c r="M510" s="6" t="s">
        <v>311</v>
      </c>
      <c r="N510" s="3" t="s">
        <v>156</v>
      </c>
      <c r="O510" s="3" t="s">
        <v>62</v>
      </c>
      <c r="P510" s="3" t="s">
        <v>1219</v>
      </c>
      <c r="Q510" s="137">
        <v>42233</v>
      </c>
      <c r="R510" s="139">
        <v>1</v>
      </c>
      <c r="S510" s="140">
        <v>90.8</v>
      </c>
      <c r="U510" s="137">
        <v>38.347999999999999</v>
      </c>
      <c r="V510" s="138">
        <v>1.2999999999999999E-5</v>
      </c>
      <c r="W510" s="138">
        <v>2.8224740167080401E-3</v>
      </c>
      <c r="X510" s="138">
        <v>4.3929137469131201E-4</v>
      </c>
    </row>
    <row r="511" spans="1:24" x14ac:dyDescent="0.2">
      <c r="A511" s="3">
        <v>559</v>
      </c>
      <c r="B511" s="3">
        <v>7206</v>
      </c>
      <c r="C511" s="3" t="s">
        <v>1681</v>
      </c>
      <c r="D511" s="3" t="s">
        <v>1682</v>
      </c>
      <c r="E511" s="3" t="s">
        <v>1477</v>
      </c>
      <c r="F511" s="3" t="s">
        <v>2573</v>
      </c>
      <c r="G511" s="3" t="s">
        <v>2574</v>
      </c>
      <c r="H511" s="3" t="s">
        <v>76</v>
      </c>
      <c r="I511" s="3" t="s">
        <v>73</v>
      </c>
      <c r="J511" s="3" t="s">
        <v>53</v>
      </c>
      <c r="K511" s="3" t="s">
        <v>53</v>
      </c>
      <c r="L511" s="6" t="s">
        <v>805</v>
      </c>
      <c r="M511" s="6" t="s">
        <v>311</v>
      </c>
      <c r="N511" s="3" t="s">
        <v>260</v>
      </c>
      <c r="O511" s="3" t="s">
        <v>62</v>
      </c>
      <c r="P511" s="3" t="s">
        <v>1219</v>
      </c>
      <c r="Q511" s="137">
        <v>64319</v>
      </c>
      <c r="R511" s="139">
        <v>1</v>
      </c>
      <c r="S511" s="140">
        <v>575</v>
      </c>
      <c r="U511" s="137">
        <v>369.834</v>
      </c>
      <c r="V511" s="138">
        <v>2.3E-5</v>
      </c>
      <c r="W511" s="138">
        <v>2.7220700671200498E-2</v>
      </c>
      <c r="X511" s="138">
        <v>4.2366444995158101E-3</v>
      </c>
    </row>
    <row r="512" spans="1:24" x14ac:dyDescent="0.2">
      <c r="A512" s="3">
        <v>559</v>
      </c>
      <c r="B512" s="3">
        <v>7206</v>
      </c>
      <c r="C512" s="3" t="s">
        <v>1688</v>
      </c>
      <c r="D512" s="3" t="s">
        <v>1689</v>
      </c>
      <c r="E512" s="3" t="s">
        <v>1477</v>
      </c>
      <c r="F512" s="3" t="s">
        <v>2575</v>
      </c>
      <c r="G512" s="3" t="s">
        <v>2576</v>
      </c>
      <c r="H512" s="3" t="s">
        <v>76</v>
      </c>
      <c r="I512" s="3" t="s">
        <v>73</v>
      </c>
      <c r="J512" s="3" t="s">
        <v>53</v>
      </c>
      <c r="K512" s="3" t="s">
        <v>53</v>
      </c>
      <c r="L512" s="6" t="s">
        <v>805</v>
      </c>
      <c r="M512" s="6" t="s">
        <v>311</v>
      </c>
      <c r="N512" s="3" t="s">
        <v>635</v>
      </c>
      <c r="O512" s="3" t="s">
        <v>62</v>
      </c>
      <c r="P512" s="3" t="s">
        <v>1219</v>
      </c>
      <c r="Q512" s="137">
        <v>500.77</v>
      </c>
      <c r="R512" s="139">
        <v>1</v>
      </c>
      <c r="S512" s="140">
        <v>64490</v>
      </c>
      <c r="U512" s="137">
        <v>322.947</v>
      </c>
      <c r="V512" s="138">
        <v>2.0000000000000002E-5</v>
      </c>
      <c r="W512" s="138">
        <v>2.37696535581088E-2</v>
      </c>
      <c r="X512" s="138">
        <v>3.6995216698775999E-3</v>
      </c>
    </row>
    <row r="513" spans="1:24" x14ac:dyDescent="0.2">
      <c r="A513" s="3">
        <v>559</v>
      </c>
      <c r="B513" s="3">
        <v>7206</v>
      </c>
      <c r="C513" s="3" t="s">
        <v>2577</v>
      </c>
      <c r="D513" s="3" t="s">
        <v>2578</v>
      </c>
      <c r="E513" s="3" t="s">
        <v>1477</v>
      </c>
      <c r="F513" s="3" t="s">
        <v>2579</v>
      </c>
      <c r="G513" s="3" t="s">
        <v>2580</v>
      </c>
      <c r="H513" s="3" t="s">
        <v>76</v>
      </c>
      <c r="I513" s="3" t="s">
        <v>73</v>
      </c>
      <c r="J513" s="3" t="s">
        <v>53</v>
      </c>
      <c r="K513" s="3" t="s">
        <v>314</v>
      </c>
      <c r="L513" s="6" t="s">
        <v>805</v>
      </c>
      <c r="M513" s="6" t="s">
        <v>311</v>
      </c>
      <c r="N513" s="3" t="s">
        <v>630</v>
      </c>
      <c r="O513" s="3" t="s">
        <v>62</v>
      </c>
      <c r="P513" s="3" t="s">
        <v>1219</v>
      </c>
      <c r="Q513" s="137">
        <v>2470</v>
      </c>
      <c r="R513" s="139">
        <v>1</v>
      </c>
      <c r="S513" s="140">
        <v>2457</v>
      </c>
      <c r="U513" s="137">
        <v>60.688000000000002</v>
      </c>
      <c r="V513" s="138">
        <v>4.3000000000000002E-5</v>
      </c>
      <c r="W513" s="138">
        <v>4.46677710423993E-3</v>
      </c>
      <c r="X513" s="138">
        <v>6.9521159200957E-4</v>
      </c>
    </row>
    <row r="514" spans="1:24" x14ac:dyDescent="0.2">
      <c r="A514" s="3">
        <v>559</v>
      </c>
      <c r="B514" s="3">
        <v>7206</v>
      </c>
      <c r="C514" s="3" t="s">
        <v>2581</v>
      </c>
      <c r="D514" s="3" t="s">
        <v>2582</v>
      </c>
      <c r="E514" s="3" t="s">
        <v>1477</v>
      </c>
      <c r="F514" s="3" t="s">
        <v>2583</v>
      </c>
      <c r="G514" s="3" t="s">
        <v>2584</v>
      </c>
      <c r="H514" s="3" t="s">
        <v>76</v>
      </c>
      <c r="I514" s="3" t="s">
        <v>73</v>
      </c>
      <c r="J514" s="3" t="s">
        <v>53</v>
      </c>
      <c r="K514" s="3" t="s">
        <v>53</v>
      </c>
      <c r="L514" s="6" t="s">
        <v>805</v>
      </c>
      <c r="M514" s="6" t="s">
        <v>311</v>
      </c>
      <c r="N514" s="3" t="s">
        <v>75</v>
      </c>
      <c r="O514" s="3" t="s">
        <v>62</v>
      </c>
      <c r="P514" s="3" t="s">
        <v>1219</v>
      </c>
      <c r="Q514" s="137">
        <v>46.25</v>
      </c>
      <c r="R514" s="139">
        <v>1</v>
      </c>
      <c r="S514" s="140">
        <v>60590</v>
      </c>
      <c r="U514" s="137">
        <v>28.023</v>
      </c>
      <c r="V514" s="138">
        <v>3.8000000000000002E-5</v>
      </c>
      <c r="W514" s="138">
        <v>2.0625517845398798E-3</v>
      </c>
      <c r="X514" s="138">
        <v>3.2101666957392103E-4</v>
      </c>
    </row>
    <row r="515" spans="1:24" x14ac:dyDescent="0.2">
      <c r="A515" s="3">
        <v>559</v>
      </c>
      <c r="B515" s="3">
        <v>7206</v>
      </c>
      <c r="C515" s="3" t="s">
        <v>2585</v>
      </c>
      <c r="D515" s="3" t="s">
        <v>2586</v>
      </c>
      <c r="E515" s="3" t="s">
        <v>1477</v>
      </c>
      <c r="F515" s="3" t="s">
        <v>2587</v>
      </c>
      <c r="G515" s="3" t="s">
        <v>2588</v>
      </c>
      <c r="H515" s="3" t="s">
        <v>76</v>
      </c>
      <c r="I515" s="3" t="s">
        <v>73</v>
      </c>
      <c r="J515" s="3" t="s">
        <v>53</v>
      </c>
      <c r="K515" s="3" t="s">
        <v>53</v>
      </c>
      <c r="L515" s="6" t="s">
        <v>805</v>
      </c>
      <c r="M515" s="6" t="s">
        <v>311</v>
      </c>
      <c r="N515" s="3" t="s">
        <v>265</v>
      </c>
      <c r="O515" s="3" t="s">
        <v>62</v>
      </c>
      <c r="P515" s="3" t="s">
        <v>1219</v>
      </c>
      <c r="Q515" s="137">
        <v>2065</v>
      </c>
      <c r="R515" s="139">
        <v>1</v>
      </c>
      <c r="S515" s="140">
        <v>867.5</v>
      </c>
      <c r="U515" s="137">
        <v>17.914000000000001</v>
      </c>
      <c r="V515" s="138">
        <v>1.36E-4</v>
      </c>
      <c r="W515" s="138">
        <v>1.3185047875806601E-3</v>
      </c>
      <c r="X515" s="138">
        <v>2.05212794606675E-4</v>
      </c>
    </row>
    <row r="516" spans="1:24" x14ac:dyDescent="0.2">
      <c r="A516" s="3">
        <v>559</v>
      </c>
      <c r="B516" s="3">
        <v>7206</v>
      </c>
      <c r="C516" s="3" t="s">
        <v>2589</v>
      </c>
      <c r="D516" s="3" t="s">
        <v>2590</v>
      </c>
      <c r="E516" s="3" t="s">
        <v>1477</v>
      </c>
      <c r="F516" s="3" t="s">
        <v>2591</v>
      </c>
      <c r="G516" s="3" t="s">
        <v>2592</v>
      </c>
      <c r="H516" s="3" t="s">
        <v>76</v>
      </c>
      <c r="I516" s="3" t="s">
        <v>73</v>
      </c>
      <c r="J516" s="3" t="s">
        <v>53</v>
      </c>
      <c r="K516" s="3" t="s">
        <v>53</v>
      </c>
      <c r="L516" s="6" t="s">
        <v>805</v>
      </c>
      <c r="M516" s="6" t="s">
        <v>311</v>
      </c>
      <c r="N516" s="3" t="s">
        <v>255</v>
      </c>
      <c r="O516" s="3" t="s">
        <v>62</v>
      </c>
      <c r="P516" s="3" t="s">
        <v>1219</v>
      </c>
      <c r="Q516" s="137">
        <v>1037</v>
      </c>
      <c r="R516" s="139">
        <v>1</v>
      </c>
      <c r="S516" s="140">
        <v>24.9</v>
      </c>
      <c r="U516" s="137">
        <v>0.25800000000000001</v>
      </c>
      <c r="V516" s="138">
        <v>9.0000000000000002E-6</v>
      </c>
      <c r="W516" s="138">
        <v>1.9005105077241201E-5</v>
      </c>
      <c r="X516" s="138">
        <v>2.9579647805833999E-6</v>
      </c>
    </row>
    <row r="517" spans="1:24" x14ac:dyDescent="0.2">
      <c r="A517" s="3">
        <v>559</v>
      </c>
      <c r="B517" s="3">
        <v>7206</v>
      </c>
      <c r="C517" s="3" t="s">
        <v>2593</v>
      </c>
      <c r="D517" s="3" t="s">
        <v>2594</v>
      </c>
      <c r="E517" s="3" t="s">
        <v>1477</v>
      </c>
      <c r="F517" s="3" t="s">
        <v>2595</v>
      </c>
      <c r="G517" s="3" t="s">
        <v>2596</v>
      </c>
      <c r="H517" s="3" t="s">
        <v>76</v>
      </c>
      <c r="I517" s="3" t="s">
        <v>73</v>
      </c>
      <c r="J517" s="3" t="s">
        <v>53</v>
      </c>
      <c r="K517" s="3" t="s">
        <v>53</v>
      </c>
      <c r="L517" s="6" t="s">
        <v>805</v>
      </c>
      <c r="M517" s="6" t="s">
        <v>311</v>
      </c>
      <c r="N517" s="3" t="s">
        <v>140</v>
      </c>
      <c r="O517" s="3" t="s">
        <v>62</v>
      </c>
      <c r="P517" s="3" t="s">
        <v>1219</v>
      </c>
      <c r="Q517" s="137">
        <v>155</v>
      </c>
      <c r="R517" s="139">
        <v>1</v>
      </c>
      <c r="S517" s="140">
        <v>23700</v>
      </c>
      <c r="U517" s="137">
        <v>36.734999999999999</v>
      </c>
      <c r="V517" s="138">
        <v>1.7E-5</v>
      </c>
      <c r="W517" s="138">
        <v>2.70378538265872E-3</v>
      </c>
      <c r="X517" s="138">
        <v>4.2081861182330501E-4</v>
      </c>
    </row>
    <row r="518" spans="1:24" x14ac:dyDescent="0.2">
      <c r="A518" s="3">
        <v>559</v>
      </c>
      <c r="B518" s="3">
        <v>7206</v>
      </c>
      <c r="C518" s="3" t="s">
        <v>1762</v>
      </c>
      <c r="D518" s="3" t="s">
        <v>1763</v>
      </c>
      <c r="E518" s="3" t="s">
        <v>1477</v>
      </c>
      <c r="F518" s="3" t="s">
        <v>2597</v>
      </c>
      <c r="G518" s="3" t="s">
        <v>2598</v>
      </c>
      <c r="H518" s="3" t="s">
        <v>76</v>
      </c>
      <c r="I518" s="3" t="s">
        <v>73</v>
      </c>
      <c r="J518" s="3" t="s">
        <v>53</v>
      </c>
      <c r="K518" s="3" t="s">
        <v>53</v>
      </c>
      <c r="L518" s="6" t="s">
        <v>805</v>
      </c>
      <c r="M518" s="6" t="s">
        <v>311</v>
      </c>
      <c r="N518" s="3" t="s">
        <v>631</v>
      </c>
      <c r="O518" s="3" t="s">
        <v>62</v>
      </c>
      <c r="P518" s="3" t="s">
        <v>1219</v>
      </c>
      <c r="Q518" s="137">
        <v>1871</v>
      </c>
      <c r="R518" s="139">
        <v>1</v>
      </c>
      <c r="S518" s="140">
        <v>1532</v>
      </c>
      <c r="U518" s="137">
        <v>28.664000000000001</v>
      </c>
      <c r="V518" s="138">
        <v>1.1E-5</v>
      </c>
      <c r="W518" s="138">
        <v>2.10971953582748E-3</v>
      </c>
      <c r="X518" s="138">
        <v>3.2835788376458201E-4</v>
      </c>
    </row>
    <row r="519" spans="1:24" x14ac:dyDescent="0.2">
      <c r="A519" s="3">
        <v>559</v>
      </c>
      <c r="B519" s="3">
        <v>7206</v>
      </c>
      <c r="C519" s="3" t="s">
        <v>2295</v>
      </c>
      <c r="D519" s="3" t="s">
        <v>2296</v>
      </c>
      <c r="E519" s="3" t="s">
        <v>1477</v>
      </c>
      <c r="F519" s="3" t="s">
        <v>2599</v>
      </c>
      <c r="G519" s="3" t="s">
        <v>2600</v>
      </c>
      <c r="H519" s="3" t="s">
        <v>76</v>
      </c>
      <c r="I519" s="3" t="s">
        <v>73</v>
      </c>
      <c r="J519" s="3" t="s">
        <v>53</v>
      </c>
      <c r="K519" s="3" t="s">
        <v>53</v>
      </c>
      <c r="L519" s="6" t="s">
        <v>805</v>
      </c>
      <c r="M519" s="6" t="s">
        <v>311</v>
      </c>
      <c r="N519" s="3" t="s">
        <v>256</v>
      </c>
      <c r="O519" s="3" t="s">
        <v>62</v>
      </c>
      <c r="P519" s="3" t="s">
        <v>1219</v>
      </c>
      <c r="Q519" s="137">
        <v>15575</v>
      </c>
      <c r="R519" s="139">
        <v>1</v>
      </c>
      <c r="S519" s="140">
        <v>3356</v>
      </c>
      <c r="U519" s="137">
        <v>522.697</v>
      </c>
      <c r="V519" s="138">
        <v>1.2999999999999999E-5</v>
      </c>
      <c r="W519" s="138">
        <v>3.8471771012918599E-2</v>
      </c>
      <c r="X519" s="138">
        <v>5.9877671415327601E-3</v>
      </c>
    </row>
    <row r="520" spans="1:24" x14ac:dyDescent="0.2">
      <c r="A520" s="3">
        <v>559</v>
      </c>
      <c r="B520" s="3">
        <v>7206</v>
      </c>
      <c r="C520" s="3" t="s">
        <v>2601</v>
      </c>
      <c r="D520" s="3" t="s">
        <v>2602</v>
      </c>
      <c r="E520" s="3" t="s">
        <v>1477</v>
      </c>
      <c r="F520" s="3" t="s">
        <v>2603</v>
      </c>
      <c r="G520" s="3" t="s">
        <v>2604</v>
      </c>
      <c r="H520" s="3" t="s">
        <v>76</v>
      </c>
      <c r="I520" s="3" t="s">
        <v>73</v>
      </c>
      <c r="J520" s="3" t="s">
        <v>53</v>
      </c>
      <c r="K520" s="3" t="s">
        <v>53</v>
      </c>
      <c r="L520" s="6" t="s">
        <v>805</v>
      </c>
      <c r="M520" s="6" t="s">
        <v>311</v>
      </c>
      <c r="N520" s="3" t="s">
        <v>75</v>
      </c>
      <c r="O520" s="3" t="s">
        <v>62</v>
      </c>
      <c r="P520" s="3" t="s">
        <v>1219</v>
      </c>
      <c r="Q520" s="137">
        <v>1415</v>
      </c>
      <c r="R520" s="139">
        <v>1</v>
      </c>
      <c r="S520" s="140">
        <v>4845</v>
      </c>
      <c r="U520" s="137">
        <v>68.557000000000002</v>
      </c>
      <c r="V520" s="138">
        <v>5.1E-5</v>
      </c>
      <c r="W520" s="138">
        <v>5.0459436105237E-3</v>
      </c>
      <c r="X520" s="138">
        <v>7.85353378688373E-4</v>
      </c>
    </row>
    <row r="521" spans="1:24" x14ac:dyDescent="0.2">
      <c r="A521" s="3">
        <v>559</v>
      </c>
      <c r="B521" s="3">
        <v>7206</v>
      </c>
      <c r="C521" s="3" t="s">
        <v>2605</v>
      </c>
      <c r="D521" s="3" t="s">
        <v>2606</v>
      </c>
      <c r="E521" s="3" t="s">
        <v>1477</v>
      </c>
      <c r="F521" s="3" t="s">
        <v>2607</v>
      </c>
      <c r="G521" s="3" t="s">
        <v>2608</v>
      </c>
      <c r="H521" s="3" t="s">
        <v>76</v>
      </c>
      <c r="I521" s="3" t="s">
        <v>73</v>
      </c>
      <c r="J521" s="3" t="s">
        <v>53</v>
      </c>
      <c r="K521" s="3" t="s">
        <v>53</v>
      </c>
      <c r="L521" s="6" t="s">
        <v>805</v>
      </c>
      <c r="M521" s="6" t="s">
        <v>311</v>
      </c>
      <c r="N521" s="3" t="s">
        <v>75</v>
      </c>
      <c r="O521" s="3" t="s">
        <v>62</v>
      </c>
      <c r="P521" s="3" t="s">
        <v>1219</v>
      </c>
      <c r="Q521" s="137">
        <v>721</v>
      </c>
      <c r="R521" s="139">
        <v>1</v>
      </c>
      <c r="S521" s="140">
        <v>2836</v>
      </c>
      <c r="T521" s="131">
        <v>1.4419999999999999</v>
      </c>
      <c r="U521" s="137">
        <v>21.89</v>
      </c>
      <c r="V521" s="138">
        <v>6.9999999999999999E-6</v>
      </c>
      <c r="W521" s="138">
        <v>1.6111248771153101E-3</v>
      </c>
      <c r="X521" s="138">
        <v>2.5075634279632402E-4</v>
      </c>
    </row>
    <row r="522" spans="1:24" x14ac:dyDescent="0.2">
      <c r="A522" s="3">
        <v>559</v>
      </c>
      <c r="B522" s="3">
        <v>7206</v>
      </c>
      <c r="C522" s="3" t="s">
        <v>2609</v>
      </c>
      <c r="D522" s="3" t="s">
        <v>2610</v>
      </c>
      <c r="E522" s="3" t="s">
        <v>1477</v>
      </c>
      <c r="F522" s="3" t="s">
        <v>2611</v>
      </c>
      <c r="G522" s="3" t="s">
        <v>2612</v>
      </c>
      <c r="H522" s="3" t="s">
        <v>76</v>
      </c>
      <c r="I522" s="3" t="s">
        <v>73</v>
      </c>
      <c r="J522" s="3" t="s">
        <v>53</v>
      </c>
      <c r="K522" s="3" t="s">
        <v>53</v>
      </c>
      <c r="L522" s="6" t="s">
        <v>805</v>
      </c>
      <c r="M522" s="6" t="s">
        <v>311</v>
      </c>
      <c r="N522" s="3" t="s">
        <v>140</v>
      </c>
      <c r="O522" s="3" t="s">
        <v>62</v>
      </c>
      <c r="P522" s="3" t="s">
        <v>1219</v>
      </c>
      <c r="Q522" s="137">
        <v>392</v>
      </c>
      <c r="R522" s="139">
        <v>1</v>
      </c>
      <c r="S522" s="140">
        <v>36740</v>
      </c>
      <c r="U522" s="137">
        <v>144.02099999999999</v>
      </c>
      <c r="V522" s="138">
        <v>1.9000000000000001E-5</v>
      </c>
      <c r="W522" s="138">
        <v>1.06002813077124E-2</v>
      </c>
      <c r="X522" s="138">
        <v>1.64983348658451E-3</v>
      </c>
    </row>
    <row r="523" spans="1:24" x14ac:dyDescent="0.2">
      <c r="A523" s="3">
        <v>559</v>
      </c>
      <c r="B523" s="3">
        <v>7206</v>
      </c>
      <c r="C523" s="3" t="s">
        <v>2613</v>
      </c>
      <c r="D523" s="3" t="s">
        <v>2614</v>
      </c>
      <c r="E523" s="3" t="s">
        <v>1477</v>
      </c>
      <c r="F523" s="3" t="s">
        <v>2615</v>
      </c>
      <c r="G523" s="3" t="s">
        <v>2616</v>
      </c>
      <c r="H523" s="3" t="s">
        <v>76</v>
      </c>
      <c r="I523" s="3" t="s">
        <v>73</v>
      </c>
      <c r="J523" s="3" t="s">
        <v>53</v>
      </c>
      <c r="K523" s="3" t="s">
        <v>53</v>
      </c>
      <c r="L523" s="6" t="s">
        <v>805</v>
      </c>
      <c r="M523" s="6" t="s">
        <v>311</v>
      </c>
      <c r="N523" s="3" t="s">
        <v>258</v>
      </c>
      <c r="O523" s="3" t="s">
        <v>62</v>
      </c>
      <c r="P523" s="3" t="s">
        <v>1219</v>
      </c>
      <c r="Q523" s="137">
        <v>67</v>
      </c>
      <c r="R523" s="139">
        <v>1</v>
      </c>
      <c r="S523" s="140">
        <v>48100</v>
      </c>
      <c r="U523" s="137">
        <v>32.226999999999997</v>
      </c>
      <c r="V523" s="138">
        <v>1.1E-5</v>
      </c>
      <c r="W523" s="138">
        <v>2.37198561390887E-3</v>
      </c>
      <c r="X523" s="138">
        <v>3.6917711727860799E-4</v>
      </c>
    </row>
    <row r="524" spans="1:24" x14ac:dyDescent="0.2">
      <c r="A524" s="3">
        <v>559</v>
      </c>
      <c r="B524" s="3">
        <v>7206</v>
      </c>
      <c r="C524" s="3" t="s">
        <v>2617</v>
      </c>
      <c r="D524" s="3" t="s">
        <v>2618</v>
      </c>
      <c r="E524" s="3" t="s">
        <v>1477</v>
      </c>
      <c r="F524" s="3" t="s">
        <v>2619</v>
      </c>
      <c r="G524" s="3" t="s">
        <v>2620</v>
      </c>
      <c r="H524" s="3" t="s">
        <v>76</v>
      </c>
      <c r="I524" s="3" t="s">
        <v>73</v>
      </c>
      <c r="J524" s="3" t="s">
        <v>53</v>
      </c>
      <c r="K524" s="3" t="s">
        <v>53</v>
      </c>
      <c r="L524" s="6" t="s">
        <v>805</v>
      </c>
      <c r="M524" s="6" t="s">
        <v>311</v>
      </c>
      <c r="N524" s="3" t="s">
        <v>269</v>
      </c>
      <c r="O524" s="3" t="s">
        <v>62</v>
      </c>
      <c r="P524" s="3" t="s">
        <v>1219</v>
      </c>
      <c r="Q524" s="137">
        <v>1122</v>
      </c>
      <c r="R524" s="139">
        <v>1</v>
      </c>
      <c r="S524" s="140">
        <v>9745</v>
      </c>
      <c r="U524" s="137">
        <v>109.339</v>
      </c>
      <c r="V524" s="138">
        <v>3.9999999999999998E-6</v>
      </c>
      <c r="W524" s="138">
        <v>8.0476090806038698E-3</v>
      </c>
      <c r="X524" s="138">
        <v>1.2525342076027499E-3</v>
      </c>
    </row>
    <row r="525" spans="1:24" x14ac:dyDescent="0.2">
      <c r="A525" s="3">
        <v>559</v>
      </c>
      <c r="B525" s="3">
        <v>7206</v>
      </c>
      <c r="C525" s="3" t="s">
        <v>2621</v>
      </c>
      <c r="D525" s="3" t="s">
        <v>2622</v>
      </c>
      <c r="E525" s="3" t="s">
        <v>1477</v>
      </c>
      <c r="F525" s="3" t="s">
        <v>2623</v>
      </c>
      <c r="G525" s="3" t="s">
        <v>2624</v>
      </c>
      <c r="H525" s="3" t="s">
        <v>76</v>
      </c>
      <c r="I525" s="3" t="s">
        <v>73</v>
      </c>
      <c r="J525" s="3" t="s">
        <v>53</v>
      </c>
      <c r="K525" s="3" t="s">
        <v>53</v>
      </c>
      <c r="L525" s="6" t="s">
        <v>805</v>
      </c>
      <c r="M525" s="6" t="s">
        <v>311</v>
      </c>
      <c r="N525" s="3" t="s">
        <v>269</v>
      </c>
      <c r="O525" s="3" t="s">
        <v>62</v>
      </c>
      <c r="P525" s="3" t="s">
        <v>1219</v>
      </c>
      <c r="Q525" s="137">
        <v>2436</v>
      </c>
      <c r="R525" s="139">
        <v>1</v>
      </c>
      <c r="S525" s="140">
        <v>9432</v>
      </c>
      <c r="U525" s="137">
        <v>229.76400000000001</v>
      </c>
      <c r="V525" s="138">
        <v>1.1E-5</v>
      </c>
      <c r="W525" s="138">
        <v>1.6911154126697001E-2</v>
      </c>
      <c r="X525" s="138">
        <v>2.6320611279171402E-3</v>
      </c>
    </row>
    <row r="526" spans="1:24" x14ac:dyDescent="0.2">
      <c r="A526" s="3">
        <v>559</v>
      </c>
      <c r="B526" s="3">
        <v>7206</v>
      </c>
      <c r="C526" s="3" t="s">
        <v>2625</v>
      </c>
      <c r="D526" s="3" t="s">
        <v>2626</v>
      </c>
      <c r="E526" s="3" t="s">
        <v>1477</v>
      </c>
      <c r="F526" s="3" t="s">
        <v>2627</v>
      </c>
      <c r="G526" s="3" t="s">
        <v>2628</v>
      </c>
      <c r="H526" s="3" t="s">
        <v>76</v>
      </c>
      <c r="I526" s="3" t="s">
        <v>73</v>
      </c>
      <c r="J526" s="3" t="s">
        <v>53</v>
      </c>
      <c r="K526" s="3" t="s">
        <v>53</v>
      </c>
      <c r="L526" s="6" t="s">
        <v>805</v>
      </c>
      <c r="M526" s="6" t="s">
        <v>311</v>
      </c>
      <c r="N526" s="3" t="s">
        <v>252</v>
      </c>
      <c r="O526" s="3" t="s">
        <v>62</v>
      </c>
      <c r="P526" s="3" t="s">
        <v>1219</v>
      </c>
      <c r="Q526" s="137">
        <v>1416</v>
      </c>
      <c r="R526" s="139">
        <v>1</v>
      </c>
      <c r="S526" s="140">
        <v>8680</v>
      </c>
      <c r="U526" s="137">
        <v>122.90900000000001</v>
      </c>
      <c r="V526" s="138">
        <v>2.0000000000000002E-5</v>
      </c>
      <c r="W526" s="138">
        <v>9.0463867385361003E-3</v>
      </c>
      <c r="X526" s="138">
        <v>1.4079844997105799E-3</v>
      </c>
    </row>
    <row r="527" spans="1:24" x14ac:dyDescent="0.2">
      <c r="A527" s="3">
        <v>559</v>
      </c>
      <c r="B527" s="3">
        <v>7206</v>
      </c>
      <c r="C527" s="3" t="s">
        <v>2629</v>
      </c>
      <c r="D527" s="3" t="s">
        <v>2630</v>
      </c>
      <c r="E527" s="3" t="s">
        <v>1477</v>
      </c>
      <c r="F527" s="3" t="s">
        <v>2631</v>
      </c>
      <c r="G527" s="3" t="s">
        <v>2632</v>
      </c>
      <c r="H527" s="3" t="s">
        <v>76</v>
      </c>
      <c r="I527" s="3" t="s">
        <v>73</v>
      </c>
      <c r="J527" s="3" t="s">
        <v>53</v>
      </c>
      <c r="K527" s="3" t="s">
        <v>53</v>
      </c>
      <c r="L527" s="6" t="s">
        <v>805</v>
      </c>
      <c r="M527" s="6" t="s">
        <v>311</v>
      </c>
      <c r="N527" s="3" t="s">
        <v>635</v>
      </c>
      <c r="O527" s="3" t="s">
        <v>62</v>
      </c>
      <c r="P527" s="3" t="s">
        <v>1219</v>
      </c>
      <c r="Q527" s="137">
        <v>249</v>
      </c>
      <c r="R527" s="139">
        <v>1</v>
      </c>
      <c r="S527" s="140">
        <v>21400</v>
      </c>
      <c r="U527" s="137">
        <v>53.286000000000001</v>
      </c>
      <c r="V527" s="138">
        <v>1.4E-5</v>
      </c>
      <c r="W527" s="138">
        <v>3.9219792541269199E-3</v>
      </c>
      <c r="X527" s="138">
        <v>6.1041896147043999E-4</v>
      </c>
    </row>
    <row r="528" spans="1:24" x14ac:dyDescent="0.2">
      <c r="A528" s="3">
        <v>559</v>
      </c>
      <c r="B528" s="3">
        <v>7206</v>
      </c>
      <c r="C528" s="3" t="s">
        <v>1802</v>
      </c>
      <c r="D528" s="3" t="s">
        <v>1803</v>
      </c>
      <c r="E528" s="3" t="s">
        <v>1477</v>
      </c>
      <c r="F528" s="3" t="s">
        <v>2633</v>
      </c>
      <c r="G528" s="3" t="s">
        <v>2634</v>
      </c>
      <c r="H528" s="3" t="s">
        <v>76</v>
      </c>
      <c r="I528" s="3" t="s">
        <v>73</v>
      </c>
      <c r="J528" s="3" t="s">
        <v>53</v>
      </c>
      <c r="K528" s="3" t="s">
        <v>53</v>
      </c>
      <c r="L528" s="6" t="s">
        <v>805</v>
      </c>
      <c r="M528" s="6" t="s">
        <v>311</v>
      </c>
      <c r="N528" s="3" t="s">
        <v>692</v>
      </c>
      <c r="O528" s="3" t="s">
        <v>62</v>
      </c>
      <c r="P528" s="3" t="s">
        <v>1219</v>
      </c>
      <c r="Q528" s="137">
        <v>404</v>
      </c>
      <c r="R528" s="139">
        <v>1</v>
      </c>
      <c r="S528" s="140">
        <v>112370</v>
      </c>
      <c r="U528" s="137">
        <v>453.97500000000002</v>
      </c>
      <c r="V528" s="138">
        <v>5.1999999999999997E-5</v>
      </c>
      <c r="W528" s="138">
        <v>3.3413649879826202E-2</v>
      </c>
      <c r="X528" s="138">
        <v>5.2005184466792599E-3</v>
      </c>
    </row>
    <row r="529" spans="1:24" x14ac:dyDescent="0.2">
      <c r="A529" s="3">
        <v>559</v>
      </c>
      <c r="B529" s="3">
        <v>7206</v>
      </c>
      <c r="C529" s="3" t="s">
        <v>2635</v>
      </c>
      <c r="D529" s="3" t="s">
        <v>2636</v>
      </c>
      <c r="E529" s="3" t="s">
        <v>1477</v>
      </c>
      <c r="F529" s="3" t="s">
        <v>2637</v>
      </c>
      <c r="G529" s="3" t="s">
        <v>2638</v>
      </c>
      <c r="H529" s="3" t="s">
        <v>76</v>
      </c>
      <c r="I529" s="3" t="s">
        <v>73</v>
      </c>
      <c r="J529" s="3" t="s">
        <v>53</v>
      </c>
      <c r="K529" s="3" t="s">
        <v>317</v>
      </c>
      <c r="L529" s="6" t="s">
        <v>805</v>
      </c>
      <c r="M529" s="6" t="s">
        <v>311</v>
      </c>
      <c r="N529" s="3" t="s">
        <v>254</v>
      </c>
      <c r="O529" s="3" t="s">
        <v>62</v>
      </c>
      <c r="P529" s="3" t="s">
        <v>1219</v>
      </c>
      <c r="Q529" s="137">
        <v>626</v>
      </c>
      <c r="R529" s="139">
        <v>1</v>
      </c>
      <c r="S529" s="140">
        <v>14620</v>
      </c>
      <c r="U529" s="137">
        <v>91.521000000000001</v>
      </c>
      <c r="V529" s="138">
        <v>6.0000000000000002E-6</v>
      </c>
      <c r="W529" s="138">
        <v>6.7361830070337596E-3</v>
      </c>
      <c r="X529" s="138">
        <v>1.0484231478536301E-3</v>
      </c>
    </row>
    <row r="530" spans="1:24" x14ac:dyDescent="0.2">
      <c r="A530" s="3">
        <v>559</v>
      </c>
      <c r="B530" s="3">
        <v>7206</v>
      </c>
      <c r="C530" s="3" t="s">
        <v>2325</v>
      </c>
      <c r="D530" s="3" t="s">
        <v>2326</v>
      </c>
      <c r="E530" s="3" t="s">
        <v>1477</v>
      </c>
      <c r="F530" s="3" t="s">
        <v>2639</v>
      </c>
      <c r="G530" s="3" t="s">
        <v>2640</v>
      </c>
      <c r="H530" s="3" t="s">
        <v>76</v>
      </c>
      <c r="I530" s="3" t="s">
        <v>73</v>
      </c>
      <c r="J530" s="3" t="s">
        <v>53</v>
      </c>
      <c r="K530" s="3" t="s">
        <v>314</v>
      </c>
      <c r="L530" s="6" t="s">
        <v>805</v>
      </c>
      <c r="M530" s="6" t="s">
        <v>311</v>
      </c>
      <c r="N530" s="3" t="s">
        <v>85</v>
      </c>
      <c r="O530" s="3" t="s">
        <v>62</v>
      </c>
      <c r="P530" s="3" t="s">
        <v>1219</v>
      </c>
      <c r="Q530" s="137">
        <v>4607</v>
      </c>
      <c r="R530" s="139">
        <v>1</v>
      </c>
      <c r="S530" s="140">
        <v>5699</v>
      </c>
      <c r="U530" s="137">
        <v>262.553</v>
      </c>
      <c r="V530" s="138">
        <v>3.9999999999999998E-6</v>
      </c>
      <c r="W530" s="138">
        <v>1.9324534485047399E-2</v>
      </c>
      <c r="X530" s="138">
        <v>3.0076809454945199E-3</v>
      </c>
    </row>
    <row r="531" spans="1:24" x14ac:dyDescent="0.2">
      <c r="A531" s="3">
        <v>559</v>
      </c>
      <c r="B531" s="3">
        <v>7206</v>
      </c>
      <c r="C531" s="3" t="s">
        <v>2641</v>
      </c>
      <c r="D531" s="3" t="s">
        <v>2642</v>
      </c>
      <c r="E531" s="3" t="s">
        <v>1477</v>
      </c>
      <c r="F531" s="3" t="s">
        <v>2643</v>
      </c>
      <c r="G531" s="3" t="s">
        <v>2644</v>
      </c>
      <c r="H531" s="3" t="s">
        <v>76</v>
      </c>
      <c r="I531" s="3" t="s">
        <v>73</v>
      </c>
      <c r="J531" s="3" t="s">
        <v>53</v>
      </c>
      <c r="L531" s="6" t="s">
        <v>805</v>
      </c>
      <c r="M531" s="6" t="s">
        <v>102</v>
      </c>
      <c r="N531" s="3" t="s">
        <v>631</v>
      </c>
      <c r="O531" s="3" t="s">
        <v>62</v>
      </c>
      <c r="P531" s="3" t="s">
        <v>1219</v>
      </c>
      <c r="Q531" s="137">
        <v>3000</v>
      </c>
      <c r="R531" s="139">
        <v>1</v>
      </c>
      <c r="S531" s="140">
        <v>902.39300000000003</v>
      </c>
      <c r="U531" s="137">
        <v>27.071999999999999</v>
      </c>
      <c r="V531" s="138">
        <v>0</v>
      </c>
      <c r="W531" s="138">
        <v>1.9925487914354699E-3</v>
      </c>
      <c r="X531" s="138">
        <v>3.1012136605959302E-4</v>
      </c>
    </row>
    <row r="532" spans="1:24" x14ac:dyDescent="0.2">
      <c r="A532" s="3">
        <v>559</v>
      </c>
      <c r="B532" s="3">
        <v>7206</v>
      </c>
      <c r="C532" s="3" t="s">
        <v>2645</v>
      </c>
      <c r="D532" s="3" t="s">
        <v>2646</v>
      </c>
      <c r="E532" s="3" t="s">
        <v>1477</v>
      </c>
      <c r="F532" s="3" t="s">
        <v>2647</v>
      </c>
      <c r="G532" s="3" t="s">
        <v>2648</v>
      </c>
      <c r="H532" s="3" t="s">
        <v>76</v>
      </c>
      <c r="I532" s="3" t="s">
        <v>73</v>
      </c>
      <c r="J532" s="3" t="s">
        <v>53</v>
      </c>
      <c r="K532" s="3" t="s">
        <v>53</v>
      </c>
      <c r="L532" s="6" t="s">
        <v>805</v>
      </c>
      <c r="M532" s="6" t="s">
        <v>311</v>
      </c>
      <c r="N532" s="3" t="s">
        <v>257</v>
      </c>
      <c r="O532" s="3" t="s">
        <v>62</v>
      </c>
      <c r="P532" s="3" t="s">
        <v>1219</v>
      </c>
      <c r="Q532" s="137">
        <v>5510</v>
      </c>
      <c r="R532" s="139">
        <v>1</v>
      </c>
      <c r="S532" s="140">
        <v>1735</v>
      </c>
      <c r="U532" s="137">
        <v>95.599000000000004</v>
      </c>
      <c r="V532" s="138">
        <v>2.6999999999999999E-5</v>
      </c>
      <c r="W532" s="138">
        <v>7.0362822078154199E-3</v>
      </c>
      <c r="X532" s="138">
        <v>1.09513074894216E-3</v>
      </c>
    </row>
    <row r="533" spans="1:24" x14ac:dyDescent="0.2">
      <c r="A533" s="3">
        <v>559</v>
      </c>
      <c r="B533" s="3">
        <v>7206</v>
      </c>
      <c r="C533" s="3" t="s">
        <v>1833</v>
      </c>
      <c r="D533" s="3" t="s">
        <v>1834</v>
      </c>
      <c r="E533" s="3" t="s">
        <v>432</v>
      </c>
      <c r="F533" s="3" t="s">
        <v>2649</v>
      </c>
      <c r="G533" s="3" t="s">
        <v>2650</v>
      </c>
      <c r="H533" s="3" t="s">
        <v>76</v>
      </c>
      <c r="I533" s="3" t="s">
        <v>73</v>
      </c>
      <c r="J533" s="3" t="s">
        <v>53</v>
      </c>
      <c r="K533" s="3" t="s">
        <v>53</v>
      </c>
      <c r="L533" s="6" t="s">
        <v>805</v>
      </c>
      <c r="M533" s="6" t="s">
        <v>311</v>
      </c>
      <c r="N533" s="3" t="s">
        <v>267</v>
      </c>
      <c r="O533" s="3" t="s">
        <v>62</v>
      </c>
      <c r="P533" s="3" t="s">
        <v>1219</v>
      </c>
      <c r="Q533" s="137">
        <v>79678.899999999994</v>
      </c>
      <c r="R533" s="139">
        <v>1</v>
      </c>
      <c r="S533" s="140">
        <v>229.9</v>
      </c>
      <c r="U533" s="137">
        <v>183.18199999999999</v>
      </c>
      <c r="V533" s="138">
        <v>3.1000000000000001E-5</v>
      </c>
      <c r="W533" s="138">
        <v>1.34826255381904E-2</v>
      </c>
      <c r="X533" s="138">
        <v>2.0984430935622302E-3</v>
      </c>
    </row>
    <row r="534" spans="1:24" x14ac:dyDescent="0.2">
      <c r="A534" s="3">
        <v>559</v>
      </c>
      <c r="B534" s="3">
        <v>7206</v>
      </c>
      <c r="C534" s="3" t="s">
        <v>2651</v>
      </c>
      <c r="D534" s="3" t="s">
        <v>2652</v>
      </c>
      <c r="E534" s="3" t="s">
        <v>1477</v>
      </c>
      <c r="F534" s="3" t="s">
        <v>2653</v>
      </c>
      <c r="G534" s="3" t="s">
        <v>2654</v>
      </c>
      <c r="H534" s="3" t="s">
        <v>76</v>
      </c>
      <c r="I534" s="3" t="s">
        <v>73</v>
      </c>
      <c r="J534" s="3" t="s">
        <v>53</v>
      </c>
      <c r="K534" s="3" t="s">
        <v>53</v>
      </c>
      <c r="L534" s="6" t="s">
        <v>805</v>
      </c>
      <c r="M534" s="6" t="s">
        <v>311</v>
      </c>
      <c r="N534" s="3" t="s">
        <v>635</v>
      </c>
      <c r="O534" s="3" t="s">
        <v>62</v>
      </c>
      <c r="P534" s="3" t="s">
        <v>1219</v>
      </c>
      <c r="Q534" s="137">
        <v>43</v>
      </c>
      <c r="R534" s="139">
        <v>1</v>
      </c>
      <c r="S534" s="140">
        <v>45650</v>
      </c>
      <c r="U534" s="137">
        <v>19.63</v>
      </c>
      <c r="V534" s="138">
        <v>6.9999999999999999E-6</v>
      </c>
      <c r="W534" s="138">
        <v>1.44477896199535E-3</v>
      </c>
      <c r="X534" s="138">
        <v>2.2486617505881499E-4</v>
      </c>
    </row>
    <row r="535" spans="1:24" x14ac:dyDescent="0.2">
      <c r="A535" s="3">
        <v>559</v>
      </c>
      <c r="B535" s="3">
        <v>7206</v>
      </c>
      <c r="C535" s="3" t="s">
        <v>1849</v>
      </c>
      <c r="D535" s="3" t="s">
        <v>1850</v>
      </c>
      <c r="E535" s="3" t="s">
        <v>1477</v>
      </c>
      <c r="F535" s="3" t="s">
        <v>2655</v>
      </c>
      <c r="G535" s="3" t="s">
        <v>2656</v>
      </c>
      <c r="H535" s="3" t="s">
        <v>76</v>
      </c>
      <c r="I535" s="3" t="s">
        <v>73</v>
      </c>
      <c r="J535" s="3" t="s">
        <v>53</v>
      </c>
      <c r="K535" s="3" t="s">
        <v>53</v>
      </c>
      <c r="L535" s="6" t="s">
        <v>805</v>
      </c>
      <c r="M535" s="6" t="s">
        <v>311</v>
      </c>
      <c r="N535" s="3" t="s">
        <v>269</v>
      </c>
      <c r="O535" s="3" t="s">
        <v>62</v>
      </c>
      <c r="P535" s="3" t="s">
        <v>1219</v>
      </c>
      <c r="Q535" s="137">
        <v>1516</v>
      </c>
      <c r="R535" s="139">
        <v>1</v>
      </c>
      <c r="S535" s="140">
        <v>14880</v>
      </c>
      <c r="U535" s="137">
        <v>225.58099999999999</v>
      </c>
      <c r="V535" s="138">
        <v>1.9000000000000001E-5</v>
      </c>
      <c r="W535" s="138">
        <v>1.66032957574101E-2</v>
      </c>
      <c r="X535" s="138">
        <v>2.5841458856673601E-3</v>
      </c>
    </row>
    <row r="536" spans="1:24" x14ac:dyDescent="0.2">
      <c r="A536" s="3">
        <v>559</v>
      </c>
      <c r="B536" s="3">
        <v>7206</v>
      </c>
      <c r="C536" s="3" t="s">
        <v>2873</v>
      </c>
      <c r="D536" s="3" t="s">
        <v>2874</v>
      </c>
      <c r="E536" s="3" t="s">
        <v>1477</v>
      </c>
      <c r="F536" s="3" t="s">
        <v>2875</v>
      </c>
      <c r="G536" s="3" t="s">
        <v>2876</v>
      </c>
      <c r="H536" s="3" t="s">
        <v>76</v>
      </c>
      <c r="I536" s="3" t="s">
        <v>73</v>
      </c>
      <c r="J536" s="3" t="s">
        <v>53</v>
      </c>
      <c r="K536" s="3" t="s">
        <v>53</v>
      </c>
      <c r="L536" s="6" t="s">
        <v>805</v>
      </c>
      <c r="M536" s="6" t="s">
        <v>311</v>
      </c>
      <c r="N536" s="3" t="s">
        <v>265</v>
      </c>
      <c r="O536" s="3" t="s">
        <v>62</v>
      </c>
      <c r="P536" s="3" t="s">
        <v>1219</v>
      </c>
      <c r="Q536" s="137">
        <v>133</v>
      </c>
      <c r="R536" s="139">
        <v>1</v>
      </c>
      <c r="S536" s="140">
        <v>2980</v>
      </c>
      <c r="U536" s="137">
        <v>3.9630000000000001</v>
      </c>
      <c r="V536" s="138">
        <v>6.0000000000000002E-6</v>
      </c>
      <c r="W536" s="138">
        <v>2.9171588364310802E-4</v>
      </c>
      <c r="X536" s="138">
        <v>4.5402817098148599E-5</v>
      </c>
    </row>
    <row r="537" spans="1:24" x14ac:dyDescent="0.2">
      <c r="A537" s="3">
        <v>559</v>
      </c>
      <c r="B537" s="3">
        <v>7206</v>
      </c>
      <c r="C537" s="3" t="s">
        <v>1220</v>
      </c>
      <c r="D537" s="3" t="s">
        <v>1483</v>
      </c>
      <c r="E537" s="3" t="s">
        <v>1477</v>
      </c>
      <c r="F537" s="3" t="s">
        <v>2657</v>
      </c>
      <c r="G537" s="3" t="s">
        <v>2658</v>
      </c>
      <c r="H537" s="3" t="s">
        <v>76</v>
      </c>
      <c r="I537" s="3" t="s">
        <v>73</v>
      </c>
      <c r="J537" s="3" t="s">
        <v>53</v>
      </c>
      <c r="K537" s="3" t="s">
        <v>53</v>
      </c>
      <c r="L537" s="6" t="s">
        <v>805</v>
      </c>
      <c r="M537" s="6" t="s">
        <v>311</v>
      </c>
      <c r="N537" s="3" t="s">
        <v>256</v>
      </c>
      <c r="O537" s="3" t="s">
        <v>62</v>
      </c>
      <c r="P537" s="3" t="s">
        <v>1219</v>
      </c>
      <c r="Q537" s="137">
        <v>14219</v>
      </c>
      <c r="R537" s="139">
        <v>1</v>
      </c>
      <c r="S537" s="140">
        <v>6262</v>
      </c>
      <c r="U537" s="137">
        <v>890.39400000000001</v>
      </c>
      <c r="V537" s="138">
        <v>9.0000000000000002E-6</v>
      </c>
      <c r="W537" s="138">
        <v>6.5535148691281894E-2</v>
      </c>
      <c r="X537" s="138">
        <v>1.0199925805790299E-2</v>
      </c>
    </row>
    <row r="538" spans="1:24" x14ac:dyDescent="0.2">
      <c r="A538" s="3">
        <v>559</v>
      </c>
      <c r="B538" s="3">
        <v>7206</v>
      </c>
      <c r="C538" s="3" t="s">
        <v>2487</v>
      </c>
      <c r="D538" s="3" t="s">
        <v>2488</v>
      </c>
      <c r="E538" s="3" t="s">
        <v>1477</v>
      </c>
      <c r="F538" s="3" t="s">
        <v>2659</v>
      </c>
      <c r="G538" s="3" t="s">
        <v>2660</v>
      </c>
      <c r="H538" s="3" t="s">
        <v>76</v>
      </c>
      <c r="I538" s="3" t="s">
        <v>73</v>
      </c>
      <c r="J538" s="3" t="s">
        <v>53</v>
      </c>
      <c r="K538" s="3" t="s">
        <v>53</v>
      </c>
      <c r="L538" s="6" t="s">
        <v>805</v>
      </c>
      <c r="M538" s="6" t="s">
        <v>311</v>
      </c>
      <c r="N538" s="3" t="s">
        <v>692</v>
      </c>
      <c r="O538" s="3" t="s">
        <v>62</v>
      </c>
      <c r="P538" s="3" t="s">
        <v>1219</v>
      </c>
      <c r="Q538" s="137">
        <v>20387</v>
      </c>
      <c r="R538" s="139">
        <v>1</v>
      </c>
      <c r="S538" s="140">
        <v>519.29999999999995</v>
      </c>
      <c r="U538" s="137">
        <v>105.87</v>
      </c>
      <c r="V538" s="138">
        <v>7.6000000000000004E-5</v>
      </c>
      <c r="W538" s="138">
        <v>7.7922668570136197E-3</v>
      </c>
      <c r="X538" s="138">
        <v>1.2127926065273499E-3</v>
      </c>
    </row>
    <row r="539" spans="1:24" x14ac:dyDescent="0.2">
      <c r="A539" s="3">
        <v>559</v>
      </c>
      <c r="B539" s="3">
        <v>7206</v>
      </c>
      <c r="C539" s="3" t="s">
        <v>1871</v>
      </c>
      <c r="D539" s="3" t="s">
        <v>1872</v>
      </c>
      <c r="E539" s="3" t="s">
        <v>1477</v>
      </c>
      <c r="F539" s="3" t="s">
        <v>2661</v>
      </c>
      <c r="G539" s="3" t="s">
        <v>2662</v>
      </c>
      <c r="H539" s="3" t="s">
        <v>76</v>
      </c>
      <c r="I539" s="3" t="s">
        <v>73</v>
      </c>
      <c r="J539" s="3" t="s">
        <v>53</v>
      </c>
      <c r="K539" s="3" t="s">
        <v>53</v>
      </c>
      <c r="L539" s="6" t="s">
        <v>805</v>
      </c>
      <c r="M539" s="6" t="s">
        <v>311</v>
      </c>
      <c r="N539" s="3" t="s">
        <v>692</v>
      </c>
      <c r="O539" s="3" t="s">
        <v>62</v>
      </c>
      <c r="P539" s="3" t="s">
        <v>1219</v>
      </c>
      <c r="Q539" s="137">
        <v>840</v>
      </c>
      <c r="R539" s="139">
        <v>1</v>
      </c>
      <c r="S539" s="140">
        <v>8096</v>
      </c>
      <c r="U539" s="137">
        <v>68.006</v>
      </c>
      <c r="V539" s="138">
        <v>1.2999999999999999E-5</v>
      </c>
      <c r="W539" s="138">
        <v>5.0054365114262098E-3</v>
      </c>
      <c r="X539" s="138">
        <v>7.7904883198857803E-4</v>
      </c>
    </row>
    <row r="540" spans="1:24" x14ac:dyDescent="0.2">
      <c r="A540" s="3">
        <v>559</v>
      </c>
      <c r="B540" s="3">
        <v>7206</v>
      </c>
      <c r="C540" s="3" t="s">
        <v>2663</v>
      </c>
      <c r="D540" s="3" t="s">
        <v>2664</v>
      </c>
      <c r="E540" s="3" t="s">
        <v>1477</v>
      </c>
      <c r="F540" s="3" t="s">
        <v>2665</v>
      </c>
      <c r="G540" s="3" t="s">
        <v>2666</v>
      </c>
      <c r="H540" s="3" t="s">
        <v>76</v>
      </c>
      <c r="I540" s="3" t="s">
        <v>73</v>
      </c>
      <c r="J540" s="3" t="s">
        <v>53</v>
      </c>
      <c r="K540" s="3" t="s">
        <v>53</v>
      </c>
      <c r="L540" s="6" t="s">
        <v>805</v>
      </c>
      <c r="M540" s="6" t="s">
        <v>311</v>
      </c>
      <c r="N540" s="3" t="s">
        <v>634</v>
      </c>
      <c r="O540" s="3" t="s">
        <v>62</v>
      </c>
      <c r="P540" s="3" t="s">
        <v>1219</v>
      </c>
      <c r="Q540" s="137">
        <v>166</v>
      </c>
      <c r="R540" s="139">
        <v>1</v>
      </c>
      <c r="S540" s="140">
        <v>30850</v>
      </c>
      <c r="U540" s="137">
        <v>51.210999999999999</v>
      </c>
      <c r="V540" s="138">
        <v>1.1E-5</v>
      </c>
      <c r="W540" s="138">
        <v>3.7692542052901999E-3</v>
      </c>
      <c r="X540" s="138">
        <v>5.86648752690439E-4</v>
      </c>
    </row>
    <row r="541" spans="1:24" x14ac:dyDescent="0.2">
      <c r="A541" s="3">
        <v>559</v>
      </c>
      <c r="B541" s="3">
        <v>7206</v>
      </c>
      <c r="C541" s="3" t="s">
        <v>2667</v>
      </c>
      <c r="D541" s="3" t="s">
        <v>2668</v>
      </c>
      <c r="E541" s="3" t="s">
        <v>1477</v>
      </c>
      <c r="F541" s="3" t="s">
        <v>2669</v>
      </c>
      <c r="G541" s="3" t="s">
        <v>2670</v>
      </c>
      <c r="H541" s="3" t="s">
        <v>76</v>
      </c>
      <c r="I541" s="3" t="s">
        <v>73</v>
      </c>
      <c r="J541" s="3" t="s">
        <v>53</v>
      </c>
      <c r="K541" s="3" t="s">
        <v>53</v>
      </c>
      <c r="L541" s="6" t="s">
        <v>805</v>
      </c>
      <c r="M541" s="6" t="s">
        <v>311</v>
      </c>
      <c r="N541" s="3" t="s">
        <v>692</v>
      </c>
      <c r="O541" s="3" t="s">
        <v>62</v>
      </c>
      <c r="P541" s="3" t="s">
        <v>1219</v>
      </c>
      <c r="Q541" s="137">
        <v>211</v>
      </c>
      <c r="R541" s="139">
        <v>1</v>
      </c>
      <c r="S541" s="140">
        <v>28350</v>
      </c>
      <c r="U541" s="137">
        <v>59.819000000000003</v>
      </c>
      <c r="V541" s="138">
        <v>2.0000000000000002E-5</v>
      </c>
      <c r="W541" s="138">
        <v>4.4027871488381796E-3</v>
      </c>
      <c r="X541" s="138">
        <v>6.8525216091880705E-4</v>
      </c>
    </row>
    <row r="542" spans="1:24" x14ac:dyDescent="0.2">
      <c r="A542" s="3">
        <v>559</v>
      </c>
      <c r="B542" s="3">
        <v>7206</v>
      </c>
      <c r="C542" s="3" t="s">
        <v>1881</v>
      </c>
      <c r="D542" s="3" t="s">
        <v>1882</v>
      </c>
      <c r="E542" s="3" t="s">
        <v>1477</v>
      </c>
      <c r="F542" s="3" t="s">
        <v>2671</v>
      </c>
      <c r="G542" s="3" t="s">
        <v>2672</v>
      </c>
      <c r="H542" s="3" t="s">
        <v>76</v>
      </c>
      <c r="I542" s="3" t="s">
        <v>73</v>
      </c>
      <c r="J542" s="3" t="s">
        <v>53</v>
      </c>
      <c r="K542" s="3" t="s">
        <v>53</v>
      </c>
      <c r="L542" s="6" t="s">
        <v>805</v>
      </c>
      <c r="M542" s="6" t="s">
        <v>311</v>
      </c>
      <c r="N542" s="3" t="s">
        <v>635</v>
      </c>
      <c r="O542" s="3" t="s">
        <v>62</v>
      </c>
      <c r="P542" s="3" t="s">
        <v>1219</v>
      </c>
      <c r="Q542" s="137">
        <v>6039.08</v>
      </c>
      <c r="R542" s="139">
        <v>1</v>
      </c>
      <c r="S542" s="140">
        <v>1262</v>
      </c>
      <c r="U542" s="137">
        <v>76.212999999999994</v>
      </c>
      <c r="V542" s="138">
        <v>7.9999999999999996E-6</v>
      </c>
      <c r="W542" s="138">
        <v>5.6094761945359303E-3</v>
      </c>
      <c r="X542" s="138">
        <v>8.7306189329245504E-4</v>
      </c>
    </row>
    <row r="543" spans="1:24" x14ac:dyDescent="0.2">
      <c r="A543" s="3">
        <v>559</v>
      </c>
      <c r="B543" s="3">
        <v>7206</v>
      </c>
      <c r="C543" s="3" t="s">
        <v>2673</v>
      </c>
      <c r="D543" s="3" t="s">
        <v>2674</v>
      </c>
      <c r="E543" s="3" t="s">
        <v>1477</v>
      </c>
      <c r="F543" s="3" t="s">
        <v>2675</v>
      </c>
      <c r="G543" s="3" t="s">
        <v>2676</v>
      </c>
      <c r="H543" s="3" t="s">
        <v>76</v>
      </c>
      <c r="I543" s="3" t="s">
        <v>73</v>
      </c>
      <c r="J543" s="3" t="s">
        <v>53</v>
      </c>
      <c r="K543" s="3" t="s">
        <v>53</v>
      </c>
      <c r="L543" s="6" t="s">
        <v>805</v>
      </c>
      <c r="M543" s="6" t="s">
        <v>311</v>
      </c>
      <c r="N543" s="3" t="s">
        <v>269</v>
      </c>
      <c r="O543" s="3" t="s">
        <v>62</v>
      </c>
      <c r="P543" s="3" t="s">
        <v>1219</v>
      </c>
      <c r="Q543" s="137">
        <v>19642</v>
      </c>
      <c r="R543" s="139">
        <v>1</v>
      </c>
      <c r="S543" s="140">
        <v>927.1</v>
      </c>
      <c r="U543" s="137">
        <v>182.101</v>
      </c>
      <c r="V543" s="138">
        <v>1.9000000000000001E-5</v>
      </c>
      <c r="W543" s="138">
        <v>1.3403075358633399E-2</v>
      </c>
      <c r="X543" s="138">
        <v>2.0860618608112302E-3</v>
      </c>
    </row>
    <row r="544" spans="1:24" x14ac:dyDescent="0.2">
      <c r="A544" s="3">
        <v>559</v>
      </c>
      <c r="B544" s="3">
        <v>7206</v>
      </c>
      <c r="C544" s="3" t="s">
        <v>1489</v>
      </c>
      <c r="D544" s="3" t="s">
        <v>1490</v>
      </c>
      <c r="E544" s="3" t="s">
        <v>1477</v>
      </c>
      <c r="F544" s="3" t="s">
        <v>2677</v>
      </c>
      <c r="G544" s="3" t="s">
        <v>2678</v>
      </c>
      <c r="H544" s="3" t="s">
        <v>76</v>
      </c>
      <c r="I544" s="3" t="s">
        <v>73</v>
      </c>
      <c r="J544" s="3" t="s">
        <v>53</v>
      </c>
      <c r="K544" s="3" t="s">
        <v>53</v>
      </c>
      <c r="L544" s="6" t="s">
        <v>805</v>
      </c>
      <c r="M544" s="6" t="s">
        <v>311</v>
      </c>
      <c r="N544" s="3" t="s">
        <v>635</v>
      </c>
      <c r="O544" s="3" t="s">
        <v>62</v>
      </c>
      <c r="P544" s="3" t="s">
        <v>1219</v>
      </c>
      <c r="Q544" s="137">
        <v>1361</v>
      </c>
      <c r="R544" s="139">
        <v>1</v>
      </c>
      <c r="S544" s="140">
        <v>15730</v>
      </c>
      <c r="U544" s="137">
        <v>214.08500000000001</v>
      </c>
      <c r="V544" s="138">
        <v>3.6999999999999998E-5</v>
      </c>
      <c r="W544" s="138">
        <v>1.5757198986854699E-2</v>
      </c>
      <c r="X544" s="138">
        <v>2.4524589290261601E-3</v>
      </c>
    </row>
    <row r="545" spans="1:24" x14ac:dyDescent="0.2">
      <c r="A545" s="3">
        <v>559</v>
      </c>
      <c r="B545" s="3">
        <v>7206</v>
      </c>
      <c r="C545" s="3" t="s">
        <v>2679</v>
      </c>
      <c r="D545" s="3" t="s">
        <v>2680</v>
      </c>
      <c r="E545" s="3" t="s">
        <v>1477</v>
      </c>
      <c r="F545" s="3" t="s">
        <v>2681</v>
      </c>
      <c r="G545" s="3" t="s">
        <v>2682</v>
      </c>
      <c r="H545" s="3" t="s">
        <v>76</v>
      </c>
      <c r="I545" s="3" t="s">
        <v>73</v>
      </c>
      <c r="J545" s="3" t="s">
        <v>53</v>
      </c>
      <c r="K545" s="3" t="s">
        <v>53</v>
      </c>
      <c r="L545" s="6" t="s">
        <v>805</v>
      </c>
      <c r="M545" s="6" t="s">
        <v>311</v>
      </c>
      <c r="N545" s="3" t="s">
        <v>253</v>
      </c>
      <c r="O545" s="3" t="s">
        <v>62</v>
      </c>
      <c r="P545" s="3" t="s">
        <v>1219</v>
      </c>
      <c r="Q545" s="137">
        <v>1247</v>
      </c>
      <c r="R545" s="139">
        <v>1</v>
      </c>
      <c r="S545" s="140">
        <v>6440</v>
      </c>
      <c r="U545" s="137">
        <v>80.307000000000002</v>
      </c>
      <c r="V545" s="138">
        <v>2.5000000000000001E-5</v>
      </c>
      <c r="W545" s="138">
        <v>5.9107758804436399E-3</v>
      </c>
      <c r="X545" s="138">
        <v>9.1995633853196698E-4</v>
      </c>
    </row>
    <row r="546" spans="1:24" x14ac:dyDescent="0.2">
      <c r="A546" s="3">
        <v>559</v>
      </c>
      <c r="B546" s="3">
        <v>7206</v>
      </c>
      <c r="C546" s="3" t="s">
        <v>2500</v>
      </c>
      <c r="D546" s="3" t="s">
        <v>2501</v>
      </c>
      <c r="E546" s="3" t="s">
        <v>1477</v>
      </c>
      <c r="F546" s="3" t="s">
        <v>2683</v>
      </c>
      <c r="G546" s="3" t="s">
        <v>2684</v>
      </c>
      <c r="H546" s="3" t="s">
        <v>76</v>
      </c>
      <c r="I546" s="3" t="s">
        <v>73</v>
      </c>
      <c r="J546" s="3" t="s">
        <v>53</v>
      </c>
      <c r="K546" s="3" t="s">
        <v>53</v>
      </c>
      <c r="L546" s="6" t="s">
        <v>805</v>
      </c>
      <c r="M546" s="6" t="s">
        <v>311</v>
      </c>
      <c r="N546" s="3" t="s">
        <v>257</v>
      </c>
      <c r="O546" s="3" t="s">
        <v>62</v>
      </c>
      <c r="P546" s="3" t="s">
        <v>1219</v>
      </c>
      <c r="Q546" s="137">
        <v>98.47</v>
      </c>
      <c r="R546" s="139">
        <v>1</v>
      </c>
      <c r="S546" s="140">
        <v>2690</v>
      </c>
      <c r="U546" s="137">
        <v>2.649</v>
      </c>
      <c r="V546" s="138">
        <v>9.9999999999999995E-7</v>
      </c>
      <c r="W546" s="138">
        <v>1.9496128989677101E-4</v>
      </c>
      <c r="X546" s="138">
        <v>3.0343880065275E-5</v>
      </c>
    </row>
    <row r="547" spans="1:24" x14ac:dyDescent="0.2">
      <c r="A547" s="3">
        <v>559</v>
      </c>
      <c r="B547" s="3">
        <v>7206</v>
      </c>
      <c r="C547" s="3" t="s">
        <v>2685</v>
      </c>
      <c r="D547" s="3" t="s">
        <v>2686</v>
      </c>
      <c r="E547" s="3" t="s">
        <v>1477</v>
      </c>
      <c r="F547" s="3" t="s">
        <v>2687</v>
      </c>
      <c r="G547" s="3" t="s">
        <v>2688</v>
      </c>
      <c r="H547" s="3" t="s">
        <v>76</v>
      </c>
      <c r="I547" s="3" t="s">
        <v>73</v>
      </c>
      <c r="J547" s="3" t="s">
        <v>53</v>
      </c>
      <c r="K547" s="3" t="s">
        <v>53</v>
      </c>
      <c r="L547" s="6" t="s">
        <v>805</v>
      </c>
      <c r="M547" s="6" t="s">
        <v>311</v>
      </c>
      <c r="N547" s="3" t="s">
        <v>256</v>
      </c>
      <c r="O547" s="3" t="s">
        <v>62</v>
      </c>
      <c r="P547" s="3" t="s">
        <v>1219</v>
      </c>
      <c r="Q547" s="137">
        <v>1558.3</v>
      </c>
      <c r="R547" s="139">
        <v>1</v>
      </c>
      <c r="S547" s="140">
        <v>21950</v>
      </c>
      <c r="U547" s="137">
        <v>342.04700000000003</v>
      </c>
      <c r="V547" s="138">
        <v>6.0000000000000002E-6</v>
      </c>
      <c r="W547" s="138">
        <v>2.51754804196123E-2</v>
      </c>
      <c r="X547" s="138">
        <v>3.9183253190563302E-3</v>
      </c>
    </row>
    <row r="548" spans="1:24" x14ac:dyDescent="0.2">
      <c r="A548" s="3">
        <v>559</v>
      </c>
      <c r="B548" s="3">
        <v>7206</v>
      </c>
      <c r="C548" s="3" t="s">
        <v>2689</v>
      </c>
      <c r="D548" s="3" t="s">
        <v>2690</v>
      </c>
      <c r="E548" s="3" t="s">
        <v>1477</v>
      </c>
      <c r="F548" s="3" t="s">
        <v>2691</v>
      </c>
      <c r="G548" s="3" t="s">
        <v>2692</v>
      </c>
      <c r="H548" s="3" t="s">
        <v>76</v>
      </c>
      <c r="I548" s="3" t="s">
        <v>73</v>
      </c>
      <c r="J548" s="3" t="s">
        <v>53</v>
      </c>
      <c r="K548" s="3" t="s">
        <v>53</v>
      </c>
      <c r="L548" s="6" t="s">
        <v>805</v>
      </c>
      <c r="M548" s="6" t="s">
        <v>311</v>
      </c>
      <c r="N548" s="3" t="s">
        <v>252</v>
      </c>
      <c r="O548" s="3" t="s">
        <v>62</v>
      </c>
      <c r="P548" s="3" t="s">
        <v>1219</v>
      </c>
      <c r="Q548" s="137">
        <v>49</v>
      </c>
      <c r="R548" s="139">
        <v>1</v>
      </c>
      <c r="S548" s="140">
        <v>48250</v>
      </c>
      <c r="U548" s="137">
        <v>23.641999999999999</v>
      </c>
      <c r="V548" s="138">
        <v>1.1E-5</v>
      </c>
      <c r="W548" s="138">
        <v>1.74014552632391E-3</v>
      </c>
      <c r="X548" s="138">
        <v>2.70837186063223E-4</v>
      </c>
    </row>
    <row r="549" spans="1:24" x14ac:dyDescent="0.2">
      <c r="A549" s="3">
        <v>559</v>
      </c>
      <c r="B549" s="3">
        <v>7206</v>
      </c>
      <c r="C549" s="3" t="s">
        <v>2693</v>
      </c>
      <c r="D549" s="3" t="s">
        <v>2694</v>
      </c>
      <c r="E549" s="3" t="s">
        <v>1477</v>
      </c>
      <c r="F549" s="3" t="s">
        <v>2695</v>
      </c>
      <c r="G549" s="3" t="s">
        <v>2696</v>
      </c>
      <c r="H549" s="3" t="s">
        <v>76</v>
      </c>
      <c r="I549" s="3" t="s">
        <v>73</v>
      </c>
      <c r="J549" s="3" t="s">
        <v>53</v>
      </c>
      <c r="K549" s="3" t="s">
        <v>53</v>
      </c>
      <c r="L549" s="6" t="s">
        <v>805</v>
      </c>
      <c r="M549" s="6" t="s">
        <v>311</v>
      </c>
      <c r="N549" s="3" t="s">
        <v>252</v>
      </c>
      <c r="O549" s="3" t="s">
        <v>62</v>
      </c>
      <c r="P549" s="3" t="s">
        <v>1219</v>
      </c>
      <c r="Q549" s="137">
        <v>360</v>
      </c>
      <c r="R549" s="139">
        <v>1</v>
      </c>
      <c r="S549" s="140">
        <v>11720</v>
      </c>
      <c r="U549" s="137">
        <v>42.192</v>
      </c>
      <c r="V549" s="138">
        <v>6.0000000000000002E-6</v>
      </c>
      <c r="W549" s="138">
        <v>3.10543386049099E-3</v>
      </c>
      <c r="X549" s="138">
        <v>4.8333139703413299E-4</v>
      </c>
    </row>
    <row r="550" spans="1:24" x14ac:dyDescent="0.2">
      <c r="A550" s="3">
        <v>559</v>
      </c>
      <c r="B550" s="3">
        <v>7206</v>
      </c>
      <c r="C550" s="3" t="s">
        <v>1947</v>
      </c>
      <c r="D550" s="3" t="s">
        <v>1948</v>
      </c>
      <c r="E550" s="3" t="s">
        <v>1477</v>
      </c>
      <c r="F550" s="3" t="s">
        <v>2697</v>
      </c>
      <c r="G550" s="3" t="s">
        <v>2698</v>
      </c>
      <c r="H550" s="3" t="s">
        <v>76</v>
      </c>
      <c r="I550" s="3" t="s">
        <v>73</v>
      </c>
      <c r="J550" s="3" t="s">
        <v>53</v>
      </c>
      <c r="K550" s="3" t="s">
        <v>53</v>
      </c>
      <c r="L550" s="6" t="s">
        <v>805</v>
      </c>
      <c r="M550" s="6" t="s">
        <v>311</v>
      </c>
      <c r="N550" s="3" t="s">
        <v>635</v>
      </c>
      <c r="O550" s="3" t="s">
        <v>62</v>
      </c>
      <c r="P550" s="3" t="s">
        <v>1219</v>
      </c>
      <c r="Q550" s="137">
        <v>667</v>
      </c>
      <c r="R550" s="139">
        <v>1</v>
      </c>
      <c r="S550" s="140">
        <v>38400</v>
      </c>
      <c r="U550" s="137">
        <v>256.12799999999999</v>
      </c>
      <c r="V550" s="138">
        <v>1.4E-5</v>
      </c>
      <c r="W550" s="138">
        <v>1.8851644004072701E-2</v>
      </c>
      <c r="X550" s="138">
        <v>2.9340800165803598E-3</v>
      </c>
    </row>
    <row r="551" spans="1:24" x14ac:dyDescent="0.2">
      <c r="A551" s="3">
        <v>559</v>
      </c>
      <c r="B551" s="3">
        <v>7206</v>
      </c>
      <c r="C551" s="3" t="s">
        <v>2699</v>
      </c>
      <c r="D551" s="3" t="s">
        <v>2700</v>
      </c>
      <c r="E551" s="3" t="s">
        <v>1477</v>
      </c>
      <c r="F551" s="3" t="s">
        <v>2701</v>
      </c>
      <c r="G551" s="3" t="s">
        <v>2702</v>
      </c>
      <c r="H551" s="3" t="s">
        <v>76</v>
      </c>
      <c r="I551" s="3" t="s">
        <v>73</v>
      </c>
      <c r="J551" s="3" t="s">
        <v>53</v>
      </c>
      <c r="K551" s="3" t="s">
        <v>53</v>
      </c>
      <c r="L551" s="6" t="s">
        <v>805</v>
      </c>
      <c r="M551" s="6" t="s">
        <v>311</v>
      </c>
      <c r="N551" s="3" t="s">
        <v>252</v>
      </c>
      <c r="O551" s="3" t="s">
        <v>62</v>
      </c>
      <c r="P551" s="3" t="s">
        <v>1219</v>
      </c>
      <c r="Q551" s="137">
        <v>308</v>
      </c>
      <c r="R551" s="139">
        <v>1</v>
      </c>
      <c r="S551" s="140">
        <v>9951</v>
      </c>
      <c r="U551" s="137">
        <v>30.649000000000001</v>
      </c>
      <c r="V551" s="138">
        <v>1.2E-5</v>
      </c>
      <c r="W551" s="138">
        <v>2.2558468625544499E-3</v>
      </c>
      <c r="X551" s="138">
        <v>3.5110121952528698E-4</v>
      </c>
    </row>
    <row r="552" spans="1:24" x14ac:dyDescent="0.2">
      <c r="A552" s="3">
        <v>559</v>
      </c>
      <c r="B552" s="3">
        <v>7206</v>
      </c>
      <c r="C552" s="3" t="s">
        <v>2703</v>
      </c>
      <c r="D552" s="3" t="s">
        <v>2704</v>
      </c>
      <c r="E552" s="3" t="s">
        <v>1477</v>
      </c>
      <c r="F552" s="3" t="s">
        <v>2705</v>
      </c>
      <c r="G552" s="3" t="s">
        <v>2706</v>
      </c>
      <c r="H552" s="3" t="s">
        <v>76</v>
      </c>
      <c r="I552" s="3" t="s">
        <v>73</v>
      </c>
      <c r="J552" s="3" t="s">
        <v>53</v>
      </c>
      <c r="K552" s="3" t="s">
        <v>53</v>
      </c>
      <c r="L552" s="6" t="s">
        <v>805</v>
      </c>
      <c r="M552" s="6" t="s">
        <v>311</v>
      </c>
      <c r="N552" s="3" t="s">
        <v>692</v>
      </c>
      <c r="O552" s="3" t="s">
        <v>62</v>
      </c>
      <c r="P552" s="3" t="s">
        <v>1219</v>
      </c>
      <c r="Q552" s="137">
        <v>261</v>
      </c>
      <c r="R552" s="139">
        <v>1</v>
      </c>
      <c r="S552" s="140">
        <v>16220</v>
      </c>
      <c r="U552" s="137">
        <v>42.334000000000003</v>
      </c>
      <c r="V552" s="138">
        <v>3.4E-5</v>
      </c>
      <c r="W552" s="138">
        <v>3.1159001264883801E-3</v>
      </c>
      <c r="X552" s="138">
        <v>4.8496037230570698E-4</v>
      </c>
    </row>
    <row r="553" spans="1:24" x14ac:dyDescent="0.2">
      <c r="A553" s="3">
        <v>559</v>
      </c>
      <c r="B553" s="3">
        <v>7206</v>
      </c>
      <c r="C553" s="3" t="s">
        <v>1961</v>
      </c>
      <c r="D553" s="3" t="s">
        <v>1962</v>
      </c>
      <c r="E553" s="3" t="s">
        <v>1477</v>
      </c>
      <c r="F553" s="3" t="s">
        <v>2707</v>
      </c>
      <c r="G553" s="3" t="s">
        <v>2708</v>
      </c>
      <c r="H553" s="3" t="s">
        <v>76</v>
      </c>
      <c r="I553" s="3" t="s">
        <v>73</v>
      </c>
      <c r="J553" s="3" t="s">
        <v>53</v>
      </c>
      <c r="K553" s="3" t="s">
        <v>53</v>
      </c>
      <c r="L553" s="6" t="s">
        <v>805</v>
      </c>
      <c r="M553" s="6" t="s">
        <v>311</v>
      </c>
      <c r="N553" s="3" t="s">
        <v>635</v>
      </c>
      <c r="O553" s="3" t="s">
        <v>62</v>
      </c>
      <c r="P553" s="3" t="s">
        <v>1219</v>
      </c>
      <c r="Q553" s="137">
        <v>20171</v>
      </c>
      <c r="R553" s="139">
        <v>1</v>
      </c>
      <c r="S553" s="140">
        <v>217</v>
      </c>
      <c r="T553" s="131">
        <v>0.64500000000000002</v>
      </c>
      <c r="U553" s="137">
        <v>44.417000000000002</v>
      </c>
      <c r="V553" s="138">
        <v>2.6999999999999999E-5</v>
      </c>
      <c r="W553" s="138">
        <v>3.2691654171845999E-3</v>
      </c>
      <c r="X553" s="138">
        <v>5.0881466461941702E-4</v>
      </c>
    </row>
    <row r="554" spans="1:24" x14ac:dyDescent="0.2">
      <c r="A554" s="3">
        <v>559</v>
      </c>
      <c r="B554" s="3">
        <v>7206</v>
      </c>
      <c r="C554" s="3" t="s">
        <v>2709</v>
      </c>
      <c r="D554" s="3" t="s">
        <v>2710</v>
      </c>
      <c r="E554" s="3" t="s">
        <v>1477</v>
      </c>
      <c r="F554" s="3" t="s">
        <v>2711</v>
      </c>
      <c r="G554" s="3" t="s">
        <v>2712</v>
      </c>
      <c r="H554" s="3" t="s">
        <v>76</v>
      </c>
      <c r="I554" s="3" t="s">
        <v>73</v>
      </c>
      <c r="J554" s="3" t="s">
        <v>53</v>
      </c>
      <c r="K554" s="3" t="s">
        <v>53</v>
      </c>
      <c r="L554" s="6" t="s">
        <v>805</v>
      </c>
      <c r="M554" s="6" t="s">
        <v>311</v>
      </c>
      <c r="N554" s="3" t="s">
        <v>634</v>
      </c>
      <c r="O554" s="3" t="s">
        <v>62</v>
      </c>
      <c r="P554" s="3" t="s">
        <v>1219</v>
      </c>
      <c r="Q554" s="137">
        <v>2165</v>
      </c>
      <c r="R554" s="139">
        <v>1</v>
      </c>
      <c r="S554" s="140">
        <v>1600</v>
      </c>
      <c r="U554" s="137">
        <v>34.64</v>
      </c>
      <c r="V554" s="138">
        <v>1.5E-5</v>
      </c>
      <c r="W554" s="138">
        <v>2.5495882851585099E-3</v>
      </c>
      <c r="X554" s="138">
        <v>3.9681929259723097E-4</v>
      </c>
    </row>
    <row r="555" spans="1:24" x14ac:dyDescent="0.2">
      <c r="A555" s="3">
        <v>559</v>
      </c>
      <c r="B555" s="3">
        <v>7206</v>
      </c>
      <c r="C555" s="3" t="s">
        <v>1990</v>
      </c>
      <c r="D555" s="3" t="s">
        <v>1991</v>
      </c>
      <c r="E555" s="3" t="s">
        <v>432</v>
      </c>
      <c r="F555" s="3" t="s">
        <v>2713</v>
      </c>
      <c r="G555" s="3" t="s">
        <v>2714</v>
      </c>
      <c r="H555" s="3" t="s">
        <v>76</v>
      </c>
      <c r="I555" s="3" t="s">
        <v>73</v>
      </c>
      <c r="J555" s="3" t="s">
        <v>53</v>
      </c>
      <c r="K555" s="3" t="s">
        <v>314</v>
      </c>
      <c r="L555" s="6" t="s">
        <v>805</v>
      </c>
      <c r="M555" s="6" t="s">
        <v>311</v>
      </c>
      <c r="N555" s="3" t="s">
        <v>267</v>
      </c>
      <c r="O555" s="3" t="s">
        <v>62</v>
      </c>
      <c r="P555" s="3" t="s">
        <v>1219</v>
      </c>
      <c r="Q555" s="137">
        <v>134</v>
      </c>
      <c r="R555" s="139">
        <v>1</v>
      </c>
      <c r="S555" s="140">
        <v>9900</v>
      </c>
      <c r="U555" s="137">
        <v>13.266</v>
      </c>
      <c r="V555" s="138">
        <v>9.9999999999999995E-7</v>
      </c>
      <c r="W555" s="138">
        <v>9.7640987849055495E-4</v>
      </c>
      <c r="X555" s="138">
        <v>1.5196895887976001E-4</v>
      </c>
    </row>
    <row r="556" spans="1:24" x14ac:dyDescent="0.2">
      <c r="A556" s="3">
        <v>559</v>
      </c>
      <c r="B556" s="3">
        <v>7206</v>
      </c>
      <c r="C556" s="3" t="s">
        <v>2715</v>
      </c>
      <c r="D556" s="3" t="s">
        <v>2716</v>
      </c>
      <c r="E556" s="3" t="s">
        <v>1477</v>
      </c>
      <c r="F556" s="3" t="s">
        <v>2717</v>
      </c>
      <c r="G556" s="3" t="s">
        <v>2718</v>
      </c>
      <c r="H556" s="3" t="s">
        <v>76</v>
      </c>
      <c r="I556" s="3" t="s">
        <v>73</v>
      </c>
      <c r="J556" s="3" t="s">
        <v>53</v>
      </c>
      <c r="K556" s="3" t="s">
        <v>317</v>
      </c>
      <c r="L556" s="6" t="s">
        <v>805</v>
      </c>
      <c r="M556" s="6" t="s">
        <v>311</v>
      </c>
      <c r="N556" s="3" t="s">
        <v>254</v>
      </c>
      <c r="O556" s="3" t="s">
        <v>62</v>
      </c>
      <c r="P556" s="3" t="s">
        <v>1219</v>
      </c>
      <c r="Q556" s="137">
        <v>173</v>
      </c>
      <c r="R556" s="139">
        <v>1</v>
      </c>
      <c r="S556" s="140">
        <v>95280</v>
      </c>
      <c r="U556" s="137">
        <v>164.834</v>
      </c>
      <c r="V556" s="138">
        <v>6.0000000000000002E-6</v>
      </c>
      <c r="W556" s="138">
        <v>1.21322129108295E-2</v>
      </c>
      <c r="X556" s="138">
        <v>1.88826414560303E-3</v>
      </c>
    </row>
    <row r="557" spans="1:24" x14ac:dyDescent="0.2">
      <c r="A557" s="3">
        <v>559</v>
      </c>
      <c r="B557" s="3">
        <v>7206</v>
      </c>
      <c r="C557" s="3" t="s">
        <v>2719</v>
      </c>
      <c r="D557" s="3" t="s">
        <v>2720</v>
      </c>
      <c r="E557" s="3" t="s">
        <v>1477</v>
      </c>
      <c r="F557" s="3" t="s">
        <v>2721</v>
      </c>
      <c r="G557" s="3" t="s">
        <v>2722</v>
      </c>
      <c r="H557" s="3" t="s">
        <v>76</v>
      </c>
      <c r="I557" s="3" t="s">
        <v>73</v>
      </c>
      <c r="J557" s="3" t="s">
        <v>53</v>
      </c>
      <c r="K557" s="3" t="s">
        <v>53</v>
      </c>
      <c r="L557" s="6" t="s">
        <v>805</v>
      </c>
      <c r="M557" s="6" t="s">
        <v>311</v>
      </c>
      <c r="N557" s="3" t="s">
        <v>258</v>
      </c>
      <c r="O557" s="3" t="s">
        <v>62</v>
      </c>
      <c r="P557" s="3" t="s">
        <v>1219</v>
      </c>
      <c r="Q557" s="137">
        <v>28374</v>
      </c>
      <c r="R557" s="139">
        <v>1</v>
      </c>
      <c r="S557" s="140">
        <v>141.1</v>
      </c>
      <c r="U557" s="137">
        <v>40.036000000000001</v>
      </c>
      <c r="V557" s="138">
        <v>5.5999999999999999E-5</v>
      </c>
      <c r="W557" s="138">
        <v>2.9467259642712699E-3</v>
      </c>
      <c r="X557" s="138">
        <v>4.5863001466815999E-4</v>
      </c>
    </row>
    <row r="558" spans="1:24" x14ac:dyDescent="0.2">
      <c r="A558" s="3">
        <v>559</v>
      </c>
      <c r="B558" s="3">
        <v>7206</v>
      </c>
      <c r="C558" s="3" t="s">
        <v>1998</v>
      </c>
      <c r="D558" s="3" t="s">
        <v>1999</v>
      </c>
      <c r="E558" s="3" t="s">
        <v>1477</v>
      </c>
      <c r="F558" s="3" t="s">
        <v>2723</v>
      </c>
      <c r="G558" s="3" t="s">
        <v>2724</v>
      </c>
      <c r="H558" s="3" t="s">
        <v>76</v>
      </c>
      <c r="I558" s="3" t="s">
        <v>73</v>
      </c>
      <c r="J558" s="3" t="s">
        <v>53</v>
      </c>
      <c r="K558" s="3" t="s">
        <v>53</v>
      </c>
      <c r="L558" s="6" t="s">
        <v>805</v>
      </c>
      <c r="M558" s="6" t="s">
        <v>311</v>
      </c>
      <c r="N558" s="3" t="s">
        <v>631</v>
      </c>
      <c r="O558" s="3" t="s">
        <v>62</v>
      </c>
      <c r="P558" s="3" t="s">
        <v>1219</v>
      </c>
      <c r="Q558" s="137">
        <v>1027</v>
      </c>
      <c r="R558" s="139">
        <v>1</v>
      </c>
      <c r="S558" s="140">
        <v>9339</v>
      </c>
      <c r="U558" s="137">
        <v>95.912000000000006</v>
      </c>
      <c r="V558" s="138">
        <v>2.9E-5</v>
      </c>
      <c r="W558" s="138">
        <v>7.0593219774719796E-3</v>
      </c>
      <c r="X558" s="138">
        <v>1.0987166710888601E-3</v>
      </c>
    </row>
    <row r="559" spans="1:24" x14ac:dyDescent="0.2">
      <c r="A559" s="3">
        <v>559</v>
      </c>
      <c r="B559" s="3">
        <v>7206</v>
      </c>
      <c r="C559" s="3" t="s">
        <v>2725</v>
      </c>
      <c r="D559" s="3" t="s">
        <v>2726</v>
      </c>
      <c r="E559" s="3" t="s">
        <v>1477</v>
      </c>
      <c r="F559" s="3" t="s">
        <v>2727</v>
      </c>
      <c r="G559" s="3" t="s">
        <v>2728</v>
      </c>
      <c r="H559" s="3" t="s">
        <v>76</v>
      </c>
      <c r="I559" s="3" t="s">
        <v>73</v>
      </c>
      <c r="J559" s="3" t="s">
        <v>53</v>
      </c>
      <c r="K559" s="3" t="s">
        <v>53</v>
      </c>
      <c r="L559" s="6" t="s">
        <v>805</v>
      </c>
      <c r="M559" s="6" t="s">
        <v>311</v>
      </c>
      <c r="N559" s="3" t="s">
        <v>75</v>
      </c>
      <c r="O559" s="3" t="s">
        <v>62</v>
      </c>
      <c r="P559" s="3" t="s">
        <v>1219</v>
      </c>
      <c r="Q559" s="137">
        <v>347</v>
      </c>
      <c r="R559" s="139">
        <v>1</v>
      </c>
      <c r="S559" s="140">
        <v>13850</v>
      </c>
      <c r="U559" s="137">
        <v>48.058999999999997</v>
      </c>
      <c r="V559" s="138">
        <v>1.7E-5</v>
      </c>
      <c r="W559" s="138">
        <v>3.5372961371413301E-3</v>
      </c>
      <c r="X559" s="138">
        <v>5.5054667415059598E-4</v>
      </c>
    </row>
    <row r="560" spans="1:24" x14ac:dyDescent="0.2">
      <c r="A560" s="3">
        <v>559</v>
      </c>
      <c r="B560" s="3">
        <v>7206</v>
      </c>
      <c r="C560" s="3" t="s">
        <v>2729</v>
      </c>
      <c r="D560" s="3" t="s">
        <v>2730</v>
      </c>
      <c r="E560" s="3" t="s">
        <v>1477</v>
      </c>
      <c r="F560" s="3" t="s">
        <v>2731</v>
      </c>
      <c r="G560" s="3" t="s">
        <v>2732</v>
      </c>
      <c r="H560" s="3" t="s">
        <v>76</v>
      </c>
      <c r="I560" s="3" t="s">
        <v>73</v>
      </c>
      <c r="J560" s="3" t="s">
        <v>53</v>
      </c>
      <c r="K560" s="3" t="s">
        <v>314</v>
      </c>
      <c r="L560" s="6" t="s">
        <v>805</v>
      </c>
      <c r="M560" s="6" t="s">
        <v>311</v>
      </c>
      <c r="N560" s="3" t="s">
        <v>253</v>
      </c>
      <c r="O560" s="3" t="s">
        <v>62</v>
      </c>
      <c r="P560" s="3" t="s">
        <v>1219</v>
      </c>
      <c r="Q560" s="137">
        <v>299</v>
      </c>
      <c r="R560" s="139">
        <v>1</v>
      </c>
      <c r="S560" s="140">
        <v>57150</v>
      </c>
      <c r="U560" s="137">
        <v>170.87899999999999</v>
      </c>
      <c r="V560" s="138">
        <v>3.9999999999999998E-6</v>
      </c>
      <c r="W560" s="138">
        <v>1.2577073377178401E-2</v>
      </c>
      <c r="X560" s="138">
        <v>1.95750246795831E-3</v>
      </c>
    </row>
    <row r="561" spans="1:24" x14ac:dyDescent="0.2">
      <c r="A561" s="3">
        <v>559</v>
      </c>
      <c r="B561" s="3">
        <v>7206</v>
      </c>
      <c r="C561" s="3" t="s">
        <v>2877</v>
      </c>
      <c r="D561" s="3" t="s">
        <v>2878</v>
      </c>
      <c r="E561" s="3" t="s">
        <v>1477</v>
      </c>
      <c r="F561" s="3" t="s">
        <v>2879</v>
      </c>
      <c r="G561" s="3" t="s">
        <v>2880</v>
      </c>
      <c r="H561" s="3" t="s">
        <v>76</v>
      </c>
      <c r="I561" s="3" t="s">
        <v>73</v>
      </c>
      <c r="J561" s="3" t="s">
        <v>53</v>
      </c>
      <c r="K561" s="3" t="s">
        <v>53</v>
      </c>
      <c r="L561" s="6" t="s">
        <v>805</v>
      </c>
      <c r="M561" s="6" t="s">
        <v>311</v>
      </c>
      <c r="N561" s="3" t="s">
        <v>266</v>
      </c>
      <c r="O561" s="3" t="s">
        <v>62</v>
      </c>
      <c r="P561" s="3" t="s">
        <v>1219</v>
      </c>
      <c r="Q561" s="137">
        <v>366</v>
      </c>
      <c r="R561" s="139">
        <v>1</v>
      </c>
      <c r="S561" s="140">
        <v>1150</v>
      </c>
      <c r="U561" s="137">
        <v>4.2089999999999996</v>
      </c>
      <c r="V561" s="138">
        <v>3.8999999999999999E-5</v>
      </c>
      <c r="W561" s="138">
        <v>3.0979264123072101E-4</v>
      </c>
      <c r="X561" s="138">
        <v>4.8216293375916402E-5</v>
      </c>
    </row>
    <row r="562" spans="1:24" x14ac:dyDescent="0.2">
      <c r="A562" s="3">
        <v>559</v>
      </c>
      <c r="B562" s="3">
        <v>7206</v>
      </c>
      <c r="C562" s="3" t="s">
        <v>2020</v>
      </c>
      <c r="D562" s="3" t="s">
        <v>2021</v>
      </c>
      <c r="E562" s="3" t="s">
        <v>1477</v>
      </c>
      <c r="F562" s="3" t="s">
        <v>2733</v>
      </c>
      <c r="G562" s="3" t="s">
        <v>2734</v>
      </c>
      <c r="H562" s="3" t="s">
        <v>76</v>
      </c>
      <c r="I562" s="3" t="s">
        <v>73</v>
      </c>
      <c r="J562" s="3" t="s">
        <v>53</v>
      </c>
      <c r="K562" s="3" t="s">
        <v>317</v>
      </c>
      <c r="L562" s="6" t="s">
        <v>805</v>
      </c>
      <c r="M562" s="6" t="s">
        <v>311</v>
      </c>
      <c r="N562" s="3" t="s">
        <v>636</v>
      </c>
      <c r="O562" s="3" t="s">
        <v>62</v>
      </c>
      <c r="P562" s="3" t="s">
        <v>1219</v>
      </c>
      <c r="Q562" s="137">
        <v>2274</v>
      </c>
      <c r="R562" s="139">
        <v>1</v>
      </c>
      <c r="S562" s="140">
        <v>6127</v>
      </c>
      <c r="U562" s="137">
        <v>139.328</v>
      </c>
      <c r="V562" s="138">
        <v>3.1000000000000001E-5</v>
      </c>
      <c r="W562" s="138">
        <v>1.0254878337263299E-2</v>
      </c>
      <c r="X562" s="138">
        <v>1.59607478240766E-3</v>
      </c>
    </row>
    <row r="563" spans="1:24" x14ac:dyDescent="0.2">
      <c r="A563" s="3">
        <v>559</v>
      </c>
      <c r="B563" s="3">
        <v>7206</v>
      </c>
      <c r="C563" s="3" t="s">
        <v>2334</v>
      </c>
      <c r="D563" s="3" t="s">
        <v>2335</v>
      </c>
      <c r="E563" s="3" t="s">
        <v>767</v>
      </c>
      <c r="F563" s="3" t="s">
        <v>2735</v>
      </c>
      <c r="G563" s="3" t="s">
        <v>2736</v>
      </c>
      <c r="H563" s="3" t="s">
        <v>76</v>
      </c>
      <c r="I563" s="3" t="s">
        <v>73</v>
      </c>
      <c r="J563" s="3" t="s">
        <v>53</v>
      </c>
      <c r="K563" s="3" t="s">
        <v>53</v>
      </c>
      <c r="L563" s="6" t="s">
        <v>805</v>
      </c>
      <c r="M563" s="6" t="s">
        <v>311</v>
      </c>
      <c r="N563" s="3" t="s">
        <v>253</v>
      </c>
      <c r="O563" s="3" t="s">
        <v>62</v>
      </c>
      <c r="P563" s="3" t="s">
        <v>1219</v>
      </c>
      <c r="Q563" s="137">
        <v>595</v>
      </c>
      <c r="R563" s="139">
        <v>1</v>
      </c>
      <c r="S563" s="140">
        <v>9883</v>
      </c>
      <c r="U563" s="137">
        <v>58.804000000000002</v>
      </c>
      <c r="V563" s="138">
        <v>1.0000000000000001E-5</v>
      </c>
      <c r="W563" s="138">
        <v>4.3281064400178502E-3</v>
      </c>
      <c r="X563" s="138">
        <v>6.7362881521344396E-4</v>
      </c>
    </row>
    <row r="564" spans="1:24" x14ac:dyDescent="0.2">
      <c r="A564" s="3">
        <v>559</v>
      </c>
      <c r="B564" s="3">
        <v>7206</v>
      </c>
      <c r="C564" s="3" t="s">
        <v>2737</v>
      </c>
      <c r="D564" s="3" t="s">
        <v>2738</v>
      </c>
      <c r="E564" s="3" t="s">
        <v>1477</v>
      </c>
      <c r="F564" s="3" t="s">
        <v>2737</v>
      </c>
      <c r="G564" s="3" t="s">
        <v>2739</v>
      </c>
      <c r="H564" s="3" t="s">
        <v>76</v>
      </c>
      <c r="I564" s="3" t="s">
        <v>73</v>
      </c>
      <c r="J564" s="3" t="s">
        <v>53</v>
      </c>
      <c r="K564" s="3" t="s">
        <v>53</v>
      </c>
      <c r="L564" s="6" t="s">
        <v>805</v>
      </c>
      <c r="M564" s="6" t="s">
        <v>311</v>
      </c>
      <c r="N564" s="3" t="s">
        <v>71</v>
      </c>
      <c r="O564" s="3" t="s">
        <v>62</v>
      </c>
      <c r="P564" s="3" t="s">
        <v>1219</v>
      </c>
      <c r="Q564" s="137">
        <v>1535</v>
      </c>
      <c r="R564" s="139">
        <v>1</v>
      </c>
      <c r="S564" s="140">
        <v>2006</v>
      </c>
      <c r="U564" s="137">
        <v>30.792000000000002</v>
      </c>
      <c r="V564" s="138">
        <v>4.3000000000000002E-5</v>
      </c>
      <c r="W564" s="138">
        <v>2.26637348254704E-3</v>
      </c>
      <c r="X564" s="138">
        <v>3.5273958832515002E-4</v>
      </c>
    </row>
    <row r="565" spans="1:24" x14ac:dyDescent="0.2">
      <c r="A565" s="3">
        <v>559</v>
      </c>
      <c r="B565" s="3">
        <v>7206</v>
      </c>
      <c r="C565" s="3" t="s">
        <v>2740</v>
      </c>
      <c r="D565" s="3" t="s">
        <v>2741</v>
      </c>
      <c r="E565" s="3" t="s">
        <v>1477</v>
      </c>
      <c r="F565" s="3" t="s">
        <v>2742</v>
      </c>
      <c r="G565" s="3" t="s">
        <v>2743</v>
      </c>
      <c r="H565" s="3" t="s">
        <v>76</v>
      </c>
      <c r="I565" s="3" t="s">
        <v>73</v>
      </c>
      <c r="J565" s="3" t="s">
        <v>53</v>
      </c>
      <c r="K565" s="3" t="s">
        <v>53</v>
      </c>
      <c r="L565" s="6" t="s">
        <v>805</v>
      </c>
      <c r="M565" s="6" t="s">
        <v>311</v>
      </c>
      <c r="N565" s="3" t="s">
        <v>266</v>
      </c>
      <c r="O565" s="3" t="s">
        <v>62</v>
      </c>
      <c r="P565" s="3" t="s">
        <v>1219</v>
      </c>
      <c r="Q565" s="137">
        <v>4562</v>
      </c>
      <c r="R565" s="139">
        <v>1</v>
      </c>
      <c r="S565" s="140">
        <v>350.6</v>
      </c>
      <c r="U565" s="137">
        <v>15.994</v>
      </c>
      <c r="V565" s="138">
        <v>6.8999999999999997E-5</v>
      </c>
      <c r="W565" s="138">
        <v>1.1772246962952499E-3</v>
      </c>
      <c r="X565" s="138">
        <v>1.8322388517831901E-4</v>
      </c>
    </row>
    <row r="566" spans="1:24" x14ac:dyDescent="0.2">
      <c r="A566" s="3">
        <v>559</v>
      </c>
      <c r="B566" s="3">
        <v>7206</v>
      </c>
      <c r="C566" s="3" t="s">
        <v>2057</v>
      </c>
      <c r="D566" s="3" t="s">
        <v>2058</v>
      </c>
      <c r="E566" s="3" t="s">
        <v>1477</v>
      </c>
      <c r="F566" s="3" t="s">
        <v>2744</v>
      </c>
      <c r="G566" s="3" t="s">
        <v>2745</v>
      </c>
      <c r="H566" s="3" t="s">
        <v>76</v>
      </c>
      <c r="I566" s="3" t="s">
        <v>73</v>
      </c>
      <c r="J566" s="3" t="s">
        <v>53</v>
      </c>
      <c r="K566" s="3" t="s">
        <v>53</v>
      </c>
      <c r="L566" s="6" t="s">
        <v>805</v>
      </c>
      <c r="M566" s="6" t="s">
        <v>311</v>
      </c>
      <c r="N566" s="3" t="s">
        <v>635</v>
      </c>
      <c r="O566" s="3" t="s">
        <v>62</v>
      </c>
      <c r="P566" s="3" t="s">
        <v>1219</v>
      </c>
      <c r="Q566" s="137">
        <v>727</v>
      </c>
      <c r="R566" s="139">
        <v>1</v>
      </c>
      <c r="S566" s="140">
        <v>30970</v>
      </c>
      <c r="U566" s="137">
        <v>225.15199999999999</v>
      </c>
      <c r="V566" s="138">
        <v>6.0000000000000002E-6</v>
      </c>
      <c r="W566" s="138">
        <v>1.6571727673821601E-2</v>
      </c>
      <c r="X566" s="138">
        <v>2.5792326121513399E-3</v>
      </c>
    </row>
    <row r="567" spans="1:24" x14ac:dyDescent="0.2">
      <c r="A567" s="3">
        <v>559</v>
      </c>
      <c r="B567" s="3">
        <v>7206</v>
      </c>
      <c r="C567" s="3" t="s">
        <v>2068</v>
      </c>
      <c r="D567" s="3" t="s">
        <v>2069</v>
      </c>
      <c r="E567" s="3" t="s">
        <v>1477</v>
      </c>
      <c r="F567" s="3" t="s">
        <v>2746</v>
      </c>
      <c r="G567" s="3" t="s">
        <v>2747</v>
      </c>
      <c r="H567" s="3" t="s">
        <v>76</v>
      </c>
      <c r="I567" s="3" t="s">
        <v>73</v>
      </c>
      <c r="J567" s="3" t="s">
        <v>53</v>
      </c>
      <c r="K567" s="3" t="s">
        <v>53</v>
      </c>
      <c r="L567" s="6" t="s">
        <v>805</v>
      </c>
      <c r="M567" s="6" t="s">
        <v>1227</v>
      </c>
      <c r="N567" s="3" t="s">
        <v>140</v>
      </c>
      <c r="O567" s="3" t="s">
        <v>62</v>
      </c>
      <c r="P567" s="3" t="s">
        <v>1219</v>
      </c>
      <c r="Q567" s="137">
        <v>700</v>
      </c>
      <c r="R567" s="139">
        <v>1</v>
      </c>
      <c r="S567" s="140">
        <v>3825</v>
      </c>
      <c r="U567" s="137">
        <v>26.774999999999999</v>
      </c>
      <c r="V567" s="138">
        <v>9.0000000000000002E-6</v>
      </c>
      <c r="W567" s="138">
        <v>1.9707051482424701E-3</v>
      </c>
      <c r="X567" s="138">
        <v>3.0672160967929699E-4</v>
      </c>
    </row>
    <row r="568" spans="1:24" x14ac:dyDescent="0.2">
      <c r="A568" s="3">
        <v>559</v>
      </c>
      <c r="B568" s="3">
        <v>7206</v>
      </c>
      <c r="C568" s="3" t="s">
        <v>2748</v>
      </c>
      <c r="D568" s="3" t="s">
        <v>2749</v>
      </c>
      <c r="E568" s="3" t="s">
        <v>1477</v>
      </c>
      <c r="F568" s="3" t="s">
        <v>2750</v>
      </c>
      <c r="G568" s="3" t="s">
        <v>2751</v>
      </c>
      <c r="H568" s="3" t="s">
        <v>76</v>
      </c>
      <c r="I568" s="3" t="s">
        <v>73</v>
      </c>
      <c r="J568" s="3" t="s">
        <v>53</v>
      </c>
      <c r="K568" s="3" t="s">
        <v>53</v>
      </c>
      <c r="L568" s="6" t="s">
        <v>805</v>
      </c>
      <c r="M568" s="6" t="s">
        <v>311</v>
      </c>
      <c r="N568" s="3" t="s">
        <v>265</v>
      </c>
      <c r="O568" s="3" t="s">
        <v>62</v>
      </c>
      <c r="P568" s="3" t="s">
        <v>1219</v>
      </c>
      <c r="Q568" s="137">
        <v>2144</v>
      </c>
      <c r="R568" s="139">
        <v>1</v>
      </c>
      <c r="S568" s="140">
        <v>1010</v>
      </c>
      <c r="U568" s="137">
        <v>21.654</v>
      </c>
      <c r="V568" s="138">
        <v>2.0000000000000002E-5</v>
      </c>
      <c r="W568" s="138">
        <v>1.59381652893004E-3</v>
      </c>
      <c r="X568" s="138">
        <v>2.48062462171405E-4</v>
      </c>
    </row>
    <row r="569" spans="1:24" x14ac:dyDescent="0.2">
      <c r="A569" s="3">
        <v>559</v>
      </c>
      <c r="B569" s="3">
        <v>7206</v>
      </c>
      <c r="C569" s="3" t="s">
        <v>2072</v>
      </c>
      <c r="D569" s="3" t="s">
        <v>2073</v>
      </c>
      <c r="E569" s="3" t="s">
        <v>1477</v>
      </c>
      <c r="F569" s="3" t="s">
        <v>2752</v>
      </c>
      <c r="G569" s="3" t="s">
        <v>2753</v>
      </c>
      <c r="H569" s="3" t="s">
        <v>76</v>
      </c>
      <c r="I569" s="3" t="s">
        <v>73</v>
      </c>
      <c r="J569" s="3" t="s">
        <v>53</v>
      </c>
      <c r="K569" s="3" t="s">
        <v>53</v>
      </c>
      <c r="L569" s="6" t="s">
        <v>805</v>
      </c>
      <c r="M569" s="6" t="s">
        <v>311</v>
      </c>
      <c r="N569" s="3" t="s">
        <v>256</v>
      </c>
      <c r="O569" s="3" t="s">
        <v>62</v>
      </c>
      <c r="P569" s="3" t="s">
        <v>1219</v>
      </c>
      <c r="Q569" s="137">
        <v>14209</v>
      </c>
      <c r="R569" s="139">
        <v>1</v>
      </c>
      <c r="S569" s="140">
        <v>6462</v>
      </c>
      <c r="U569" s="137">
        <v>918.18600000000004</v>
      </c>
      <c r="V569" s="138">
        <v>1.1E-5</v>
      </c>
      <c r="W569" s="138">
        <v>6.7580692793576105E-2</v>
      </c>
      <c r="X569" s="138">
        <v>1.05182953905479E-2</v>
      </c>
    </row>
    <row r="570" spans="1:24" x14ac:dyDescent="0.2">
      <c r="A570" s="3">
        <v>559</v>
      </c>
      <c r="B570" s="3">
        <v>7206</v>
      </c>
      <c r="C570" s="3" t="s">
        <v>2754</v>
      </c>
      <c r="D570" s="3" t="s">
        <v>2755</v>
      </c>
      <c r="E570" s="3" t="s">
        <v>1477</v>
      </c>
      <c r="F570" s="3" t="s">
        <v>2756</v>
      </c>
      <c r="G570" s="3" t="s">
        <v>2757</v>
      </c>
      <c r="H570" s="3" t="s">
        <v>76</v>
      </c>
      <c r="I570" s="3" t="s">
        <v>73</v>
      </c>
      <c r="J570" s="3" t="s">
        <v>53</v>
      </c>
      <c r="K570" s="3" t="s">
        <v>53</v>
      </c>
      <c r="L570" s="6" t="s">
        <v>805</v>
      </c>
      <c r="M570" s="6" t="s">
        <v>311</v>
      </c>
      <c r="N570" s="3" t="s">
        <v>634</v>
      </c>
      <c r="O570" s="3" t="s">
        <v>62</v>
      </c>
      <c r="P570" s="3" t="s">
        <v>1219</v>
      </c>
      <c r="Q570" s="137">
        <v>162</v>
      </c>
      <c r="R570" s="139">
        <v>1</v>
      </c>
      <c r="S570" s="140">
        <v>33720</v>
      </c>
      <c r="U570" s="137">
        <v>54.625999999999998</v>
      </c>
      <c r="V570" s="138">
        <v>1.2E-5</v>
      </c>
      <c r="W570" s="138">
        <v>4.02063595555378E-3</v>
      </c>
      <c r="X570" s="138">
        <v>6.25773943566206E-4</v>
      </c>
    </row>
    <row r="571" spans="1:24" x14ac:dyDescent="0.2">
      <c r="A571" s="3">
        <v>559</v>
      </c>
      <c r="B571" s="3">
        <v>7206</v>
      </c>
      <c r="C571" s="3" t="s">
        <v>2089</v>
      </c>
      <c r="D571" s="3" t="s">
        <v>2090</v>
      </c>
      <c r="E571" s="3" t="s">
        <v>1477</v>
      </c>
      <c r="F571" s="3" t="s">
        <v>2758</v>
      </c>
      <c r="G571" s="3" t="s">
        <v>2759</v>
      </c>
      <c r="H571" s="3" t="s">
        <v>76</v>
      </c>
      <c r="I571" s="3" t="s">
        <v>73</v>
      </c>
      <c r="J571" s="3" t="s">
        <v>53</v>
      </c>
      <c r="K571" s="3" t="s">
        <v>53</v>
      </c>
      <c r="L571" s="6" t="s">
        <v>805</v>
      </c>
      <c r="M571" s="6" t="s">
        <v>311</v>
      </c>
      <c r="N571" s="3" t="s">
        <v>252</v>
      </c>
      <c r="O571" s="3" t="s">
        <v>62</v>
      </c>
      <c r="P571" s="3" t="s">
        <v>1219</v>
      </c>
      <c r="Q571" s="137">
        <v>996.78</v>
      </c>
      <c r="R571" s="139">
        <v>1</v>
      </c>
      <c r="S571" s="140">
        <v>42880</v>
      </c>
      <c r="U571" s="137">
        <v>427.41899999999998</v>
      </c>
      <c r="V571" s="138">
        <v>6.3E-5</v>
      </c>
      <c r="W571" s="138">
        <v>3.1459097815977902E-2</v>
      </c>
      <c r="X571" s="138">
        <v>4.8963109117467997E-3</v>
      </c>
    </row>
    <row r="572" spans="1:24" x14ac:dyDescent="0.2">
      <c r="A572" s="3">
        <v>559</v>
      </c>
      <c r="B572" s="3">
        <v>7206</v>
      </c>
      <c r="C572" s="3" t="s">
        <v>2760</v>
      </c>
      <c r="D572" s="3" t="s">
        <v>2761</v>
      </c>
      <c r="E572" s="3" t="s">
        <v>1477</v>
      </c>
      <c r="F572" s="3" t="s">
        <v>2762</v>
      </c>
      <c r="G572" s="3" t="s">
        <v>2763</v>
      </c>
      <c r="H572" s="3" t="s">
        <v>76</v>
      </c>
      <c r="I572" s="3" t="s">
        <v>73</v>
      </c>
      <c r="J572" s="3" t="s">
        <v>53</v>
      </c>
      <c r="K572" s="3" t="s">
        <v>53</v>
      </c>
      <c r="L572" s="6" t="s">
        <v>805</v>
      </c>
      <c r="M572" s="6" t="s">
        <v>311</v>
      </c>
      <c r="N572" s="3" t="s">
        <v>156</v>
      </c>
      <c r="O572" s="3" t="s">
        <v>62</v>
      </c>
      <c r="P572" s="3" t="s">
        <v>1219</v>
      </c>
      <c r="Q572" s="137">
        <v>335</v>
      </c>
      <c r="R572" s="139">
        <v>1</v>
      </c>
      <c r="S572" s="140">
        <v>6455</v>
      </c>
      <c r="U572" s="137">
        <v>21.623999999999999</v>
      </c>
      <c r="V572" s="138">
        <v>2.6999999999999999E-5</v>
      </c>
      <c r="W572" s="138">
        <v>1.59159741556983E-3</v>
      </c>
      <c r="X572" s="138">
        <v>2.4771707817395098E-4</v>
      </c>
    </row>
    <row r="573" spans="1:24" x14ac:dyDescent="0.2">
      <c r="A573" s="3">
        <v>559</v>
      </c>
      <c r="B573" s="3">
        <v>7206</v>
      </c>
      <c r="C573" s="3" t="s">
        <v>2764</v>
      </c>
      <c r="D573" s="3" t="s">
        <v>2765</v>
      </c>
      <c r="E573" s="3" t="s">
        <v>1477</v>
      </c>
      <c r="F573" s="3" t="s">
        <v>2766</v>
      </c>
      <c r="G573" s="3" t="s">
        <v>2767</v>
      </c>
      <c r="H573" s="3" t="s">
        <v>76</v>
      </c>
      <c r="I573" s="3" t="s">
        <v>73</v>
      </c>
      <c r="J573" s="3" t="s">
        <v>53</v>
      </c>
      <c r="K573" s="3" t="s">
        <v>53</v>
      </c>
      <c r="L573" s="6" t="s">
        <v>805</v>
      </c>
      <c r="M573" s="6" t="s">
        <v>311</v>
      </c>
      <c r="N573" s="3" t="s">
        <v>156</v>
      </c>
      <c r="O573" s="3" t="s">
        <v>62</v>
      </c>
      <c r="P573" s="3" t="s">
        <v>1219</v>
      </c>
      <c r="Q573" s="137">
        <v>50</v>
      </c>
      <c r="R573" s="139">
        <v>1</v>
      </c>
      <c r="S573" s="140">
        <v>61570</v>
      </c>
      <c r="T573" s="131">
        <v>0.60699999999999998</v>
      </c>
      <c r="U573" s="137">
        <v>31.391999999999999</v>
      </c>
      <c r="V573" s="138">
        <v>3.9999999999999998E-6</v>
      </c>
      <c r="W573" s="138">
        <v>2.31049961328371E-3</v>
      </c>
      <c r="X573" s="138">
        <v>3.5960740305661398E-4</v>
      </c>
    </row>
    <row r="574" spans="1:24" x14ac:dyDescent="0.2">
      <c r="A574" s="3">
        <v>559</v>
      </c>
      <c r="B574" s="3">
        <v>7206</v>
      </c>
      <c r="C574" s="3" t="s">
        <v>2768</v>
      </c>
      <c r="D574" s="3" t="s">
        <v>2769</v>
      </c>
      <c r="E574" s="3" t="s">
        <v>1477</v>
      </c>
      <c r="F574" s="3" t="s">
        <v>2770</v>
      </c>
      <c r="G574" s="3" t="s">
        <v>2771</v>
      </c>
      <c r="H574" s="3" t="s">
        <v>76</v>
      </c>
      <c r="I574" s="3" t="s">
        <v>73</v>
      </c>
      <c r="J574" s="3" t="s">
        <v>53</v>
      </c>
      <c r="K574" s="3" t="s">
        <v>53</v>
      </c>
      <c r="L574" s="6" t="s">
        <v>805</v>
      </c>
      <c r="M574" s="6" t="s">
        <v>311</v>
      </c>
      <c r="N574" s="3" t="s">
        <v>256</v>
      </c>
      <c r="O574" s="3" t="s">
        <v>62</v>
      </c>
      <c r="P574" s="3" t="s">
        <v>1219</v>
      </c>
      <c r="Q574" s="137">
        <v>1501</v>
      </c>
      <c r="R574" s="139">
        <v>1</v>
      </c>
      <c r="S574" s="140">
        <v>25090</v>
      </c>
      <c r="U574" s="137">
        <v>376.601</v>
      </c>
      <c r="V574" s="138">
        <v>4.1999999999999998E-5</v>
      </c>
      <c r="W574" s="138">
        <v>2.7718742575639499E-2</v>
      </c>
      <c r="X574" s="138">
        <v>4.31416000951156E-3</v>
      </c>
    </row>
    <row r="575" spans="1:24" x14ac:dyDescent="0.2">
      <c r="A575" s="3">
        <v>559</v>
      </c>
      <c r="B575" s="3">
        <v>7206</v>
      </c>
      <c r="C575" s="3" t="s">
        <v>2772</v>
      </c>
      <c r="D575" s="3" t="s">
        <v>2773</v>
      </c>
      <c r="E575" s="3" t="s">
        <v>1477</v>
      </c>
      <c r="F575" s="3" t="s">
        <v>2774</v>
      </c>
      <c r="G575" s="3" t="s">
        <v>2775</v>
      </c>
      <c r="H575" s="3" t="s">
        <v>76</v>
      </c>
      <c r="I575" s="3" t="s">
        <v>73</v>
      </c>
      <c r="J575" s="3" t="s">
        <v>53</v>
      </c>
      <c r="K575" s="3" t="s">
        <v>53</v>
      </c>
      <c r="L575" s="6" t="s">
        <v>805</v>
      </c>
      <c r="M575" s="6" t="s">
        <v>311</v>
      </c>
      <c r="N575" s="3" t="s">
        <v>255</v>
      </c>
      <c r="O575" s="3" t="s">
        <v>62</v>
      </c>
      <c r="P575" s="3" t="s">
        <v>1219</v>
      </c>
      <c r="Q575" s="137">
        <v>1790</v>
      </c>
      <c r="R575" s="139">
        <v>1</v>
      </c>
      <c r="S575" s="140">
        <v>89.1</v>
      </c>
      <c r="U575" s="137">
        <v>1.595</v>
      </c>
      <c r="V575" s="138">
        <v>2.0000000000000002E-5</v>
      </c>
      <c r="W575" s="138">
        <v>1.1738778464539399E-4</v>
      </c>
      <c r="X575" s="138">
        <v>1.8270297966812902E-5</v>
      </c>
    </row>
    <row r="576" spans="1:24" x14ac:dyDescent="0.2">
      <c r="A576" s="3">
        <v>559</v>
      </c>
      <c r="B576" s="3">
        <v>7206</v>
      </c>
      <c r="C576" s="3" t="s">
        <v>2776</v>
      </c>
      <c r="D576" s="3" t="s">
        <v>2777</v>
      </c>
      <c r="E576" s="3" t="s">
        <v>1477</v>
      </c>
      <c r="F576" s="3" t="s">
        <v>2778</v>
      </c>
      <c r="G576" s="3" t="s">
        <v>2779</v>
      </c>
      <c r="H576" s="3" t="s">
        <v>76</v>
      </c>
      <c r="I576" s="3" t="s">
        <v>73</v>
      </c>
      <c r="J576" s="3" t="s">
        <v>53</v>
      </c>
      <c r="K576" s="3" t="s">
        <v>53</v>
      </c>
      <c r="L576" s="6" t="s">
        <v>805</v>
      </c>
      <c r="M576" s="6" t="s">
        <v>311</v>
      </c>
      <c r="N576" s="3" t="s">
        <v>637</v>
      </c>
      <c r="O576" s="3" t="s">
        <v>62</v>
      </c>
      <c r="P576" s="3" t="s">
        <v>1219</v>
      </c>
      <c r="Q576" s="137">
        <v>4335</v>
      </c>
      <c r="R576" s="139">
        <v>1</v>
      </c>
      <c r="S576" s="140">
        <v>1256</v>
      </c>
      <c r="U576" s="137">
        <v>54.448</v>
      </c>
      <c r="V576" s="138">
        <v>6.0000000000000002E-5</v>
      </c>
      <c r="W576" s="138">
        <v>4.0074758405022103E-3</v>
      </c>
      <c r="X576" s="138">
        <v>6.2372569617831996E-4</v>
      </c>
    </row>
    <row r="577" spans="1:24" x14ac:dyDescent="0.2">
      <c r="A577" s="3">
        <v>559</v>
      </c>
      <c r="B577" s="3">
        <v>7206</v>
      </c>
      <c r="C577" s="3" t="s">
        <v>2780</v>
      </c>
      <c r="D577" s="3" t="s">
        <v>2781</v>
      </c>
      <c r="E577" s="3" t="s">
        <v>1477</v>
      </c>
      <c r="F577" s="3" t="s">
        <v>2782</v>
      </c>
      <c r="G577" s="3" t="s">
        <v>2783</v>
      </c>
      <c r="H577" s="3" t="s">
        <v>76</v>
      </c>
      <c r="I577" s="3" t="s">
        <v>73</v>
      </c>
      <c r="J577" s="3" t="s">
        <v>53</v>
      </c>
      <c r="K577" s="3" t="s">
        <v>53</v>
      </c>
      <c r="L577" s="6" t="s">
        <v>805</v>
      </c>
      <c r="M577" s="6" t="s">
        <v>311</v>
      </c>
      <c r="N577" s="3" t="s">
        <v>260</v>
      </c>
      <c r="O577" s="3" t="s">
        <v>62</v>
      </c>
      <c r="P577" s="3" t="s">
        <v>1219</v>
      </c>
      <c r="Q577" s="137">
        <v>1190</v>
      </c>
      <c r="R577" s="139">
        <v>1</v>
      </c>
      <c r="S577" s="140">
        <v>2555</v>
      </c>
      <c r="U577" s="137">
        <v>30.404</v>
      </c>
      <c r="V577" s="138">
        <v>6.0000000000000002E-6</v>
      </c>
      <c r="W577" s="138">
        <v>2.2378451794486699E-3</v>
      </c>
      <c r="X577" s="138">
        <v>3.4829942788026902E-4</v>
      </c>
    </row>
    <row r="578" spans="1:24" x14ac:dyDescent="0.2">
      <c r="A578" s="3">
        <v>559</v>
      </c>
      <c r="B578" s="3">
        <v>7206</v>
      </c>
      <c r="C578" s="3" t="s">
        <v>2103</v>
      </c>
      <c r="D578" s="3" t="s">
        <v>2104</v>
      </c>
      <c r="E578" s="3" t="s">
        <v>1477</v>
      </c>
      <c r="F578" s="3" t="s">
        <v>2784</v>
      </c>
      <c r="G578" s="3" t="s">
        <v>2785</v>
      </c>
      <c r="H578" s="3" t="s">
        <v>76</v>
      </c>
      <c r="I578" s="3" t="s">
        <v>73</v>
      </c>
      <c r="J578" s="3" t="s">
        <v>53</v>
      </c>
      <c r="K578" s="3" t="s">
        <v>317</v>
      </c>
      <c r="L578" s="6" t="s">
        <v>805</v>
      </c>
      <c r="M578" s="6" t="s">
        <v>311</v>
      </c>
      <c r="N578" s="3" t="s">
        <v>254</v>
      </c>
      <c r="O578" s="3" t="s">
        <v>62</v>
      </c>
      <c r="P578" s="3" t="s">
        <v>1219</v>
      </c>
      <c r="Q578" s="137">
        <v>701</v>
      </c>
      <c r="R578" s="139">
        <v>1</v>
      </c>
      <c r="S578" s="140">
        <v>19820</v>
      </c>
      <c r="U578" s="137">
        <v>138.93799999999999</v>
      </c>
      <c r="V578" s="138">
        <v>5.3999999999999998E-5</v>
      </c>
      <c r="W578" s="138">
        <v>1.0226189580860599E-2</v>
      </c>
      <c r="X578" s="138">
        <v>1.59160964892415E-3</v>
      </c>
    </row>
    <row r="579" spans="1:24" x14ac:dyDescent="0.2">
      <c r="A579" s="3">
        <v>559</v>
      </c>
      <c r="B579" s="3">
        <v>7206</v>
      </c>
      <c r="C579" s="3" t="s">
        <v>2111</v>
      </c>
      <c r="D579" s="3" t="s">
        <v>2112</v>
      </c>
      <c r="E579" s="3" t="s">
        <v>1477</v>
      </c>
      <c r="F579" s="3" t="s">
        <v>2786</v>
      </c>
      <c r="G579" s="3" t="s">
        <v>2787</v>
      </c>
      <c r="H579" s="3" t="s">
        <v>76</v>
      </c>
      <c r="I579" s="3" t="s">
        <v>73</v>
      </c>
      <c r="J579" s="3" t="s">
        <v>53</v>
      </c>
      <c r="K579" s="3" t="s">
        <v>53</v>
      </c>
      <c r="L579" s="6" t="s">
        <v>805</v>
      </c>
      <c r="M579" s="6" t="s">
        <v>311</v>
      </c>
      <c r="N579" s="3" t="s">
        <v>140</v>
      </c>
      <c r="O579" s="3" t="s">
        <v>62</v>
      </c>
      <c r="P579" s="3" t="s">
        <v>1219</v>
      </c>
      <c r="Q579" s="137">
        <v>524</v>
      </c>
      <c r="R579" s="139">
        <v>1</v>
      </c>
      <c r="S579" s="140">
        <v>11810</v>
      </c>
      <c r="U579" s="137">
        <v>61.884</v>
      </c>
      <c r="V579" s="138">
        <v>2.3E-5</v>
      </c>
      <c r="W579" s="138">
        <v>4.5548424155330098E-3</v>
      </c>
      <c r="X579" s="138">
        <v>7.0891812444584599E-4</v>
      </c>
    </row>
    <row r="580" spans="1:24" x14ac:dyDescent="0.2">
      <c r="A580" s="3">
        <v>559</v>
      </c>
      <c r="B580" s="3">
        <v>7206</v>
      </c>
      <c r="C580" s="3" t="s">
        <v>2122</v>
      </c>
      <c r="D580" s="3" t="s">
        <v>2123</v>
      </c>
      <c r="E580" s="3" t="s">
        <v>1477</v>
      </c>
      <c r="F580" s="3" t="s">
        <v>2788</v>
      </c>
      <c r="G580" s="3" t="s">
        <v>2789</v>
      </c>
      <c r="H580" s="3" t="s">
        <v>76</v>
      </c>
      <c r="I580" s="3" t="s">
        <v>73</v>
      </c>
      <c r="J580" s="3" t="s">
        <v>53</v>
      </c>
      <c r="K580" s="3" t="s">
        <v>53</v>
      </c>
      <c r="L580" s="6" t="s">
        <v>805</v>
      </c>
      <c r="M580" s="6" t="s">
        <v>311</v>
      </c>
      <c r="N580" s="3" t="s">
        <v>259</v>
      </c>
      <c r="O580" s="3" t="s">
        <v>62</v>
      </c>
      <c r="P580" s="3" t="s">
        <v>1219</v>
      </c>
      <c r="Q580" s="137">
        <v>215</v>
      </c>
      <c r="R580" s="139">
        <v>1</v>
      </c>
      <c r="S580" s="140">
        <v>58480</v>
      </c>
      <c r="U580" s="137">
        <v>125.732</v>
      </c>
      <c r="V580" s="138">
        <v>1.2999999999999999E-5</v>
      </c>
      <c r="W580" s="138">
        <v>9.2541811278738506E-3</v>
      </c>
      <c r="X580" s="138">
        <v>1.4403257302781499E-3</v>
      </c>
    </row>
    <row r="581" spans="1:24" x14ac:dyDescent="0.2">
      <c r="A581" s="3">
        <v>559</v>
      </c>
      <c r="B581" s="3">
        <v>7206</v>
      </c>
      <c r="C581" s="3" t="s">
        <v>2790</v>
      </c>
      <c r="D581" s="3" t="s">
        <v>2791</v>
      </c>
      <c r="E581" s="3" t="s">
        <v>1477</v>
      </c>
      <c r="F581" s="3" t="s">
        <v>2792</v>
      </c>
      <c r="G581" s="3" t="s">
        <v>2793</v>
      </c>
      <c r="H581" s="3" t="s">
        <v>76</v>
      </c>
      <c r="I581" s="3" t="s">
        <v>73</v>
      </c>
      <c r="J581" s="3" t="s">
        <v>53</v>
      </c>
      <c r="K581" s="3" t="s">
        <v>314</v>
      </c>
      <c r="L581" s="6" t="s">
        <v>805</v>
      </c>
      <c r="M581" s="6" t="s">
        <v>311</v>
      </c>
      <c r="N581" s="3" t="s">
        <v>254</v>
      </c>
      <c r="O581" s="3" t="s">
        <v>62</v>
      </c>
      <c r="P581" s="3" t="s">
        <v>1219</v>
      </c>
      <c r="Q581" s="137">
        <v>493</v>
      </c>
      <c r="R581" s="139">
        <v>1</v>
      </c>
      <c r="S581" s="140">
        <v>38800</v>
      </c>
      <c r="U581" s="137">
        <v>191.28399999999999</v>
      </c>
      <c r="V581" s="138">
        <v>1.08E-4</v>
      </c>
      <c r="W581" s="138">
        <v>1.4078967827316999E-2</v>
      </c>
      <c r="X581" s="138">
        <v>2.1912581283247299E-3</v>
      </c>
    </row>
    <row r="582" spans="1:24" x14ac:dyDescent="0.2">
      <c r="A582" s="3">
        <v>559</v>
      </c>
      <c r="B582" s="3">
        <v>7206</v>
      </c>
      <c r="C582" s="3" t="s">
        <v>2794</v>
      </c>
      <c r="D582" s="3" t="s">
        <v>2795</v>
      </c>
      <c r="E582" s="3" t="s">
        <v>1477</v>
      </c>
      <c r="F582" s="3" t="s">
        <v>2796</v>
      </c>
      <c r="G582" s="3" t="s">
        <v>2797</v>
      </c>
      <c r="H582" s="3" t="s">
        <v>76</v>
      </c>
      <c r="I582" s="3" t="s">
        <v>73</v>
      </c>
      <c r="J582" s="3" t="s">
        <v>53</v>
      </c>
      <c r="K582" s="3" t="s">
        <v>317</v>
      </c>
      <c r="L582" s="6" t="s">
        <v>805</v>
      </c>
      <c r="M582" s="6" t="s">
        <v>311</v>
      </c>
      <c r="N582" s="3" t="s">
        <v>254</v>
      </c>
      <c r="O582" s="3" t="s">
        <v>62</v>
      </c>
      <c r="P582" s="3" t="s">
        <v>1219</v>
      </c>
      <c r="Q582" s="137">
        <v>328</v>
      </c>
      <c r="R582" s="139">
        <v>1</v>
      </c>
      <c r="S582" s="140">
        <v>29040</v>
      </c>
      <c r="U582" s="137">
        <v>95.251000000000005</v>
      </c>
      <c r="V582" s="138">
        <v>6.9999999999999999E-6</v>
      </c>
      <c r="W582" s="138">
        <v>7.0107200827739802E-3</v>
      </c>
      <c r="X582" s="138">
        <v>1.0911522460461101E-3</v>
      </c>
    </row>
    <row r="583" spans="1:24" x14ac:dyDescent="0.2">
      <c r="A583" s="3">
        <v>559</v>
      </c>
      <c r="B583" s="3">
        <v>7206</v>
      </c>
      <c r="C583" s="3" t="s">
        <v>2798</v>
      </c>
      <c r="D583" s="3" t="s">
        <v>2799</v>
      </c>
      <c r="E583" s="3" t="s">
        <v>430</v>
      </c>
      <c r="F583" s="3" t="s">
        <v>2800</v>
      </c>
      <c r="G583" s="3" t="s">
        <v>2801</v>
      </c>
      <c r="H583" s="3" t="s">
        <v>76</v>
      </c>
      <c r="I583" s="3" t="s">
        <v>73</v>
      </c>
      <c r="J583" s="3" t="s">
        <v>53</v>
      </c>
      <c r="K583" s="3" t="s">
        <v>53</v>
      </c>
      <c r="L583" s="6" t="s">
        <v>805</v>
      </c>
      <c r="M583" s="6" t="s">
        <v>311</v>
      </c>
      <c r="N583" s="3" t="s">
        <v>692</v>
      </c>
      <c r="O583" s="3" t="s">
        <v>62</v>
      </c>
      <c r="P583" s="3" t="s">
        <v>1219</v>
      </c>
      <c r="Q583" s="137">
        <v>1492</v>
      </c>
      <c r="R583" s="139">
        <v>1</v>
      </c>
      <c r="S583" s="140">
        <v>13890</v>
      </c>
      <c r="U583" s="137">
        <v>207.239</v>
      </c>
      <c r="V583" s="138">
        <v>2.9E-5</v>
      </c>
      <c r="W583" s="138">
        <v>1.52532799281267E-2</v>
      </c>
      <c r="X583" s="138">
        <v>2.3740286955744499E-3</v>
      </c>
    </row>
    <row r="584" spans="1:24" x14ac:dyDescent="0.2">
      <c r="A584" s="3">
        <v>559</v>
      </c>
      <c r="B584" s="3">
        <v>7206</v>
      </c>
      <c r="C584" s="3" t="s">
        <v>2881</v>
      </c>
      <c r="D584" s="3" t="s">
        <v>2882</v>
      </c>
      <c r="E584" s="3" t="s">
        <v>1477</v>
      </c>
      <c r="F584" s="3" t="s">
        <v>2883</v>
      </c>
      <c r="G584" s="3" t="s">
        <v>2884</v>
      </c>
      <c r="H584" s="3" t="s">
        <v>76</v>
      </c>
      <c r="I584" s="3" t="s">
        <v>73</v>
      </c>
      <c r="J584" s="3" t="s">
        <v>53</v>
      </c>
      <c r="K584" s="3" t="s">
        <v>53</v>
      </c>
      <c r="L584" s="6" t="s">
        <v>805</v>
      </c>
      <c r="M584" s="6" t="s">
        <v>311</v>
      </c>
      <c r="N584" s="3" t="s">
        <v>270</v>
      </c>
      <c r="O584" s="3" t="s">
        <v>62</v>
      </c>
      <c r="P584" s="3" t="s">
        <v>1219</v>
      </c>
      <c r="Q584" s="137">
        <v>19500.669999999998</v>
      </c>
      <c r="R584" s="139">
        <v>1</v>
      </c>
      <c r="S584" s="140">
        <v>56.5</v>
      </c>
      <c r="U584" s="137">
        <v>11.018000000000001</v>
      </c>
      <c r="V584" s="138">
        <v>1.3100000000000001E-4</v>
      </c>
      <c r="W584" s="138">
        <v>8.1094266969916997E-4</v>
      </c>
      <c r="X584" s="138">
        <v>1.26215553468049E-4</v>
      </c>
    </row>
    <row r="585" spans="1:24" x14ac:dyDescent="0.2">
      <c r="A585" s="3">
        <v>559</v>
      </c>
      <c r="B585" s="3">
        <v>7206</v>
      </c>
      <c r="C585" s="3" t="s">
        <v>2802</v>
      </c>
      <c r="D585" s="3" t="s">
        <v>2803</v>
      </c>
      <c r="E585" s="3" t="s">
        <v>1477</v>
      </c>
      <c r="F585" s="3" t="s">
        <v>2804</v>
      </c>
      <c r="G585" s="3" t="s">
        <v>2805</v>
      </c>
      <c r="H585" s="3" t="s">
        <v>76</v>
      </c>
      <c r="I585" s="3" t="s">
        <v>73</v>
      </c>
      <c r="J585" s="3" t="s">
        <v>53</v>
      </c>
      <c r="K585" s="3" t="s">
        <v>53</v>
      </c>
      <c r="L585" s="6" t="s">
        <v>805</v>
      </c>
      <c r="M585" s="6" t="s">
        <v>311</v>
      </c>
      <c r="N585" s="3" t="s">
        <v>261</v>
      </c>
      <c r="O585" s="3" t="s">
        <v>62</v>
      </c>
      <c r="P585" s="3" t="s">
        <v>1219</v>
      </c>
      <c r="Q585" s="137">
        <v>457</v>
      </c>
      <c r="R585" s="139">
        <v>1</v>
      </c>
      <c r="S585" s="140">
        <v>8117</v>
      </c>
      <c r="U585" s="137">
        <v>37.094999999999999</v>
      </c>
      <c r="V585" s="138">
        <v>3.6000000000000001E-5</v>
      </c>
      <c r="W585" s="138">
        <v>2.73025944184719E-3</v>
      </c>
      <c r="X585" s="138">
        <v>4.24939048640692E-4</v>
      </c>
    </row>
    <row r="586" spans="1:24" x14ac:dyDescent="0.2">
      <c r="A586" s="3">
        <v>559</v>
      </c>
      <c r="B586" s="3">
        <v>7206</v>
      </c>
      <c r="C586" s="3" t="s">
        <v>2806</v>
      </c>
      <c r="D586" s="3" t="s">
        <v>2807</v>
      </c>
      <c r="E586" s="3" t="s">
        <v>1477</v>
      </c>
      <c r="F586" s="3" t="s">
        <v>2808</v>
      </c>
      <c r="G586" s="3" t="s">
        <v>2809</v>
      </c>
      <c r="H586" s="3" t="s">
        <v>76</v>
      </c>
      <c r="I586" s="3" t="s">
        <v>73</v>
      </c>
      <c r="J586" s="3" t="s">
        <v>53</v>
      </c>
      <c r="K586" s="3" t="s">
        <v>53</v>
      </c>
      <c r="L586" s="6" t="s">
        <v>805</v>
      </c>
      <c r="M586" s="6" t="s">
        <v>311</v>
      </c>
      <c r="N586" s="3" t="s">
        <v>265</v>
      </c>
      <c r="O586" s="3" t="s">
        <v>62</v>
      </c>
      <c r="P586" s="3" t="s">
        <v>1219</v>
      </c>
      <c r="Q586" s="137">
        <v>6553</v>
      </c>
      <c r="R586" s="139">
        <v>1</v>
      </c>
      <c r="S586" s="140">
        <v>212.9</v>
      </c>
      <c r="U586" s="137">
        <v>13.951000000000001</v>
      </c>
      <c r="V586" s="138">
        <v>7.7000000000000001E-5</v>
      </c>
      <c r="W586" s="138">
        <v>1.02685234923495E-3</v>
      </c>
      <c r="X586" s="138">
        <v>1.59819852168752E-4</v>
      </c>
    </row>
    <row r="587" spans="1:24" x14ac:dyDescent="0.2">
      <c r="A587" s="3">
        <v>559</v>
      </c>
      <c r="B587" s="3">
        <v>7206</v>
      </c>
      <c r="C587" s="3" t="s">
        <v>2157</v>
      </c>
      <c r="D587" s="3" t="s">
        <v>2158</v>
      </c>
      <c r="E587" s="3" t="s">
        <v>1477</v>
      </c>
      <c r="F587" s="3" t="s">
        <v>2810</v>
      </c>
      <c r="G587" s="3" t="s">
        <v>2811</v>
      </c>
      <c r="H587" s="3" t="s">
        <v>76</v>
      </c>
      <c r="I587" s="3" t="s">
        <v>73</v>
      </c>
      <c r="J587" s="3" t="s">
        <v>53</v>
      </c>
      <c r="K587" s="3" t="s">
        <v>53</v>
      </c>
      <c r="L587" s="6" t="s">
        <v>805</v>
      </c>
      <c r="M587" s="6" t="s">
        <v>311</v>
      </c>
      <c r="N587" s="3" t="s">
        <v>635</v>
      </c>
      <c r="O587" s="3" t="s">
        <v>62</v>
      </c>
      <c r="P587" s="3" t="s">
        <v>1219</v>
      </c>
      <c r="Q587" s="137">
        <v>1663</v>
      </c>
      <c r="R587" s="139">
        <v>1</v>
      </c>
      <c r="S587" s="140">
        <v>2261</v>
      </c>
      <c r="U587" s="137">
        <v>37.6</v>
      </c>
      <c r="V587" s="138">
        <v>9.0000000000000002E-6</v>
      </c>
      <c r="W587" s="138">
        <v>2.7674831364007699E-3</v>
      </c>
      <c r="X587" s="138">
        <v>4.3073256449052298E-4</v>
      </c>
    </row>
    <row r="588" spans="1:24" x14ac:dyDescent="0.2">
      <c r="A588" s="3">
        <v>559</v>
      </c>
      <c r="B588" s="3">
        <v>7206</v>
      </c>
      <c r="C588" s="3" t="s">
        <v>2812</v>
      </c>
      <c r="D588" s="3" t="s">
        <v>2813</v>
      </c>
      <c r="E588" s="3" t="s">
        <v>1477</v>
      </c>
      <c r="F588" s="3" t="s">
        <v>2814</v>
      </c>
      <c r="G588" s="3" t="s">
        <v>2815</v>
      </c>
      <c r="H588" s="3" t="s">
        <v>76</v>
      </c>
      <c r="I588" s="3" t="s">
        <v>73</v>
      </c>
      <c r="J588" s="3" t="s">
        <v>53</v>
      </c>
      <c r="K588" s="3" t="s">
        <v>53</v>
      </c>
      <c r="L588" s="6" t="s">
        <v>805</v>
      </c>
      <c r="M588" s="6" t="s">
        <v>311</v>
      </c>
      <c r="N588" s="3" t="s">
        <v>634</v>
      </c>
      <c r="O588" s="3" t="s">
        <v>62</v>
      </c>
      <c r="P588" s="3" t="s">
        <v>1219</v>
      </c>
      <c r="Q588" s="137">
        <v>457</v>
      </c>
      <c r="R588" s="139">
        <v>1</v>
      </c>
      <c r="S588" s="140">
        <v>6518</v>
      </c>
      <c r="U588" s="137">
        <v>29.786999999999999</v>
      </c>
      <c r="V588" s="138">
        <v>9.0000000000000002E-6</v>
      </c>
      <c r="W588" s="138">
        <v>2.1924148135961498E-3</v>
      </c>
      <c r="X588" s="138">
        <v>3.41228621293585E-4</v>
      </c>
    </row>
    <row r="589" spans="1:24" x14ac:dyDescent="0.2">
      <c r="A589" s="3">
        <v>559</v>
      </c>
      <c r="B589" s="3">
        <v>7206</v>
      </c>
      <c r="C589" s="3" t="s">
        <v>2816</v>
      </c>
      <c r="D589" s="3" t="s">
        <v>2817</v>
      </c>
      <c r="E589" s="3" t="s">
        <v>1477</v>
      </c>
      <c r="F589" s="3" t="s">
        <v>2818</v>
      </c>
      <c r="G589" s="3" t="s">
        <v>2819</v>
      </c>
      <c r="H589" s="3" t="s">
        <v>76</v>
      </c>
      <c r="I589" s="3" t="s">
        <v>73</v>
      </c>
      <c r="J589" s="3" t="s">
        <v>53</v>
      </c>
      <c r="K589" s="3" t="s">
        <v>53</v>
      </c>
      <c r="L589" s="6" t="s">
        <v>805</v>
      </c>
      <c r="M589" s="6" t="s">
        <v>311</v>
      </c>
      <c r="N589" s="3" t="s">
        <v>265</v>
      </c>
      <c r="O589" s="3" t="s">
        <v>62</v>
      </c>
      <c r="P589" s="3" t="s">
        <v>1219</v>
      </c>
      <c r="Q589" s="137">
        <v>339</v>
      </c>
      <c r="R589" s="139">
        <v>1</v>
      </c>
      <c r="S589" s="140">
        <v>1420</v>
      </c>
      <c r="U589" s="137">
        <v>4.8140000000000001</v>
      </c>
      <c r="V589" s="138">
        <v>2.0000000000000002E-5</v>
      </c>
      <c r="W589" s="138">
        <v>3.5430739281455101E-4</v>
      </c>
      <c r="X589" s="138">
        <v>5.5144593265142903E-5</v>
      </c>
    </row>
    <row r="590" spans="1:24" x14ac:dyDescent="0.2">
      <c r="A590" s="3">
        <v>559</v>
      </c>
      <c r="B590" s="3">
        <v>7206</v>
      </c>
      <c r="C590" s="3" t="s">
        <v>2820</v>
      </c>
      <c r="D590" s="3" t="s">
        <v>2821</v>
      </c>
      <c r="E590" s="3" t="s">
        <v>1477</v>
      </c>
      <c r="F590" s="3" t="s">
        <v>2822</v>
      </c>
      <c r="G590" s="3" t="s">
        <v>2823</v>
      </c>
      <c r="H590" s="3" t="s">
        <v>76</v>
      </c>
      <c r="I590" s="3" t="s">
        <v>73</v>
      </c>
      <c r="J590" s="3" t="s">
        <v>53</v>
      </c>
      <c r="K590" s="3" t="s">
        <v>53</v>
      </c>
      <c r="L590" s="6" t="s">
        <v>805</v>
      </c>
      <c r="M590" s="6" t="s">
        <v>311</v>
      </c>
      <c r="N590" s="3" t="s">
        <v>634</v>
      </c>
      <c r="O590" s="3" t="s">
        <v>62</v>
      </c>
      <c r="P590" s="3" t="s">
        <v>1219</v>
      </c>
      <c r="Q590" s="137">
        <v>258</v>
      </c>
      <c r="R590" s="139">
        <v>1</v>
      </c>
      <c r="S590" s="140">
        <v>32510</v>
      </c>
      <c r="U590" s="137">
        <v>83.876000000000005</v>
      </c>
      <c r="V590" s="138">
        <v>1.9000000000000001E-5</v>
      </c>
      <c r="W590" s="138">
        <v>6.1734629644428001E-3</v>
      </c>
      <c r="X590" s="138">
        <v>9.6084109763356902E-4</v>
      </c>
    </row>
    <row r="591" spans="1:24" x14ac:dyDescent="0.2">
      <c r="A591" s="3">
        <v>559</v>
      </c>
      <c r="B591" s="3">
        <v>7206</v>
      </c>
      <c r="C591" s="3" t="s">
        <v>2824</v>
      </c>
      <c r="D591" s="3" t="s">
        <v>2825</v>
      </c>
      <c r="E591" s="3" t="s">
        <v>1477</v>
      </c>
      <c r="F591" s="3" t="s">
        <v>2826</v>
      </c>
      <c r="G591" s="3" t="s">
        <v>2827</v>
      </c>
      <c r="H591" s="3" t="s">
        <v>76</v>
      </c>
      <c r="I591" s="3" t="s">
        <v>73</v>
      </c>
      <c r="J591" s="3" t="s">
        <v>53</v>
      </c>
      <c r="K591" s="3" t="s">
        <v>53</v>
      </c>
      <c r="L591" s="6" t="s">
        <v>805</v>
      </c>
      <c r="M591" s="6" t="s">
        <v>311</v>
      </c>
      <c r="N591" s="3" t="s">
        <v>634</v>
      </c>
      <c r="O591" s="3" t="s">
        <v>62</v>
      </c>
      <c r="P591" s="3" t="s">
        <v>1219</v>
      </c>
      <c r="Q591" s="137">
        <v>2295</v>
      </c>
      <c r="R591" s="139">
        <v>1</v>
      </c>
      <c r="S591" s="140">
        <v>3869</v>
      </c>
      <c r="U591" s="137">
        <v>88.793999999999997</v>
      </c>
      <c r="V591" s="138">
        <v>7.9999999999999996E-6</v>
      </c>
      <c r="W591" s="138">
        <v>6.5354213301858201E-3</v>
      </c>
      <c r="X591" s="138">
        <v>1.01717649244217E-3</v>
      </c>
    </row>
    <row r="592" spans="1:24" x14ac:dyDescent="0.2">
      <c r="A592" s="3">
        <v>559</v>
      </c>
      <c r="B592" s="3">
        <v>7206</v>
      </c>
      <c r="C592" s="3" t="s">
        <v>2174</v>
      </c>
      <c r="D592" s="3" t="s">
        <v>2175</v>
      </c>
      <c r="E592" s="3" t="s">
        <v>1477</v>
      </c>
      <c r="F592" s="3" t="s">
        <v>2828</v>
      </c>
      <c r="G592" s="3" t="s">
        <v>2829</v>
      </c>
      <c r="H592" s="3" t="s">
        <v>76</v>
      </c>
      <c r="I592" s="3" t="s">
        <v>73</v>
      </c>
      <c r="J592" s="3" t="s">
        <v>53</v>
      </c>
      <c r="K592" s="3" t="s">
        <v>53</v>
      </c>
      <c r="L592" s="6" t="s">
        <v>805</v>
      </c>
      <c r="M592" s="6" t="s">
        <v>311</v>
      </c>
      <c r="N592" s="3" t="s">
        <v>261</v>
      </c>
      <c r="O592" s="3" t="s">
        <v>62</v>
      </c>
      <c r="P592" s="3" t="s">
        <v>1219</v>
      </c>
      <c r="Q592" s="137">
        <v>3690</v>
      </c>
      <c r="R592" s="139">
        <v>1</v>
      </c>
      <c r="S592" s="140">
        <v>9235</v>
      </c>
      <c r="U592" s="137">
        <v>340.77199999999999</v>
      </c>
      <c r="V592" s="138">
        <v>3.1000000000000001E-5</v>
      </c>
      <c r="W592" s="138">
        <v>2.50816115564635E-2</v>
      </c>
      <c r="X592" s="138">
        <v>3.9037155186864101E-3</v>
      </c>
    </row>
    <row r="593" spans="1:24" x14ac:dyDescent="0.2">
      <c r="A593" s="3">
        <v>559</v>
      </c>
      <c r="B593" s="3">
        <v>7206</v>
      </c>
      <c r="C593" s="3" t="s">
        <v>2830</v>
      </c>
      <c r="D593" s="3" t="s">
        <v>2831</v>
      </c>
      <c r="E593" s="3" t="s">
        <v>1477</v>
      </c>
      <c r="F593" s="3" t="s">
        <v>2832</v>
      </c>
      <c r="G593" s="3" t="s">
        <v>2833</v>
      </c>
      <c r="H593" s="3" t="s">
        <v>76</v>
      </c>
      <c r="I593" s="3" t="s">
        <v>73</v>
      </c>
      <c r="J593" s="3" t="s">
        <v>53</v>
      </c>
      <c r="K593" s="3" t="s">
        <v>53</v>
      </c>
      <c r="L593" s="6" t="s">
        <v>805</v>
      </c>
      <c r="M593" s="6" t="s">
        <v>311</v>
      </c>
      <c r="N593" s="3" t="s">
        <v>264</v>
      </c>
      <c r="O593" s="3" t="s">
        <v>62</v>
      </c>
      <c r="P593" s="3" t="s">
        <v>1219</v>
      </c>
      <c r="Q593" s="137">
        <v>253</v>
      </c>
      <c r="R593" s="139">
        <v>1</v>
      </c>
      <c r="S593" s="140">
        <v>10400</v>
      </c>
      <c r="U593" s="137">
        <v>26.312000000000001</v>
      </c>
      <c r="V593" s="138">
        <v>1.9000000000000001E-5</v>
      </c>
      <c r="W593" s="138">
        <v>1.93662722168276E-3</v>
      </c>
      <c r="X593" s="138">
        <v>3.01417702852724E-4</v>
      </c>
    </row>
    <row r="594" spans="1:24" x14ac:dyDescent="0.2">
      <c r="A594" s="3">
        <v>559</v>
      </c>
      <c r="B594" s="3">
        <v>7206</v>
      </c>
      <c r="C594" s="3" t="s">
        <v>2834</v>
      </c>
      <c r="D594" s="3" t="s">
        <v>2835</v>
      </c>
      <c r="E594" s="3" t="s">
        <v>1477</v>
      </c>
      <c r="F594" s="3" t="s">
        <v>2836</v>
      </c>
      <c r="G594" s="3" t="s">
        <v>2837</v>
      </c>
      <c r="H594" s="3" t="s">
        <v>76</v>
      </c>
      <c r="I594" s="3" t="s">
        <v>73</v>
      </c>
      <c r="J594" s="3" t="s">
        <v>53</v>
      </c>
      <c r="K594" s="3" t="s">
        <v>317</v>
      </c>
      <c r="L594" s="6" t="s">
        <v>805</v>
      </c>
      <c r="M594" s="6" t="s">
        <v>311</v>
      </c>
      <c r="N594" s="3" t="s">
        <v>261</v>
      </c>
      <c r="O594" s="3" t="s">
        <v>62</v>
      </c>
      <c r="P594" s="3" t="s">
        <v>1219</v>
      </c>
      <c r="Q594" s="137">
        <v>4507</v>
      </c>
      <c r="R594" s="139">
        <v>1</v>
      </c>
      <c r="S594" s="140">
        <v>4070</v>
      </c>
      <c r="U594" s="137">
        <v>183.435</v>
      </c>
      <c r="V594" s="138">
        <v>4.5000000000000003E-5</v>
      </c>
      <c r="W594" s="138">
        <v>1.3501254969088401E-2</v>
      </c>
      <c r="X594" s="138">
        <v>2.1013425882114301E-3</v>
      </c>
    </row>
    <row r="595" spans="1:24" x14ac:dyDescent="0.2">
      <c r="A595" s="3">
        <v>559</v>
      </c>
      <c r="B595" s="3">
        <v>7206</v>
      </c>
      <c r="C595" s="3" t="s">
        <v>2897</v>
      </c>
      <c r="D595" s="3" t="s">
        <v>2898</v>
      </c>
      <c r="E595" s="3" t="s">
        <v>430</v>
      </c>
      <c r="F595" s="3" t="s">
        <v>2899</v>
      </c>
      <c r="G595" s="3" t="s">
        <v>2900</v>
      </c>
      <c r="H595" s="3" t="s">
        <v>76</v>
      </c>
      <c r="I595" s="3" t="s">
        <v>73</v>
      </c>
      <c r="J595" s="3" t="s">
        <v>61</v>
      </c>
      <c r="K595" s="3" t="s">
        <v>153</v>
      </c>
      <c r="L595" s="6" t="s">
        <v>805</v>
      </c>
      <c r="M595" s="6" t="s">
        <v>488</v>
      </c>
      <c r="N595" s="3" t="s">
        <v>915</v>
      </c>
      <c r="O595" s="3" t="s">
        <v>62</v>
      </c>
      <c r="P595" s="3" t="s">
        <v>1215</v>
      </c>
      <c r="Q595" s="137">
        <v>5558.65</v>
      </c>
      <c r="R595" s="139">
        <v>3.9552</v>
      </c>
      <c r="S595" s="140">
        <v>311.2</v>
      </c>
      <c r="U595" s="137">
        <v>68.418999999999997</v>
      </c>
      <c r="V595" s="138">
        <v>3.9999999999999998E-6</v>
      </c>
      <c r="W595" s="138">
        <v>5.0358123502521803E-3</v>
      </c>
      <c r="X595" s="138">
        <v>7.8377654388823396E-4</v>
      </c>
    </row>
    <row r="596" spans="1:24" x14ac:dyDescent="0.2">
      <c r="A596" s="3">
        <v>559</v>
      </c>
      <c r="B596" s="3">
        <v>7206</v>
      </c>
      <c r="C596" s="3" t="s">
        <v>2901</v>
      </c>
      <c r="D596" s="3" t="s">
        <v>2902</v>
      </c>
      <c r="E596" s="3" t="s">
        <v>430</v>
      </c>
      <c r="F596" s="3" t="s">
        <v>2903</v>
      </c>
      <c r="G596" s="3" t="s">
        <v>2904</v>
      </c>
      <c r="H596" s="3" t="s">
        <v>76</v>
      </c>
      <c r="I596" s="3" t="s">
        <v>73</v>
      </c>
      <c r="J596" s="3" t="s">
        <v>61</v>
      </c>
      <c r="K596" s="3" t="s">
        <v>315</v>
      </c>
      <c r="L596" s="6" t="s">
        <v>805</v>
      </c>
      <c r="M596" s="6" t="s">
        <v>479</v>
      </c>
      <c r="N596" s="3" t="s">
        <v>894</v>
      </c>
      <c r="O596" s="3" t="s">
        <v>62</v>
      </c>
      <c r="P596" s="3" t="s">
        <v>1217</v>
      </c>
      <c r="Q596" s="137">
        <v>200</v>
      </c>
      <c r="R596" s="139">
        <v>3.3719999999999999</v>
      </c>
      <c r="S596" s="140">
        <v>6988</v>
      </c>
      <c r="U596" s="137">
        <v>47.127000000000002</v>
      </c>
      <c r="V596" s="138">
        <v>0</v>
      </c>
      <c r="W596" s="138">
        <v>3.4686671675814599E-3</v>
      </c>
      <c r="X596" s="138">
        <v>5.3986522440007995E-4</v>
      </c>
    </row>
    <row r="597" spans="1:24" x14ac:dyDescent="0.2">
      <c r="A597" s="3">
        <v>559</v>
      </c>
      <c r="B597" s="3">
        <v>7206</v>
      </c>
      <c r="C597" s="3" t="s">
        <v>2905</v>
      </c>
      <c r="D597" s="3" t="s">
        <v>2906</v>
      </c>
      <c r="E597" s="3" t="s">
        <v>430</v>
      </c>
      <c r="F597" s="3" t="s">
        <v>2907</v>
      </c>
      <c r="G597" s="3" t="s">
        <v>2908</v>
      </c>
      <c r="H597" s="3" t="s">
        <v>76</v>
      </c>
      <c r="I597" s="3" t="s">
        <v>73</v>
      </c>
      <c r="J597" s="3" t="s">
        <v>61</v>
      </c>
      <c r="K597" s="3" t="s">
        <v>314</v>
      </c>
      <c r="L597" s="6" t="s">
        <v>805</v>
      </c>
      <c r="M597" s="6" t="s">
        <v>479</v>
      </c>
      <c r="N597" s="3" t="s">
        <v>2262</v>
      </c>
      <c r="O597" s="3" t="s">
        <v>62</v>
      </c>
      <c r="P597" s="3" t="s">
        <v>1217</v>
      </c>
      <c r="Q597" s="137">
        <v>480</v>
      </c>
      <c r="R597" s="139">
        <v>3.3719999999999999</v>
      </c>
      <c r="S597" s="140">
        <v>197</v>
      </c>
      <c r="U597" s="137">
        <v>3.1890000000000001</v>
      </c>
      <c r="V597" s="138">
        <v>1.2999999999999999E-5</v>
      </c>
      <c r="W597" s="138">
        <v>2.34686009850102E-4</v>
      </c>
      <c r="X597" s="138">
        <v>3.6526656854086702E-5</v>
      </c>
    </row>
    <row r="598" spans="1:24" x14ac:dyDescent="0.2">
      <c r="A598" s="3">
        <v>559</v>
      </c>
      <c r="B598" s="3">
        <v>7206</v>
      </c>
      <c r="C598" s="3" t="s">
        <v>2927</v>
      </c>
      <c r="D598" s="3" t="s">
        <v>2928</v>
      </c>
      <c r="E598" s="3" t="s">
        <v>1477</v>
      </c>
      <c r="F598" s="3" t="s">
        <v>2929</v>
      </c>
      <c r="G598" s="3" t="s">
        <v>2930</v>
      </c>
      <c r="H598" s="3" t="s">
        <v>76</v>
      </c>
      <c r="I598" s="3" t="s">
        <v>73</v>
      </c>
      <c r="J598" s="3" t="s">
        <v>61</v>
      </c>
      <c r="K598" s="3" t="s">
        <v>314</v>
      </c>
      <c r="L598" s="6" t="s">
        <v>805</v>
      </c>
      <c r="M598" s="6" t="s">
        <v>479</v>
      </c>
      <c r="N598" s="3" t="s">
        <v>890</v>
      </c>
      <c r="O598" s="3" t="s">
        <v>62</v>
      </c>
      <c r="P598" s="3" t="s">
        <v>1217</v>
      </c>
      <c r="Q598" s="137">
        <v>213</v>
      </c>
      <c r="R598" s="139">
        <v>3.3719999999999999</v>
      </c>
      <c r="S598" s="140">
        <v>1444</v>
      </c>
      <c r="U598" s="137">
        <v>10.371</v>
      </c>
      <c r="V598" s="138">
        <v>3.0000000000000001E-6</v>
      </c>
      <c r="W598" s="138">
        <v>7.6335496427258501E-4</v>
      </c>
      <c r="X598" s="138">
        <v>1.1880897738922501E-4</v>
      </c>
    </row>
    <row r="599" spans="1:24" x14ac:dyDescent="0.2">
      <c r="A599" s="3">
        <v>559</v>
      </c>
      <c r="B599" s="3">
        <v>7206</v>
      </c>
      <c r="C599" s="3" t="s">
        <v>2931</v>
      </c>
      <c r="D599" s="3" t="s">
        <v>2932</v>
      </c>
      <c r="E599" s="3" t="s">
        <v>430</v>
      </c>
      <c r="F599" s="3" t="s">
        <v>2933</v>
      </c>
      <c r="G599" s="3" t="s">
        <v>2934</v>
      </c>
      <c r="H599" s="3" t="s">
        <v>76</v>
      </c>
      <c r="I599" s="3" t="s">
        <v>73</v>
      </c>
      <c r="J599" s="3" t="s">
        <v>61</v>
      </c>
      <c r="K599" s="3" t="s">
        <v>314</v>
      </c>
      <c r="L599" s="6" t="s">
        <v>805</v>
      </c>
      <c r="M599" s="6" t="s">
        <v>476</v>
      </c>
      <c r="N599" s="3" t="s">
        <v>865</v>
      </c>
      <c r="O599" s="3" t="s">
        <v>62</v>
      </c>
      <c r="P599" s="3" t="s">
        <v>1217</v>
      </c>
      <c r="Q599" s="137">
        <v>127.96</v>
      </c>
      <c r="R599" s="139">
        <v>3.3719999999999999</v>
      </c>
      <c r="S599" s="140">
        <v>7355</v>
      </c>
      <c r="T599" s="131">
        <v>3.7999999999999999E-2</v>
      </c>
      <c r="U599" s="137">
        <v>31.864999999999998</v>
      </c>
      <c r="V599" s="138">
        <v>0</v>
      </c>
      <c r="W599" s="138">
        <v>2.34532212973193E-3</v>
      </c>
      <c r="X599" s="138">
        <v>3.65027198254087E-4</v>
      </c>
    </row>
    <row r="600" spans="1:24" x14ac:dyDescent="0.2">
      <c r="A600" s="3">
        <v>559</v>
      </c>
      <c r="B600" s="3">
        <v>7206</v>
      </c>
      <c r="C600" s="3" t="s">
        <v>2211</v>
      </c>
      <c r="D600" s="3" t="s">
        <v>2212</v>
      </c>
      <c r="E600" s="3" t="s">
        <v>430</v>
      </c>
      <c r="F600" s="3" t="s">
        <v>2838</v>
      </c>
      <c r="G600" s="3" t="s">
        <v>2839</v>
      </c>
      <c r="H600" s="3" t="s">
        <v>76</v>
      </c>
      <c r="I600" s="3" t="s">
        <v>73</v>
      </c>
      <c r="J600" s="3" t="s">
        <v>61</v>
      </c>
      <c r="K600" s="3" t="s">
        <v>315</v>
      </c>
      <c r="L600" s="6" t="s">
        <v>805</v>
      </c>
      <c r="M600" s="6" t="s">
        <v>494</v>
      </c>
      <c r="N600" s="3" t="s">
        <v>2215</v>
      </c>
      <c r="O600" s="3" t="s">
        <v>62</v>
      </c>
      <c r="P600" s="3" t="s">
        <v>1218</v>
      </c>
      <c r="Q600" s="137">
        <v>7000</v>
      </c>
      <c r="R600" s="139">
        <v>4.6235999999999997</v>
      </c>
      <c r="S600" s="140">
        <v>157.6</v>
      </c>
      <c r="U600" s="137">
        <v>51.008000000000003</v>
      </c>
      <c r="V600" s="138">
        <v>0</v>
      </c>
      <c r="W600" s="138">
        <v>3.7542801729935401E-3</v>
      </c>
      <c r="X600" s="138">
        <v>5.8431818624648396E-4</v>
      </c>
    </row>
    <row r="601" spans="1:24" x14ac:dyDescent="0.2">
      <c r="A601" s="3">
        <v>559</v>
      </c>
      <c r="B601" s="3">
        <v>7206</v>
      </c>
      <c r="C601" s="3" t="s">
        <v>2840</v>
      </c>
      <c r="D601" s="3" t="s">
        <v>2841</v>
      </c>
      <c r="E601" s="3" t="s">
        <v>430</v>
      </c>
      <c r="F601" s="3" t="s">
        <v>2842</v>
      </c>
      <c r="G601" s="3" t="s">
        <v>2843</v>
      </c>
      <c r="H601" s="3" t="s">
        <v>76</v>
      </c>
      <c r="I601" s="3" t="s">
        <v>73</v>
      </c>
      <c r="J601" s="3" t="s">
        <v>61</v>
      </c>
      <c r="K601" s="3" t="s">
        <v>314</v>
      </c>
      <c r="L601" s="6" t="s">
        <v>805</v>
      </c>
      <c r="M601" s="6" t="s">
        <v>476</v>
      </c>
      <c r="N601" s="3" t="s">
        <v>894</v>
      </c>
      <c r="O601" s="3" t="s">
        <v>62</v>
      </c>
      <c r="P601" s="3" t="s">
        <v>1217</v>
      </c>
      <c r="Q601" s="137">
        <v>165</v>
      </c>
      <c r="R601" s="139">
        <v>3.3719999999999999</v>
      </c>
      <c r="S601" s="140">
        <v>15275</v>
      </c>
      <c r="U601" s="137">
        <v>84.986999999999995</v>
      </c>
      <c r="V601" s="138">
        <v>0</v>
      </c>
      <c r="W601" s="138">
        <v>6.2552533002955902E-3</v>
      </c>
      <c r="X601" s="138">
        <v>9.7357098951585E-4</v>
      </c>
    </row>
    <row r="602" spans="1:24" x14ac:dyDescent="0.2">
      <c r="A602" s="3">
        <v>559</v>
      </c>
      <c r="B602" s="3">
        <v>7206</v>
      </c>
      <c r="C602" s="3" t="s">
        <v>2844</v>
      </c>
      <c r="D602" s="3" t="s">
        <v>2845</v>
      </c>
      <c r="E602" s="3" t="s">
        <v>1477</v>
      </c>
      <c r="F602" s="3" t="s">
        <v>2846</v>
      </c>
      <c r="G602" s="3" t="s">
        <v>2847</v>
      </c>
      <c r="H602" s="3" t="s">
        <v>76</v>
      </c>
      <c r="I602" s="3" t="s">
        <v>73</v>
      </c>
      <c r="J602" s="3" t="s">
        <v>53</v>
      </c>
      <c r="K602" s="3" t="s">
        <v>314</v>
      </c>
      <c r="L602" s="6" t="s">
        <v>805</v>
      </c>
      <c r="M602" s="6" t="s">
        <v>479</v>
      </c>
      <c r="N602" s="3" t="s">
        <v>2262</v>
      </c>
      <c r="O602" s="3" t="s">
        <v>62</v>
      </c>
      <c r="P602" s="3" t="s">
        <v>1217</v>
      </c>
      <c r="Q602" s="137">
        <v>308</v>
      </c>
      <c r="R602" s="139">
        <v>3.3719999999999999</v>
      </c>
      <c r="S602" s="140">
        <v>1991</v>
      </c>
      <c r="U602" s="137">
        <v>20.678000000000001</v>
      </c>
      <c r="V602" s="138">
        <v>6.0000000000000002E-6</v>
      </c>
      <c r="W602" s="138">
        <v>1.52195465787181E-3</v>
      </c>
      <c r="X602" s="138">
        <v>2.3687784189211001E-4</v>
      </c>
    </row>
    <row r="603" spans="1:24" x14ac:dyDescent="0.2">
      <c r="A603" s="3">
        <v>559</v>
      </c>
      <c r="B603" s="3">
        <v>7206</v>
      </c>
      <c r="C603" s="3" t="s">
        <v>2848</v>
      </c>
      <c r="D603" s="3" t="s">
        <v>2849</v>
      </c>
      <c r="E603" s="3" t="s">
        <v>430</v>
      </c>
      <c r="F603" s="3" t="s">
        <v>2848</v>
      </c>
      <c r="G603" s="3" t="s">
        <v>2850</v>
      </c>
      <c r="H603" s="3" t="s">
        <v>76</v>
      </c>
      <c r="I603" s="3" t="s">
        <v>73</v>
      </c>
      <c r="J603" s="3" t="s">
        <v>61</v>
      </c>
      <c r="K603" s="3" t="s">
        <v>314</v>
      </c>
      <c r="L603" s="6" t="s">
        <v>805</v>
      </c>
      <c r="M603" s="6" t="s">
        <v>476</v>
      </c>
      <c r="N603" s="3" t="s">
        <v>894</v>
      </c>
      <c r="O603" s="3" t="s">
        <v>62</v>
      </c>
      <c r="P603" s="3" t="s">
        <v>1217</v>
      </c>
      <c r="Q603" s="137">
        <v>511</v>
      </c>
      <c r="R603" s="139">
        <v>3.3719999999999999</v>
      </c>
      <c r="S603" s="140">
        <v>2424</v>
      </c>
      <c r="U603" s="137">
        <v>41.768000000000001</v>
      </c>
      <c r="V603" s="138">
        <v>0</v>
      </c>
      <c r="W603" s="138">
        <v>3.0742080341049798E-3</v>
      </c>
      <c r="X603" s="138">
        <v>4.7847139261326602E-4</v>
      </c>
    </row>
    <row r="604" spans="1:24" x14ac:dyDescent="0.2">
      <c r="A604" s="3">
        <v>559</v>
      </c>
      <c r="B604" s="3">
        <v>7206</v>
      </c>
      <c r="C604" s="3" t="s">
        <v>2851</v>
      </c>
      <c r="D604" s="3" t="s">
        <v>2852</v>
      </c>
      <c r="E604" s="3" t="s">
        <v>1477</v>
      </c>
      <c r="F604" s="3" t="s">
        <v>2853</v>
      </c>
      <c r="G604" s="3" t="s">
        <v>2854</v>
      </c>
      <c r="H604" s="3" t="s">
        <v>76</v>
      </c>
      <c r="I604" s="3" t="s">
        <v>73</v>
      </c>
      <c r="J604" s="3" t="s">
        <v>53</v>
      </c>
      <c r="K604" s="3" t="s">
        <v>53</v>
      </c>
      <c r="L604" s="6" t="s">
        <v>805</v>
      </c>
      <c r="M604" s="6" t="s">
        <v>479</v>
      </c>
      <c r="N604" s="3" t="s">
        <v>899</v>
      </c>
      <c r="O604" s="3" t="s">
        <v>62</v>
      </c>
      <c r="P604" s="3" t="s">
        <v>1217</v>
      </c>
      <c r="Q604" s="137">
        <v>407</v>
      </c>
      <c r="R604" s="139">
        <v>3.3719999999999999</v>
      </c>
      <c r="S604" s="140">
        <v>1359</v>
      </c>
      <c r="U604" s="137">
        <v>18.651</v>
      </c>
      <c r="V604" s="138">
        <v>2.5999999999999998E-5</v>
      </c>
      <c r="W604" s="138">
        <v>1.3727567995581601E-3</v>
      </c>
      <c r="X604" s="138">
        <v>2.1365660694304601E-4</v>
      </c>
    </row>
    <row r="605" spans="1:24" x14ac:dyDescent="0.2">
      <c r="A605" s="3">
        <v>559</v>
      </c>
      <c r="B605" s="3">
        <v>7206</v>
      </c>
      <c r="C605" s="3" t="s">
        <v>2855</v>
      </c>
      <c r="D605" s="3" t="s">
        <v>2856</v>
      </c>
      <c r="E605" s="3" t="s">
        <v>1477</v>
      </c>
      <c r="F605" s="3" t="s">
        <v>2857</v>
      </c>
      <c r="G605" s="3" t="s">
        <v>2858</v>
      </c>
      <c r="H605" s="3" t="s">
        <v>76</v>
      </c>
      <c r="I605" s="3" t="s">
        <v>73</v>
      </c>
      <c r="J605" s="3" t="s">
        <v>61</v>
      </c>
      <c r="K605" s="3" t="s">
        <v>314</v>
      </c>
      <c r="L605" s="6" t="s">
        <v>805</v>
      </c>
      <c r="M605" s="6" t="s">
        <v>479</v>
      </c>
      <c r="N605" s="3" t="s">
        <v>202</v>
      </c>
      <c r="O605" s="3" t="s">
        <v>62</v>
      </c>
      <c r="P605" s="3" t="s">
        <v>1217</v>
      </c>
      <c r="Q605" s="137">
        <v>112</v>
      </c>
      <c r="R605" s="139">
        <v>3.3719999999999999</v>
      </c>
      <c r="S605" s="140">
        <v>2040</v>
      </c>
      <c r="U605" s="137">
        <v>7.7039999999999997</v>
      </c>
      <c r="V605" s="138">
        <v>1.9999999999999999E-6</v>
      </c>
      <c r="W605" s="138">
        <v>5.67058582175882E-4</v>
      </c>
      <c r="X605" s="138">
        <v>8.8257302855559796E-5</v>
      </c>
    </row>
    <row r="606" spans="1:24" x14ac:dyDescent="0.2">
      <c r="A606" s="3">
        <v>559</v>
      </c>
      <c r="B606" s="3">
        <v>7206</v>
      </c>
      <c r="C606" s="3" t="s">
        <v>2859</v>
      </c>
      <c r="D606" s="3" t="s">
        <v>2860</v>
      </c>
      <c r="E606" s="3" t="s">
        <v>430</v>
      </c>
      <c r="F606" s="3" t="s">
        <v>2861</v>
      </c>
      <c r="G606" s="3" t="s">
        <v>2862</v>
      </c>
      <c r="H606" s="3" t="s">
        <v>76</v>
      </c>
      <c r="I606" s="3" t="s">
        <v>73</v>
      </c>
      <c r="J606" s="3" t="s">
        <v>53</v>
      </c>
      <c r="K606" s="3" t="s">
        <v>53</v>
      </c>
      <c r="L606" s="6" t="s">
        <v>805</v>
      </c>
      <c r="M606" s="6" t="s">
        <v>476</v>
      </c>
      <c r="N606" s="3" t="s">
        <v>878</v>
      </c>
      <c r="O606" s="3" t="s">
        <v>62</v>
      </c>
      <c r="P606" s="3" t="s">
        <v>1217</v>
      </c>
      <c r="Q606" s="137">
        <v>155</v>
      </c>
      <c r="R606" s="139">
        <v>3.3719999999999999</v>
      </c>
      <c r="S606" s="140">
        <v>1609</v>
      </c>
      <c r="U606" s="137">
        <v>8.41</v>
      </c>
      <c r="V606" s="138">
        <v>9.9999999999999995E-7</v>
      </c>
      <c r="W606" s="138">
        <v>6.1896697786131805E-4</v>
      </c>
      <c r="X606" s="138">
        <v>9.6336353491169205E-5</v>
      </c>
    </row>
    <row r="607" spans="1:24" x14ac:dyDescent="0.2">
      <c r="A607" s="3">
        <v>559</v>
      </c>
      <c r="B607" s="3">
        <v>7206</v>
      </c>
      <c r="C607" s="3" t="s">
        <v>1545</v>
      </c>
      <c r="D607" s="3" t="s">
        <v>1546</v>
      </c>
      <c r="E607" s="3" t="s">
        <v>1477</v>
      </c>
      <c r="F607" s="3" t="s">
        <v>2863</v>
      </c>
      <c r="G607" s="3" t="s">
        <v>2864</v>
      </c>
      <c r="H607" s="3" t="s">
        <v>78</v>
      </c>
      <c r="I607" s="3" t="s">
        <v>73</v>
      </c>
      <c r="J607" s="3" t="s">
        <v>61</v>
      </c>
      <c r="L607" s="6" t="s">
        <v>805</v>
      </c>
      <c r="M607" s="6" t="s">
        <v>102</v>
      </c>
      <c r="N607" s="3" t="s">
        <v>638</v>
      </c>
      <c r="O607" s="3" t="s">
        <v>62</v>
      </c>
      <c r="P607" s="3" t="s">
        <v>1217</v>
      </c>
      <c r="Q607" s="137">
        <v>25</v>
      </c>
      <c r="R607" s="139">
        <v>3.3719999999999999</v>
      </c>
      <c r="S607" s="140">
        <v>44950</v>
      </c>
      <c r="T607" s="131">
        <v>1.2E-2</v>
      </c>
      <c r="U607" s="137">
        <v>37.933</v>
      </c>
      <c r="V607" s="138">
        <v>0</v>
      </c>
      <c r="W607" s="138">
        <v>2.7919839143558398E-3</v>
      </c>
      <c r="X607" s="138">
        <v>4.3454587875494999E-4</v>
      </c>
    </row>
    <row r="608" spans="1:24" x14ac:dyDescent="0.2">
      <c r="A608" s="3">
        <v>559</v>
      </c>
      <c r="B608" s="3">
        <v>7207</v>
      </c>
      <c r="C608" s="3" t="s">
        <v>2504</v>
      </c>
      <c r="D608" s="3" t="s">
        <v>2505</v>
      </c>
      <c r="E608" s="3" t="s">
        <v>1477</v>
      </c>
      <c r="F608" s="3" t="s">
        <v>2506</v>
      </c>
      <c r="G608" s="3" t="s">
        <v>2507</v>
      </c>
      <c r="H608" s="3" t="s">
        <v>76</v>
      </c>
      <c r="I608" s="3" t="s">
        <v>73</v>
      </c>
      <c r="J608" s="3" t="s">
        <v>53</v>
      </c>
      <c r="K608" s="3" t="s">
        <v>53</v>
      </c>
      <c r="L608" s="6" t="s">
        <v>805</v>
      </c>
      <c r="M608" s="6" t="s">
        <v>311</v>
      </c>
      <c r="N608" s="3" t="s">
        <v>156</v>
      </c>
      <c r="O608" s="3" t="s">
        <v>62</v>
      </c>
      <c r="P608" s="3" t="s">
        <v>1219</v>
      </c>
      <c r="Q608" s="137">
        <v>5195.53</v>
      </c>
      <c r="R608" s="139">
        <v>1</v>
      </c>
      <c r="S608" s="140">
        <v>4100</v>
      </c>
      <c r="U608" s="137">
        <v>213.017</v>
      </c>
      <c r="V608" s="138">
        <v>1.9000000000000001E-5</v>
      </c>
      <c r="W608" s="138">
        <v>1.99388871301306E-2</v>
      </c>
      <c r="X608" s="138">
        <v>1.7526743143548001E-3</v>
      </c>
    </row>
    <row r="609" spans="1:24" x14ac:dyDescent="0.2">
      <c r="A609" s="3">
        <v>559</v>
      </c>
      <c r="B609" s="3">
        <v>7207</v>
      </c>
      <c r="C609" s="3" t="s">
        <v>2508</v>
      </c>
      <c r="D609" s="3" t="s">
        <v>2509</v>
      </c>
      <c r="E609" s="3" t="s">
        <v>1477</v>
      </c>
      <c r="F609" s="3" t="s">
        <v>2510</v>
      </c>
      <c r="G609" s="3" t="s">
        <v>2511</v>
      </c>
      <c r="H609" s="3" t="s">
        <v>76</v>
      </c>
      <c r="I609" s="3" t="s">
        <v>73</v>
      </c>
      <c r="J609" s="3" t="s">
        <v>53</v>
      </c>
      <c r="K609" s="3" t="s">
        <v>53</v>
      </c>
      <c r="L609" s="6" t="s">
        <v>805</v>
      </c>
      <c r="M609" s="6" t="s">
        <v>311</v>
      </c>
      <c r="N609" s="3" t="s">
        <v>258</v>
      </c>
      <c r="O609" s="3" t="s">
        <v>62</v>
      </c>
      <c r="P609" s="3" t="s">
        <v>1219</v>
      </c>
      <c r="Q609" s="137">
        <v>4924.04</v>
      </c>
      <c r="R609" s="139">
        <v>1</v>
      </c>
      <c r="S609" s="140">
        <v>452</v>
      </c>
      <c r="U609" s="137">
        <v>22.257000000000001</v>
      </c>
      <c r="V609" s="138">
        <v>8.8999999999999995E-5</v>
      </c>
      <c r="W609" s="138">
        <v>2.0832779077249201E-3</v>
      </c>
      <c r="X609" s="138">
        <v>1.8312494848393999E-4</v>
      </c>
    </row>
    <row r="610" spans="1:24" x14ac:dyDescent="0.2">
      <c r="A610" s="3">
        <v>559</v>
      </c>
      <c r="B610" s="3">
        <v>7207</v>
      </c>
      <c r="C610" s="3" t="s">
        <v>2512</v>
      </c>
      <c r="D610" s="3" t="s">
        <v>2513</v>
      </c>
      <c r="E610" s="3" t="s">
        <v>1477</v>
      </c>
      <c r="F610" s="3" t="s">
        <v>2514</v>
      </c>
      <c r="G610" s="3" t="s">
        <v>2515</v>
      </c>
      <c r="H610" s="3" t="s">
        <v>76</v>
      </c>
      <c r="I610" s="3" t="s">
        <v>73</v>
      </c>
      <c r="J610" s="3" t="s">
        <v>53</v>
      </c>
      <c r="K610" s="3" t="s">
        <v>314</v>
      </c>
      <c r="L610" s="6" t="s">
        <v>805</v>
      </c>
      <c r="M610" s="6" t="s">
        <v>311</v>
      </c>
      <c r="N610" s="3" t="s">
        <v>638</v>
      </c>
      <c r="O610" s="3" t="s">
        <v>62</v>
      </c>
      <c r="P610" s="3" t="s">
        <v>1219</v>
      </c>
      <c r="Q610" s="137">
        <v>942</v>
      </c>
      <c r="R610" s="139">
        <v>1</v>
      </c>
      <c r="S610" s="140">
        <v>3925</v>
      </c>
      <c r="U610" s="137">
        <v>36.973999999999997</v>
      </c>
      <c r="V610" s="138">
        <v>3.6999999999999998E-5</v>
      </c>
      <c r="W610" s="138">
        <v>3.4608100655093401E-3</v>
      </c>
      <c r="X610" s="138">
        <v>3.0421321255751701E-4</v>
      </c>
    </row>
    <row r="611" spans="1:24" x14ac:dyDescent="0.2">
      <c r="A611" s="3">
        <v>559</v>
      </c>
      <c r="B611" s="3">
        <v>7207</v>
      </c>
      <c r="C611" s="3" t="s">
        <v>1511</v>
      </c>
      <c r="D611" s="3" t="s">
        <v>1512</v>
      </c>
      <c r="E611" s="3" t="s">
        <v>1477</v>
      </c>
      <c r="F611" s="3" t="s">
        <v>2516</v>
      </c>
      <c r="G611" s="3" t="s">
        <v>2517</v>
      </c>
      <c r="H611" s="3" t="s">
        <v>76</v>
      </c>
      <c r="I611" s="3" t="s">
        <v>73</v>
      </c>
      <c r="J611" s="3" t="s">
        <v>53</v>
      </c>
      <c r="K611" s="3" t="s">
        <v>53</v>
      </c>
      <c r="L611" s="6" t="s">
        <v>805</v>
      </c>
      <c r="M611" s="6" t="s">
        <v>311</v>
      </c>
      <c r="N611" s="3" t="s">
        <v>258</v>
      </c>
      <c r="O611" s="3" t="s">
        <v>62</v>
      </c>
      <c r="P611" s="3" t="s">
        <v>1219</v>
      </c>
      <c r="Q611" s="137">
        <v>687</v>
      </c>
      <c r="R611" s="139">
        <v>1</v>
      </c>
      <c r="S611" s="140">
        <v>2683</v>
      </c>
      <c r="U611" s="137">
        <v>18.431999999999999</v>
      </c>
      <c r="V611" s="138">
        <v>3.8000000000000002E-5</v>
      </c>
      <c r="W611" s="138">
        <v>1.7252999553080399E-3</v>
      </c>
      <c r="X611" s="138">
        <v>1.51657858158811E-4</v>
      </c>
    </row>
    <row r="612" spans="1:24" x14ac:dyDescent="0.2">
      <c r="A612" s="3">
        <v>559</v>
      </c>
      <c r="B612" s="3">
        <v>7207</v>
      </c>
      <c r="C612" s="3" t="s">
        <v>1511</v>
      </c>
      <c r="D612" s="3" t="s">
        <v>1512</v>
      </c>
      <c r="E612" s="3" t="s">
        <v>1477</v>
      </c>
      <c r="F612" s="3" t="s">
        <v>2518</v>
      </c>
      <c r="G612" s="3" t="s">
        <v>2517</v>
      </c>
      <c r="H612" s="3" t="s">
        <v>76</v>
      </c>
      <c r="I612" s="3" t="s">
        <v>73</v>
      </c>
      <c r="J612" s="3" t="s">
        <v>53</v>
      </c>
      <c r="L612" s="6" t="s">
        <v>805</v>
      </c>
      <c r="M612" s="6" t="s">
        <v>102</v>
      </c>
      <c r="N612" s="3" t="s">
        <v>258</v>
      </c>
      <c r="O612" s="3" t="s">
        <v>62</v>
      </c>
      <c r="P612" s="3" t="s">
        <v>1219</v>
      </c>
      <c r="Q612" s="137">
        <v>640</v>
      </c>
      <c r="R612" s="139">
        <v>1</v>
      </c>
      <c r="S612" s="140">
        <v>2556.9960000000001</v>
      </c>
      <c r="U612" s="137">
        <v>16.364999999999998</v>
      </c>
      <c r="V612" s="138">
        <v>0</v>
      </c>
      <c r="W612" s="138">
        <v>1.53178267780561E-3</v>
      </c>
      <c r="X612" s="138">
        <v>1.3464724169617699E-4</v>
      </c>
    </row>
    <row r="613" spans="1:24" x14ac:dyDescent="0.2">
      <c r="A613" s="3">
        <v>559</v>
      </c>
      <c r="B613" s="3">
        <v>7207</v>
      </c>
      <c r="C613" s="3" t="s">
        <v>2519</v>
      </c>
      <c r="D613" s="3" t="s">
        <v>2520</v>
      </c>
      <c r="E613" s="3" t="s">
        <v>430</v>
      </c>
      <c r="F613" s="3" t="s">
        <v>2521</v>
      </c>
      <c r="G613" s="3" t="s">
        <v>2522</v>
      </c>
      <c r="H613" s="3" t="s">
        <v>76</v>
      </c>
      <c r="I613" s="3" t="s">
        <v>73</v>
      </c>
      <c r="J613" s="3" t="s">
        <v>53</v>
      </c>
      <c r="K613" s="3" t="s">
        <v>314</v>
      </c>
      <c r="L613" s="6" t="s">
        <v>805</v>
      </c>
      <c r="M613" s="6" t="s">
        <v>311</v>
      </c>
      <c r="N613" s="3" t="s">
        <v>631</v>
      </c>
      <c r="O613" s="3" t="s">
        <v>62</v>
      </c>
      <c r="P613" s="3" t="s">
        <v>1219</v>
      </c>
      <c r="Q613" s="137">
        <v>207</v>
      </c>
      <c r="R613" s="139">
        <v>1</v>
      </c>
      <c r="S613" s="140">
        <v>27780</v>
      </c>
      <c r="U613" s="137">
        <v>57.505000000000003</v>
      </c>
      <c r="V613" s="138">
        <v>3.9999999999999998E-6</v>
      </c>
      <c r="W613" s="138">
        <v>5.3825712603104503E-3</v>
      </c>
      <c r="X613" s="138">
        <v>4.7314046824982697E-4</v>
      </c>
    </row>
    <row r="614" spans="1:24" x14ac:dyDescent="0.2">
      <c r="A614" s="3">
        <v>559</v>
      </c>
      <c r="B614" s="3">
        <v>7207</v>
      </c>
      <c r="C614" s="3" t="s">
        <v>1517</v>
      </c>
      <c r="D614" s="3" t="s">
        <v>1518</v>
      </c>
      <c r="E614" s="3" t="s">
        <v>1477</v>
      </c>
      <c r="F614" s="3" t="s">
        <v>2523</v>
      </c>
      <c r="G614" s="3" t="s">
        <v>2524</v>
      </c>
      <c r="H614" s="3" t="s">
        <v>76</v>
      </c>
      <c r="I614" s="3" t="s">
        <v>73</v>
      </c>
      <c r="J614" s="3" t="s">
        <v>53</v>
      </c>
      <c r="K614" s="3" t="s">
        <v>53</v>
      </c>
      <c r="L614" s="6" t="s">
        <v>805</v>
      </c>
      <c r="M614" s="6" t="s">
        <v>311</v>
      </c>
      <c r="N614" s="3" t="s">
        <v>140</v>
      </c>
      <c r="O614" s="3" t="s">
        <v>62</v>
      </c>
      <c r="P614" s="3" t="s">
        <v>1219</v>
      </c>
      <c r="Q614" s="137">
        <v>2016</v>
      </c>
      <c r="R614" s="139">
        <v>1</v>
      </c>
      <c r="S614" s="140">
        <v>2366</v>
      </c>
      <c r="U614" s="137">
        <v>47.698999999999998</v>
      </c>
      <c r="V614" s="138">
        <v>1.0000000000000001E-5</v>
      </c>
      <c r="W614" s="138">
        <v>4.4647019232234202E-3</v>
      </c>
      <c r="X614" s="138">
        <v>3.9245762970688399E-4</v>
      </c>
    </row>
    <row r="615" spans="1:24" x14ac:dyDescent="0.2">
      <c r="A615" s="3">
        <v>559</v>
      </c>
      <c r="B615" s="3">
        <v>7207</v>
      </c>
      <c r="C615" s="3" t="s">
        <v>2525</v>
      </c>
      <c r="D615" s="3" t="s">
        <v>2526</v>
      </c>
      <c r="E615" s="3" t="s">
        <v>1477</v>
      </c>
      <c r="F615" s="3" t="s">
        <v>2527</v>
      </c>
      <c r="G615" s="3" t="s">
        <v>2528</v>
      </c>
      <c r="H615" s="3" t="s">
        <v>76</v>
      </c>
      <c r="I615" s="3" t="s">
        <v>73</v>
      </c>
      <c r="J615" s="3" t="s">
        <v>53</v>
      </c>
      <c r="K615" s="3" t="s">
        <v>53</v>
      </c>
      <c r="L615" s="6" t="s">
        <v>805</v>
      </c>
      <c r="M615" s="6" t="s">
        <v>311</v>
      </c>
      <c r="N615" s="3" t="s">
        <v>269</v>
      </c>
      <c r="O615" s="3" t="s">
        <v>62</v>
      </c>
      <c r="P615" s="3" t="s">
        <v>1219</v>
      </c>
      <c r="Q615" s="137">
        <v>154</v>
      </c>
      <c r="R615" s="139">
        <v>1</v>
      </c>
      <c r="S615" s="140">
        <v>21960</v>
      </c>
      <c r="U615" s="137">
        <v>33.817999999999998</v>
      </c>
      <c r="V615" s="138">
        <v>1.0000000000000001E-5</v>
      </c>
      <c r="W615" s="138">
        <v>3.1654849857173698E-3</v>
      </c>
      <c r="X615" s="138">
        <v>2.7825345470553598E-4</v>
      </c>
    </row>
    <row r="616" spans="1:24" x14ac:dyDescent="0.2">
      <c r="A616" s="3">
        <v>559</v>
      </c>
      <c r="B616" s="3">
        <v>7207</v>
      </c>
      <c r="C616" s="3" t="s">
        <v>2529</v>
      </c>
      <c r="D616" s="3" t="s">
        <v>2530</v>
      </c>
      <c r="E616" s="3" t="s">
        <v>1477</v>
      </c>
      <c r="F616" s="3" t="s">
        <v>2531</v>
      </c>
      <c r="G616" s="3" t="s">
        <v>2532</v>
      </c>
      <c r="H616" s="3" t="s">
        <v>76</v>
      </c>
      <c r="I616" s="3" t="s">
        <v>73</v>
      </c>
      <c r="J616" s="3" t="s">
        <v>53</v>
      </c>
      <c r="K616" s="3" t="s">
        <v>53</v>
      </c>
      <c r="L616" s="6" t="s">
        <v>805</v>
      </c>
      <c r="M616" s="6" t="s">
        <v>311</v>
      </c>
      <c r="N616" s="3" t="s">
        <v>75</v>
      </c>
      <c r="O616" s="3" t="s">
        <v>62</v>
      </c>
      <c r="P616" s="3" t="s">
        <v>1219</v>
      </c>
      <c r="Q616" s="137">
        <v>115.68</v>
      </c>
      <c r="R616" s="139">
        <v>1</v>
      </c>
      <c r="S616" s="140">
        <v>6434</v>
      </c>
      <c r="U616" s="137">
        <v>7.4429999999999996</v>
      </c>
      <c r="V616" s="138">
        <v>1.0000000000000001E-5</v>
      </c>
      <c r="W616" s="138">
        <v>6.9666908323659602E-4</v>
      </c>
      <c r="X616" s="138">
        <v>6.1238824405035298E-5</v>
      </c>
    </row>
    <row r="617" spans="1:24" x14ac:dyDescent="0.2">
      <c r="A617" s="3">
        <v>559</v>
      </c>
      <c r="B617" s="3">
        <v>7207</v>
      </c>
      <c r="C617" s="3" t="s">
        <v>1535</v>
      </c>
      <c r="D617" s="3" t="s">
        <v>1536</v>
      </c>
      <c r="E617" s="3" t="s">
        <v>1477</v>
      </c>
      <c r="F617" s="3" t="s">
        <v>2533</v>
      </c>
      <c r="G617" s="3" t="s">
        <v>2534</v>
      </c>
      <c r="H617" s="3" t="s">
        <v>76</v>
      </c>
      <c r="I617" s="3" t="s">
        <v>73</v>
      </c>
      <c r="J617" s="3" t="s">
        <v>53</v>
      </c>
      <c r="K617" s="3" t="s">
        <v>53</v>
      </c>
      <c r="L617" s="6" t="s">
        <v>805</v>
      </c>
      <c r="M617" s="6" t="s">
        <v>311</v>
      </c>
      <c r="N617" s="3" t="s">
        <v>635</v>
      </c>
      <c r="O617" s="3" t="s">
        <v>62</v>
      </c>
      <c r="P617" s="3" t="s">
        <v>1219</v>
      </c>
      <c r="Q617" s="137">
        <v>992</v>
      </c>
      <c r="R617" s="139">
        <v>1</v>
      </c>
      <c r="S617" s="140">
        <v>6170</v>
      </c>
      <c r="U617" s="137">
        <v>61.206000000000003</v>
      </c>
      <c r="V617" s="138">
        <v>7.9999999999999996E-6</v>
      </c>
      <c r="W617" s="138">
        <v>5.7290687977494901E-3</v>
      </c>
      <c r="X617" s="138">
        <v>5.0359840353443402E-4</v>
      </c>
    </row>
    <row r="618" spans="1:24" x14ac:dyDescent="0.2">
      <c r="A618" s="3">
        <v>559</v>
      </c>
      <c r="B618" s="3">
        <v>7207</v>
      </c>
      <c r="C618" s="3" t="s">
        <v>1545</v>
      </c>
      <c r="D618" s="3" t="s">
        <v>1546</v>
      </c>
      <c r="E618" s="3" t="s">
        <v>1477</v>
      </c>
      <c r="F618" s="3" t="s">
        <v>2535</v>
      </c>
      <c r="G618" s="3" t="s">
        <v>2536</v>
      </c>
      <c r="H618" s="3" t="s">
        <v>76</v>
      </c>
      <c r="I618" s="3" t="s">
        <v>73</v>
      </c>
      <c r="J618" s="3" t="s">
        <v>53</v>
      </c>
      <c r="K618" s="3" t="s">
        <v>53</v>
      </c>
      <c r="L618" s="6" t="s">
        <v>805</v>
      </c>
      <c r="M618" s="6" t="s">
        <v>311</v>
      </c>
      <c r="N618" s="3" t="s">
        <v>638</v>
      </c>
      <c r="O618" s="3" t="s">
        <v>62</v>
      </c>
      <c r="P618" s="3" t="s">
        <v>1219</v>
      </c>
      <c r="Q618" s="137">
        <v>102</v>
      </c>
      <c r="R618" s="139">
        <v>1</v>
      </c>
      <c r="S618" s="140">
        <v>149800</v>
      </c>
      <c r="T618" s="131">
        <v>0.19</v>
      </c>
      <c r="U618" s="137">
        <v>152.98599999999999</v>
      </c>
      <c r="V618" s="138">
        <v>1.9999999999999999E-6</v>
      </c>
      <c r="W618" s="138">
        <v>1.43198648569952E-2</v>
      </c>
      <c r="X618" s="138">
        <v>1.2587492549652199E-3</v>
      </c>
    </row>
    <row r="619" spans="1:24" x14ac:dyDescent="0.2">
      <c r="A619" s="3">
        <v>559</v>
      </c>
      <c r="B619" s="3">
        <v>7207</v>
      </c>
      <c r="C619" s="3" t="s">
        <v>1555</v>
      </c>
      <c r="D619" s="3" t="s">
        <v>1556</v>
      </c>
      <c r="E619" s="3" t="s">
        <v>1477</v>
      </c>
      <c r="F619" s="3" t="s">
        <v>2537</v>
      </c>
      <c r="G619" s="3" t="s">
        <v>2538</v>
      </c>
      <c r="H619" s="3" t="s">
        <v>76</v>
      </c>
      <c r="I619" s="3" t="s">
        <v>73</v>
      </c>
      <c r="J619" s="3" t="s">
        <v>53</v>
      </c>
      <c r="K619" s="3" t="s">
        <v>53</v>
      </c>
      <c r="L619" s="6" t="s">
        <v>805</v>
      </c>
      <c r="M619" s="6" t="s">
        <v>1227</v>
      </c>
      <c r="N619" s="3" t="s">
        <v>258</v>
      </c>
      <c r="O619" s="3" t="s">
        <v>62</v>
      </c>
      <c r="P619" s="3" t="s">
        <v>1219</v>
      </c>
      <c r="Q619" s="137">
        <v>1731</v>
      </c>
      <c r="R619" s="139">
        <v>1</v>
      </c>
      <c r="S619" s="140">
        <v>840.4</v>
      </c>
      <c r="U619" s="137">
        <v>14.547000000000001</v>
      </c>
      <c r="V619" s="138">
        <v>1.7E-5</v>
      </c>
      <c r="W619" s="138">
        <v>1.3616651203003699E-3</v>
      </c>
      <c r="X619" s="138">
        <v>1.19693514764766E-4</v>
      </c>
    </row>
    <row r="620" spans="1:24" x14ac:dyDescent="0.2">
      <c r="A620" s="3">
        <v>559</v>
      </c>
      <c r="B620" s="3">
        <v>7207</v>
      </c>
      <c r="C620" s="3" t="s">
        <v>1565</v>
      </c>
      <c r="D620" s="3" t="s">
        <v>1566</v>
      </c>
      <c r="E620" s="3" t="s">
        <v>1477</v>
      </c>
      <c r="F620" s="3" t="s">
        <v>2539</v>
      </c>
      <c r="G620" s="3" t="s">
        <v>2540</v>
      </c>
      <c r="H620" s="3" t="s">
        <v>76</v>
      </c>
      <c r="I620" s="3" t="s">
        <v>73</v>
      </c>
      <c r="J620" s="3" t="s">
        <v>53</v>
      </c>
      <c r="K620" s="3" t="s">
        <v>53</v>
      </c>
      <c r="L620" s="6" t="s">
        <v>805</v>
      </c>
      <c r="M620" s="6" t="s">
        <v>311</v>
      </c>
      <c r="N620" s="3" t="s">
        <v>631</v>
      </c>
      <c r="O620" s="3" t="s">
        <v>62</v>
      </c>
      <c r="P620" s="3" t="s">
        <v>1219</v>
      </c>
      <c r="Q620" s="137">
        <v>1326</v>
      </c>
      <c r="R620" s="139">
        <v>1</v>
      </c>
      <c r="S620" s="140">
        <v>6078</v>
      </c>
      <c r="U620" s="137">
        <v>80.593999999999994</v>
      </c>
      <c r="V620" s="138">
        <v>1.01E-4</v>
      </c>
      <c r="W620" s="138">
        <v>7.5438218033585698E-3</v>
      </c>
      <c r="X620" s="138">
        <v>6.6311939179574699E-4</v>
      </c>
    </row>
    <row r="621" spans="1:24" x14ac:dyDescent="0.2">
      <c r="A621" s="3">
        <v>559</v>
      </c>
      <c r="B621" s="3">
        <v>7207</v>
      </c>
      <c r="C621" s="3" t="s">
        <v>1579</v>
      </c>
      <c r="D621" s="3" t="s">
        <v>1580</v>
      </c>
      <c r="E621" s="3" t="s">
        <v>1477</v>
      </c>
      <c r="F621" s="3" t="s">
        <v>2541</v>
      </c>
      <c r="G621" s="3" t="s">
        <v>2542</v>
      </c>
      <c r="H621" s="3" t="s">
        <v>76</v>
      </c>
      <c r="I621" s="3" t="s">
        <v>73</v>
      </c>
      <c r="J621" s="3" t="s">
        <v>53</v>
      </c>
      <c r="K621" s="3" t="s">
        <v>53</v>
      </c>
      <c r="L621" s="6" t="s">
        <v>805</v>
      </c>
      <c r="M621" s="6" t="s">
        <v>311</v>
      </c>
      <c r="N621" s="3" t="s">
        <v>635</v>
      </c>
      <c r="O621" s="3" t="s">
        <v>62</v>
      </c>
      <c r="P621" s="3" t="s">
        <v>1219</v>
      </c>
      <c r="Q621" s="137">
        <v>1815</v>
      </c>
      <c r="R621" s="139">
        <v>1</v>
      </c>
      <c r="S621" s="140">
        <v>3489</v>
      </c>
      <c r="U621" s="137">
        <v>63.325000000000003</v>
      </c>
      <c r="V621" s="138">
        <v>7.9999999999999996E-6</v>
      </c>
      <c r="W621" s="138">
        <v>5.9274077023246897E-3</v>
      </c>
      <c r="X621" s="138">
        <v>5.2103285217329097E-4</v>
      </c>
    </row>
    <row r="622" spans="1:24" x14ac:dyDescent="0.2">
      <c r="A622" s="3">
        <v>559</v>
      </c>
      <c r="B622" s="3">
        <v>7207</v>
      </c>
      <c r="C622" s="3" t="s">
        <v>2543</v>
      </c>
      <c r="D622" s="3" t="s">
        <v>2544</v>
      </c>
      <c r="E622" s="3" t="s">
        <v>1477</v>
      </c>
      <c r="F622" s="3" t="s">
        <v>2545</v>
      </c>
      <c r="G622" s="3" t="s">
        <v>2546</v>
      </c>
      <c r="H622" s="3" t="s">
        <v>76</v>
      </c>
      <c r="I622" s="3" t="s">
        <v>73</v>
      </c>
      <c r="J622" s="3" t="s">
        <v>53</v>
      </c>
      <c r="K622" s="3" t="s">
        <v>53</v>
      </c>
      <c r="L622" s="6" t="s">
        <v>805</v>
      </c>
      <c r="M622" s="6" t="s">
        <v>311</v>
      </c>
      <c r="N622" s="3" t="s">
        <v>257</v>
      </c>
      <c r="O622" s="3" t="s">
        <v>62</v>
      </c>
      <c r="P622" s="3" t="s">
        <v>1219</v>
      </c>
      <c r="Q622" s="137">
        <v>3210</v>
      </c>
      <c r="R622" s="139">
        <v>1</v>
      </c>
      <c r="S622" s="140">
        <v>598</v>
      </c>
      <c r="U622" s="137">
        <v>19.196000000000002</v>
      </c>
      <c r="V622" s="138">
        <v>1.5999999999999999E-5</v>
      </c>
      <c r="W622" s="138">
        <v>1.7967738476342299E-3</v>
      </c>
      <c r="X622" s="138">
        <v>1.57940578674228E-4</v>
      </c>
    </row>
    <row r="623" spans="1:24" x14ac:dyDescent="0.2">
      <c r="A623" s="3">
        <v>559</v>
      </c>
      <c r="B623" s="3">
        <v>7207</v>
      </c>
      <c r="C623" s="3" t="s">
        <v>2547</v>
      </c>
      <c r="D623" s="3" t="s">
        <v>2548</v>
      </c>
      <c r="E623" s="3" t="s">
        <v>1477</v>
      </c>
      <c r="F623" s="3" t="s">
        <v>2549</v>
      </c>
      <c r="G623" s="3" t="s">
        <v>2550</v>
      </c>
      <c r="H623" s="3" t="s">
        <v>76</v>
      </c>
      <c r="I623" s="3" t="s">
        <v>73</v>
      </c>
      <c r="J623" s="3" t="s">
        <v>53</v>
      </c>
      <c r="K623" s="3" t="s">
        <v>53</v>
      </c>
      <c r="L623" s="6" t="s">
        <v>805</v>
      </c>
      <c r="M623" s="6" t="s">
        <v>311</v>
      </c>
      <c r="N623" s="3" t="s">
        <v>692</v>
      </c>
      <c r="O623" s="3" t="s">
        <v>62</v>
      </c>
      <c r="P623" s="3" t="s">
        <v>1219</v>
      </c>
      <c r="Q623" s="137">
        <v>780</v>
      </c>
      <c r="R623" s="139">
        <v>1</v>
      </c>
      <c r="S623" s="140">
        <v>18600</v>
      </c>
      <c r="U623" s="137">
        <v>145.08000000000001</v>
      </c>
      <c r="V623" s="138">
        <v>2.3E-5</v>
      </c>
      <c r="W623" s="138">
        <v>1.35798429768373E-2</v>
      </c>
      <c r="X623" s="138">
        <v>1.1936996193988799E-3</v>
      </c>
    </row>
    <row r="624" spans="1:24" x14ac:dyDescent="0.2">
      <c r="A624" s="3">
        <v>559</v>
      </c>
      <c r="B624" s="3">
        <v>7207</v>
      </c>
      <c r="C624" s="3" t="s">
        <v>2865</v>
      </c>
      <c r="D624" s="3" t="s">
        <v>2866</v>
      </c>
      <c r="E624" s="3" t="s">
        <v>1477</v>
      </c>
      <c r="F624" s="3" t="s">
        <v>2867</v>
      </c>
      <c r="G624" s="3" t="s">
        <v>2868</v>
      </c>
      <c r="H624" s="3" t="s">
        <v>76</v>
      </c>
      <c r="I624" s="3" t="s">
        <v>73</v>
      </c>
      <c r="J624" s="3" t="s">
        <v>53</v>
      </c>
      <c r="K624" s="3" t="s">
        <v>53</v>
      </c>
      <c r="L624" s="6" t="s">
        <v>805</v>
      </c>
      <c r="M624" s="6" t="s">
        <v>311</v>
      </c>
      <c r="N624" s="3" t="s">
        <v>156</v>
      </c>
      <c r="O624" s="3" t="s">
        <v>62</v>
      </c>
      <c r="P624" s="3" t="s">
        <v>1219</v>
      </c>
      <c r="Q624" s="137">
        <v>626</v>
      </c>
      <c r="R624" s="139">
        <v>1</v>
      </c>
      <c r="S624" s="140">
        <v>3094</v>
      </c>
      <c r="U624" s="137">
        <v>19.367999999999999</v>
      </c>
      <c r="V624" s="138">
        <v>3.4999999999999997E-5</v>
      </c>
      <c r="W624" s="138">
        <v>1.81293337404394E-3</v>
      </c>
      <c r="X624" s="138">
        <v>1.5936103843638101E-4</v>
      </c>
    </row>
    <row r="625" spans="1:24" x14ac:dyDescent="0.2">
      <c r="A625" s="3">
        <v>559</v>
      </c>
      <c r="B625" s="3">
        <v>7207</v>
      </c>
      <c r="C625" s="3" t="s">
        <v>1609</v>
      </c>
      <c r="D625" s="3" t="s">
        <v>1610</v>
      </c>
      <c r="E625" s="3" t="s">
        <v>1477</v>
      </c>
      <c r="F625" s="3" t="s">
        <v>2551</v>
      </c>
      <c r="G625" s="3" t="s">
        <v>2552</v>
      </c>
      <c r="H625" s="3" t="s">
        <v>76</v>
      </c>
      <c r="I625" s="3" t="s">
        <v>73</v>
      </c>
      <c r="J625" s="3" t="s">
        <v>53</v>
      </c>
      <c r="K625" s="3" t="s">
        <v>53</v>
      </c>
      <c r="L625" s="6" t="s">
        <v>805</v>
      </c>
      <c r="M625" s="6" t="s">
        <v>311</v>
      </c>
      <c r="N625" s="3" t="s">
        <v>635</v>
      </c>
      <c r="O625" s="3" t="s">
        <v>62</v>
      </c>
      <c r="P625" s="3" t="s">
        <v>1219</v>
      </c>
      <c r="Q625" s="137">
        <v>6803</v>
      </c>
      <c r="R625" s="139">
        <v>1</v>
      </c>
      <c r="S625" s="140">
        <v>2281</v>
      </c>
      <c r="U625" s="137">
        <v>155.17599999999999</v>
      </c>
      <c r="V625" s="138">
        <v>1.4E-5</v>
      </c>
      <c r="W625" s="138">
        <v>1.45248935284408E-2</v>
      </c>
      <c r="X625" s="138">
        <v>1.2767717495911E-3</v>
      </c>
    </row>
    <row r="626" spans="1:24" x14ac:dyDescent="0.2">
      <c r="A626" s="3">
        <v>559</v>
      </c>
      <c r="B626" s="3">
        <v>7207</v>
      </c>
      <c r="C626" s="3" t="s">
        <v>1617</v>
      </c>
      <c r="D626" s="3" t="s">
        <v>1618</v>
      </c>
      <c r="E626" s="3" t="s">
        <v>1477</v>
      </c>
      <c r="F626" s="3" t="s">
        <v>2553</v>
      </c>
      <c r="G626" s="3" t="s">
        <v>2554</v>
      </c>
      <c r="H626" s="3" t="s">
        <v>76</v>
      </c>
      <c r="I626" s="3" t="s">
        <v>73</v>
      </c>
      <c r="J626" s="3" t="s">
        <v>53</v>
      </c>
      <c r="K626" s="3" t="s">
        <v>314</v>
      </c>
      <c r="L626" s="6" t="s">
        <v>805</v>
      </c>
      <c r="M626" s="6" t="s">
        <v>311</v>
      </c>
      <c r="N626" s="3" t="s">
        <v>631</v>
      </c>
      <c r="O626" s="3" t="s">
        <v>62</v>
      </c>
      <c r="P626" s="3" t="s">
        <v>1219</v>
      </c>
      <c r="Q626" s="137">
        <v>5211.8999999999996</v>
      </c>
      <c r="R626" s="139">
        <v>1</v>
      </c>
      <c r="S626" s="140">
        <v>7640</v>
      </c>
      <c r="U626" s="137">
        <v>398.18900000000002</v>
      </c>
      <c r="V626" s="138">
        <v>4.3999999999999999E-5</v>
      </c>
      <c r="W626" s="138">
        <v>3.7271479651769697E-2</v>
      </c>
      <c r="X626" s="138">
        <v>3.2762493020454999E-3</v>
      </c>
    </row>
    <row r="627" spans="1:24" x14ac:dyDescent="0.2">
      <c r="A627" s="3">
        <v>559</v>
      </c>
      <c r="B627" s="3">
        <v>7207</v>
      </c>
      <c r="C627" s="3" t="s">
        <v>2434</v>
      </c>
      <c r="D627" s="3" t="s">
        <v>2435</v>
      </c>
      <c r="E627" s="3" t="s">
        <v>430</v>
      </c>
      <c r="F627" s="3" t="s">
        <v>2555</v>
      </c>
      <c r="G627" s="3" t="s">
        <v>2556</v>
      </c>
      <c r="H627" s="3" t="s">
        <v>76</v>
      </c>
      <c r="I627" s="3" t="s">
        <v>73</v>
      </c>
      <c r="J627" s="3" t="s">
        <v>53</v>
      </c>
      <c r="K627" s="3" t="s">
        <v>315</v>
      </c>
      <c r="L627" s="6" t="s">
        <v>805</v>
      </c>
      <c r="M627" s="6" t="s">
        <v>311</v>
      </c>
      <c r="N627" s="3" t="s">
        <v>267</v>
      </c>
      <c r="O627" s="3" t="s">
        <v>62</v>
      </c>
      <c r="P627" s="3" t="s">
        <v>1219</v>
      </c>
      <c r="Q627" s="137">
        <v>1362</v>
      </c>
      <c r="R627" s="139">
        <v>1</v>
      </c>
      <c r="S627" s="140">
        <v>4272</v>
      </c>
      <c r="T627" s="131">
        <v>1.3779999999999999</v>
      </c>
      <c r="U627" s="137">
        <v>59.561999999999998</v>
      </c>
      <c r="V627" s="138">
        <v>6.9999999999999999E-6</v>
      </c>
      <c r="W627" s="138">
        <v>5.5751900444818104E-3</v>
      </c>
      <c r="X627" s="138">
        <v>4.9007210506967901E-4</v>
      </c>
    </row>
    <row r="628" spans="1:24" x14ac:dyDescent="0.2">
      <c r="A628" s="3">
        <v>559</v>
      </c>
      <c r="B628" s="3">
        <v>7207</v>
      </c>
      <c r="C628" s="3" t="s">
        <v>1635</v>
      </c>
      <c r="D628" s="3" t="s">
        <v>1636</v>
      </c>
      <c r="E628" s="3" t="s">
        <v>1477</v>
      </c>
      <c r="F628" s="3" t="s">
        <v>2557</v>
      </c>
      <c r="G628" s="3" t="s">
        <v>2558</v>
      </c>
      <c r="H628" s="3" t="s">
        <v>76</v>
      </c>
      <c r="I628" s="3" t="s">
        <v>73</v>
      </c>
      <c r="J628" s="3" t="s">
        <v>53</v>
      </c>
      <c r="K628" s="3" t="s">
        <v>53</v>
      </c>
      <c r="L628" s="6" t="s">
        <v>805</v>
      </c>
      <c r="M628" s="6" t="s">
        <v>311</v>
      </c>
      <c r="N628" s="3" t="s">
        <v>636</v>
      </c>
      <c r="O628" s="3" t="s">
        <v>62</v>
      </c>
      <c r="P628" s="3" t="s">
        <v>1219</v>
      </c>
      <c r="Q628" s="137">
        <v>274</v>
      </c>
      <c r="R628" s="139">
        <v>1</v>
      </c>
      <c r="S628" s="140">
        <v>19300</v>
      </c>
      <c r="U628" s="137">
        <v>52.881999999999998</v>
      </c>
      <c r="V628" s="138">
        <v>6.9999999999999999E-6</v>
      </c>
      <c r="W628" s="138">
        <v>4.9498845898891097E-3</v>
      </c>
      <c r="X628" s="138">
        <v>4.3510630874725502E-4</v>
      </c>
    </row>
    <row r="629" spans="1:24" x14ac:dyDescent="0.2">
      <c r="A629" s="3">
        <v>559</v>
      </c>
      <c r="B629" s="3">
        <v>7207</v>
      </c>
      <c r="C629" s="3" t="s">
        <v>1655</v>
      </c>
      <c r="D629" s="3" t="s">
        <v>1656</v>
      </c>
      <c r="E629" s="3" t="s">
        <v>1477</v>
      </c>
      <c r="F629" s="3" t="s">
        <v>2559</v>
      </c>
      <c r="G629" s="3" t="s">
        <v>2560</v>
      </c>
      <c r="H629" s="3" t="s">
        <v>76</v>
      </c>
      <c r="I629" s="3" t="s">
        <v>73</v>
      </c>
      <c r="J629" s="3" t="s">
        <v>53</v>
      </c>
      <c r="K629" s="3" t="s">
        <v>53</v>
      </c>
      <c r="L629" s="6" t="s">
        <v>805</v>
      </c>
      <c r="M629" s="6" t="s">
        <v>311</v>
      </c>
      <c r="N629" s="3" t="s">
        <v>631</v>
      </c>
      <c r="O629" s="3" t="s">
        <v>62</v>
      </c>
      <c r="P629" s="3" t="s">
        <v>1219</v>
      </c>
      <c r="Q629" s="137">
        <v>321</v>
      </c>
      <c r="R629" s="139">
        <v>1</v>
      </c>
      <c r="S629" s="140">
        <v>3258</v>
      </c>
      <c r="U629" s="137">
        <v>10.458</v>
      </c>
      <c r="V629" s="138">
        <v>6.0000000000000002E-6</v>
      </c>
      <c r="W629" s="138">
        <v>9.789112367211241E-4</v>
      </c>
      <c r="X629" s="138">
        <v>8.6048562762648195E-5</v>
      </c>
    </row>
    <row r="630" spans="1:24" x14ac:dyDescent="0.2">
      <c r="A630" s="3">
        <v>559</v>
      </c>
      <c r="B630" s="3">
        <v>7207</v>
      </c>
      <c r="C630" s="3" t="s">
        <v>2561</v>
      </c>
      <c r="D630" s="3" t="s">
        <v>2562</v>
      </c>
      <c r="E630" s="3" t="s">
        <v>1477</v>
      </c>
      <c r="F630" s="3" t="s">
        <v>2563</v>
      </c>
      <c r="G630" s="3" t="s">
        <v>2564</v>
      </c>
      <c r="H630" s="3" t="s">
        <v>76</v>
      </c>
      <c r="I630" s="3" t="s">
        <v>73</v>
      </c>
      <c r="J630" s="3" t="s">
        <v>53</v>
      </c>
      <c r="K630" s="3" t="s">
        <v>53</v>
      </c>
      <c r="L630" s="6" t="s">
        <v>805</v>
      </c>
      <c r="M630" s="6" t="s">
        <v>311</v>
      </c>
      <c r="N630" s="3" t="s">
        <v>140</v>
      </c>
      <c r="O630" s="3" t="s">
        <v>62</v>
      </c>
      <c r="P630" s="3" t="s">
        <v>1219</v>
      </c>
      <c r="Q630" s="137">
        <v>383</v>
      </c>
      <c r="R630" s="139">
        <v>1</v>
      </c>
      <c r="S630" s="140">
        <v>5490</v>
      </c>
      <c r="U630" s="137">
        <v>21.027000000000001</v>
      </c>
      <c r="V630" s="138">
        <v>6.0000000000000002E-6</v>
      </c>
      <c r="W630" s="138">
        <v>1.9681505674184301E-3</v>
      </c>
      <c r="X630" s="138">
        <v>1.7300498888347401E-4</v>
      </c>
    </row>
    <row r="631" spans="1:24" x14ac:dyDescent="0.2">
      <c r="A631" s="3">
        <v>559</v>
      </c>
      <c r="B631" s="3">
        <v>7207</v>
      </c>
      <c r="C631" s="3" t="s">
        <v>2565</v>
      </c>
      <c r="D631" s="3" t="s">
        <v>2566</v>
      </c>
      <c r="E631" s="3" t="s">
        <v>1477</v>
      </c>
      <c r="F631" s="3" t="s">
        <v>2567</v>
      </c>
      <c r="G631" s="3" t="s">
        <v>2568</v>
      </c>
      <c r="H631" s="3" t="s">
        <v>76</v>
      </c>
      <c r="I631" s="3" t="s">
        <v>73</v>
      </c>
      <c r="J631" s="3" t="s">
        <v>53</v>
      </c>
      <c r="K631" s="3" t="s">
        <v>317</v>
      </c>
      <c r="L631" s="6" t="s">
        <v>805</v>
      </c>
      <c r="M631" s="6" t="s">
        <v>311</v>
      </c>
      <c r="N631" s="3" t="s">
        <v>637</v>
      </c>
      <c r="O631" s="3" t="s">
        <v>62</v>
      </c>
      <c r="P631" s="3" t="s">
        <v>1219</v>
      </c>
      <c r="Q631" s="137">
        <v>1221</v>
      </c>
      <c r="R631" s="139">
        <v>1</v>
      </c>
      <c r="S631" s="140">
        <v>5310</v>
      </c>
      <c r="U631" s="137">
        <v>64.834999999999994</v>
      </c>
      <c r="V631" s="138">
        <v>4.8999999999999998E-5</v>
      </c>
      <c r="W631" s="138">
        <v>6.0687239963299298E-3</v>
      </c>
      <c r="X631" s="138">
        <v>5.3345488140121595E-4</v>
      </c>
    </row>
    <row r="632" spans="1:24" x14ac:dyDescent="0.2">
      <c r="A632" s="3">
        <v>559</v>
      </c>
      <c r="B632" s="3">
        <v>7207</v>
      </c>
      <c r="C632" s="3" t="s">
        <v>1659</v>
      </c>
      <c r="D632" s="3" t="s">
        <v>1660</v>
      </c>
      <c r="E632" s="3" t="s">
        <v>1477</v>
      </c>
      <c r="F632" s="3" t="s">
        <v>2569</v>
      </c>
      <c r="G632" s="3" t="s">
        <v>2570</v>
      </c>
      <c r="H632" s="3" t="s">
        <v>76</v>
      </c>
      <c r="I632" s="3" t="s">
        <v>73</v>
      </c>
      <c r="J632" s="3" t="s">
        <v>53</v>
      </c>
      <c r="K632" s="3" t="s">
        <v>53</v>
      </c>
      <c r="L632" s="6" t="s">
        <v>805</v>
      </c>
      <c r="M632" s="6" t="s">
        <v>311</v>
      </c>
      <c r="N632" s="3" t="s">
        <v>635</v>
      </c>
      <c r="O632" s="3" t="s">
        <v>62</v>
      </c>
      <c r="P632" s="3" t="s">
        <v>1219</v>
      </c>
      <c r="Q632" s="137">
        <v>21675</v>
      </c>
      <c r="R632" s="139">
        <v>1</v>
      </c>
      <c r="S632" s="140">
        <v>296.5</v>
      </c>
      <c r="U632" s="137">
        <v>64.266000000000005</v>
      </c>
      <c r="V632" s="138">
        <v>6.7000000000000002E-5</v>
      </c>
      <c r="W632" s="138">
        <v>6.0154899447928296E-3</v>
      </c>
      <c r="X632" s="138">
        <v>5.2877548509543603E-4</v>
      </c>
    </row>
    <row r="633" spans="1:24" x14ac:dyDescent="0.2">
      <c r="A633" s="3">
        <v>559</v>
      </c>
      <c r="B633" s="3">
        <v>7207</v>
      </c>
      <c r="C633" s="3" t="s">
        <v>1676</v>
      </c>
      <c r="D633" s="3" t="s">
        <v>1677</v>
      </c>
      <c r="E633" s="3" t="s">
        <v>1477</v>
      </c>
      <c r="F633" s="3" t="s">
        <v>2571</v>
      </c>
      <c r="G633" s="3" t="s">
        <v>2572</v>
      </c>
      <c r="H633" s="3" t="s">
        <v>76</v>
      </c>
      <c r="I633" s="3" t="s">
        <v>73</v>
      </c>
      <c r="J633" s="3" t="s">
        <v>53</v>
      </c>
      <c r="K633" s="3" t="s">
        <v>53</v>
      </c>
      <c r="L633" s="6" t="s">
        <v>805</v>
      </c>
      <c r="M633" s="6" t="s">
        <v>311</v>
      </c>
      <c r="N633" s="3" t="s">
        <v>156</v>
      </c>
      <c r="O633" s="3" t="s">
        <v>62</v>
      </c>
      <c r="P633" s="3" t="s">
        <v>1219</v>
      </c>
      <c r="Q633" s="137">
        <v>40097</v>
      </c>
      <c r="R633" s="139">
        <v>1</v>
      </c>
      <c r="S633" s="140">
        <v>90.8</v>
      </c>
      <c r="U633" s="137">
        <v>36.408000000000001</v>
      </c>
      <c r="V633" s="138">
        <v>1.2E-5</v>
      </c>
      <c r="W633" s="138">
        <v>3.4078849956490202E-3</v>
      </c>
      <c r="X633" s="138">
        <v>2.9956097645606302E-4</v>
      </c>
    </row>
    <row r="634" spans="1:24" x14ac:dyDescent="0.2">
      <c r="A634" s="3">
        <v>559</v>
      </c>
      <c r="B634" s="3">
        <v>7207</v>
      </c>
      <c r="C634" s="3" t="s">
        <v>1681</v>
      </c>
      <c r="D634" s="3" t="s">
        <v>1682</v>
      </c>
      <c r="E634" s="3" t="s">
        <v>1477</v>
      </c>
      <c r="F634" s="3" t="s">
        <v>2573</v>
      </c>
      <c r="G634" s="3" t="s">
        <v>2574</v>
      </c>
      <c r="H634" s="3" t="s">
        <v>76</v>
      </c>
      <c r="I634" s="3" t="s">
        <v>73</v>
      </c>
      <c r="J634" s="3" t="s">
        <v>53</v>
      </c>
      <c r="K634" s="3" t="s">
        <v>53</v>
      </c>
      <c r="L634" s="6" t="s">
        <v>805</v>
      </c>
      <c r="M634" s="6" t="s">
        <v>311</v>
      </c>
      <c r="N634" s="3" t="s">
        <v>260</v>
      </c>
      <c r="O634" s="3" t="s">
        <v>62</v>
      </c>
      <c r="P634" s="3" t="s">
        <v>1219</v>
      </c>
      <c r="Q634" s="137">
        <v>49558</v>
      </c>
      <c r="R634" s="139">
        <v>1</v>
      </c>
      <c r="S634" s="140">
        <v>575</v>
      </c>
      <c r="U634" s="137">
        <v>284.959</v>
      </c>
      <c r="V634" s="138">
        <v>1.8E-5</v>
      </c>
      <c r="W634" s="138">
        <v>2.6672812826820401E-2</v>
      </c>
      <c r="X634" s="138">
        <v>2.34460196439534E-3</v>
      </c>
    </row>
    <row r="635" spans="1:24" x14ac:dyDescent="0.2">
      <c r="A635" s="3">
        <v>559</v>
      </c>
      <c r="B635" s="3">
        <v>7207</v>
      </c>
      <c r="C635" s="3" t="s">
        <v>1688</v>
      </c>
      <c r="D635" s="3" t="s">
        <v>1689</v>
      </c>
      <c r="E635" s="3" t="s">
        <v>1477</v>
      </c>
      <c r="F635" s="3" t="s">
        <v>2575</v>
      </c>
      <c r="G635" s="3" t="s">
        <v>2576</v>
      </c>
      <c r="H635" s="3" t="s">
        <v>76</v>
      </c>
      <c r="I635" s="3" t="s">
        <v>73</v>
      </c>
      <c r="J635" s="3" t="s">
        <v>53</v>
      </c>
      <c r="K635" s="3" t="s">
        <v>53</v>
      </c>
      <c r="L635" s="6" t="s">
        <v>805</v>
      </c>
      <c r="M635" s="6" t="s">
        <v>311</v>
      </c>
      <c r="N635" s="3" t="s">
        <v>635</v>
      </c>
      <c r="O635" s="3" t="s">
        <v>62</v>
      </c>
      <c r="P635" s="3" t="s">
        <v>1219</v>
      </c>
      <c r="Q635" s="137">
        <v>356.41</v>
      </c>
      <c r="R635" s="139">
        <v>1</v>
      </c>
      <c r="S635" s="140">
        <v>64490</v>
      </c>
      <c r="U635" s="137">
        <v>229.84899999999999</v>
      </c>
      <c r="V635" s="138">
        <v>1.4E-5</v>
      </c>
      <c r="W635" s="138">
        <v>2.15144109086923E-2</v>
      </c>
      <c r="X635" s="138">
        <v>1.89116650001783E-3</v>
      </c>
    </row>
    <row r="636" spans="1:24" x14ac:dyDescent="0.2">
      <c r="A636" s="3">
        <v>559</v>
      </c>
      <c r="B636" s="3">
        <v>7207</v>
      </c>
      <c r="C636" s="3" t="s">
        <v>2577</v>
      </c>
      <c r="D636" s="3" t="s">
        <v>2578</v>
      </c>
      <c r="E636" s="3" t="s">
        <v>1477</v>
      </c>
      <c r="F636" s="3" t="s">
        <v>2579</v>
      </c>
      <c r="G636" s="3" t="s">
        <v>2580</v>
      </c>
      <c r="H636" s="3" t="s">
        <v>76</v>
      </c>
      <c r="I636" s="3" t="s">
        <v>73</v>
      </c>
      <c r="J636" s="3" t="s">
        <v>53</v>
      </c>
      <c r="K636" s="3" t="s">
        <v>314</v>
      </c>
      <c r="L636" s="6" t="s">
        <v>805</v>
      </c>
      <c r="M636" s="6" t="s">
        <v>311</v>
      </c>
      <c r="N636" s="3" t="s">
        <v>630</v>
      </c>
      <c r="O636" s="3" t="s">
        <v>62</v>
      </c>
      <c r="P636" s="3" t="s">
        <v>1219</v>
      </c>
      <c r="Q636" s="137">
        <v>2339</v>
      </c>
      <c r="R636" s="139">
        <v>1</v>
      </c>
      <c r="S636" s="140">
        <v>2457</v>
      </c>
      <c r="U636" s="137">
        <v>57.469000000000001</v>
      </c>
      <c r="V636" s="138">
        <v>4.1E-5</v>
      </c>
      <c r="W636" s="138">
        <v>5.3792605417683301E-3</v>
      </c>
      <c r="X636" s="138">
        <v>4.7284944842946501E-4</v>
      </c>
    </row>
    <row r="637" spans="1:24" x14ac:dyDescent="0.2">
      <c r="A637" s="3">
        <v>559</v>
      </c>
      <c r="B637" s="3">
        <v>7207</v>
      </c>
      <c r="C637" s="3" t="s">
        <v>2581</v>
      </c>
      <c r="D637" s="3" t="s">
        <v>2582</v>
      </c>
      <c r="E637" s="3" t="s">
        <v>1477</v>
      </c>
      <c r="F637" s="3" t="s">
        <v>2583</v>
      </c>
      <c r="G637" s="3" t="s">
        <v>2584</v>
      </c>
      <c r="H637" s="3" t="s">
        <v>76</v>
      </c>
      <c r="I637" s="3" t="s">
        <v>73</v>
      </c>
      <c r="J637" s="3" t="s">
        <v>53</v>
      </c>
      <c r="K637" s="3" t="s">
        <v>53</v>
      </c>
      <c r="L637" s="6" t="s">
        <v>805</v>
      </c>
      <c r="M637" s="6" t="s">
        <v>311</v>
      </c>
      <c r="N637" s="3" t="s">
        <v>75</v>
      </c>
      <c r="O637" s="3" t="s">
        <v>62</v>
      </c>
      <c r="P637" s="3" t="s">
        <v>1219</v>
      </c>
      <c r="Q637" s="137">
        <v>27.37</v>
      </c>
      <c r="R637" s="139">
        <v>1</v>
      </c>
      <c r="S637" s="140">
        <v>60590</v>
      </c>
      <c r="U637" s="137">
        <v>16.582999999999998</v>
      </c>
      <c r="V637" s="138">
        <v>2.1999999999999999E-5</v>
      </c>
      <c r="W637" s="138">
        <v>1.55225458470534E-3</v>
      </c>
      <c r="X637" s="138">
        <v>1.36446769681609E-4</v>
      </c>
    </row>
    <row r="638" spans="1:24" x14ac:dyDescent="0.2">
      <c r="A638" s="3">
        <v>559</v>
      </c>
      <c r="B638" s="3">
        <v>7207</v>
      </c>
      <c r="C638" s="3" t="s">
        <v>2585</v>
      </c>
      <c r="D638" s="3" t="s">
        <v>2586</v>
      </c>
      <c r="E638" s="3" t="s">
        <v>1477</v>
      </c>
      <c r="F638" s="3" t="s">
        <v>2587</v>
      </c>
      <c r="G638" s="3" t="s">
        <v>2588</v>
      </c>
      <c r="H638" s="3" t="s">
        <v>76</v>
      </c>
      <c r="I638" s="3" t="s">
        <v>73</v>
      </c>
      <c r="J638" s="3" t="s">
        <v>53</v>
      </c>
      <c r="K638" s="3" t="s">
        <v>53</v>
      </c>
      <c r="L638" s="6" t="s">
        <v>805</v>
      </c>
      <c r="M638" s="6" t="s">
        <v>311</v>
      </c>
      <c r="N638" s="3" t="s">
        <v>265</v>
      </c>
      <c r="O638" s="3" t="s">
        <v>62</v>
      </c>
      <c r="P638" s="3" t="s">
        <v>1219</v>
      </c>
      <c r="Q638" s="137">
        <v>3388</v>
      </c>
      <c r="R638" s="139">
        <v>1</v>
      </c>
      <c r="S638" s="140">
        <v>867.5</v>
      </c>
      <c r="U638" s="137">
        <v>29.390999999999998</v>
      </c>
      <c r="V638" s="138">
        <v>2.23E-4</v>
      </c>
      <c r="W638" s="138">
        <v>2.7510601526601099E-3</v>
      </c>
      <c r="X638" s="138">
        <v>2.4182455296243899E-4</v>
      </c>
    </row>
    <row r="639" spans="1:24" x14ac:dyDescent="0.2">
      <c r="A639" s="3">
        <v>559</v>
      </c>
      <c r="B639" s="3">
        <v>7207</v>
      </c>
      <c r="C639" s="3" t="s">
        <v>2589</v>
      </c>
      <c r="D639" s="3" t="s">
        <v>2590</v>
      </c>
      <c r="E639" s="3" t="s">
        <v>1477</v>
      </c>
      <c r="F639" s="3" t="s">
        <v>2591</v>
      </c>
      <c r="G639" s="3" t="s">
        <v>2592</v>
      </c>
      <c r="H639" s="3" t="s">
        <v>76</v>
      </c>
      <c r="I639" s="3" t="s">
        <v>73</v>
      </c>
      <c r="J639" s="3" t="s">
        <v>53</v>
      </c>
      <c r="K639" s="3" t="s">
        <v>53</v>
      </c>
      <c r="L639" s="6" t="s">
        <v>805</v>
      </c>
      <c r="M639" s="6" t="s">
        <v>311</v>
      </c>
      <c r="N639" s="3" t="s">
        <v>255</v>
      </c>
      <c r="O639" s="3" t="s">
        <v>62</v>
      </c>
      <c r="P639" s="3" t="s">
        <v>1219</v>
      </c>
      <c r="Q639" s="137">
        <v>1392</v>
      </c>
      <c r="R639" s="139">
        <v>1</v>
      </c>
      <c r="S639" s="140">
        <v>24.9</v>
      </c>
      <c r="U639" s="137">
        <v>0.34699999999999998</v>
      </c>
      <c r="V639" s="138">
        <v>1.2999999999999999E-5</v>
      </c>
      <c r="W639" s="138">
        <v>3.2443356868732002E-5</v>
      </c>
      <c r="X639" s="138">
        <v>2.85184613785917E-6</v>
      </c>
    </row>
    <row r="640" spans="1:24" x14ac:dyDescent="0.2">
      <c r="A640" s="3">
        <v>559</v>
      </c>
      <c r="B640" s="3">
        <v>7207</v>
      </c>
      <c r="C640" s="3" t="s">
        <v>2593</v>
      </c>
      <c r="D640" s="3" t="s">
        <v>2594</v>
      </c>
      <c r="E640" s="3" t="s">
        <v>1477</v>
      </c>
      <c r="F640" s="3" t="s">
        <v>2595</v>
      </c>
      <c r="G640" s="3" t="s">
        <v>2596</v>
      </c>
      <c r="H640" s="3" t="s">
        <v>76</v>
      </c>
      <c r="I640" s="3" t="s">
        <v>73</v>
      </c>
      <c r="J640" s="3" t="s">
        <v>53</v>
      </c>
      <c r="K640" s="3" t="s">
        <v>53</v>
      </c>
      <c r="L640" s="6" t="s">
        <v>805</v>
      </c>
      <c r="M640" s="6" t="s">
        <v>311</v>
      </c>
      <c r="N640" s="3" t="s">
        <v>140</v>
      </c>
      <c r="O640" s="3" t="s">
        <v>62</v>
      </c>
      <c r="P640" s="3" t="s">
        <v>1219</v>
      </c>
      <c r="Q640" s="137">
        <v>124</v>
      </c>
      <c r="R640" s="139">
        <v>1</v>
      </c>
      <c r="S640" s="140">
        <v>23700</v>
      </c>
      <c r="U640" s="137">
        <v>29.388000000000002</v>
      </c>
      <c r="V640" s="138">
        <v>1.4E-5</v>
      </c>
      <c r="W640" s="138">
        <v>2.7507887055644802E-3</v>
      </c>
      <c r="X640" s="138">
        <v>2.41800692134645E-4</v>
      </c>
    </row>
    <row r="641" spans="1:24" x14ac:dyDescent="0.2">
      <c r="A641" s="3">
        <v>559</v>
      </c>
      <c r="B641" s="3">
        <v>7207</v>
      </c>
      <c r="C641" s="3" t="s">
        <v>1762</v>
      </c>
      <c r="D641" s="3" t="s">
        <v>1763</v>
      </c>
      <c r="E641" s="3" t="s">
        <v>1477</v>
      </c>
      <c r="F641" s="3" t="s">
        <v>2597</v>
      </c>
      <c r="G641" s="3" t="s">
        <v>2598</v>
      </c>
      <c r="H641" s="3" t="s">
        <v>76</v>
      </c>
      <c r="I641" s="3" t="s">
        <v>73</v>
      </c>
      <c r="J641" s="3" t="s">
        <v>53</v>
      </c>
      <c r="K641" s="3" t="s">
        <v>53</v>
      </c>
      <c r="L641" s="6" t="s">
        <v>805</v>
      </c>
      <c r="M641" s="6" t="s">
        <v>311</v>
      </c>
      <c r="N641" s="3" t="s">
        <v>631</v>
      </c>
      <c r="O641" s="3" t="s">
        <v>62</v>
      </c>
      <c r="P641" s="3" t="s">
        <v>1219</v>
      </c>
      <c r="Q641" s="137">
        <v>1605</v>
      </c>
      <c r="R641" s="139">
        <v>1</v>
      </c>
      <c r="S641" s="140">
        <v>1532</v>
      </c>
      <c r="U641" s="137">
        <v>24.588999999999999</v>
      </c>
      <c r="V641" s="138">
        <v>9.0000000000000002E-6</v>
      </c>
      <c r="W641" s="138">
        <v>2.3015531225548799E-3</v>
      </c>
      <c r="X641" s="138">
        <v>2.0231184492384399E-4</v>
      </c>
    </row>
    <row r="642" spans="1:24" x14ac:dyDescent="0.2">
      <c r="A642" s="3">
        <v>559</v>
      </c>
      <c r="B642" s="3">
        <v>7207</v>
      </c>
      <c r="C642" s="3" t="s">
        <v>2295</v>
      </c>
      <c r="D642" s="3" t="s">
        <v>2296</v>
      </c>
      <c r="E642" s="3" t="s">
        <v>1477</v>
      </c>
      <c r="F642" s="3" t="s">
        <v>2599</v>
      </c>
      <c r="G642" s="3" t="s">
        <v>2600</v>
      </c>
      <c r="H642" s="3" t="s">
        <v>76</v>
      </c>
      <c r="I642" s="3" t="s">
        <v>73</v>
      </c>
      <c r="J642" s="3" t="s">
        <v>53</v>
      </c>
      <c r="K642" s="3" t="s">
        <v>53</v>
      </c>
      <c r="L642" s="6" t="s">
        <v>805</v>
      </c>
      <c r="M642" s="6" t="s">
        <v>311</v>
      </c>
      <c r="N642" s="3" t="s">
        <v>256</v>
      </c>
      <c r="O642" s="3" t="s">
        <v>62</v>
      </c>
      <c r="P642" s="3" t="s">
        <v>1219</v>
      </c>
      <c r="Q642" s="137">
        <v>11893</v>
      </c>
      <c r="R642" s="139">
        <v>1</v>
      </c>
      <c r="S642" s="140">
        <v>3356</v>
      </c>
      <c r="U642" s="137">
        <v>399.12900000000002</v>
      </c>
      <c r="V642" s="138">
        <v>1.0000000000000001E-5</v>
      </c>
      <c r="W642" s="138">
        <v>3.7359458463534202E-2</v>
      </c>
      <c r="X642" s="138">
        <v>3.28398284316947E-3</v>
      </c>
    </row>
    <row r="643" spans="1:24" x14ac:dyDescent="0.2">
      <c r="A643" s="3">
        <v>559</v>
      </c>
      <c r="B643" s="3">
        <v>7207</v>
      </c>
      <c r="C643" s="3" t="s">
        <v>2601</v>
      </c>
      <c r="D643" s="3" t="s">
        <v>2602</v>
      </c>
      <c r="E643" s="3" t="s">
        <v>1477</v>
      </c>
      <c r="F643" s="3" t="s">
        <v>2603</v>
      </c>
      <c r="G643" s="3" t="s">
        <v>2604</v>
      </c>
      <c r="H643" s="3" t="s">
        <v>76</v>
      </c>
      <c r="I643" s="3" t="s">
        <v>73</v>
      </c>
      <c r="J643" s="3" t="s">
        <v>53</v>
      </c>
      <c r="K643" s="3" t="s">
        <v>53</v>
      </c>
      <c r="L643" s="6" t="s">
        <v>805</v>
      </c>
      <c r="M643" s="6" t="s">
        <v>311</v>
      </c>
      <c r="N643" s="3" t="s">
        <v>75</v>
      </c>
      <c r="O643" s="3" t="s">
        <v>62</v>
      </c>
      <c r="P643" s="3" t="s">
        <v>1219</v>
      </c>
      <c r="Q643" s="137">
        <v>1335</v>
      </c>
      <c r="R643" s="139">
        <v>1</v>
      </c>
      <c r="S643" s="140">
        <v>4845</v>
      </c>
      <c r="U643" s="137">
        <v>64.680999999999997</v>
      </c>
      <c r="V643" s="138">
        <v>4.8999999999999998E-5</v>
      </c>
      <c r="W643" s="138">
        <v>6.0542764586715703E-3</v>
      </c>
      <c r="X643" s="138">
        <v>5.3218490941159496E-4</v>
      </c>
    </row>
    <row r="644" spans="1:24" x14ac:dyDescent="0.2">
      <c r="A644" s="3">
        <v>559</v>
      </c>
      <c r="B644" s="3">
        <v>7207</v>
      </c>
      <c r="C644" s="3" t="s">
        <v>2605</v>
      </c>
      <c r="D644" s="3" t="s">
        <v>2606</v>
      </c>
      <c r="E644" s="3" t="s">
        <v>1477</v>
      </c>
      <c r="F644" s="3" t="s">
        <v>2607</v>
      </c>
      <c r="G644" s="3" t="s">
        <v>2608</v>
      </c>
      <c r="H644" s="3" t="s">
        <v>76</v>
      </c>
      <c r="I644" s="3" t="s">
        <v>73</v>
      </c>
      <c r="J644" s="3" t="s">
        <v>53</v>
      </c>
      <c r="K644" s="3" t="s">
        <v>53</v>
      </c>
      <c r="L644" s="6" t="s">
        <v>805</v>
      </c>
      <c r="M644" s="6" t="s">
        <v>311</v>
      </c>
      <c r="N644" s="3" t="s">
        <v>75</v>
      </c>
      <c r="O644" s="3" t="s">
        <v>62</v>
      </c>
      <c r="P644" s="3" t="s">
        <v>1219</v>
      </c>
      <c r="Q644" s="137">
        <v>514</v>
      </c>
      <c r="R644" s="139">
        <v>1</v>
      </c>
      <c r="S644" s="140">
        <v>2836</v>
      </c>
      <c r="T644" s="131">
        <v>1.028</v>
      </c>
      <c r="U644" s="137">
        <v>15.605</v>
      </c>
      <c r="V644" s="138">
        <v>5.0000000000000004E-6</v>
      </c>
      <c r="W644" s="138">
        <v>1.4606699258841E-3</v>
      </c>
      <c r="X644" s="138">
        <v>1.28396266257957E-4</v>
      </c>
    </row>
    <row r="645" spans="1:24" x14ac:dyDescent="0.2">
      <c r="A645" s="3">
        <v>559</v>
      </c>
      <c r="B645" s="3">
        <v>7207</v>
      </c>
      <c r="C645" s="3" t="s">
        <v>2609</v>
      </c>
      <c r="D645" s="3" t="s">
        <v>2610</v>
      </c>
      <c r="E645" s="3" t="s">
        <v>1477</v>
      </c>
      <c r="F645" s="3" t="s">
        <v>2611</v>
      </c>
      <c r="G645" s="3" t="s">
        <v>2612</v>
      </c>
      <c r="H645" s="3" t="s">
        <v>76</v>
      </c>
      <c r="I645" s="3" t="s">
        <v>73</v>
      </c>
      <c r="J645" s="3" t="s">
        <v>53</v>
      </c>
      <c r="K645" s="3" t="s">
        <v>53</v>
      </c>
      <c r="L645" s="6" t="s">
        <v>805</v>
      </c>
      <c r="M645" s="6" t="s">
        <v>311</v>
      </c>
      <c r="N645" s="3" t="s">
        <v>140</v>
      </c>
      <c r="O645" s="3" t="s">
        <v>62</v>
      </c>
      <c r="P645" s="3" t="s">
        <v>1219</v>
      </c>
      <c r="Q645" s="137">
        <v>287</v>
      </c>
      <c r="R645" s="139">
        <v>1</v>
      </c>
      <c r="S645" s="140">
        <v>36740</v>
      </c>
      <c r="U645" s="137">
        <v>105.444</v>
      </c>
      <c r="V645" s="138">
        <v>1.4E-5</v>
      </c>
      <c r="W645" s="138">
        <v>9.8697976763236807E-3</v>
      </c>
      <c r="X645" s="138">
        <v>8.6757805299125898E-4</v>
      </c>
    </row>
    <row r="646" spans="1:24" x14ac:dyDescent="0.2">
      <c r="A646" s="3">
        <v>559</v>
      </c>
      <c r="B646" s="3">
        <v>7207</v>
      </c>
      <c r="C646" s="3" t="s">
        <v>2613</v>
      </c>
      <c r="D646" s="3" t="s">
        <v>2614</v>
      </c>
      <c r="E646" s="3" t="s">
        <v>1477</v>
      </c>
      <c r="F646" s="3" t="s">
        <v>2615</v>
      </c>
      <c r="G646" s="3" t="s">
        <v>2616</v>
      </c>
      <c r="H646" s="3" t="s">
        <v>76</v>
      </c>
      <c r="I646" s="3" t="s">
        <v>73</v>
      </c>
      <c r="J646" s="3" t="s">
        <v>53</v>
      </c>
      <c r="K646" s="3" t="s">
        <v>53</v>
      </c>
      <c r="L646" s="6" t="s">
        <v>805</v>
      </c>
      <c r="M646" s="6" t="s">
        <v>311</v>
      </c>
      <c r="N646" s="3" t="s">
        <v>258</v>
      </c>
      <c r="O646" s="3" t="s">
        <v>62</v>
      </c>
      <c r="P646" s="3" t="s">
        <v>1219</v>
      </c>
      <c r="Q646" s="137">
        <v>36</v>
      </c>
      <c r="R646" s="139">
        <v>1</v>
      </c>
      <c r="S646" s="140">
        <v>48100</v>
      </c>
      <c r="U646" s="137">
        <v>17.315999999999999</v>
      </c>
      <c r="V646" s="138">
        <v>6.0000000000000002E-6</v>
      </c>
      <c r="W646" s="138">
        <v>1.6208199682031599E-3</v>
      </c>
      <c r="X646" s="138">
        <v>1.42473825541157E-4</v>
      </c>
    </row>
    <row r="647" spans="1:24" x14ac:dyDescent="0.2">
      <c r="A647" s="3">
        <v>559</v>
      </c>
      <c r="B647" s="3">
        <v>7207</v>
      </c>
      <c r="C647" s="3" t="s">
        <v>2617</v>
      </c>
      <c r="D647" s="3" t="s">
        <v>2618</v>
      </c>
      <c r="E647" s="3" t="s">
        <v>1477</v>
      </c>
      <c r="F647" s="3" t="s">
        <v>2619</v>
      </c>
      <c r="G647" s="3" t="s">
        <v>2620</v>
      </c>
      <c r="H647" s="3" t="s">
        <v>76</v>
      </c>
      <c r="I647" s="3" t="s">
        <v>73</v>
      </c>
      <c r="J647" s="3" t="s">
        <v>53</v>
      </c>
      <c r="K647" s="3" t="s">
        <v>53</v>
      </c>
      <c r="L647" s="6" t="s">
        <v>805</v>
      </c>
      <c r="M647" s="6" t="s">
        <v>311</v>
      </c>
      <c r="N647" s="3" t="s">
        <v>269</v>
      </c>
      <c r="O647" s="3" t="s">
        <v>62</v>
      </c>
      <c r="P647" s="3" t="s">
        <v>1219</v>
      </c>
      <c r="Q647" s="137">
        <v>838</v>
      </c>
      <c r="R647" s="139">
        <v>1</v>
      </c>
      <c r="S647" s="140">
        <v>9745</v>
      </c>
      <c r="U647" s="137">
        <v>81.662999999999997</v>
      </c>
      <c r="V647" s="138">
        <v>3.0000000000000001E-6</v>
      </c>
      <c r="W647" s="138">
        <v>7.6438659705111997E-3</v>
      </c>
      <c r="X647" s="138">
        <v>6.7191350557577103E-4</v>
      </c>
    </row>
    <row r="648" spans="1:24" x14ac:dyDescent="0.2">
      <c r="A648" s="3">
        <v>559</v>
      </c>
      <c r="B648" s="3">
        <v>7207</v>
      </c>
      <c r="C648" s="3" t="s">
        <v>2621</v>
      </c>
      <c r="D648" s="3" t="s">
        <v>2622</v>
      </c>
      <c r="E648" s="3" t="s">
        <v>1477</v>
      </c>
      <c r="F648" s="3" t="s">
        <v>2623</v>
      </c>
      <c r="G648" s="3" t="s">
        <v>2624</v>
      </c>
      <c r="H648" s="3" t="s">
        <v>76</v>
      </c>
      <c r="I648" s="3" t="s">
        <v>73</v>
      </c>
      <c r="J648" s="3" t="s">
        <v>53</v>
      </c>
      <c r="K648" s="3" t="s">
        <v>53</v>
      </c>
      <c r="L648" s="6" t="s">
        <v>805</v>
      </c>
      <c r="M648" s="6" t="s">
        <v>311</v>
      </c>
      <c r="N648" s="3" t="s">
        <v>269</v>
      </c>
      <c r="O648" s="3" t="s">
        <v>62</v>
      </c>
      <c r="P648" s="3" t="s">
        <v>1219</v>
      </c>
      <c r="Q648" s="137">
        <v>1823</v>
      </c>
      <c r="R648" s="139">
        <v>1</v>
      </c>
      <c r="S648" s="140">
        <v>9432</v>
      </c>
      <c r="U648" s="137">
        <v>171.94499999999999</v>
      </c>
      <c r="V648" s="138">
        <v>7.9999999999999996E-6</v>
      </c>
      <c r="W648" s="138">
        <v>1.6094506406091599E-2</v>
      </c>
      <c r="X648" s="138">
        <v>1.41474435338712E-3</v>
      </c>
    </row>
    <row r="649" spans="1:24" x14ac:dyDescent="0.2">
      <c r="A649" s="3">
        <v>559</v>
      </c>
      <c r="B649" s="3">
        <v>7207</v>
      </c>
      <c r="C649" s="3" t="s">
        <v>2625</v>
      </c>
      <c r="D649" s="3" t="s">
        <v>2626</v>
      </c>
      <c r="E649" s="3" t="s">
        <v>1477</v>
      </c>
      <c r="F649" s="3" t="s">
        <v>2627</v>
      </c>
      <c r="G649" s="3" t="s">
        <v>2628</v>
      </c>
      <c r="H649" s="3" t="s">
        <v>76</v>
      </c>
      <c r="I649" s="3" t="s">
        <v>73</v>
      </c>
      <c r="J649" s="3" t="s">
        <v>53</v>
      </c>
      <c r="K649" s="3" t="s">
        <v>53</v>
      </c>
      <c r="L649" s="6" t="s">
        <v>805</v>
      </c>
      <c r="M649" s="6" t="s">
        <v>311</v>
      </c>
      <c r="N649" s="3" t="s">
        <v>252</v>
      </c>
      <c r="O649" s="3" t="s">
        <v>62</v>
      </c>
      <c r="P649" s="3" t="s">
        <v>1219</v>
      </c>
      <c r="Q649" s="137">
        <v>1082</v>
      </c>
      <c r="R649" s="139">
        <v>1</v>
      </c>
      <c r="S649" s="140">
        <v>8680</v>
      </c>
      <c r="U649" s="137">
        <v>93.918000000000006</v>
      </c>
      <c r="V649" s="138">
        <v>1.5E-5</v>
      </c>
      <c r="W649" s="138">
        <v>8.7909171544073399E-3</v>
      </c>
      <c r="X649" s="138">
        <v>7.7274195874590902E-4</v>
      </c>
    </row>
    <row r="650" spans="1:24" x14ac:dyDescent="0.2">
      <c r="A650" s="3">
        <v>559</v>
      </c>
      <c r="B650" s="3">
        <v>7207</v>
      </c>
      <c r="C650" s="3" t="s">
        <v>2629</v>
      </c>
      <c r="D650" s="3" t="s">
        <v>2630</v>
      </c>
      <c r="E650" s="3" t="s">
        <v>1477</v>
      </c>
      <c r="F650" s="3" t="s">
        <v>2631</v>
      </c>
      <c r="G650" s="3" t="s">
        <v>2632</v>
      </c>
      <c r="H650" s="3" t="s">
        <v>76</v>
      </c>
      <c r="I650" s="3" t="s">
        <v>73</v>
      </c>
      <c r="J650" s="3" t="s">
        <v>53</v>
      </c>
      <c r="K650" s="3" t="s">
        <v>53</v>
      </c>
      <c r="L650" s="6" t="s">
        <v>805</v>
      </c>
      <c r="M650" s="6" t="s">
        <v>311</v>
      </c>
      <c r="N650" s="3" t="s">
        <v>635</v>
      </c>
      <c r="O650" s="3" t="s">
        <v>62</v>
      </c>
      <c r="P650" s="3" t="s">
        <v>1219</v>
      </c>
      <c r="Q650" s="137">
        <v>191</v>
      </c>
      <c r="R650" s="139">
        <v>1</v>
      </c>
      <c r="S650" s="140">
        <v>21400</v>
      </c>
      <c r="U650" s="137">
        <v>40.874000000000002</v>
      </c>
      <c r="V650" s="138">
        <v>1.1E-5</v>
      </c>
      <c r="W650" s="138">
        <v>3.8259064091208201E-3</v>
      </c>
      <c r="X650" s="138">
        <v>3.3630602593955002E-4</v>
      </c>
    </row>
    <row r="651" spans="1:24" x14ac:dyDescent="0.2">
      <c r="A651" s="3">
        <v>559</v>
      </c>
      <c r="B651" s="3">
        <v>7207</v>
      </c>
      <c r="C651" s="3" t="s">
        <v>1802</v>
      </c>
      <c r="D651" s="3" t="s">
        <v>1803</v>
      </c>
      <c r="E651" s="3" t="s">
        <v>1477</v>
      </c>
      <c r="F651" s="3" t="s">
        <v>2633</v>
      </c>
      <c r="G651" s="3" t="s">
        <v>2634</v>
      </c>
      <c r="H651" s="3" t="s">
        <v>76</v>
      </c>
      <c r="I651" s="3" t="s">
        <v>73</v>
      </c>
      <c r="J651" s="3" t="s">
        <v>53</v>
      </c>
      <c r="K651" s="3" t="s">
        <v>53</v>
      </c>
      <c r="L651" s="6" t="s">
        <v>805</v>
      </c>
      <c r="M651" s="6" t="s">
        <v>311</v>
      </c>
      <c r="N651" s="3" t="s">
        <v>692</v>
      </c>
      <c r="O651" s="3" t="s">
        <v>62</v>
      </c>
      <c r="P651" s="3" t="s">
        <v>1219</v>
      </c>
      <c r="Q651" s="137">
        <v>304</v>
      </c>
      <c r="R651" s="139">
        <v>1</v>
      </c>
      <c r="S651" s="140">
        <v>112370</v>
      </c>
      <c r="U651" s="137">
        <v>341.60500000000002</v>
      </c>
      <c r="V651" s="138">
        <v>3.8999999999999999E-5</v>
      </c>
      <c r="W651" s="138">
        <v>3.1975045107071401E-2</v>
      </c>
      <c r="X651" s="138">
        <v>2.8106804504055101E-3</v>
      </c>
    </row>
    <row r="652" spans="1:24" x14ac:dyDescent="0.2">
      <c r="A652" s="3">
        <v>559</v>
      </c>
      <c r="B652" s="3">
        <v>7207</v>
      </c>
      <c r="C652" s="3" t="s">
        <v>2635</v>
      </c>
      <c r="D652" s="3" t="s">
        <v>2636</v>
      </c>
      <c r="E652" s="3" t="s">
        <v>1477</v>
      </c>
      <c r="F652" s="3" t="s">
        <v>2637</v>
      </c>
      <c r="G652" s="3" t="s">
        <v>2638</v>
      </c>
      <c r="H652" s="3" t="s">
        <v>76</v>
      </c>
      <c r="I652" s="3" t="s">
        <v>73</v>
      </c>
      <c r="J652" s="3" t="s">
        <v>53</v>
      </c>
      <c r="K652" s="3" t="s">
        <v>317</v>
      </c>
      <c r="L652" s="6" t="s">
        <v>805</v>
      </c>
      <c r="M652" s="6" t="s">
        <v>311</v>
      </c>
      <c r="N652" s="3" t="s">
        <v>254</v>
      </c>
      <c r="O652" s="3" t="s">
        <v>62</v>
      </c>
      <c r="P652" s="3" t="s">
        <v>1219</v>
      </c>
      <c r="Q652" s="137">
        <v>457</v>
      </c>
      <c r="R652" s="139">
        <v>1</v>
      </c>
      <c r="S652" s="140">
        <v>14620</v>
      </c>
      <c r="U652" s="137">
        <v>66.813000000000002</v>
      </c>
      <c r="V652" s="138">
        <v>3.9999999999999998E-6</v>
      </c>
      <c r="W652" s="138">
        <v>6.2538977167674601E-3</v>
      </c>
      <c r="X652" s="138">
        <v>5.4973207989209602E-4</v>
      </c>
    </row>
    <row r="653" spans="1:24" x14ac:dyDescent="0.2">
      <c r="A653" s="3">
        <v>559</v>
      </c>
      <c r="B653" s="3">
        <v>7207</v>
      </c>
      <c r="C653" s="3" t="s">
        <v>2325</v>
      </c>
      <c r="D653" s="3" t="s">
        <v>2326</v>
      </c>
      <c r="E653" s="3" t="s">
        <v>1477</v>
      </c>
      <c r="F653" s="3" t="s">
        <v>2639</v>
      </c>
      <c r="G653" s="3" t="s">
        <v>2640</v>
      </c>
      <c r="H653" s="3" t="s">
        <v>76</v>
      </c>
      <c r="I653" s="3" t="s">
        <v>73</v>
      </c>
      <c r="J653" s="3" t="s">
        <v>53</v>
      </c>
      <c r="K653" s="3" t="s">
        <v>314</v>
      </c>
      <c r="L653" s="6" t="s">
        <v>805</v>
      </c>
      <c r="M653" s="6" t="s">
        <v>311</v>
      </c>
      <c r="N653" s="3" t="s">
        <v>85</v>
      </c>
      <c r="O653" s="3" t="s">
        <v>62</v>
      </c>
      <c r="P653" s="3" t="s">
        <v>1219</v>
      </c>
      <c r="Q653" s="137">
        <v>3576</v>
      </c>
      <c r="R653" s="139">
        <v>1</v>
      </c>
      <c r="S653" s="140">
        <v>5699</v>
      </c>
      <c r="U653" s="137">
        <v>203.79599999999999</v>
      </c>
      <c r="V653" s="138">
        <v>3.0000000000000001E-6</v>
      </c>
      <c r="W653" s="138">
        <v>1.90758267057476E-2</v>
      </c>
      <c r="X653" s="138">
        <v>1.6768093060582001E-3</v>
      </c>
    </row>
    <row r="654" spans="1:24" x14ac:dyDescent="0.2">
      <c r="A654" s="3">
        <v>559</v>
      </c>
      <c r="B654" s="3">
        <v>7207</v>
      </c>
      <c r="C654" s="3" t="s">
        <v>2641</v>
      </c>
      <c r="D654" s="3" t="s">
        <v>2642</v>
      </c>
      <c r="E654" s="3" t="s">
        <v>1477</v>
      </c>
      <c r="F654" s="3" t="s">
        <v>2643</v>
      </c>
      <c r="G654" s="3" t="s">
        <v>2644</v>
      </c>
      <c r="H654" s="3" t="s">
        <v>76</v>
      </c>
      <c r="I654" s="3" t="s">
        <v>73</v>
      </c>
      <c r="J654" s="3" t="s">
        <v>53</v>
      </c>
      <c r="L654" s="6" t="s">
        <v>805</v>
      </c>
      <c r="M654" s="6" t="s">
        <v>102</v>
      </c>
      <c r="N654" s="3" t="s">
        <v>631</v>
      </c>
      <c r="O654" s="3" t="s">
        <v>62</v>
      </c>
      <c r="P654" s="3" t="s">
        <v>1219</v>
      </c>
      <c r="Q654" s="137">
        <v>2500</v>
      </c>
      <c r="R654" s="139">
        <v>1</v>
      </c>
      <c r="S654" s="140">
        <v>902.39300000000003</v>
      </c>
      <c r="U654" s="137">
        <v>22.56</v>
      </c>
      <c r="V654" s="138">
        <v>0</v>
      </c>
      <c r="W654" s="138">
        <v>2.1116539464760302E-3</v>
      </c>
      <c r="X654" s="138">
        <v>1.85619267948092E-4</v>
      </c>
    </row>
    <row r="655" spans="1:24" x14ac:dyDescent="0.2">
      <c r="A655" s="3">
        <v>559</v>
      </c>
      <c r="B655" s="3">
        <v>7207</v>
      </c>
      <c r="C655" s="3" t="s">
        <v>2645</v>
      </c>
      <c r="D655" s="3" t="s">
        <v>2646</v>
      </c>
      <c r="E655" s="3" t="s">
        <v>1477</v>
      </c>
      <c r="F655" s="3" t="s">
        <v>2647</v>
      </c>
      <c r="G655" s="3" t="s">
        <v>2648</v>
      </c>
      <c r="H655" s="3" t="s">
        <v>76</v>
      </c>
      <c r="I655" s="3" t="s">
        <v>73</v>
      </c>
      <c r="J655" s="3" t="s">
        <v>53</v>
      </c>
      <c r="K655" s="3" t="s">
        <v>53</v>
      </c>
      <c r="L655" s="6" t="s">
        <v>805</v>
      </c>
      <c r="M655" s="6" t="s">
        <v>311</v>
      </c>
      <c r="N655" s="3" t="s">
        <v>257</v>
      </c>
      <c r="O655" s="3" t="s">
        <v>62</v>
      </c>
      <c r="P655" s="3" t="s">
        <v>1219</v>
      </c>
      <c r="Q655" s="137">
        <v>4353</v>
      </c>
      <c r="R655" s="139">
        <v>1</v>
      </c>
      <c r="S655" s="140">
        <v>1735</v>
      </c>
      <c r="U655" s="137">
        <v>75.525000000000006</v>
      </c>
      <c r="V655" s="138">
        <v>2.0999999999999999E-5</v>
      </c>
      <c r="W655" s="138">
        <v>7.0692826709146698E-3</v>
      </c>
      <c r="X655" s="138">
        <v>6.2140630404102502E-4</v>
      </c>
    </row>
    <row r="656" spans="1:24" x14ac:dyDescent="0.2">
      <c r="A656" s="3">
        <v>559</v>
      </c>
      <c r="B656" s="3">
        <v>7207</v>
      </c>
      <c r="C656" s="3" t="s">
        <v>1833</v>
      </c>
      <c r="D656" s="3" t="s">
        <v>1834</v>
      </c>
      <c r="E656" s="3" t="s">
        <v>432</v>
      </c>
      <c r="F656" s="3" t="s">
        <v>2649</v>
      </c>
      <c r="G656" s="3" t="s">
        <v>2650</v>
      </c>
      <c r="H656" s="3" t="s">
        <v>76</v>
      </c>
      <c r="I656" s="3" t="s">
        <v>73</v>
      </c>
      <c r="J656" s="3" t="s">
        <v>53</v>
      </c>
      <c r="K656" s="3" t="s">
        <v>53</v>
      </c>
      <c r="L656" s="6" t="s">
        <v>805</v>
      </c>
      <c r="M656" s="6" t="s">
        <v>311</v>
      </c>
      <c r="N656" s="3" t="s">
        <v>267</v>
      </c>
      <c r="O656" s="3" t="s">
        <v>62</v>
      </c>
      <c r="P656" s="3" t="s">
        <v>1219</v>
      </c>
      <c r="Q656" s="137">
        <v>66149.5</v>
      </c>
      <c r="R656" s="139">
        <v>1</v>
      </c>
      <c r="S656" s="140">
        <v>229.9</v>
      </c>
      <c r="U656" s="137">
        <v>152.078</v>
      </c>
      <c r="V656" s="138">
        <v>2.5000000000000001E-5</v>
      </c>
      <c r="W656" s="138">
        <v>1.4234844865374199E-2</v>
      </c>
      <c r="X656" s="138">
        <v>1.25127580097813E-3</v>
      </c>
    </row>
    <row r="657" spans="1:24" x14ac:dyDescent="0.2">
      <c r="A657" s="3">
        <v>559</v>
      </c>
      <c r="B657" s="3">
        <v>7207</v>
      </c>
      <c r="C657" s="3" t="s">
        <v>2651</v>
      </c>
      <c r="D657" s="3" t="s">
        <v>2652</v>
      </c>
      <c r="E657" s="3" t="s">
        <v>1477</v>
      </c>
      <c r="F657" s="3" t="s">
        <v>2653</v>
      </c>
      <c r="G657" s="3" t="s">
        <v>2654</v>
      </c>
      <c r="H657" s="3" t="s">
        <v>76</v>
      </c>
      <c r="I657" s="3" t="s">
        <v>73</v>
      </c>
      <c r="J657" s="3" t="s">
        <v>53</v>
      </c>
      <c r="K657" s="3" t="s">
        <v>53</v>
      </c>
      <c r="L657" s="6" t="s">
        <v>805</v>
      </c>
      <c r="M657" s="6" t="s">
        <v>311</v>
      </c>
      <c r="N657" s="3" t="s">
        <v>635</v>
      </c>
      <c r="O657" s="3" t="s">
        <v>62</v>
      </c>
      <c r="P657" s="3" t="s">
        <v>1219</v>
      </c>
      <c r="Q657" s="137">
        <v>35</v>
      </c>
      <c r="R657" s="139">
        <v>1</v>
      </c>
      <c r="S657" s="140">
        <v>45650</v>
      </c>
      <c r="U657" s="137">
        <v>15.977</v>
      </c>
      <c r="V657" s="138">
        <v>5.0000000000000004E-6</v>
      </c>
      <c r="W657" s="138">
        <v>1.49553309320663E-3</v>
      </c>
      <c r="X657" s="138">
        <v>1.31460819333786E-4</v>
      </c>
    </row>
    <row r="658" spans="1:24" x14ac:dyDescent="0.2">
      <c r="A658" s="3">
        <v>559</v>
      </c>
      <c r="B658" s="3">
        <v>7207</v>
      </c>
      <c r="C658" s="3" t="s">
        <v>1849</v>
      </c>
      <c r="D658" s="3" t="s">
        <v>1850</v>
      </c>
      <c r="E658" s="3" t="s">
        <v>1477</v>
      </c>
      <c r="F658" s="3" t="s">
        <v>2655</v>
      </c>
      <c r="G658" s="3" t="s">
        <v>2656</v>
      </c>
      <c r="H658" s="3" t="s">
        <v>76</v>
      </c>
      <c r="I658" s="3" t="s">
        <v>73</v>
      </c>
      <c r="J658" s="3" t="s">
        <v>53</v>
      </c>
      <c r="K658" s="3" t="s">
        <v>53</v>
      </c>
      <c r="L658" s="6" t="s">
        <v>805</v>
      </c>
      <c r="M658" s="6" t="s">
        <v>311</v>
      </c>
      <c r="N658" s="3" t="s">
        <v>269</v>
      </c>
      <c r="O658" s="3" t="s">
        <v>62</v>
      </c>
      <c r="P658" s="3" t="s">
        <v>1219</v>
      </c>
      <c r="Q658" s="137">
        <v>1154</v>
      </c>
      <c r="R658" s="139">
        <v>1</v>
      </c>
      <c r="S658" s="140">
        <v>14880</v>
      </c>
      <c r="U658" s="137">
        <v>171.715</v>
      </c>
      <c r="V658" s="138">
        <v>1.4E-5</v>
      </c>
      <c r="W658" s="138">
        <v>1.6072962866943898E-2</v>
      </c>
      <c r="X658" s="138">
        <v>1.4128506264475E-3</v>
      </c>
    </row>
    <row r="659" spans="1:24" x14ac:dyDescent="0.2">
      <c r="A659" s="3">
        <v>559</v>
      </c>
      <c r="B659" s="3">
        <v>7207</v>
      </c>
      <c r="C659" s="3" t="s">
        <v>2873</v>
      </c>
      <c r="D659" s="3" t="s">
        <v>2874</v>
      </c>
      <c r="E659" s="3" t="s">
        <v>1477</v>
      </c>
      <c r="F659" s="3" t="s">
        <v>2875</v>
      </c>
      <c r="G659" s="3" t="s">
        <v>2876</v>
      </c>
      <c r="H659" s="3" t="s">
        <v>76</v>
      </c>
      <c r="I659" s="3" t="s">
        <v>73</v>
      </c>
      <c r="J659" s="3" t="s">
        <v>53</v>
      </c>
      <c r="K659" s="3" t="s">
        <v>53</v>
      </c>
      <c r="L659" s="6" t="s">
        <v>805</v>
      </c>
      <c r="M659" s="6" t="s">
        <v>311</v>
      </c>
      <c r="N659" s="3" t="s">
        <v>265</v>
      </c>
      <c r="O659" s="3" t="s">
        <v>62</v>
      </c>
      <c r="P659" s="3" t="s">
        <v>1219</v>
      </c>
      <c r="Q659" s="137">
        <v>343</v>
      </c>
      <c r="R659" s="139">
        <v>1</v>
      </c>
      <c r="S659" s="140">
        <v>2980</v>
      </c>
      <c r="U659" s="137">
        <v>10.221</v>
      </c>
      <c r="V659" s="138">
        <v>1.4E-5</v>
      </c>
      <c r="W659" s="138">
        <v>9.5674804937582797E-4</v>
      </c>
      <c r="X659" s="138">
        <v>8.4100367312680798E-5</v>
      </c>
    </row>
    <row r="660" spans="1:24" x14ac:dyDescent="0.2">
      <c r="A660" s="3">
        <v>559</v>
      </c>
      <c r="B660" s="3">
        <v>7207</v>
      </c>
      <c r="C660" s="3" t="s">
        <v>1220</v>
      </c>
      <c r="D660" s="3" t="s">
        <v>1483</v>
      </c>
      <c r="E660" s="3" t="s">
        <v>1477</v>
      </c>
      <c r="F660" s="3" t="s">
        <v>2657</v>
      </c>
      <c r="G660" s="3" t="s">
        <v>2658</v>
      </c>
      <c r="H660" s="3" t="s">
        <v>76</v>
      </c>
      <c r="I660" s="3" t="s">
        <v>73</v>
      </c>
      <c r="J660" s="3" t="s">
        <v>53</v>
      </c>
      <c r="K660" s="3" t="s">
        <v>53</v>
      </c>
      <c r="L660" s="6" t="s">
        <v>805</v>
      </c>
      <c r="M660" s="6" t="s">
        <v>311</v>
      </c>
      <c r="N660" s="3" t="s">
        <v>256</v>
      </c>
      <c r="O660" s="3" t="s">
        <v>62</v>
      </c>
      <c r="P660" s="3" t="s">
        <v>1219</v>
      </c>
      <c r="Q660" s="137">
        <v>10933</v>
      </c>
      <c r="R660" s="139">
        <v>1</v>
      </c>
      <c r="S660" s="140">
        <v>6262</v>
      </c>
      <c r="U660" s="137">
        <v>684.62400000000002</v>
      </c>
      <c r="V660" s="138">
        <v>6.9999999999999999E-6</v>
      </c>
      <c r="W660" s="138">
        <v>6.40825245719744E-2</v>
      </c>
      <c r="X660" s="138">
        <v>5.6330021872978003E-3</v>
      </c>
    </row>
    <row r="661" spans="1:24" x14ac:dyDescent="0.2">
      <c r="A661" s="3">
        <v>559</v>
      </c>
      <c r="B661" s="3">
        <v>7207</v>
      </c>
      <c r="C661" s="3" t="s">
        <v>2487</v>
      </c>
      <c r="D661" s="3" t="s">
        <v>2488</v>
      </c>
      <c r="E661" s="3" t="s">
        <v>1477</v>
      </c>
      <c r="F661" s="3" t="s">
        <v>2659</v>
      </c>
      <c r="G661" s="3" t="s">
        <v>2660</v>
      </c>
      <c r="H661" s="3" t="s">
        <v>76</v>
      </c>
      <c r="I661" s="3" t="s">
        <v>73</v>
      </c>
      <c r="J661" s="3" t="s">
        <v>53</v>
      </c>
      <c r="K661" s="3" t="s">
        <v>53</v>
      </c>
      <c r="L661" s="6" t="s">
        <v>805</v>
      </c>
      <c r="M661" s="6" t="s">
        <v>311</v>
      </c>
      <c r="N661" s="3" t="s">
        <v>692</v>
      </c>
      <c r="O661" s="3" t="s">
        <v>62</v>
      </c>
      <c r="P661" s="3" t="s">
        <v>1219</v>
      </c>
      <c r="Q661" s="137">
        <v>14665</v>
      </c>
      <c r="R661" s="139">
        <v>1</v>
      </c>
      <c r="S661" s="140">
        <v>519.29999999999995</v>
      </c>
      <c r="U661" s="137">
        <v>76.155000000000001</v>
      </c>
      <c r="V661" s="138">
        <v>5.5000000000000002E-5</v>
      </c>
      <c r="W661" s="138">
        <v>7.1283266263225398E-3</v>
      </c>
      <c r="X661" s="138">
        <v>6.2659640434029897E-4</v>
      </c>
    </row>
    <row r="662" spans="1:24" x14ac:dyDescent="0.2">
      <c r="A662" s="3">
        <v>559</v>
      </c>
      <c r="B662" s="3">
        <v>7207</v>
      </c>
      <c r="C662" s="3" t="s">
        <v>1871</v>
      </c>
      <c r="D662" s="3" t="s">
        <v>1872</v>
      </c>
      <c r="E662" s="3" t="s">
        <v>1477</v>
      </c>
      <c r="F662" s="3" t="s">
        <v>2661</v>
      </c>
      <c r="G662" s="3" t="s">
        <v>2662</v>
      </c>
      <c r="H662" s="3" t="s">
        <v>76</v>
      </c>
      <c r="I662" s="3" t="s">
        <v>73</v>
      </c>
      <c r="J662" s="3" t="s">
        <v>53</v>
      </c>
      <c r="K662" s="3" t="s">
        <v>53</v>
      </c>
      <c r="L662" s="6" t="s">
        <v>805</v>
      </c>
      <c r="M662" s="6" t="s">
        <v>311</v>
      </c>
      <c r="N662" s="3" t="s">
        <v>692</v>
      </c>
      <c r="O662" s="3" t="s">
        <v>62</v>
      </c>
      <c r="P662" s="3" t="s">
        <v>1219</v>
      </c>
      <c r="Q662" s="137">
        <v>649</v>
      </c>
      <c r="R662" s="139">
        <v>1</v>
      </c>
      <c r="S662" s="140">
        <v>8096</v>
      </c>
      <c r="U662" s="137">
        <v>52.542999999999999</v>
      </c>
      <c r="V662" s="138">
        <v>1.0000000000000001E-5</v>
      </c>
      <c r="W662" s="138">
        <v>4.91815710453324E-3</v>
      </c>
      <c r="X662" s="138">
        <v>4.32317389371797E-4</v>
      </c>
    </row>
    <row r="663" spans="1:24" x14ac:dyDescent="0.2">
      <c r="A663" s="3">
        <v>559</v>
      </c>
      <c r="B663" s="3">
        <v>7207</v>
      </c>
      <c r="C663" s="3" t="s">
        <v>2663</v>
      </c>
      <c r="D663" s="3" t="s">
        <v>2664</v>
      </c>
      <c r="E663" s="3" t="s">
        <v>1477</v>
      </c>
      <c r="F663" s="3" t="s">
        <v>2665</v>
      </c>
      <c r="G663" s="3" t="s">
        <v>2666</v>
      </c>
      <c r="H663" s="3" t="s">
        <v>76</v>
      </c>
      <c r="I663" s="3" t="s">
        <v>73</v>
      </c>
      <c r="J663" s="3" t="s">
        <v>53</v>
      </c>
      <c r="K663" s="3" t="s">
        <v>53</v>
      </c>
      <c r="L663" s="6" t="s">
        <v>805</v>
      </c>
      <c r="M663" s="6" t="s">
        <v>311</v>
      </c>
      <c r="N663" s="3" t="s">
        <v>634</v>
      </c>
      <c r="O663" s="3" t="s">
        <v>62</v>
      </c>
      <c r="P663" s="3" t="s">
        <v>1219</v>
      </c>
      <c r="Q663" s="137">
        <v>134</v>
      </c>
      <c r="R663" s="139">
        <v>1</v>
      </c>
      <c r="S663" s="140">
        <v>30850</v>
      </c>
      <c r="U663" s="137">
        <v>41.338999999999999</v>
      </c>
      <c r="V663" s="138">
        <v>9.0000000000000002E-6</v>
      </c>
      <c r="W663" s="138">
        <v>3.8694315468671002E-3</v>
      </c>
      <c r="X663" s="138">
        <v>3.4013198625813601E-4</v>
      </c>
    </row>
    <row r="664" spans="1:24" x14ac:dyDescent="0.2">
      <c r="A664" s="3">
        <v>559</v>
      </c>
      <c r="B664" s="3">
        <v>7207</v>
      </c>
      <c r="C664" s="3" t="s">
        <v>2667</v>
      </c>
      <c r="D664" s="3" t="s">
        <v>2668</v>
      </c>
      <c r="E664" s="3" t="s">
        <v>1477</v>
      </c>
      <c r="F664" s="3" t="s">
        <v>2669</v>
      </c>
      <c r="G664" s="3" t="s">
        <v>2670</v>
      </c>
      <c r="H664" s="3" t="s">
        <v>76</v>
      </c>
      <c r="I664" s="3" t="s">
        <v>73</v>
      </c>
      <c r="J664" s="3" t="s">
        <v>53</v>
      </c>
      <c r="K664" s="3" t="s">
        <v>53</v>
      </c>
      <c r="L664" s="6" t="s">
        <v>805</v>
      </c>
      <c r="M664" s="6" t="s">
        <v>311</v>
      </c>
      <c r="N664" s="3" t="s">
        <v>692</v>
      </c>
      <c r="O664" s="3" t="s">
        <v>62</v>
      </c>
      <c r="P664" s="3" t="s">
        <v>1219</v>
      </c>
      <c r="Q664" s="137">
        <v>160</v>
      </c>
      <c r="R664" s="139">
        <v>1</v>
      </c>
      <c r="S664" s="140">
        <v>28350</v>
      </c>
      <c r="U664" s="137">
        <v>45.36</v>
      </c>
      <c r="V664" s="138">
        <v>1.5E-5</v>
      </c>
      <c r="W664" s="138">
        <v>4.2458069853139003E-3</v>
      </c>
      <c r="X664" s="138">
        <v>3.7321625817433998E-4</v>
      </c>
    </row>
    <row r="665" spans="1:24" x14ac:dyDescent="0.2">
      <c r="A665" s="3">
        <v>559</v>
      </c>
      <c r="B665" s="3">
        <v>7207</v>
      </c>
      <c r="C665" s="3" t="s">
        <v>1881</v>
      </c>
      <c r="D665" s="3" t="s">
        <v>1882</v>
      </c>
      <c r="E665" s="3" t="s">
        <v>1477</v>
      </c>
      <c r="F665" s="3" t="s">
        <v>2671</v>
      </c>
      <c r="G665" s="3" t="s">
        <v>2672</v>
      </c>
      <c r="H665" s="3" t="s">
        <v>76</v>
      </c>
      <c r="I665" s="3" t="s">
        <v>73</v>
      </c>
      <c r="J665" s="3" t="s">
        <v>53</v>
      </c>
      <c r="K665" s="3" t="s">
        <v>53</v>
      </c>
      <c r="L665" s="6" t="s">
        <v>805</v>
      </c>
      <c r="M665" s="6" t="s">
        <v>311</v>
      </c>
      <c r="N665" s="3" t="s">
        <v>635</v>
      </c>
      <c r="O665" s="3" t="s">
        <v>62</v>
      </c>
      <c r="P665" s="3" t="s">
        <v>1219</v>
      </c>
      <c r="Q665" s="137">
        <v>4930.75</v>
      </c>
      <c r="R665" s="139">
        <v>1</v>
      </c>
      <c r="S665" s="140">
        <v>1262</v>
      </c>
      <c r="U665" s="137">
        <v>62.225999999999999</v>
      </c>
      <c r="V665" s="138">
        <v>6.9999999999999999E-6</v>
      </c>
      <c r="W665" s="138">
        <v>5.8245119366313299E-3</v>
      </c>
      <c r="X665" s="138">
        <v>5.1198807628336201E-4</v>
      </c>
    </row>
    <row r="666" spans="1:24" x14ac:dyDescent="0.2">
      <c r="A666" s="3">
        <v>559</v>
      </c>
      <c r="B666" s="3">
        <v>7207</v>
      </c>
      <c r="C666" s="3" t="s">
        <v>2673</v>
      </c>
      <c r="D666" s="3" t="s">
        <v>2674</v>
      </c>
      <c r="E666" s="3" t="s">
        <v>1477</v>
      </c>
      <c r="F666" s="3" t="s">
        <v>2675</v>
      </c>
      <c r="G666" s="3" t="s">
        <v>2676</v>
      </c>
      <c r="H666" s="3" t="s">
        <v>76</v>
      </c>
      <c r="I666" s="3" t="s">
        <v>73</v>
      </c>
      <c r="J666" s="3" t="s">
        <v>53</v>
      </c>
      <c r="K666" s="3" t="s">
        <v>53</v>
      </c>
      <c r="L666" s="6" t="s">
        <v>805</v>
      </c>
      <c r="M666" s="6" t="s">
        <v>311</v>
      </c>
      <c r="N666" s="3" t="s">
        <v>269</v>
      </c>
      <c r="O666" s="3" t="s">
        <v>62</v>
      </c>
      <c r="P666" s="3" t="s">
        <v>1219</v>
      </c>
      <c r="Q666" s="137">
        <v>13670</v>
      </c>
      <c r="R666" s="139">
        <v>1</v>
      </c>
      <c r="S666" s="140">
        <v>927.1</v>
      </c>
      <c r="U666" s="137">
        <v>126.735</v>
      </c>
      <c r="V666" s="138">
        <v>1.2999999999999999E-5</v>
      </c>
      <c r="W666" s="138">
        <v>1.18626658418597E-2</v>
      </c>
      <c r="X666" s="138">
        <v>1.0427557759421101E-3</v>
      </c>
    </row>
    <row r="667" spans="1:24" x14ac:dyDescent="0.2">
      <c r="A667" s="3">
        <v>559</v>
      </c>
      <c r="B667" s="3">
        <v>7207</v>
      </c>
      <c r="C667" s="3" t="s">
        <v>1489</v>
      </c>
      <c r="D667" s="3" t="s">
        <v>1490</v>
      </c>
      <c r="E667" s="3" t="s">
        <v>1477</v>
      </c>
      <c r="F667" s="3" t="s">
        <v>2677</v>
      </c>
      <c r="G667" s="3" t="s">
        <v>2678</v>
      </c>
      <c r="H667" s="3" t="s">
        <v>76</v>
      </c>
      <c r="I667" s="3" t="s">
        <v>73</v>
      </c>
      <c r="J667" s="3" t="s">
        <v>53</v>
      </c>
      <c r="K667" s="3" t="s">
        <v>53</v>
      </c>
      <c r="L667" s="6" t="s">
        <v>805</v>
      </c>
      <c r="M667" s="6" t="s">
        <v>311</v>
      </c>
      <c r="N667" s="3" t="s">
        <v>635</v>
      </c>
      <c r="O667" s="3" t="s">
        <v>62</v>
      </c>
      <c r="P667" s="3" t="s">
        <v>1219</v>
      </c>
      <c r="Q667" s="137">
        <v>984</v>
      </c>
      <c r="R667" s="139">
        <v>1</v>
      </c>
      <c r="S667" s="140">
        <v>15730</v>
      </c>
      <c r="U667" s="137">
        <v>154.78299999999999</v>
      </c>
      <c r="V667" s="138">
        <v>2.6999999999999999E-5</v>
      </c>
      <c r="W667" s="138">
        <v>1.44880862382989E-2</v>
      </c>
      <c r="X667" s="138">
        <v>1.27353630362104E-3</v>
      </c>
    </row>
    <row r="668" spans="1:24" x14ac:dyDescent="0.2">
      <c r="A668" s="3">
        <v>559</v>
      </c>
      <c r="B668" s="3">
        <v>7207</v>
      </c>
      <c r="C668" s="3" t="s">
        <v>2679</v>
      </c>
      <c r="D668" s="3" t="s">
        <v>2680</v>
      </c>
      <c r="E668" s="3" t="s">
        <v>1477</v>
      </c>
      <c r="F668" s="3" t="s">
        <v>2681</v>
      </c>
      <c r="G668" s="3" t="s">
        <v>2682</v>
      </c>
      <c r="H668" s="3" t="s">
        <v>76</v>
      </c>
      <c r="I668" s="3" t="s">
        <v>73</v>
      </c>
      <c r="J668" s="3" t="s">
        <v>53</v>
      </c>
      <c r="K668" s="3" t="s">
        <v>53</v>
      </c>
      <c r="L668" s="6" t="s">
        <v>805</v>
      </c>
      <c r="M668" s="6" t="s">
        <v>311</v>
      </c>
      <c r="N668" s="3" t="s">
        <v>253</v>
      </c>
      <c r="O668" s="3" t="s">
        <v>62</v>
      </c>
      <c r="P668" s="3" t="s">
        <v>1219</v>
      </c>
      <c r="Q668" s="137">
        <v>960</v>
      </c>
      <c r="R668" s="139">
        <v>1</v>
      </c>
      <c r="S668" s="140">
        <v>6440</v>
      </c>
      <c r="U668" s="137">
        <v>61.823999999999998</v>
      </c>
      <c r="V668" s="138">
        <v>2.0000000000000002E-5</v>
      </c>
      <c r="W668" s="138">
        <v>5.7868776688722798E-3</v>
      </c>
      <c r="X668" s="138">
        <v>5.0867993706724905E-4</v>
      </c>
    </row>
    <row r="669" spans="1:24" x14ac:dyDescent="0.2">
      <c r="A669" s="3">
        <v>559</v>
      </c>
      <c r="B669" s="3">
        <v>7207</v>
      </c>
      <c r="C669" s="3" t="s">
        <v>2500</v>
      </c>
      <c r="D669" s="3" t="s">
        <v>2501</v>
      </c>
      <c r="E669" s="3" t="s">
        <v>1477</v>
      </c>
      <c r="F669" s="3" t="s">
        <v>2683</v>
      </c>
      <c r="G669" s="3" t="s">
        <v>2684</v>
      </c>
      <c r="H669" s="3" t="s">
        <v>76</v>
      </c>
      <c r="I669" s="3" t="s">
        <v>73</v>
      </c>
      <c r="J669" s="3" t="s">
        <v>53</v>
      </c>
      <c r="K669" s="3" t="s">
        <v>53</v>
      </c>
      <c r="L669" s="6" t="s">
        <v>805</v>
      </c>
      <c r="M669" s="6" t="s">
        <v>311</v>
      </c>
      <c r="N669" s="3" t="s">
        <v>257</v>
      </c>
      <c r="O669" s="3" t="s">
        <v>62</v>
      </c>
      <c r="P669" s="3" t="s">
        <v>1219</v>
      </c>
      <c r="Q669" s="137">
        <v>49.23</v>
      </c>
      <c r="R669" s="139">
        <v>1</v>
      </c>
      <c r="S669" s="140">
        <v>2690</v>
      </c>
      <c r="U669" s="137">
        <v>1.3240000000000001</v>
      </c>
      <c r="V669" s="138">
        <v>9.9999999999999995E-7</v>
      </c>
      <c r="W669" s="138">
        <v>1.23956503420644E-4</v>
      </c>
      <c r="X669" s="138">
        <v>1.08960634675688E-5</v>
      </c>
    </row>
    <row r="670" spans="1:24" x14ac:dyDescent="0.2">
      <c r="A670" s="3">
        <v>559</v>
      </c>
      <c r="B670" s="3">
        <v>7207</v>
      </c>
      <c r="C670" s="3" t="s">
        <v>2685</v>
      </c>
      <c r="D670" s="3" t="s">
        <v>2686</v>
      </c>
      <c r="E670" s="3" t="s">
        <v>1477</v>
      </c>
      <c r="F670" s="3" t="s">
        <v>2687</v>
      </c>
      <c r="G670" s="3" t="s">
        <v>2688</v>
      </c>
      <c r="H670" s="3" t="s">
        <v>76</v>
      </c>
      <c r="I670" s="3" t="s">
        <v>73</v>
      </c>
      <c r="J670" s="3" t="s">
        <v>53</v>
      </c>
      <c r="K670" s="3" t="s">
        <v>53</v>
      </c>
      <c r="L670" s="6" t="s">
        <v>805</v>
      </c>
      <c r="M670" s="6" t="s">
        <v>311</v>
      </c>
      <c r="N670" s="3" t="s">
        <v>256</v>
      </c>
      <c r="O670" s="3" t="s">
        <v>62</v>
      </c>
      <c r="P670" s="3" t="s">
        <v>1219</v>
      </c>
      <c r="Q670" s="137">
        <v>1169.98</v>
      </c>
      <c r="R670" s="139">
        <v>1</v>
      </c>
      <c r="S670" s="140">
        <v>21950</v>
      </c>
      <c r="U670" s="137">
        <v>256.81099999999998</v>
      </c>
      <c r="V670" s="138">
        <v>5.0000000000000004E-6</v>
      </c>
      <c r="W670" s="138">
        <v>2.4038101451515099E-2</v>
      </c>
      <c r="X670" s="138">
        <v>2.1130047381761399E-3</v>
      </c>
    </row>
    <row r="671" spans="1:24" x14ac:dyDescent="0.2">
      <c r="A671" s="3">
        <v>559</v>
      </c>
      <c r="B671" s="3">
        <v>7207</v>
      </c>
      <c r="C671" s="3" t="s">
        <v>2689</v>
      </c>
      <c r="D671" s="3" t="s">
        <v>2690</v>
      </c>
      <c r="E671" s="3" t="s">
        <v>1477</v>
      </c>
      <c r="F671" s="3" t="s">
        <v>2691</v>
      </c>
      <c r="G671" s="3" t="s">
        <v>2692</v>
      </c>
      <c r="H671" s="3" t="s">
        <v>76</v>
      </c>
      <c r="I671" s="3" t="s">
        <v>73</v>
      </c>
      <c r="J671" s="3" t="s">
        <v>53</v>
      </c>
      <c r="K671" s="3" t="s">
        <v>53</v>
      </c>
      <c r="L671" s="6" t="s">
        <v>805</v>
      </c>
      <c r="M671" s="6" t="s">
        <v>311</v>
      </c>
      <c r="N671" s="3" t="s">
        <v>252</v>
      </c>
      <c r="O671" s="3" t="s">
        <v>62</v>
      </c>
      <c r="P671" s="3" t="s">
        <v>1219</v>
      </c>
      <c r="Q671" s="137">
        <v>54</v>
      </c>
      <c r="R671" s="139">
        <v>1</v>
      </c>
      <c r="S671" s="140">
        <v>48250</v>
      </c>
      <c r="U671" s="137">
        <v>26.055</v>
      </c>
      <c r="V671" s="138">
        <v>1.2E-5</v>
      </c>
      <c r="W671" s="138">
        <v>2.4388117504928102E-3</v>
      </c>
      <c r="X671" s="138">
        <v>2.1437719591561801E-4</v>
      </c>
    </row>
    <row r="672" spans="1:24" x14ac:dyDescent="0.2">
      <c r="A672" s="3">
        <v>559</v>
      </c>
      <c r="B672" s="3">
        <v>7207</v>
      </c>
      <c r="C672" s="3" t="s">
        <v>2693</v>
      </c>
      <c r="D672" s="3" t="s">
        <v>2694</v>
      </c>
      <c r="E672" s="3" t="s">
        <v>1477</v>
      </c>
      <c r="F672" s="3" t="s">
        <v>2695</v>
      </c>
      <c r="G672" s="3" t="s">
        <v>2696</v>
      </c>
      <c r="H672" s="3" t="s">
        <v>76</v>
      </c>
      <c r="I672" s="3" t="s">
        <v>73</v>
      </c>
      <c r="J672" s="3" t="s">
        <v>53</v>
      </c>
      <c r="K672" s="3" t="s">
        <v>53</v>
      </c>
      <c r="L672" s="6" t="s">
        <v>805</v>
      </c>
      <c r="M672" s="6" t="s">
        <v>311</v>
      </c>
      <c r="N672" s="3" t="s">
        <v>252</v>
      </c>
      <c r="O672" s="3" t="s">
        <v>62</v>
      </c>
      <c r="P672" s="3" t="s">
        <v>1219</v>
      </c>
      <c r="Q672" s="137">
        <v>255</v>
      </c>
      <c r="R672" s="139">
        <v>1</v>
      </c>
      <c r="S672" s="140">
        <v>11720</v>
      </c>
      <c r="U672" s="137">
        <v>29.885999999999999</v>
      </c>
      <c r="V672" s="138">
        <v>3.9999999999999998E-6</v>
      </c>
      <c r="W672" s="138">
        <v>2.7974027240540399E-3</v>
      </c>
      <c r="X672" s="138">
        <v>2.4589817221777599E-4</v>
      </c>
    </row>
    <row r="673" spans="1:24" x14ac:dyDescent="0.2">
      <c r="A673" s="3">
        <v>559</v>
      </c>
      <c r="B673" s="3">
        <v>7207</v>
      </c>
      <c r="C673" s="3" t="s">
        <v>1947</v>
      </c>
      <c r="D673" s="3" t="s">
        <v>1948</v>
      </c>
      <c r="E673" s="3" t="s">
        <v>1477</v>
      </c>
      <c r="F673" s="3" t="s">
        <v>2697</v>
      </c>
      <c r="G673" s="3" t="s">
        <v>2698</v>
      </c>
      <c r="H673" s="3" t="s">
        <v>76</v>
      </c>
      <c r="I673" s="3" t="s">
        <v>73</v>
      </c>
      <c r="J673" s="3" t="s">
        <v>53</v>
      </c>
      <c r="K673" s="3" t="s">
        <v>53</v>
      </c>
      <c r="L673" s="6" t="s">
        <v>805</v>
      </c>
      <c r="M673" s="6" t="s">
        <v>311</v>
      </c>
      <c r="N673" s="3" t="s">
        <v>635</v>
      </c>
      <c r="O673" s="3" t="s">
        <v>62</v>
      </c>
      <c r="P673" s="3" t="s">
        <v>1219</v>
      </c>
      <c r="Q673" s="137">
        <v>511</v>
      </c>
      <c r="R673" s="139">
        <v>1</v>
      </c>
      <c r="S673" s="140">
        <v>38400</v>
      </c>
      <c r="U673" s="137">
        <v>196.22399999999999</v>
      </c>
      <c r="V673" s="138">
        <v>1.1E-5</v>
      </c>
      <c r="W673" s="138">
        <v>1.8367046514246799E-2</v>
      </c>
      <c r="X673" s="138">
        <v>1.6145058872134401E-3</v>
      </c>
    </row>
    <row r="674" spans="1:24" x14ac:dyDescent="0.2">
      <c r="A674" s="3">
        <v>559</v>
      </c>
      <c r="B674" s="3">
        <v>7207</v>
      </c>
      <c r="C674" s="3" t="s">
        <v>2699</v>
      </c>
      <c r="D674" s="3" t="s">
        <v>2700</v>
      </c>
      <c r="E674" s="3" t="s">
        <v>1477</v>
      </c>
      <c r="F674" s="3" t="s">
        <v>2701</v>
      </c>
      <c r="G674" s="3" t="s">
        <v>2702</v>
      </c>
      <c r="H674" s="3" t="s">
        <v>76</v>
      </c>
      <c r="I674" s="3" t="s">
        <v>73</v>
      </c>
      <c r="J674" s="3" t="s">
        <v>53</v>
      </c>
      <c r="K674" s="3" t="s">
        <v>53</v>
      </c>
      <c r="L674" s="6" t="s">
        <v>805</v>
      </c>
      <c r="M674" s="6" t="s">
        <v>311</v>
      </c>
      <c r="N674" s="3" t="s">
        <v>252</v>
      </c>
      <c r="O674" s="3" t="s">
        <v>62</v>
      </c>
      <c r="P674" s="3" t="s">
        <v>1219</v>
      </c>
      <c r="Q674" s="137">
        <v>285</v>
      </c>
      <c r="R674" s="139">
        <v>1</v>
      </c>
      <c r="S674" s="140">
        <v>9951</v>
      </c>
      <c r="U674" s="137">
        <v>28.36</v>
      </c>
      <c r="V674" s="138">
        <v>1.1E-5</v>
      </c>
      <c r="W674" s="138">
        <v>2.6545981511452198E-3</v>
      </c>
      <c r="X674" s="138">
        <v>2.3334531983057E-4</v>
      </c>
    </row>
    <row r="675" spans="1:24" x14ac:dyDescent="0.2">
      <c r="A675" s="3">
        <v>559</v>
      </c>
      <c r="B675" s="3">
        <v>7207</v>
      </c>
      <c r="C675" s="3" t="s">
        <v>2703</v>
      </c>
      <c r="D675" s="3" t="s">
        <v>2704</v>
      </c>
      <c r="E675" s="3" t="s">
        <v>1477</v>
      </c>
      <c r="F675" s="3" t="s">
        <v>2705</v>
      </c>
      <c r="G675" s="3" t="s">
        <v>2706</v>
      </c>
      <c r="H675" s="3" t="s">
        <v>76</v>
      </c>
      <c r="I675" s="3" t="s">
        <v>73</v>
      </c>
      <c r="J675" s="3" t="s">
        <v>53</v>
      </c>
      <c r="K675" s="3" t="s">
        <v>53</v>
      </c>
      <c r="L675" s="6" t="s">
        <v>805</v>
      </c>
      <c r="M675" s="6" t="s">
        <v>311</v>
      </c>
      <c r="N675" s="3" t="s">
        <v>692</v>
      </c>
      <c r="O675" s="3" t="s">
        <v>62</v>
      </c>
      <c r="P675" s="3" t="s">
        <v>1219</v>
      </c>
      <c r="Q675" s="137">
        <v>157</v>
      </c>
      <c r="R675" s="139">
        <v>1</v>
      </c>
      <c r="S675" s="140">
        <v>16220</v>
      </c>
      <c r="U675" s="137">
        <v>25.465</v>
      </c>
      <c r="V675" s="138">
        <v>2.0000000000000002E-5</v>
      </c>
      <c r="W675" s="138">
        <v>2.3836237478794698E-3</v>
      </c>
      <c r="X675" s="138">
        <v>2.0952604278908399E-4</v>
      </c>
    </row>
    <row r="676" spans="1:24" x14ac:dyDescent="0.2">
      <c r="A676" s="3">
        <v>559</v>
      </c>
      <c r="B676" s="3">
        <v>7207</v>
      </c>
      <c r="C676" s="3" t="s">
        <v>1961</v>
      </c>
      <c r="D676" s="3" t="s">
        <v>1962</v>
      </c>
      <c r="E676" s="3" t="s">
        <v>1477</v>
      </c>
      <c r="F676" s="3" t="s">
        <v>2707</v>
      </c>
      <c r="G676" s="3" t="s">
        <v>2708</v>
      </c>
      <c r="H676" s="3" t="s">
        <v>76</v>
      </c>
      <c r="I676" s="3" t="s">
        <v>73</v>
      </c>
      <c r="J676" s="3" t="s">
        <v>53</v>
      </c>
      <c r="K676" s="3" t="s">
        <v>53</v>
      </c>
      <c r="L676" s="6" t="s">
        <v>805</v>
      </c>
      <c r="M676" s="6" t="s">
        <v>311</v>
      </c>
      <c r="N676" s="3" t="s">
        <v>635</v>
      </c>
      <c r="O676" s="3" t="s">
        <v>62</v>
      </c>
      <c r="P676" s="3" t="s">
        <v>1219</v>
      </c>
      <c r="Q676" s="137">
        <v>16511</v>
      </c>
      <c r="R676" s="139">
        <v>1</v>
      </c>
      <c r="S676" s="140">
        <v>217</v>
      </c>
      <c r="T676" s="131">
        <v>0.52800000000000002</v>
      </c>
      <c r="U676" s="137">
        <v>36.356999999999999</v>
      </c>
      <c r="V676" s="138">
        <v>2.1999999999999999E-5</v>
      </c>
      <c r="W676" s="138">
        <v>3.4031247496162801E-3</v>
      </c>
      <c r="X676" s="138">
        <v>2.9914253981528402E-4</v>
      </c>
    </row>
    <row r="677" spans="1:24" x14ac:dyDescent="0.2">
      <c r="A677" s="3">
        <v>559</v>
      </c>
      <c r="B677" s="3">
        <v>7207</v>
      </c>
      <c r="C677" s="3" t="s">
        <v>2709</v>
      </c>
      <c r="D677" s="3" t="s">
        <v>2710</v>
      </c>
      <c r="E677" s="3" t="s">
        <v>1477</v>
      </c>
      <c r="F677" s="3" t="s">
        <v>2711</v>
      </c>
      <c r="G677" s="3" t="s">
        <v>2712</v>
      </c>
      <c r="H677" s="3" t="s">
        <v>76</v>
      </c>
      <c r="I677" s="3" t="s">
        <v>73</v>
      </c>
      <c r="J677" s="3" t="s">
        <v>53</v>
      </c>
      <c r="K677" s="3" t="s">
        <v>53</v>
      </c>
      <c r="L677" s="6" t="s">
        <v>805</v>
      </c>
      <c r="M677" s="6" t="s">
        <v>311</v>
      </c>
      <c r="N677" s="3" t="s">
        <v>634</v>
      </c>
      <c r="O677" s="3" t="s">
        <v>62</v>
      </c>
      <c r="P677" s="3" t="s">
        <v>1219</v>
      </c>
      <c r="Q677" s="137">
        <v>1665</v>
      </c>
      <c r="R677" s="139">
        <v>1</v>
      </c>
      <c r="S677" s="140">
        <v>1600</v>
      </c>
      <c r="U677" s="137">
        <v>26.64</v>
      </c>
      <c r="V677" s="138">
        <v>1.2E-5</v>
      </c>
      <c r="W677" s="138">
        <v>2.4935691818510201E-3</v>
      </c>
      <c r="X677" s="138">
        <v>2.1919050083254901E-4</v>
      </c>
    </row>
    <row r="678" spans="1:24" x14ac:dyDescent="0.2">
      <c r="A678" s="3">
        <v>559</v>
      </c>
      <c r="B678" s="3">
        <v>7207</v>
      </c>
      <c r="C678" s="3" t="s">
        <v>1990</v>
      </c>
      <c r="D678" s="3" t="s">
        <v>1991</v>
      </c>
      <c r="E678" s="3" t="s">
        <v>432</v>
      </c>
      <c r="F678" s="3" t="s">
        <v>2713</v>
      </c>
      <c r="G678" s="3" t="s">
        <v>2714</v>
      </c>
      <c r="H678" s="3" t="s">
        <v>76</v>
      </c>
      <c r="I678" s="3" t="s">
        <v>73</v>
      </c>
      <c r="J678" s="3" t="s">
        <v>53</v>
      </c>
      <c r="K678" s="3" t="s">
        <v>314</v>
      </c>
      <c r="L678" s="6" t="s">
        <v>805</v>
      </c>
      <c r="M678" s="6" t="s">
        <v>311</v>
      </c>
      <c r="N678" s="3" t="s">
        <v>267</v>
      </c>
      <c r="O678" s="3" t="s">
        <v>62</v>
      </c>
      <c r="P678" s="3" t="s">
        <v>1219</v>
      </c>
      <c r="Q678" s="137">
        <v>109</v>
      </c>
      <c r="R678" s="139">
        <v>1</v>
      </c>
      <c r="S678" s="140">
        <v>9900</v>
      </c>
      <c r="U678" s="137">
        <v>10.791</v>
      </c>
      <c r="V678" s="138">
        <v>9.9999999999999995E-7</v>
      </c>
      <c r="W678" s="138">
        <v>1.0100640030538399E-3</v>
      </c>
      <c r="X678" s="138">
        <v>8.8786963006157605E-5</v>
      </c>
    </row>
    <row r="679" spans="1:24" x14ac:dyDescent="0.2">
      <c r="A679" s="3">
        <v>559</v>
      </c>
      <c r="B679" s="3">
        <v>7207</v>
      </c>
      <c r="C679" s="3" t="s">
        <v>2715</v>
      </c>
      <c r="D679" s="3" t="s">
        <v>2716</v>
      </c>
      <c r="E679" s="3" t="s">
        <v>1477</v>
      </c>
      <c r="F679" s="3" t="s">
        <v>2717</v>
      </c>
      <c r="G679" s="3" t="s">
        <v>2718</v>
      </c>
      <c r="H679" s="3" t="s">
        <v>76</v>
      </c>
      <c r="I679" s="3" t="s">
        <v>73</v>
      </c>
      <c r="J679" s="3" t="s">
        <v>53</v>
      </c>
      <c r="K679" s="3" t="s">
        <v>317</v>
      </c>
      <c r="L679" s="6" t="s">
        <v>805</v>
      </c>
      <c r="M679" s="6" t="s">
        <v>311</v>
      </c>
      <c r="N679" s="3" t="s">
        <v>254</v>
      </c>
      <c r="O679" s="3" t="s">
        <v>62</v>
      </c>
      <c r="P679" s="3" t="s">
        <v>1219</v>
      </c>
      <c r="Q679" s="137">
        <v>147</v>
      </c>
      <c r="R679" s="139">
        <v>1</v>
      </c>
      <c r="S679" s="140">
        <v>95280</v>
      </c>
      <c r="U679" s="137">
        <v>140.06200000000001</v>
      </c>
      <c r="V679" s="138">
        <v>5.0000000000000004E-6</v>
      </c>
      <c r="W679" s="138">
        <v>1.31101084579859E-2</v>
      </c>
      <c r="X679" s="138">
        <v>1.1524088682960999E-3</v>
      </c>
    </row>
    <row r="680" spans="1:24" x14ac:dyDescent="0.2">
      <c r="A680" s="3">
        <v>559</v>
      </c>
      <c r="B680" s="3">
        <v>7207</v>
      </c>
      <c r="C680" s="3" t="s">
        <v>2719</v>
      </c>
      <c r="D680" s="3" t="s">
        <v>2720</v>
      </c>
      <c r="E680" s="3" t="s">
        <v>1477</v>
      </c>
      <c r="F680" s="3" t="s">
        <v>2721</v>
      </c>
      <c r="G680" s="3" t="s">
        <v>2722</v>
      </c>
      <c r="H680" s="3" t="s">
        <v>76</v>
      </c>
      <c r="I680" s="3" t="s">
        <v>73</v>
      </c>
      <c r="J680" s="3" t="s">
        <v>53</v>
      </c>
      <c r="K680" s="3" t="s">
        <v>53</v>
      </c>
      <c r="L680" s="6" t="s">
        <v>805</v>
      </c>
      <c r="M680" s="6" t="s">
        <v>311</v>
      </c>
      <c r="N680" s="3" t="s">
        <v>258</v>
      </c>
      <c r="O680" s="3" t="s">
        <v>62</v>
      </c>
      <c r="P680" s="3" t="s">
        <v>1219</v>
      </c>
      <c r="Q680" s="137">
        <v>20279</v>
      </c>
      <c r="R680" s="139">
        <v>1</v>
      </c>
      <c r="S680" s="140">
        <v>141.1</v>
      </c>
      <c r="U680" s="137">
        <v>28.614000000000001</v>
      </c>
      <c r="V680" s="138">
        <v>4.0000000000000003E-5</v>
      </c>
      <c r="W680" s="138">
        <v>2.6783094293575801E-3</v>
      </c>
      <c r="X680" s="138">
        <v>2.3542959604980399E-4</v>
      </c>
    </row>
    <row r="681" spans="1:24" x14ac:dyDescent="0.2">
      <c r="A681" s="3">
        <v>559</v>
      </c>
      <c r="B681" s="3">
        <v>7207</v>
      </c>
      <c r="C681" s="3" t="s">
        <v>1998</v>
      </c>
      <c r="D681" s="3" t="s">
        <v>1999</v>
      </c>
      <c r="E681" s="3" t="s">
        <v>1477</v>
      </c>
      <c r="F681" s="3" t="s">
        <v>2723</v>
      </c>
      <c r="G681" s="3" t="s">
        <v>2724</v>
      </c>
      <c r="H681" s="3" t="s">
        <v>76</v>
      </c>
      <c r="I681" s="3" t="s">
        <v>73</v>
      </c>
      <c r="J681" s="3" t="s">
        <v>53</v>
      </c>
      <c r="K681" s="3" t="s">
        <v>53</v>
      </c>
      <c r="L681" s="6" t="s">
        <v>805</v>
      </c>
      <c r="M681" s="6" t="s">
        <v>311</v>
      </c>
      <c r="N681" s="3" t="s">
        <v>631</v>
      </c>
      <c r="O681" s="3" t="s">
        <v>62</v>
      </c>
      <c r="P681" s="3" t="s">
        <v>1219</v>
      </c>
      <c r="Q681" s="137">
        <v>754</v>
      </c>
      <c r="R681" s="139">
        <v>1</v>
      </c>
      <c r="S681" s="140">
        <v>9339</v>
      </c>
      <c r="U681" s="137">
        <v>70.415999999999997</v>
      </c>
      <c r="V681" s="138">
        <v>2.0999999999999999E-5</v>
      </c>
      <c r="W681" s="138">
        <v>6.5911155076341004E-3</v>
      </c>
      <c r="X681" s="138">
        <v>5.7937430398103697E-4</v>
      </c>
    </row>
    <row r="682" spans="1:24" x14ac:dyDescent="0.2">
      <c r="A682" s="3">
        <v>559</v>
      </c>
      <c r="B682" s="3">
        <v>7207</v>
      </c>
      <c r="C682" s="3" t="s">
        <v>2725</v>
      </c>
      <c r="D682" s="3" t="s">
        <v>2726</v>
      </c>
      <c r="E682" s="3" t="s">
        <v>1477</v>
      </c>
      <c r="F682" s="3" t="s">
        <v>2727</v>
      </c>
      <c r="G682" s="3" t="s">
        <v>2728</v>
      </c>
      <c r="H682" s="3" t="s">
        <v>76</v>
      </c>
      <c r="I682" s="3" t="s">
        <v>73</v>
      </c>
      <c r="J682" s="3" t="s">
        <v>53</v>
      </c>
      <c r="K682" s="3" t="s">
        <v>53</v>
      </c>
      <c r="L682" s="6" t="s">
        <v>805</v>
      </c>
      <c r="M682" s="6" t="s">
        <v>311</v>
      </c>
      <c r="N682" s="3" t="s">
        <v>75</v>
      </c>
      <c r="O682" s="3" t="s">
        <v>62</v>
      </c>
      <c r="P682" s="3" t="s">
        <v>1219</v>
      </c>
      <c r="Q682" s="137">
        <v>265</v>
      </c>
      <c r="R682" s="139">
        <v>1</v>
      </c>
      <c r="S682" s="140">
        <v>13850</v>
      </c>
      <c r="U682" s="137">
        <v>36.703000000000003</v>
      </c>
      <c r="V682" s="138">
        <v>1.2999999999999999E-5</v>
      </c>
      <c r="W682" s="138">
        <v>3.4354438024357002E-3</v>
      </c>
      <c r="X682" s="138">
        <v>3.0198345933958798E-4</v>
      </c>
    </row>
    <row r="683" spans="1:24" x14ac:dyDescent="0.2">
      <c r="A683" s="3">
        <v>559</v>
      </c>
      <c r="B683" s="3">
        <v>7207</v>
      </c>
      <c r="C683" s="3" t="s">
        <v>2729</v>
      </c>
      <c r="D683" s="3" t="s">
        <v>2730</v>
      </c>
      <c r="E683" s="3" t="s">
        <v>1477</v>
      </c>
      <c r="F683" s="3" t="s">
        <v>2731</v>
      </c>
      <c r="G683" s="3" t="s">
        <v>2732</v>
      </c>
      <c r="H683" s="3" t="s">
        <v>76</v>
      </c>
      <c r="I683" s="3" t="s">
        <v>73</v>
      </c>
      <c r="J683" s="3" t="s">
        <v>53</v>
      </c>
      <c r="K683" s="3" t="s">
        <v>314</v>
      </c>
      <c r="L683" s="6" t="s">
        <v>805</v>
      </c>
      <c r="M683" s="6" t="s">
        <v>311</v>
      </c>
      <c r="N683" s="3" t="s">
        <v>253</v>
      </c>
      <c r="O683" s="3" t="s">
        <v>62</v>
      </c>
      <c r="P683" s="3" t="s">
        <v>1219</v>
      </c>
      <c r="Q683" s="137">
        <v>255</v>
      </c>
      <c r="R683" s="139">
        <v>1</v>
      </c>
      <c r="S683" s="140">
        <v>57150</v>
      </c>
      <c r="U683" s="137">
        <v>145.732</v>
      </c>
      <c r="V683" s="138">
        <v>3.0000000000000001E-6</v>
      </c>
      <c r="W683" s="138">
        <v>1.36409185733523E-2</v>
      </c>
      <c r="X683" s="138">
        <v>1.1990683056523801E-3</v>
      </c>
    </row>
    <row r="684" spans="1:24" x14ac:dyDescent="0.2">
      <c r="A684" s="3">
        <v>559</v>
      </c>
      <c r="B684" s="3">
        <v>7207</v>
      </c>
      <c r="C684" s="3" t="s">
        <v>2877</v>
      </c>
      <c r="D684" s="3" t="s">
        <v>2878</v>
      </c>
      <c r="E684" s="3" t="s">
        <v>1477</v>
      </c>
      <c r="F684" s="3" t="s">
        <v>2879</v>
      </c>
      <c r="G684" s="3" t="s">
        <v>2880</v>
      </c>
      <c r="H684" s="3" t="s">
        <v>76</v>
      </c>
      <c r="I684" s="3" t="s">
        <v>73</v>
      </c>
      <c r="J684" s="3" t="s">
        <v>53</v>
      </c>
      <c r="K684" s="3" t="s">
        <v>53</v>
      </c>
      <c r="L684" s="6" t="s">
        <v>805</v>
      </c>
      <c r="M684" s="6" t="s">
        <v>311</v>
      </c>
      <c r="N684" s="3" t="s">
        <v>266</v>
      </c>
      <c r="O684" s="3" t="s">
        <v>62</v>
      </c>
      <c r="P684" s="3" t="s">
        <v>1219</v>
      </c>
      <c r="Q684" s="137">
        <v>668</v>
      </c>
      <c r="R684" s="139">
        <v>1</v>
      </c>
      <c r="S684" s="140">
        <v>1150</v>
      </c>
      <c r="U684" s="137">
        <v>7.6820000000000004</v>
      </c>
      <c r="V684" s="138">
        <v>7.1000000000000005E-5</v>
      </c>
      <c r="W684" s="138">
        <v>7.1905399605779103E-4</v>
      </c>
      <c r="X684" s="138">
        <v>6.3206510037373993E-5</v>
      </c>
    </row>
    <row r="685" spans="1:24" x14ac:dyDescent="0.2">
      <c r="A685" s="3">
        <v>559</v>
      </c>
      <c r="B685" s="3">
        <v>7207</v>
      </c>
      <c r="C685" s="3" t="s">
        <v>2020</v>
      </c>
      <c r="D685" s="3" t="s">
        <v>2021</v>
      </c>
      <c r="E685" s="3" t="s">
        <v>1477</v>
      </c>
      <c r="F685" s="3" t="s">
        <v>2733</v>
      </c>
      <c r="G685" s="3" t="s">
        <v>2734</v>
      </c>
      <c r="H685" s="3" t="s">
        <v>76</v>
      </c>
      <c r="I685" s="3" t="s">
        <v>73</v>
      </c>
      <c r="J685" s="3" t="s">
        <v>53</v>
      </c>
      <c r="K685" s="3" t="s">
        <v>317</v>
      </c>
      <c r="L685" s="6" t="s">
        <v>805</v>
      </c>
      <c r="M685" s="6" t="s">
        <v>311</v>
      </c>
      <c r="N685" s="3" t="s">
        <v>636</v>
      </c>
      <c r="O685" s="3" t="s">
        <v>62</v>
      </c>
      <c r="P685" s="3" t="s">
        <v>1219</v>
      </c>
      <c r="Q685" s="137">
        <v>1681</v>
      </c>
      <c r="R685" s="139">
        <v>1</v>
      </c>
      <c r="S685" s="140">
        <v>6127</v>
      </c>
      <c r="U685" s="137">
        <v>102.995</v>
      </c>
      <c r="V685" s="138">
        <v>2.3E-5</v>
      </c>
      <c r="W685" s="138">
        <v>9.6405718363645806E-3</v>
      </c>
      <c r="X685" s="138">
        <v>8.4742857126438801E-4</v>
      </c>
    </row>
    <row r="686" spans="1:24" x14ac:dyDescent="0.2">
      <c r="A686" s="3">
        <v>559</v>
      </c>
      <c r="B686" s="3">
        <v>7207</v>
      </c>
      <c r="C686" s="3" t="s">
        <v>2334</v>
      </c>
      <c r="D686" s="3" t="s">
        <v>2335</v>
      </c>
      <c r="E686" s="3" t="s">
        <v>767</v>
      </c>
      <c r="F686" s="3" t="s">
        <v>2735</v>
      </c>
      <c r="G686" s="3" t="s">
        <v>2736</v>
      </c>
      <c r="H686" s="3" t="s">
        <v>76</v>
      </c>
      <c r="I686" s="3" t="s">
        <v>73</v>
      </c>
      <c r="J686" s="3" t="s">
        <v>53</v>
      </c>
      <c r="K686" s="3" t="s">
        <v>53</v>
      </c>
      <c r="L686" s="6" t="s">
        <v>805</v>
      </c>
      <c r="M686" s="6" t="s">
        <v>311</v>
      </c>
      <c r="N686" s="3" t="s">
        <v>253</v>
      </c>
      <c r="O686" s="3" t="s">
        <v>62</v>
      </c>
      <c r="P686" s="3" t="s">
        <v>1219</v>
      </c>
      <c r="Q686" s="137">
        <v>548</v>
      </c>
      <c r="R686" s="139">
        <v>1</v>
      </c>
      <c r="S686" s="140">
        <v>9883</v>
      </c>
      <c r="U686" s="137">
        <v>54.158999999999999</v>
      </c>
      <c r="V686" s="138">
        <v>9.0000000000000002E-6</v>
      </c>
      <c r="W686" s="138">
        <v>5.0693999380180396E-3</v>
      </c>
      <c r="X686" s="138">
        <v>4.4561198438851E-4</v>
      </c>
    </row>
    <row r="687" spans="1:24" x14ac:dyDescent="0.2">
      <c r="A687" s="3">
        <v>559</v>
      </c>
      <c r="B687" s="3">
        <v>7207</v>
      </c>
      <c r="C687" s="3" t="s">
        <v>2737</v>
      </c>
      <c r="D687" s="3" t="s">
        <v>2738</v>
      </c>
      <c r="E687" s="3" t="s">
        <v>1477</v>
      </c>
      <c r="F687" s="3" t="s">
        <v>2737</v>
      </c>
      <c r="G687" s="3" t="s">
        <v>2739</v>
      </c>
      <c r="H687" s="3" t="s">
        <v>76</v>
      </c>
      <c r="I687" s="3" t="s">
        <v>73</v>
      </c>
      <c r="J687" s="3" t="s">
        <v>53</v>
      </c>
      <c r="K687" s="3" t="s">
        <v>53</v>
      </c>
      <c r="L687" s="6" t="s">
        <v>805</v>
      </c>
      <c r="M687" s="6" t="s">
        <v>311</v>
      </c>
      <c r="N687" s="3" t="s">
        <v>71</v>
      </c>
      <c r="O687" s="3" t="s">
        <v>62</v>
      </c>
      <c r="P687" s="3" t="s">
        <v>1219</v>
      </c>
      <c r="Q687" s="137">
        <v>1255</v>
      </c>
      <c r="R687" s="139">
        <v>1</v>
      </c>
      <c r="S687" s="140">
        <v>2006</v>
      </c>
      <c r="U687" s="137">
        <v>25.175000000000001</v>
      </c>
      <c r="V687" s="138">
        <v>3.4999999999999997E-5</v>
      </c>
      <c r="W687" s="138">
        <v>2.3564696780726002E-3</v>
      </c>
      <c r="X687" s="138">
        <v>2.07139137222585E-4</v>
      </c>
    </row>
    <row r="688" spans="1:24" x14ac:dyDescent="0.2">
      <c r="A688" s="3">
        <v>559</v>
      </c>
      <c r="B688" s="3">
        <v>7207</v>
      </c>
      <c r="C688" s="3" t="s">
        <v>2740</v>
      </c>
      <c r="D688" s="3" t="s">
        <v>2741</v>
      </c>
      <c r="E688" s="3" t="s">
        <v>1477</v>
      </c>
      <c r="F688" s="3" t="s">
        <v>2742</v>
      </c>
      <c r="G688" s="3" t="s">
        <v>2743</v>
      </c>
      <c r="H688" s="3" t="s">
        <v>76</v>
      </c>
      <c r="I688" s="3" t="s">
        <v>73</v>
      </c>
      <c r="J688" s="3" t="s">
        <v>53</v>
      </c>
      <c r="K688" s="3" t="s">
        <v>53</v>
      </c>
      <c r="L688" s="6" t="s">
        <v>805</v>
      </c>
      <c r="M688" s="6" t="s">
        <v>311</v>
      </c>
      <c r="N688" s="3" t="s">
        <v>266</v>
      </c>
      <c r="O688" s="3" t="s">
        <v>62</v>
      </c>
      <c r="P688" s="3" t="s">
        <v>1219</v>
      </c>
      <c r="Q688" s="137">
        <v>3316</v>
      </c>
      <c r="R688" s="139">
        <v>1</v>
      </c>
      <c r="S688" s="140">
        <v>350.6</v>
      </c>
      <c r="U688" s="137">
        <v>11.625999999999999</v>
      </c>
      <c r="V688" s="138">
        <v>5.0000000000000002E-5</v>
      </c>
      <c r="W688" s="138">
        <v>1.08821231144914E-3</v>
      </c>
      <c r="X688" s="138">
        <v>9.5656380137655004E-5</v>
      </c>
    </row>
    <row r="689" spans="1:24" x14ac:dyDescent="0.2">
      <c r="A689" s="3">
        <v>559</v>
      </c>
      <c r="B689" s="3">
        <v>7207</v>
      </c>
      <c r="C689" s="3" t="s">
        <v>2057</v>
      </c>
      <c r="D689" s="3" t="s">
        <v>2058</v>
      </c>
      <c r="E689" s="3" t="s">
        <v>1477</v>
      </c>
      <c r="F689" s="3" t="s">
        <v>2744</v>
      </c>
      <c r="G689" s="3" t="s">
        <v>2745</v>
      </c>
      <c r="H689" s="3" t="s">
        <v>76</v>
      </c>
      <c r="I689" s="3" t="s">
        <v>73</v>
      </c>
      <c r="J689" s="3" t="s">
        <v>53</v>
      </c>
      <c r="K689" s="3" t="s">
        <v>53</v>
      </c>
      <c r="L689" s="6" t="s">
        <v>805</v>
      </c>
      <c r="M689" s="6" t="s">
        <v>311</v>
      </c>
      <c r="N689" s="3" t="s">
        <v>635</v>
      </c>
      <c r="O689" s="3" t="s">
        <v>62</v>
      </c>
      <c r="P689" s="3" t="s">
        <v>1219</v>
      </c>
      <c r="Q689" s="137">
        <v>551</v>
      </c>
      <c r="R689" s="139">
        <v>1</v>
      </c>
      <c r="S689" s="140">
        <v>30970</v>
      </c>
      <c r="U689" s="137">
        <v>170.64500000000001</v>
      </c>
      <c r="V689" s="138">
        <v>5.0000000000000004E-6</v>
      </c>
      <c r="W689" s="138">
        <v>1.59727614476807E-2</v>
      </c>
      <c r="X689" s="138">
        <v>1.4040426898431001E-3</v>
      </c>
    </row>
    <row r="690" spans="1:24" x14ac:dyDescent="0.2">
      <c r="A690" s="3">
        <v>559</v>
      </c>
      <c r="B690" s="3">
        <v>7207</v>
      </c>
      <c r="C690" s="3" t="s">
        <v>2068</v>
      </c>
      <c r="D690" s="3" t="s">
        <v>2069</v>
      </c>
      <c r="E690" s="3" t="s">
        <v>1477</v>
      </c>
      <c r="F690" s="3" t="s">
        <v>2746</v>
      </c>
      <c r="G690" s="3" t="s">
        <v>2747</v>
      </c>
      <c r="H690" s="3" t="s">
        <v>76</v>
      </c>
      <c r="I690" s="3" t="s">
        <v>73</v>
      </c>
      <c r="J690" s="3" t="s">
        <v>53</v>
      </c>
      <c r="K690" s="3" t="s">
        <v>53</v>
      </c>
      <c r="L690" s="6" t="s">
        <v>805</v>
      </c>
      <c r="M690" s="6" t="s">
        <v>1227</v>
      </c>
      <c r="N690" s="3" t="s">
        <v>140</v>
      </c>
      <c r="O690" s="3" t="s">
        <v>62</v>
      </c>
      <c r="P690" s="3" t="s">
        <v>1219</v>
      </c>
      <c r="Q690" s="137">
        <v>600</v>
      </c>
      <c r="R690" s="139">
        <v>1</v>
      </c>
      <c r="S690" s="140">
        <v>3825</v>
      </c>
      <c r="U690" s="137">
        <v>22.95</v>
      </c>
      <c r="V690" s="138">
        <v>7.9999999999999996E-6</v>
      </c>
      <c r="W690" s="138">
        <v>2.14817615328382E-3</v>
      </c>
      <c r="X690" s="138">
        <v>1.88829654433446E-4</v>
      </c>
    </row>
    <row r="691" spans="1:24" x14ac:dyDescent="0.2">
      <c r="A691" s="3">
        <v>559</v>
      </c>
      <c r="B691" s="3">
        <v>7207</v>
      </c>
      <c r="C691" s="3" t="s">
        <v>2748</v>
      </c>
      <c r="D691" s="3" t="s">
        <v>2749</v>
      </c>
      <c r="E691" s="3" t="s">
        <v>1477</v>
      </c>
      <c r="F691" s="3" t="s">
        <v>2750</v>
      </c>
      <c r="G691" s="3" t="s">
        <v>2751</v>
      </c>
      <c r="H691" s="3" t="s">
        <v>76</v>
      </c>
      <c r="I691" s="3" t="s">
        <v>73</v>
      </c>
      <c r="J691" s="3" t="s">
        <v>53</v>
      </c>
      <c r="K691" s="3" t="s">
        <v>53</v>
      </c>
      <c r="L691" s="6" t="s">
        <v>805</v>
      </c>
      <c r="M691" s="6" t="s">
        <v>311</v>
      </c>
      <c r="N691" s="3" t="s">
        <v>265</v>
      </c>
      <c r="O691" s="3" t="s">
        <v>62</v>
      </c>
      <c r="P691" s="3" t="s">
        <v>1219</v>
      </c>
      <c r="Q691" s="137">
        <v>1775</v>
      </c>
      <c r="R691" s="139">
        <v>1</v>
      </c>
      <c r="S691" s="140">
        <v>1010</v>
      </c>
      <c r="U691" s="137">
        <v>17.927</v>
      </c>
      <c r="V691" s="138">
        <v>1.7E-5</v>
      </c>
      <c r="W691" s="138">
        <v>1.6780578644006801E-3</v>
      </c>
      <c r="X691" s="138">
        <v>1.4750516905688899E-4</v>
      </c>
    </row>
    <row r="692" spans="1:24" x14ac:dyDescent="0.2">
      <c r="A692" s="3">
        <v>559</v>
      </c>
      <c r="B692" s="3">
        <v>7207</v>
      </c>
      <c r="C692" s="3" t="s">
        <v>2072</v>
      </c>
      <c r="D692" s="3" t="s">
        <v>2073</v>
      </c>
      <c r="E692" s="3" t="s">
        <v>1477</v>
      </c>
      <c r="F692" s="3" t="s">
        <v>2752</v>
      </c>
      <c r="G692" s="3" t="s">
        <v>2753</v>
      </c>
      <c r="H692" s="3" t="s">
        <v>76</v>
      </c>
      <c r="I692" s="3" t="s">
        <v>73</v>
      </c>
      <c r="J692" s="3" t="s">
        <v>53</v>
      </c>
      <c r="K692" s="3" t="s">
        <v>53</v>
      </c>
      <c r="L692" s="6" t="s">
        <v>805</v>
      </c>
      <c r="M692" s="6" t="s">
        <v>311</v>
      </c>
      <c r="N692" s="3" t="s">
        <v>256</v>
      </c>
      <c r="O692" s="3" t="s">
        <v>62</v>
      </c>
      <c r="P692" s="3" t="s">
        <v>1219</v>
      </c>
      <c r="Q692" s="137">
        <v>11211</v>
      </c>
      <c r="R692" s="139">
        <v>1</v>
      </c>
      <c r="S692" s="140">
        <v>6462</v>
      </c>
      <c r="U692" s="137">
        <v>724.45500000000004</v>
      </c>
      <c r="V692" s="138">
        <v>7.9999999999999996E-6</v>
      </c>
      <c r="W692" s="138">
        <v>6.7810743723552197E-2</v>
      </c>
      <c r="X692" s="138">
        <v>5.9607212772655504E-3</v>
      </c>
    </row>
    <row r="693" spans="1:24" x14ac:dyDescent="0.2">
      <c r="A693" s="3">
        <v>559</v>
      </c>
      <c r="B693" s="3">
        <v>7207</v>
      </c>
      <c r="C693" s="3" t="s">
        <v>2754</v>
      </c>
      <c r="D693" s="3" t="s">
        <v>2755</v>
      </c>
      <c r="E693" s="3" t="s">
        <v>1477</v>
      </c>
      <c r="F693" s="3" t="s">
        <v>2756</v>
      </c>
      <c r="G693" s="3" t="s">
        <v>2757</v>
      </c>
      <c r="H693" s="3" t="s">
        <v>76</v>
      </c>
      <c r="I693" s="3" t="s">
        <v>73</v>
      </c>
      <c r="J693" s="3" t="s">
        <v>53</v>
      </c>
      <c r="K693" s="3" t="s">
        <v>53</v>
      </c>
      <c r="L693" s="6" t="s">
        <v>805</v>
      </c>
      <c r="M693" s="6" t="s">
        <v>311</v>
      </c>
      <c r="N693" s="3" t="s">
        <v>634</v>
      </c>
      <c r="O693" s="3" t="s">
        <v>62</v>
      </c>
      <c r="P693" s="3" t="s">
        <v>1219</v>
      </c>
      <c r="Q693" s="137">
        <v>100</v>
      </c>
      <c r="R693" s="139">
        <v>1</v>
      </c>
      <c r="S693" s="140">
        <v>33720</v>
      </c>
      <c r="U693" s="137">
        <v>33.72</v>
      </c>
      <c r="V693" s="138">
        <v>6.9999999999999999E-6</v>
      </c>
      <c r="W693" s="138">
        <v>3.1562745049555701E-3</v>
      </c>
      <c r="X693" s="138">
        <v>2.7744383213489299E-4</v>
      </c>
    </row>
    <row r="694" spans="1:24" x14ac:dyDescent="0.2">
      <c r="A694" s="3">
        <v>559</v>
      </c>
      <c r="B694" s="3">
        <v>7207</v>
      </c>
      <c r="C694" s="3" t="s">
        <v>2089</v>
      </c>
      <c r="D694" s="3" t="s">
        <v>2090</v>
      </c>
      <c r="E694" s="3" t="s">
        <v>1477</v>
      </c>
      <c r="F694" s="3" t="s">
        <v>2758</v>
      </c>
      <c r="G694" s="3" t="s">
        <v>2759</v>
      </c>
      <c r="H694" s="3" t="s">
        <v>76</v>
      </c>
      <c r="I694" s="3" t="s">
        <v>73</v>
      </c>
      <c r="J694" s="3" t="s">
        <v>53</v>
      </c>
      <c r="K694" s="3" t="s">
        <v>53</v>
      </c>
      <c r="L694" s="6" t="s">
        <v>805</v>
      </c>
      <c r="M694" s="6" t="s">
        <v>311</v>
      </c>
      <c r="N694" s="3" t="s">
        <v>252</v>
      </c>
      <c r="O694" s="3" t="s">
        <v>62</v>
      </c>
      <c r="P694" s="3" t="s">
        <v>1219</v>
      </c>
      <c r="Q694" s="137">
        <v>771.77</v>
      </c>
      <c r="R694" s="139">
        <v>1</v>
      </c>
      <c r="S694" s="140">
        <v>42880</v>
      </c>
      <c r="U694" s="137">
        <v>330.935</v>
      </c>
      <c r="V694" s="138">
        <v>4.8999999999999998E-5</v>
      </c>
      <c r="W694" s="138">
        <v>3.09763234741069E-2</v>
      </c>
      <c r="X694" s="138">
        <v>2.7228905079747599E-3</v>
      </c>
    </row>
    <row r="695" spans="1:24" x14ac:dyDescent="0.2">
      <c r="A695" s="3">
        <v>559</v>
      </c>
      <c r="B695" s="3">
        <v>7207</v>
      </c>
      <c r="C695" s="3" t="s">
        <v>2760</v>
      </c>
      <c r="D695" s="3" t="s">
        <v>2761</v>
      </c>
      <c r="E695" s="3" t="s">
        <v>1477</v>
      </c>
      <c r="F695" s="3" t="s">
        <v>2762</v>
      </c>
      <c r="G695" s="3" t="s">
        <v>2763</v>
      </c>
      <c r="H695" s="3" t="s">
        <v>76</v>
      </c>
      <c r="I695" s="3" t="s">
        <v>73</v>
      </c>
      <c r="J695" s="3" t="s">
        <v>53</v>
      </c>
      <c r="K695" s="3" t="s">
        <v>53</v>
      </c>
      <c r="L695" s="6" t="s">
        <v>805</v>
      </c>
      <c r="M695" s="6" t="s">
        <v>311</v>
      </c>
      <c r="N695" s="3" t="s">
        <v>156</v>
      </c>
      <c r="O695" s="3" t="s">
        <v>62</v>
      </c>
      <c r="P695" s="3" t="s">
        <v>1219</v>
      </c>
      <c r="Q695" s="137">
        <v>239</v>
      </c>
      <c r="R695" s="139">
        <v>1</v>
      </c>
      <c r="S695" s="140">
        <v>6455</v>
      </c>
      <c r="U695" s="137">
        <v>15.427</v>
      </c>
      <c r="V695" s="138">
        <v>1.9000000000000001E-5</v>
      </c>
      <c r="W695" s="138">
        <v>1.4440470673628999E-3</v>
      </c>
      <c r="X695" s="138">
        <v>1.2693507853112299E-4</v>
      </c>
    </row>
    <row r="696" spans="1:24" x14ac:dyDescent="0.2">
      <c r="A696" s="3">
        <v>559</v>
      </c>
      <c r="B696" s="3">
        <v>7207</v>
      </c>
      <c r="C696" s="3" t="s">
        <v>2764</v>
      </c>
      <c r="D696" s="3" t="s">
        <v>2765</v>
      </c>
      <c r="E696" s="3" t="s">
        <v>1477</v>
      </c>
      <c r="F696" s="3" t="s">
        <v>2766</v>
      </c>
      <c r="G696" s="3" t="s">
        <v>2767</v>
      </c>
      <c r="H696" s="3" t="s">
        <v>76</v>
      </c>
      <c r="I696" s="3" t="s">
        <v>73</v>
      </c>
      <c r="J696" s="3" t="s">
        <v>53</v>
      </c>
      <c r="K696" s="3" t="s">
        <v>53</v>
      </c>
      <c r="L696" s="6" t="s">
        <v>805</v>
      </c>
      <c r="M696" s="6" t="s">
        <v>311</v>
      </c>
      <c r="N696" s="3" t="s">
        <v>156</v>
      </c>
      <c r="O696" s="3" t="s">
        <v>62</v>
      </c>
      <c r="P696" s="3" t="s">
        <v>1219</v>
      </c>
      <c r="Q696" s="137">
        <v>37</v>
      </c>
      <c r="R696" s="139">
        <v>1</v>
      </c>
      <c r="S696" s="140">
        <v>61570</v>
      </c>
      <c r="T696" s="131">
        <v>0.44900000000000001</v>
      </c>
      <c r="U696" s="137">
        <v>23.23</v>
      </c>
      <c r="V696" s="138">
        <v>3.0000000000000001E-6</v>
      </c>
      <c r="W696" s="138">
        <v>2.1743661178889998E-3</v>
      </c>
      <c r="X696" s="138">
        <v>1.9113181292192E-4</v>
      </c>
    </row>
    <row r="697" spans="1:24" x14ac:dyDescent="0.2">
      <c r="A697" s="3">
        <v>559</v>
      </c>
      <c r="B697" s="3">
        <v>7207</v>
      </c>
      <c r="C697" s="3" t="s">
        <v>2768</v>
      </c>
      <c r="D697" s="3" t="s">
        <v>2769</v>
      </c>
      <c r="E697" s="3" t="s">
        <v>1477</v>
      </c>
      <c r="F697" s="3" t="s">
        <v>2770</v>
      </c>
      <c r="G697" s="3" t="s">
        <v>2771</v>
      </c>
      <c r="H697" s="3" t="s">
        <v>76</v>
      </c>
      <c r="I697" s="3" t="s">
        <v>73</v>
      </c>
      <c r="J697" s="3" t="s">
        <v>53</v>
      </c>
      <c r="K697" s="3" t="s">
        <v>53</v>
      </c>
      <c r="L697" s="6" t="s">
        <v>805</v>
      </c>
      <c r="M697" s="6" t="s">
        <v>311</v>
      </c>
      <c r="N697" s="3" t="s">
        <v>256</v>
      </c>
      <c r="O697" s="3" t="s">
        <v>62</v>
      </c>
      <c r="P697" s="3" t="s">
        <v>1219</v>
      </c>
      <c r="Q697" s="137">
        <v>1136</v>
      </c>
      <c r="R697" s="139">
        <v>1</v>
      </c>
      <c r="S697" s="140">
        <v>25090</v>
      </c>
      <c r="U697" s="137">
        <v>285.02199999999999</v>
      </c>
      <c r="V697" s="138">
        <v>3.1999999999999999E-5</v>
      </c>
      <c r="W697" s="138">
        <v>2.6678794023168698E-2</v>
      </c>
      <c r="X697" s="138">
        <v>2.34512772539396E-3</v>
      </c>
    </row>
    <row r="698" spans="1:24" x14ac:dyDescent="0.2">
      <c r="A698" s="3">
        <v>559</v>
      </c>
      <c r="B698" s="3">
        <v>7207</v>
      </c>
      <c r="C698" s="3" t="s">
        <v>2772</v>
      </c>
      <c r="D698" s="3" t="s">
        <v>2773</v>
      </c>
      <c r="E698" s="3" t="s">
        <v>1477</v>
      </c>
      <c r="F698" s="3" t="s">
        <v>2774</v>
      </c>
      <c r="G698" s="3" t="s">
        <v>2775</v>
      </c>
      <c r="H698" s="3" t="s">
        <v>76</v>
      </c>
      <c r="I698" s="3" t="s">
        <v>73</v>
      </c>
      <c r="J698" s="3" t="s">
        <v>53</v>
      </c>
      <c r="K698" s="3" t="s">
        <v>53</v>
      </c>
      <c r="L698" s="6" t="s">
        <v>805</v>
      </c>
      <c r="M698" s="6" t="s">
        <v>311</v>
      </c>
      <c r="N698" s="3" t="s">
        <v>255</v>
      </c>
      <c r="O698" s="3" t="s">
        <v>62</v>
      </c>
      <c r="P698" s="3" t="s">
        <v>1219</v>
      </c>
      <c r="Q698" s="137">
        <v>2185</v>
      </c>
      <c r="R698" s="139">
        <v>1</v>
      </c>
      <c r="S698" s="140">
        <v>89.1</v>
      </c>
      <c r="U698" s="137">
        <v>1.9470000000000001</v>
      </c>
      <c r="V698" s="138">
        <v>2.5000000000000001E-5</v>
      </c>
      <c r="W698" s="138">
        <v>1.8222851945003501E-4</v>
      </c>
      <c r="X698" s="138">
        <v>1.6018308509321901E-5</v>
      </c>
    </row>
    <row r="699" spans="1:24" x14ac:dyDescent="0.2">
      <c r="A699" s="3">
        <v>559</v>
      </c>
      <c r="B699" s="3">
        <v>7207</v>
      </c>
      <c r="C699" s="3" t="s">
        <v>2776</v>
      </c>
      <c r="D699" s="3" t="s">
        <v>2777</v>
      </c>
      <c r="E699" s="3" t="s">
        <v>1477</v>
      </c>
      <c r="F699" s="3" t="s">
        <v>2778</v>
      </c>
      <c r="G699" s="3" t="s">
        <v>2779</v>
      </c>
      <c r="H699" s="3" t="s">
        <v>76</v>
      </c>
      <c r="I699" s="3" t="s">
        <v>73</v>
      </c>
      <c r="J699" s="3" t="s">
        <v>53</v>
      </c>
      <c r="K699" s="3" t="s">
        <v>53</v>
      </c>
      <c r="L699" s="6" t="s">
        <v>805</v>
      </c>
      <c r="M699" s="6" t="s">
        <v>311</v>
      </c>
      <c r="N699" s="3" t="s">
        <v>637</v>
      </c>
      <c r="O699" s="3" t="s">
        <v>62</v>
      </c>
      <c r="P699" s="3" t="s">
        <v>1219</v>
      </c>
      <c r="Q699" s="137">
        <v>3838</v>
      </c>
      <c r="R699" s="139">
        <v>1</v>
      </c>
      <c r="S699" s="140">
        <v>1256</v>
      </c>
      <c r="U699" s="137">
        <v>48.204999999999998</v>
      </c>
      <c r="V699" s="138">
        <v>5.3000000000000001E-5</v>
      </c>
      <c r="W699" s="138">
        <v>4.5121321550487797E-3</v>
      </c>
      <c r="X699" s="138">
        <v>3.9662685683082799E-4</v>
      </c>
    </row>
    <row r="700" spans="1:24" x14ac:dyDescent="0.2">
      <c r="A700" s="3">
        <v>559</v>
      </c>
      <c r="B700" s="3">
        <v>7207</v>
      </c>
      <c r="C700" s="3" t="s">
        <v>2780</v>
      </c>
      <c r="D700" s="3" t="s">
        <v>2781</v>
      </c>
      <c r="E700" s="3" t="s">
        <v>1477</v>
      </c>
      <c r="F700" s="3" t="s">
        <v>2782</v>
      </c>
      <c r="G700" s="3" t="s">
        <v>2783</v>
      </c>
      <c r="H700" s="3" t="s">
        <v>76</v>
      </c>
      <c r="I700" s="3" t="s">
        <v>73</v>
      </c>
      <c r="J700" s="3" t="s">
        <v>53</v>
      </c>
      <c r="K700" s="3" t="s">
        <v>53</v>
      </c>
      <c r="L700" s="6" t="s">
        <v>805</v>
      </c>
      <c r="M700" s="6" t="s">
        <v>311</v>
      </c>
      <c r="N700" s="3" t="s">
        <v>260</v>
      </c>
      <c r="O700" s="3" t="s">
        <v>62</v>
      </c>
      <c r="P700" s="3" t="s">
        <v>1219</v>
      </c>
      <c r="Q700" s="137">
        <v>1175</v>
      </c>
      <c r="R700" s="139">
        <v>1</v>
      </c>
      <c r="S700" s="140">
        <v>2555</v>
      </c>
      <c r="U700" s="137">
        <v>30.021000000000001</v>
      </c>
      <c r="V700" s="138">
        <v>6.0000000000000002E-6</v>
      </c>
      <c r="W700" s="138">
        <v>2.8100624549791701E-3</v>
      </c>
      <c r="X700" s="138">
        <v>2.4701099185882699E-4</v>
      </c>
    </row>
    <row r="701" spans="1:24" x14ac:dyDescent="0.2">
      <c r="A701" s="3">
        <v>559</v>
      </c>
      <c r="B701" s="3">
        <v>7207</v>
      </c>
      <c r="C701" s="3" t="s">
        <v>2103</v>
      </c>
      <c r="D701" s="3" t="s">
        <v>2104</v>
      </c>
      <c r="E701" s="3" t="s">
        <v>1477</v>
      </c>
      <c r="F701" s="3" t="s">
        <v>2784</v>
      </c>
      <c r="G701" s="3" t="s">
        <v>2785</v>
      </c>
      <c r="H701" s="3" t="s">
        <v>76</v>
      </c>
      <c r="I701" s="3" t="s">
        <v>73</v>
      </c>
      <c r="J701" s="3" t="s">
        <v>53</v>
      </c>
      <c r="K701" s="3" t="s">
        <v>317</v>
      </c>
      <c r="L701" s="6" t="s">
        <v>805</v>
      </c>
      <c r="M701" s="6" t="s">
        <v>311</v>
      </c>
      <c r="N701" s="3" t="s">
        <v>254</v>
      </c>
      <c r="O701" s="3" t="s">
        <v>62</v>
      </c>
      <c r="P701" s="3" t="s">
        <v>1219</v>
      </c>
      <c r="Q701" s="137">
        <v>549</v>
      </c>
      <c r="R701" s="139">
        <v>1</v>
      </c>
      <c r="S701" s="140">
        <v>19820</v>
      </c>
      <c r="U701" s="137">
        <v>108.812</v>
      </c>
      <c r="V701" s="138">
        <v>4.1999999999999998E-5</v>
      </c>
      <c r="W701" s="138">
        <v>1.01850507170322E-2</v>
      </c>
      <c r="X701" s="138">
        <v>8.9528952471813696E-4</v>
      </c>
    </row>
    <row r="702" spans="1:24" x14ac:dyDescent="0.2">
      <c r="A702" s="3">
        <v>559</v>
      </c>
      <c r="B702" s="3">
        <v>7207</v>
      </c>
      <c r="C702" s="3" t="s">
        <v>2111</v>
      </c>
      <c r="D702" s="3" t="s">
        <v>2112</v>
      </c>
      <c r="E702" s="3" t="s">
        <v>1477</v>
      </c>
      <c r="F702" s="3" t="s">
        <v>2786</v>
      </c>
      <c r="G702" s="3" t="s">
        <v>2787</v>
      </c>
      <c r="H702" s="3" t="s">
        <v>76</v>
      </c>
      <c r="I702" s="3" t="s">
        <v>73</v>
      </c>
      <c r="J702" s="3" t="s">
        <v>53</v>
      </c>
      <c r="K702" s="3" t="s">
        <v>53</v>
      </c>
      <c r="L702" s="6" t="s">
        <v>805</v>
      </c>
      <c r="M702" s="6" t="s">
        <v>311</v>
      </c>
      <c r="N702" s="3" t="s">
        <v>140</v>
      </c>
      <c r="O702" s="3" t="s">
        <v>62</v>
      </c>
      <c r="P702" s="3" t="s">
        <v>1219</v>
      </c>
      <c r="Q702" s="137">
        <v>471</v>
      </c>
      <c r="R702" s="139">
        <v>1</v>
      </c>
      <c r="S702" s="140">
        <v>11810</v>
      </c>
      <c r="U702" s="137">
        <v>55.625</v>
      </c>
      <c r="V702" s="138">
        <v>2.0999999999999999E-5</v>
      </c>
      <c r="W702" s="138">
        <v>5.20664546161341E-3</v>
      </c>
      <c r="X702" s="138">
        <v>4.5767618347825197E-4</v>
      </c>
    </row>
    <row r="703" spans="1:24" x14ac:dyDescent="0.2">
      <c r="A703" s="3">
        <v>559</v>
      </c>
      <c r="B703" s="3">
        <v>7207</v>
      </c>
      <c r="C703" s="3" t="s">
        <v>2122</v>
      </c>
      <c r="D703" s="3" t="s">
        <v>2123</v>
      </c>
      <c r="E703" s="3" t="s">
        <v>1477</v>
      </c>
      <c r="F703" s="3" t="s">
        <v>2788</v>
      </c>
      <c r="G703" s="3" t="s">
        <v>2789</v>
      </c>
      <c r="H703" s="3" t="s">
        <v>76</v>
      </c>
      <c r="I703" s="3" t="s">
        <v>73</v>
      </c>
      <c r="J703" s="3" t="s">
        <v>53</v>
      </c>
      <c r="K703" s="3" t="s">
        <v>53</v>
      </c>
      <c r="L703" s="6" t="s">
        <v>805</v>
      </c>
      <c r="M703" s="6" t="s">
        <v>311</v>
      </c>
      <c r="N703" s="3" t="s">
        <v>259</v>
      </c>
      <c r="O703" s="3" t="s">
        <v>62</v>
      </c>
      <c r="P703" s="3" t="s">
        <v>1219</v>
      </c>
      <c r="Q703" s="137">
        <v>163</v>
      </c>
      <c r="R703" s="139">
        <v>1</v>
      </c>
      <c r="S703" s="140">
        <v>58480</v>
      </c>
      <c r="U703" s="137">
        <v>95.322000000000003</v>
      </c>
      <c r="V703" s="138">
        <v>1.0000000000000001E-5</v>
      </c>
      <c r="W703" s="138">
        <v>8.9224098716244697E-3</v>
      </c>
      <c r="X703" s="138">
        <v>7.8430047284386599E-4</v>
      </c>
    </row>
    <row r="704" spans="1:24" x14ac:dyDescent="0.2">
      <c r="A704" s="3">
        <v>559</v>
      </c>
      <c r="B704" s="3">
        <v>7207</v>
      </c>
      <c r="C704" s="3" t="s">
        <v>2790</v>
      </c>
      <c r="D704" s="3" t="s">
        <v>2791</v>
      </c>
      <c r="E704" s="3" t="s">
        <v>1477</v>
      </c>
      <c r="F704" s="3" t="s">
        <v>2792</v>
      </c>
      <c r="G704" s="3" t="s">
        <v>2793</v>
      </c>
      <c r="H704" s="3" t="s">
        <v>76</v>
      </c>
      <c r="I704" s="3" t="s">
        <v>73</v>
      </c>
      <c r="J704" s="3" t="s">
        <v>53</v>
      </c>
      <c r="K704" s="3" t="s">
        <v>314</v>
      </c>
      <c r="L704" s="6" t="s">
        <v>805</v>
      </c>
      <c r="M704" s="6" t="s">
        <v>311</v>
      </c>
      <c r="N704" s="3" t="s">
        <v>254</v>
      </c>
      <c r="O704" s="3" t="s">
        <v>62</v>
      </c>
      <c r="P704" s="3" t="s">
        <v>1219</v>
      </c>
      <c r="Q704" s="137">
        <v>362</v>
      </c>
      <c r="R704" s="139">
        <v>1</v>
      </c>
      <c r="S704" s="140">
        <v>38800</v>
      </c>
      <c r="U704" s="137">
        <v>140.45599999999999</v>
      </c>
      <c r="V704" s="138">
        <v>7.8999999999999996E-5</v>
      </c>
      <c r="W704" s="138">
        <v>1.3147025262990501E-2</v>
      </c>
      <c r="X704" s="138">
        <v>1.1556539408759999E-3</v>
      </c>
    </row>
    <row r="705" spans="1:24" x14ac:dyDescent="0.2">
      <c r="A705" s="3">
        <v>559</v>
      </c>
      <c r="B705" s="3">
        <v>7207</v>
      </c>
      <c r="C705" s="3" t="s">
        <v>2794</v>
      </c>
      <c r="D705" s="3" t="s">
        <v>2795</v>
      </c>
      <c r="E705" s="3" t="s">
        <v>1477</v>
      </c>
      <c r="F705" s="3" t="s">
        <v>2796</v>
      </c>
      <c r="G705" s="3" t="s">
        <v>2797</v>
      </c>
      <c r="H705" s="3" t="s">
        <v>76</v>
      </c>
      <c r="I705" s="3" t="s">
        <v>73</v>
      </c>
      <c r="J705" s="3" t="s">
        <v>53</v>
      </c>
      <c r="K705" s="3" t="s">
        <v>317</v>
      </c>
      <c r="L705" s="6" t="s">
        <v>805</v>
      </c>
      <c r="M705" s="6" t="s">
        <v>311</v>
      </c>
      <c r="N705" s="3" t="s">
        <v>254</v>
      </c>
      <c r="O705" s="3" t="s">
        <v>62</v>
      </c>
      <c r="P705" s="3" t="s">
        <v>1219</v>
      </c>
      <c r="Q705" s="137">
        <v>239</v>
      </c>
      <c r="R705" s="139">
        <v>1</v>
      </c>
      <c r="S705" s="140">
        <v>29040</v>
      </c>
      <c r="U705" s="137">
        <v>69.406000000000006</v>
      </c>
      <c r="V705" s="138">
        <v>5.0000000000000004E-6</v>
      </c>
      <c r="W705" s="138">
        <v>6.4965339792747503E-3</v>
      </c>
      <c r="X705" s="138">
        <v>5.7106036879067505E-4</v>
      </c>
    </row>
    <row r="706" spans="1:24" x14ac:dyDescent="0.2">
      <c r="A706" s="3">
        <v>559</v>
      </c>
      <c r="B706" s="3">
        <v>7207</v>
      </c>
      <c r="C706" s="3" t="s">
        <v>2798</v>
      </c>
      <c r="D706" s="3" t="s">
        <v>2799</v>
      </c>
      <c r="E706" s="3" t="s">
        <v>430</v>
      </c>
      <c r="F706" s="3" t="s">
        <v>2800</v>
      </c>
      <c r="G706" s="3" t="s">
        <v>2801</v>
      </c>
      <c r="H706" s="3" t="s">
        <v>76</v>
      </c>
      <c r="I706" s="3" t="s">
        <v>73</v>
      </c>
      <c r="J706" s="3" t="s">
        <v>53</v>
      </c>
      <c r="K706" s="3" t="s">
        <v>53</v>
      </c>
      <c r="L706" s="6" t="s">
        <v>805</v>
      </c>
      <c r="M706" s="6" t="s">
        <v>311</v>
      </c>
      <c r="N706" s="3" t="s">
        <v>692</v>
      </c>
      <c r="O706" s="3" t="s">
        <v>62</v>
      </c>
      <c r="P706" s="3" t="s">
        <v>1219</v>
      </c>
      <c r="Q706" s="137">
        <v>1169</v>
      </c>
      <c r="R706" s="139">
        <v>1</v>
      </c>
      <c r="S706" s="140">
        <v>13890</v>
      </c>
      <c r="U706" s="137">
        <v>162.374</v>
      </c>
      <c r="V706" s="138">
        <v>2.1999999999999999E-5</v>
      </c>
      <c r="W706" s="138">
        <v>1.5198613051456301E-2</v>
      </c>
      <c r="X706" s="138">
        <v>1.33599325455084E-3</v>
      </c>
    </row>
    <row r="707" spans="1:24" x14ac:dyDescent="0.2">
      <c r="A707" s="3">
        <v>559</v>
      </c>
      <c r="B707" s="3">
        <v>7207</v>
      </c>
      <c r="C707" s="3" t="s">
        <v>2881</v>
      </c>
      <c r="D707" s="3" t="s">
        <v>2882</v>
      </c>
      <c r="E707" s="3" t="s">
        <v>1477</v>
      </c>
      <c r="F707" s="3" t="s">
        <v>2883</v>
      </c>
      <c r="G707" s="3" t="s">
        <v>2884</v>
      </c>
      <c r="H707" s="3" t="s">
        <v>76</v>
      </c>
      <c r="I707" s="3" t="s">
        <v>73</v>
      </c>
      <c r="J707" s="3" t="s">
        <v>53</v>
      </c>
      <c r="K707" s="3" t="s">
        <v>53</v>
      </c>
      <c r="L707" s="6" t="s">
        <v>805</v>
      </c>
      <c r="M707" s="6" t="s">
        <v>311</v>
      </c>
      <c r="N707" s="3" t="s">
        <v>270</v>
      </c>
      <c r="O707" s="3" t="s">
        <v>62</v>
      </c>
      <c r="P707" s="3" t="s">
        <v>1219</v>
      </c>
      <c r="Q707" s="137">
        <v>22660.58</v>
      </c>
      <c r="R707" s="139">
        <v>1</v>
      </c>
      <c r="S707" s="140">
        <v>56.5</v>
      </c>
      <c r="U707" s="137">
        <v>12.803000000000001</v>
      </c>
      <c r="V707" s="138">
        <v>1.5300000000000001E-4</v>
      </c>
      <c r="W707" s="138">
        <v>1.19841343922453E-3</v>
      </c>
      <c r="X707" s="138">
        <v>1.05343314258114E-4</v>
      </c>
    </row>
    <row r="708" spans="1:24" x14ac:dyDescent="0.2">
      <c r="A708" s="3">
        <v>559</v>
      </c>
      <c r="B708" s="3">
        <v>7207</v>
      </c>
      <c r="C708" s="3" t="s">
        <v>2802</v>
      </c>
      <c r="D708" s="3" t="s">
        <v>2803</v>
      </c>
      <c r="E708" s="3" t="s">
        <v>1477</v>
      </c>
      <c r="F708" s="3" t="s">
        <v>2804</v>
      </c>
      <c r="G708" s="3" t="s">
        <v>2805</v>
      </c>
      <c r="H708" s="3" t="s">
        <v>76</v>
      </c>
      <c r="I708" s="3" t="s">
        <v>73</v>
      </c>
      <c r="J708" s="3" t="s">
        <v>53</v>
      </c>
      <c r="K708" s="3" t="s">
        <v>53</v>
      </c>
      <c r="L708" s="6" t="s">
        <v>805</v>
      </c>
      <c r="M708" s="6" t="s">
        <v>311</v>
      </c>
      <c r="N708" s="3" t="s">
        <v>261</v>
      </c>
      <c r="O708" s="3" t="s">
        <v>62</v>
      </c>
      <c r="P708" s="3" t="s">
        <v>1219</v>
      </c>
      <c r="Q708" s="137">
        <v>195</v>
      </c>
      <c r="R708" s="139">
        <v>1</v>
      </c>
      <c r="S708" s="140">
        <v>8117</v>
      </c>
      <c r="U708" s="137">
        <v>15.827999999999999</v>
      </c>
      <c r="V708" s="138">
        <v>1.5999999999999999E-5</v>
      </c>
      <c r="W708" s="138">
        <v>1.4815535677821E-3</v>
      </c>
      <c r="X708" s="138">
        <v>1.3023198670242901E-4</v>
      </c>
    </row>
    <row r="709" spans="1:24" x14ac:dyDescent="0.2">
      <c r="A709" s="3">
        <v>559</v>
      </c>
      <c r="B709" s="3">
        <v>7207</v>
      </c>
      <c r="C709" s="3" t="s">
        <v>2806</v>
      </c>
      <c r="D709" s="3" t="s">
        <v>2807</v>
      </c>
      <c r="E709" s="3" t="s">
        <v>1477</v>
      </c>
      <c r="F709" s="3" t="s">
        <v>2808</v>
      </c>
      <c r="G709" s="3" t="s">
        <v>2809</v>
      </c>
      <c r="H709" s="3" t="s">
        <v>76</v>
      </c>
      <c r="I709" s="3" t="s">
        <v>73</v>
      </c>
      <c r="J709" s="3" t="s">
        <v>53</v>
      </c>
      <c r="K709" s="3" t="s">
        <v>53</v>
      </c>
      <c r="L709" s="6" t="s">
        <v>805</v>
      </c>
      <c r="M709" s="6" t="s">
        <v>311</v>
      </c>
      <c r="N709" s="3" t="s">
        <v>265</v>
      </c>
      <c r="O709" s="3" t="s">
        <v>62</v>
      </c>
      <c r="P709" s="3" t="s">
        <v>1219</v>
      </c>
      <c r="Q709" s="137">
        <v>4435</v>
      </c>
      <c r="R709" s="139">
        <v>1</v>
      </c>
      <c r="S709" s="140">
        <v>212.9</v>
      </c>
      <c r="U709" s="137">
        <v>9.4420000000000002</v>
      </c>
      <c r="V709" s="138">
        <v>5.1999999999999997E-5</v>
      </c>
      <c r="W709" s="138">
        <v>8.8380506664764496E-4</v>
      </c>
      <c r="X709" s="138">
        <v>7.7688510351671302E-5</v>
      </c>
    </row>
    <row r="710" spans="1:24" x14ac:dyDescent="0.2">
      <c r="A710" s="3">
        <v>559</v>
      </c>
      <c r="B710" s="3">
        <v>7207</v>
      </c>
      <c r="C710" s="3" t="s">
        <v>2157</v>
      </c>
      <c r="D710" s="3" t="s">
        <v>2158</v>
      </c>
      <c r="E710" s="3" t="s">
        <v>1477</v>
      </c>
      <c r="F710" s="3" t="s">
        <v>2810</v>
      </c>
      <c r="G710" s="3" t="s">
        <v>2811</v>
      </c>
      <c r="H710" s="3" t="s">
        <v>76</v>
      </c>
      <c r="I710" s="3" t="s">
        <v>73</v>
      </c>
      <c r="J710" s="3" t="s">
        <v>53</v>
      </c>
      <c r="K710" s="3" t="s">
        <v>53</v>
      </c>
      <c r="L710" s="6" t="s">
        <v>805</v>
      </c>
      <c r="M710" s="6" t="s">
        <v>311</v>
      </c>
      <c r="N710" s="3" t="s">
        <v>635</v>
      </c>
      <c r="O710" s="3" t="s">
        <v>62</v>
      </c>
      <c r="P710" s="3" t="s">
        <v>1219</v>
      </c>
      <c r="Q710" s="137">
        <v>1604</v>
      </c>
      <c r="R710" s="139">
        <v>1</v>
      </c>
      <c r="S710" s="140">
        <v>2261</v>
      </c>
      <c r="U710" s="137">
        <v>36.265999999999998</v>
      </c>
      <c r="V710" s="138">
        <v>7.9999999999999996E-6</v>
      </c>
      <c r="W710" s="138">
        <v>3.3946275194988401E-3</v>
      </c>
      <c r="X710" s="138">
        <v>2.9839561362663601E-4</v>
      </c>
    </row>
    <row r="711" spans="1:24" x14ac:dyDescent="0.2">
      <c r="A711" s="3">
        <v>559</v>
      </c>
      <c r="B711" s="3">
        <v>7207</v>
      </c>
      <c r="C711" s="3" t="s">
        <v>2812</v>
      </c>
      <c r="D711" s="3" t="s">
        <v>2813</v>
      </c>
      <c r="E711" s="3" t="s">
        <v>1477</v>
      </c>
      <c r="F711" s="3" t="s">
        <v>2814</v>
      </c>
      <c r="G711" s="3" t="s">
        <v>2815</v>
      </c>
      <c r="H711" s="3" t="s">
        <v>76</v>
      </c>
      <c r="I711" s="3" t="s">
        <v>73</v>
      </c>
      <c r="J711" s="3" t="s">
        <v>53</v>
      </c>
      <c r="K711" s="3" t="s">
        <v>53</v>
      </c>
      <c r="L711" s="6" t="s">
        <v>805</v>
      </c>
      <c r="M711" s="6" t="s">
        <v>311</v>
      </c>
      <c r="N711" s="3" t="s">
        <v>634</v>
      </c>
      <c r="O711" s="3" t="s">
        <v>62</v>
      </c>
      <c r="P711" s="3" t="s">
        <v>1219</v>
      </c>
      <c r="Q711" s="137">
        <v>290</v>
      </c>
      <c r="R711" s="139">
        <v>1</v>
      </c>
      <c r="S711" s="140">
        <v>6518</v>
      </c>
      <c r="U711" s="137">
        <v>18.902000000000001</v>
      </c>
      <c r="V711" s="138">
        <v>6.0000000000000002E-6</v>
      </c>
      <c r="W711" s="138">
        <v>1.7692921692636799E-3</v>
      </c>
      <c r="X711" s="138">
        <v>1.5552487555694499E-4</v>
      </c>
    </row>
    <row r="712" spans="1:24" x14ac:dyDescent="0.2">
      <c r="A712" s="3">
        <v>559</v>
      </c>
      <c r="B712" s="3">
        <v>7207</v>
      </c>
      <c r="C712" s="3" t="s">
        <v>2816</v>
      </c>
      <c r="D712" s="3" t="s">
        <v>2817</v>
      </c>
      <c r="E712" s="3" t="s">
        <v>1477</v>
      </c>
      <c r="F712" s="3" t="s">
        <v>2818</v>
      </c>
      <c r="G712" s="3" t="s">
        <v>2819</v>
      </c>
      <c r="H712" s="3" t="s">
        <v>76</v>
      </c>
      <c r="I712" s="3" t="s">
        <v>73</v>
      </c>
      <c r="J712" s="3" t="s">
        <v>53</v>
      </c>
      <c r="K712" s="3" t="s">
        <v>53</v>
      </c>
      <c r="L712" s="6" t="s">
        <v>805</v>
      </c>
      <c r="M712" s="6" t="s">
        <v>311</v>
      </c>
      <c r="N712" s="3" t="s">
        <v>265</v>
      </c>
      <c r="O712" s="3" t="s">
        <v>62</v>
      </c>
      <c r="P712" s="3" t="s">
        <v>1219</v>
      </c>
      <c r="Q712" s="137">
        <v>338</v>
      </c>
      <c r="R712" s="139">
        <v>1</v>
      </c>
      <c r="S712" s="140">
        <v>1420</v>
      </c>
      <c r="U712" s="137">
        <v>4.8</v>
      </c>
      <c r="V712" s="138">
        <v>2.0000000000000002E-5</v>
      </c>
      <c r="W712" s="138">
        <v>4.4925430349895498E-4</v>
      </c>
      <c r="X712" s="138">
        <v>3.9490492785131497E-5</v>
      </c>
    </row>
    <row r="713" spans="1:24" x14ac:dyDescent="0.2">
      <c r="A713" s="3">
        <v>559</v>
      </c>
      <c r="B713" s="3">
        <v>7207</v>
      </c>
      <c r="C713" s="3" t="s">
        <v>2820</v>
      </c>
      <c r="D713" s="3" t="s">
        <v>2821</v>
      </c>
      <c r="E713" s="3" t="s">
        <v>1477</v>
      </c>
      <c r="F713" s="3" t="s">
        <v>2822</v>
      </c>
      <c r="G713" s="3" t="s">
        <v>2823</v>
      </c>
      <c r="H713" s="3" t="s">
        <v>76</v>
      </c>
      <c r="I713" s="3" t="s">
        <v>73</v>
      </c>
      <c r="J713" s="3" t="s">
        <v>53</v>
      </c>
      <c r="K713" s="3" t="s">
        <v>53</v>
      </c>
      <c r="L713" s="6" t="s">
        <v>805</v>
      </c>
      <c r="M713" s="6" t="s">
        <v>311</v>
      </c>
      <c r="N713" s="3" t="s">
        <v>634</v>
      </c>
      <c r="O713" s="3" t="s">
        <v>62</v>
      </c>
      <c r="P713" s="3" t="s">
        <v>1219</v>
      </c>
      <c r="Q713" s="137">
        <v>184</v>
      </c>
      <c r="R713" s="139">
        <v>1</v>
      </c>
      <c r="S713" s="140">
        <v>32510</v>
      </c>
      <c r="U713" s="137">
        <v>59.817999999999998</v>
      </c>
      <c r="V713" s="138">
        <v>1.2999999999999999E-5</v>
      </c>
      <c r="W713" s="138">
        <v>5.5991486016380397E-3</v>
      </c>
      <c r="X713" s="138">
        <v>4.9217811768024599E-4</v>
      </c>
    </row>
    <row r="714" spans="1:24" x14ac:dyDescent="0.2">
      <c r="A714" s="3">
        <v>559</v>
      </c>
      <c r="B714" s="3">
        <v>7207</v>
      </c>
      <c r="C714" s="3" t="s">
        <v>2824</v>
      </c>
      <c r="D714" s="3" t="s">
        <v>2825</v>
      </c>
      <c r="E714" s="3" t="s">
        <v>1477</v>
      </c>
      <c r="F714" s="3" t="s">
        <v>2826</v>
      </c>
      <c r="G714" s="3" t="s">
        <v>2827</v>
      </c>
      <c r="H714" s="3" t="s">
        <v>76</v>
      </c>
      <c r="I714" s="3" t="s">
        <v>73</v>
      </c>
      <c r="J714" s="3" t="s">
        <v>53</v>
      </c>
      <c r="K714" s="3" t="s">
        <v>53</v>
      </c>
      <c r="L714" s="6" t="s">
        <v>805</v>
      </c>
      <c r="M714" s="6" t="s">
        <v>311</v>
      </c>
      <c r="N714" s="3" t="s">
        <v>634</v>
      </c>
      <c r="O714" s="3" t="s">
        <v>62</v>
      </c>
      <c r="P714" s="3" t="s">
        <v>1219</v>
      </c>
      <c r="Q714" s="137">
        <v>1975</v>
      </c>
      <c r="R714" s="139">
        <v>1</v>
      </c>
      <c r="S714" s="140">
        <v>3869</v>
      </c>
      <c r="U714" s="137">
        <v>76.412999999999997</v>
      </c>
      <c r="V714" s="138">
        <v>6.9999999999999999E-6</v>
      </c>
      <c r="W714" s="138">
        <v>7.1524203641323897E-3</v>
      </c>
      <c r="X714" s="138">
        <v>6.2871429964310704E-4</v>
      </c>
    </row>
    <row r="715" spans="1:24" x14ac:dyDescent="0.2">
      <c r="A715" s="3">
        <v>559</v>
      </c>
      <c r="B715" s="3">
        <v>7207</v>
      </c>
      <c r="C715" s="3" t="s">
        <v>2174</v>
      </c>
      <c r="D715" s="3" t="s">
        <v>2175</v>
      </c>
      <c r="E715" s="3" t="s">
        <v>1477</v>
      </c>
      <c r="F715" s="3" t="s">
        <v>2828</v>
      </c>
      <c r="G715" s="3" t="s">
        <v>2829</v>
      </c>
      <c r="H715" s="3" t="s">
        <v>76</v>
      </c>
      <c r="I715" s="3" t="s">
        <v>73</v>
      </c>
      <c r="J715" s="3" t="s">
        <v>53</v>
      </c>
      <c r="K715" s="3" t="s">
        <v>53</v>
      </c>
      <c r="L715" s="6" t="s">
        <v>805</v>
      </c>
      <c r="M715" s="6" t="s">
        <v>311</v>
      </c>
      <c r="N715" s="3" t="s">
        <v>261</v>
      </c>
      <c r="O715" s="3" t="s">
        <v>62</v>
      </c>
      <c r="P715" s="3" t="s">
        <v>1219</v>
      </c>
      <c r="Q715" s="137">
        <v>2842</v>
      </c>
      <c r="R715" s="139">
        <v>1</v>
      </c>
      <c r="S715" s="140">
        <v>9235</v>
      </c>
      <c r="U715" s="137">
        <v>262.459</v>
      </c>
      <c r="V715" s="138">
        <v>2.4000000000000001E-5</v>
      </c>
      <c r="W715" s="138">
        <v>2.4566776495070702E-2</v>
      </c>
      <c r="X715" s="138">
        <v>2.1594764977800199E-3</v>
      </c>
    </row>
    <row r="716" spans="1:24" x14ac:dyDescent="0.2">
      <c r="A716" s="3">
        <v>559</v>
      </c>
      <c r="B716" s="3">
        <v>7207</v>
      </c>
      <c r="C716" s="3" t="s">
        <v>2830</v>
      </c>
      <c r="D716" s="3" t="s">
        <v>2831</v>
      </c>
      <c r="E716" s="3" t="s">
        <v>1477</v>
      </c>
      <c r="F716" s="3" t="s">
        <v>2832</v>
      </c>
      <c r="G716" s="3" t="s">
        <v>2833</v>
      </c>
      <c r="H716" s="3" t="s">
        <v>76</v>
      </c>
      <c r="I716" s="3" t="s">
        <v>73</v>
      </c>
      <c r="J716" s="3" t="s">
        <v>53</v>
      </c>
      <c r="K716" s="3" t="s">
        <v>53</v>
      </c>
      <c r="L716" s="6" t="s">
        <v>805</v>
      </c>
      <c r="M716" s="6" t="s">
        <v>311</v>
      </c>
      <c r="N716" s="3" t="s">
        <v>264</v>
      </c>
      <c r="O716" s="3" t="s">
        <v>62</v>
      </c>
      <c r="P716" s="3" t="s">
        <v>1219</v>
      </c>
      <c r="Q716" s="137">
        <v>196</v>
      </c>
      <c r="R716" s="139">
        <v>1</v>
      </c>
      <c r="S716" s="140">
        <v>10400</v>
      </c>
      <c r="U716" s="137">
        <v>20.384</v>
      </c>
      <c r="V716" s="138">
        <v>1.5E-5</v>
      </c>
      <c r="W716" s="138">
        <v>1.9079922748817999E-3</v>
      </c>
      <c r="X716" s="138">
        <v>1.6771693577217301E-4</v>
      </c>
    </row>
    <row r="717" spans="1:24" x14ac:dyDescent="0.2">
      <c r="A717" s="3">
        <v>559</v>
      </c>
      <c r="B717" s="3">
        <v>7207</v>
      </c>
      <c r="C717" s="3" t="s">
        <v>2834</v>
      </c>
      <c r="D717" s="3" t="s">
        <v>2835</v>
      </c>
      <c r="E717" s="3" t="s">
        <v>1477</v>
      </c>
      <c r="F717" s="3" t="s">
        <v>2836</v>
      </c>
      <c r="G717" s="3" t="s">
        <v>2837</v>
      </c>
      <c r="H717" s="3" t="s">
        <v>76</v>
      </c>
      <c r="I717" s="3" t="s">
        <v>73</v>
      </c>
      <c r="J717" s="3" t="s">
        <v>53</v>
      </c>
      <c r="K717" s="3" t="s">
        <v>317</v>
      </c>
      <c r="L717" s="6" t="s">
        <v>805</v>
      </c>
      <c r="M717" s="6" t="s">
        <v>311</v>
      </c>
      <c r="N717" s="3" t="s">
        <v>261</v>
      </c>
      <c r="O717" s="3" t="s">
        <v>62</v>
      </c>
      <c r="P717" s="3" t="s">
        <v>1219</v>
      </c>
      <c r="Q717" s="137">
        <v>3276</v>
      </c>
      <c r="R717" s="139">
        <v>1</v>
      </c>
      <c r="S717" s="140">
        <v>4070</v>
      </c>
      <c r="U717" s="137">
        <v>133.333</v>
      </c>
      <c r="V717" s="138">
        <v>3.1999999999999999E-5</v>
      </c>
      <c r="W717" s="138">
        <v>1.24803137551644E-2</v>
      </c>
      <c r="X717" s="138">
        <v>1.09704845666691E-3</v>
      </c>
    </row>
    <row r="718" spans="1:24" x14ac:dyDescent="0.2">
      <c r="A718" s="3">
        <v>559</v>
      </c>
      <c r="B718" s="3">
        <v>7207</v>
      </c>
      <c r="C718" s="3" t="s">
        <v>2897</v>
      </c>
      <c r="D718" s="3" t="s">
        <v>2898</v>
      </c>
      <c r="E718" s="3" t="s">
        <v>430</v>
      </c>
      <c r="F718" s="3" t="s">
        <v>2899</v>
      </c>
      <c r="G718" s="3" t="s">
        <v>2900</v>
      </c>
      <c r="H718" s="3" t="s">
        <v>76</v>
      </c>
      <c r="I718" s="3" t="s">
        <v>73</v>
      </c>
      <c r="J718" s="3" t="s">
        <v>61</v>
      </c>
      <c r="K718" s="3" t="s">
        <v>153</v>
      </c>
      <c r="L718" s="6" t="s">
        <v>805</v>
      </c>
      <c r="M718" s="6" t="s">
        <v>488</v>
      </c>
      <c r="N718" s="3" t="s">
        <v>915</v>
      </c>
      <c r="O718" s="3" t="s">
        <v>62</v>
      </c>
      <c r="P718" s="3" t="s">
        <v>1215</v>
      </c>
      <c r="Q718" s="137">
        <v>5558.65</v>
      </c>
      <c r="R718" s="139">
        <v>3.9552</v>
      </c>
      <c r="S718" s="140">
        <v>311.2</v>
      </c>
      <c r="U718" s="137">
        <v>68.418999999999997</v>
      </c>
      <c r="V718" s="138">
        <v>3.9999999999999998E-6</v>
      </c>
      <c r="W718" s="138">
        <v>6.40419531135006E-3</v>
      </c>
      <c r="X718" s="138">
        <v>5.6294358622216401E-4</v>
      </c>
    </row>
    <row r="719" spans="1:24" x14ac:dyDescent="0.2">
      <c r="A719" s="3">
        <v>559</v>
      </c>
      <c r="B719" s="3">
        <v>7207</v>
      </c>
      <c r="C719" s="3" t="s">
        <v>2901</v>
      </c>
      <c r="D719" s="3" t="s">
        <v>2902</v>
      </c>
      <c r="E719" s="3" t="s">
        <v>430</v>
      </c>
      <c r="F719" s="3" t="s">
        <v>2903</v>
      </c>
      <c r="G719" s="3" t="s">
        <v>2904</v>
      </c>
      <c r="H719" s="3" t="s">
        <v>76</v>
      </c>
      <c r="I719" s="3" t="s">
        <v>73</v>
      </c>
      <c r="J719" s="3" t="s">
        <v>61</v>
      </c>
      <c r="K719" s="3" t="s">
        <v>315</v>
      </c>
      <c r="L719" s="6" t="s">
        <v>805</v>
      </c>
      <c r="M719" s="6" t="s">
        <v>479</v>
      </c>
      <c r="N719" s="3" t="s">
        <v>894</v>
      </c>
      <c r="O719" s="3" t="s">
        <v>62</v>
      </c>
      <c r="P719" s="3" t="s">
        <v>1217</v>
      </c>
      <c r="Q719" s="137">
        <v>450</v>
      </c>
      <c r="R719" s="139">
        <v>3.3719999999999999</v>
      </c>
      <c r="S719" s="140">
        <v>6988</v>
      </c>
      <c r="U719" s="137">
        <v>106.036</v>
      </c>
      <c r="V719" s="138">
        <v>0</v>
      </c>
      <c r="W719" s="138">
        <v>9.9252208082832999E-3</v>
      </c>
      <c r="X719" s="138">
        <v>8.7244987453138499E-4</v>
      </c>
    </row>
    <row r="720" spans="1:24" x14ac:dyDescent="0.2">
      <c r="A720" s="3">
        <v>559</v>
      </c>
      <c r="B720" s="3">
        <v>7207</v>
      </c>
      <c r="C720" s="3" t="s">
        <v>2905</v>
      </c>
      <c r="D720" s="3" t="s">
        <v>2906</v>
      </c>
      <c r="E720" s="3" t="s">
        <v>430</v>
      </c>
      <c r="F720" s="3" t="s">
        <v>2907</v>
      </c>
      <c r="G720" s="3" t="s">
        <v>2908</v>
      </c>
      <c r="H720" s="3" t="s">
        <v>76</v>
      </c>
      <c r="I720" s="3" t="s">
        <v>73</v>
      </c>
      <c r="J720" s="3" t="s">
        <v>61</v>
      </c>
      <c r="K720" s="3" t="s">
        <v>314</v>
      </c>
      <c r="L720" s="6" t="s">
        <v>805</v>
      </c>
      <c r="M720" s="6" t="s">
        <v>479</v>
      </c>
      <c r="N720" s="3" t="s">
        <v>2262</v>
      </c>
      <c r="O720" s="3" t="s">
        <v>62</v>
      </c>
      <c r="P720" s="3" t="s">
        <v>1217</v>
      </c>
      <c r="Q720" s="137">
        <v>850</v>
      </c>
      <c r="R720" s="139">
        <v>3.3719999999999999</v>
      </c>
      <c r="S720" s="140">
        <v>197</v>
      </c>
      <c r="U720" s="137">
        <v>5.6459999999999999</v>
      </c>
      <c r="V720" s="138">
        <v>2.4000000000000001E-5</v>
      </c>
      <c r="W720" s="138">
        <v>5.2851816585481096E-4</v>
      </c>
      <c r="X720" s="138">
        <v>4.6457969690987899E-5</v>
      </c>
    </row>
    <row r="721" spans="1:24" x14ac:dyDescent="0.2">
      <c r="A721" s="3">
        <v>559</v>
      </c>
      <c r="B721" s="3">
        <v>7207</v>
      </c>
      <c r="C721" s="3" t="s">
        <v>2927</v>
      </c>
      <c r="D721" s="3" t="s">
        <v>2928</v>
      </c>
      <c r="E721" s="3" t="s">
        <v>1477</v>
      </c>
      <c r="F721" s="3" t="s">
        <v>2929</v>
      </c>
      <c r="G721" s="3" t="s">
        <v>2930</v>
      </c>
      <c r="H721" s="3" t="s">
        <v>76</v>
      </c>
      <c r="I721" s="3" t="s">
        <v>73</v>
      </c>
      <c r="J721" s="3" t="s">
        <v>61</v>
      </c>
      <c r="K721" s="3" t="s">
        <v>314</v>
      </c>
      <c r="L721" s="6" t="s">
        <v>805</v>
      </c>
      <c r="M721" s="6" t="s">
        <v>479</v>
      </c>
      <c r="N721" s="3" t="s">
        <v>890</v>
      </c>
      <c r="O721" s="3" t="s">
        <v>62</v>
      </c>
      <c r="P721" s="3" t="s">
        <v>1217</v>
      </c>
      <c r="Q721" s="137">
        <v>176</v>
      </c>
      <c r="R721" s="139">
        <v>3.3719999999999999</v>
      </c>
      <c r="S721" s="140">
        <v>1444</v>
      </c>
      <c r="U721" s="137">
        <v>8.57</v>
      </c>
      <c r="V721" s="138">
        <v>1.9999999999999999E-6</v>
      </c>
      <c r="W721" s="138">
        <v>8.0214822778743001E-4</v>
      </c>
      <c r="X721" s="138">
        <v>7.0510685274090295E-5</v>
      </c>
    </row>
    <row r="722" spans="1:24" x14ac:dyDescent="0.2">
      <c r="A722" s="3">
        <v>559</v>
      </c>
      <c r="B722" s="3">
        <v>7207</v>
      </c>
      <c r="C722" s="3" t="s">
        <v>2931</v>
      </c>
      <c r="D722" s="3" t="s">
        <v>2932</v>
      </c>
      <c r="E722" s="3" t="s">
        <v>430</v>
      </c>
      <c r="F722" s="3" t="s">
        <v>2933</v>
      </c>
      <c r="G722" s="3" t="s">
        <v>2934</v>
      </c>
      <c r="H722" s="3" t="s">
        <v>76</v>
      </c>
      <c r="I722" s="3" t="s">
        <v>73</v>
      </c>
      <c r="J722" s="3" t="s">
        <v>61</v>
      </c>
      <c r="K722" s="3" t="s">
        <v>314</v>
      </c>
      <c r="L722" s="6" t="s">
        <v>805</v>
      </c>
      <c r="M722" s="6" t="s">
        <v>476</v>
      </c>
      <c r="N722" s="3" t="s">
        <v>865</v>
      </c>
      <c r="O722" s="3" t="s">
        <v>62</v>
      </c>
      <c r="P722" s="3" t="s">
        <v>1217</v>
      </c>
      <c r="Q722" s="137">
        <v>260.36</v>
      </c>
      <c r="R722" s="139">
        <v>3.3719999999999999</v>
      </c>
      <c r="S722" s="140">
        <v>7355</v>
      </c>
      <c r="T722" s="131">
        <v>7.8E-2</v>
      </c>
      <c r="U722" s="137">
        <v>64.834999999999994</v>
      </c>
      <c r="V722" s="138">
        <v>9.9999999999999995E-7</v>
      </c>
      <c r="W722" s="138">
        <v>6.0687295952538802E-3</v>
      </c>
      <c r="X722" s="138">
        <v>5.3345537355958697E-4</v>
      </c>
    </row>
    <row r="723" spans="1:24" x14ac:dyDescent="0.2">
      <c r="A723" s="3">
        <v>559</v>
      </c>
      <c r="B723" s="3">
        <v>7207</v>
      </c>
      <c r="C723" s="3" t="s">
        <v>2211</v>
      </c>
      <c r="D723" s="3" t="s">
        <v>2212</v>
      </c>
      <c r="E723" s="3" t="s">
        <v>430</v>
      </c>
      <c r="F723" s="3" t="s">
        <v>2838</v>
      </c>
      <c r="G723" s="3" t="s">
        <v>2839</v>
      </c>
      <c r="H723" s="3" t="s">
        <v>76</v>
      </c>
      <c r="I723" s="3" t="s">
        <v>73</v>
      </c>
      <c r="J723" s="3" t="s">
        <v>61</v>
      </c>
      <c r="K723" s="3" t="s">
        <v>315</v>
      </c>
      <c r="L723" s="6" t="s">
        <v>805</v>
      </c>
      <c r="M723" s="6" t="s">
        <v>494</v>
      </c>
      <c r="N723" s="3" t="s">
        <v>2215</v>
      </c>
      <c r="O723" s="3" t="s">
        <v>62</v>
      </c>
      <c r="P723" s="3" t="s">
        <v>1218</v>
      </c>
      <c r="Q723" s="137">
        <v>5500</v>
      </c>
      <c r="R723" s="139">
        <v>4.6235999999999997</v>
      </c>
      <c r="S723" s="140">
        <v>157.6</v>
      </c>
      <c r="U723" s="137">
        <v>40.076999999999998</v>
      </c>
      <c r="V723" s="138">
        <v>0</v>
      </c>
      <c r="W723" s="138">
        <v>3.75133940522076E-3</v>
      </c>
      <c r="X723" s="138">
        <v>3.29751413759789E-4</v>
      </c>
    </row>
    <row r="724" spans="1:24" x14ac:dyDescent="0.2">
      <c r="A724" s="3">
        <v>559</v>
      </c>
      <c r="B724" s="3">
        <v>7207</v>
      </c>
      <c r="C724" s="3" t="s">
        <v>2840</v>
      </c>
      <c r="D724" s="3" t="s">
        <v>2841</v>
      </c>
      <c r="E724" s="3" t="s">
        <v>430</v>
      </c>
      <c r="F724" s="3" t="s">
        <v>2842</v>
      </c>
      <c r="G724" s="3" t="s">
        <v>2843</v>
      </c>
      <c r="H724" s="3" t="s">
        <v>76</v>
      </c>
      <c r="I724" s="3" t="s">
        <v>73</v>
      </c>
      <c r="J724" s="3" t="s">
        <v>61</v>
      </c>
      <c r="K724" s="3" t="s">
        <v>314</v>
      </c>
      <c r="L724" s="6" t="s">
        <v>805</v>
      </c>
      <c r="M724" s="6" t="s">
        <v>476</v>
      </c>
      <c r="N724" s="3" t="s">
        <v>894</v>
      </c>
      <c r="O724" s="3" t="s">
        <v>62</v>
      </c>
      <c r="P724" s="3" t="s">
        <v>1217</v>
      </c>
      <c r="Q724" s="137">
        <v>190</v>
      </c>
      <c r="R724" s="139">
        <v>3.3719999999999999</v>
      </c>
      <c r="S724" s="140">
        <v>15275</v>
      </c>
      <c r="U724" s="137">
        <v>97.864000000000004</v>
      </c>
      <c r="V724" s="138">
        <v>0</v>
      </c>
      <c r="W724" s="138">
        <v>9.1602976820073095E-3</v>
      </c>
      <c r="X724" s="138">
        <v>8.05211361813494E-4</v>
      </c>
    </row>
    <row r="725" spans="1:24" x14ac:dyDescent="0.2">
      <c r="A725" s="3">
        <v>559</v>
      </c>
      <c r="B725" s="3">
        <v>7207</v>
      </c>
      <c r="C725" s="3" t="s">
        <v>2844</v>
      </c>
      <c r="D725" s="3" t="s">
        <v>2845</v>
      </c>
      <c r="E725" s="3" t="s">
        <v>1477</v>
      </c>
      <c r="F725" s="3" t="s">
        <v>2846</v>
      </c>
      <c r="G725" s="3" t="s">
        <v>2847</v>
      </c>
      <c r="H725" s="3" t="s">
        <v>76</v>
      </c>
      <c r="I725" s="3" t="s">
        <v>73</v>
      </c>
      <c r="J725" s="3" t="s">
        <v>53</v>
      </c>
      <c r="K725" s="3" t="s">
        <v>314</v>
      </c>
      <c r="L725" s="6" t="s">
        <v>805</v>
      </c>
      <c r="M725" s="6" t="s">
        <v>479</v>
      </c>
      <c r="N725" s="3" t="s">
        <v>2262</v>
      </c>
      <c r="O725" s="3" t="s">
        <v>62</v>
      </c>
      <c r="P725" s="3" t="s">
        <v>1217</v>
      </c>
      <c r="Q725" s="137">
        <v>334</v>
      </c>
      <c r="R725" s="139">
        <v>3.3719999999999999</v>
      </c>
      <c r="S725" s="140">
        <v>1991</v>
      </c>
      <c r="U725" s="137">
        <v>22.423999999999999</v>
      </c>
      <c r="V725" s="138">
        <v>6.9999999999999999E-6</v>
      </c>
      <c r="W725" s="138">
        <v>2.0989036081484301E-3</v>
      </c>
      <c r="X725" s="138">
        <v>1.8449848370671101E-4</v>
      </c>
    </row>
    <row r="726" spans="1:24" x14ac:dyDescent="0.2">
      <c r="A726" s="3">
        <v>559</v>
      </c>
      <c r="B726" s="3">
        <v>7207</v>
      </c>
      <c r="C726" s="3" t="s">
        <v>2848</v>
      </c>
      <c r="D726" s="3" t="s">
        <v>2849</v>
      </c>
      <c r="E726" s="3" t="s">
        <v>430</v>
      </c>
      <c r="F726" s="3" t="s">
        <v>2848</v>
      </c>
      <c r="G726" s="3" t="s">
        <v>2850</v>
      </c>
      <c r="H726" s="3" t="s">
        <v>76</v>
      </c>
      <c r="I726" s="3" t="s">
        <v>73</v>
      </c>
      <c r="J726" s="3" t="s">
        <v>61</v>
      </c>
      <c r="K726" s="3" t="s">
        <v>314</v>
      </c>
      <c r="L726" s="6" t="s">
        <v>805</v>
      </c>
      <c r="M726" s="6" t="s">
        <v>476</v>
      </c>
      <c r="N726" s="3" t="s">
        <v>894</v>
      </c>
      <c r="O726" s="3" t="s">
        <v>62</v>
      </c>
      <c r="P726" s="3" t="s">
        <v>1217</v>
      </c>
      <c r="Q726" s="137">
        <v>482</v>
      </c>
      <c r="R726" s="139">
        <v>3.3719999999999999</v>
      </c>
      <c r="S726" s="140">
        <v>2424</v>
      </c>
      <c r="U726" s="137">
        <v>39.396999999999998</v>
      </c>
      <c r="V726" s="138">
        <v>0</v>
      </c>
      <c r="W726" s="138">
        <v>3.6876901308059299E-3</v>
      </c>
      <c r="X726" s="138">
        <v>3.2415649526378097E-4</v>
      </c>
    </row>
    <row r="727" spans="1:24" x14ac:dyDescent="0.2">
      <c r="A727" s="3">
        <v>559</v>
      </c>
      <c r="B727" s="3">
        <v>7207</v>
      </c>
      <c r="C727" s="3" t="s">
        <v>2851</v>
      </c>
      <c r="D727" s="3" t="s">
        <v>2852</v>
      </c>
      <c r="E727" s="3" t="s">
        <v>1477</v>
      </c>
      <c r="F727" s="3" t="s">
        <v>2853</v>
      </c>
      <c r="G727" s="3" t="s">
        <v>2854</v>
      </c>
      <c r="H727" s="3" t="s">
        <v>76</v>
      </c>
      <c r="I727" s="3" t="s">
        <v>73</v>
      </c>
      <c r="J727" s="3" t="s">
        <v>53</v>
      </c>
      <c r="K727" s="3" t="s">
        <v>53</v>
      </c>
      <c r="L727" s="6" t="s">
        <v>805</v>
      </c>
      <c r="M727" s="6" t="s">
        <v>479</v>
      </c>
      <c r="N727" s="3" t="s">
        <v>899</v>
      </c>
      <c r="O727" s="3" t="s">
        <v>62</v>
      </c>
      <c r="P727" s="3" t="s">
        <v>1217</v>
      </c>
      <c r="Q727" s="137">
        <v>784</v>
      </c>
      <c r="R727" s="139">
        <v>3.3719999999999999</v>
      </c>
      <c r="S727" s="140">
        <v>1359</v>
      </c>
      <c r="U727" s="137">
        <v>35.927</v>
      </c>
      <c r="V727" s="138">
        <v>5.1E-5</v>
      </c>
      <c r="W727" s="138">
        <v>3.36287160895195E-3</v>
      </c>
      <c r="X727" s="138">
        <v>2.9560419561111502E-4</v>
      </c>
    </row>
    <row r="728" spans="1:24" x14ac:dyDescent="0.2">
      <c r="A728" s="3">
        <v>559</v>
      </c>
      <c r="B728" s="3">
        <v>7207</v>
      </c>
      <c r="C728" s="3" t="s">
        <v>2855</v>
      </c>
      <c r="D728" s="3" t="s">
        <v>2856</v>
      </c>
      <c r="E728" s="3" t="s">
        <v>1477</v>
      </c>
      <c r="F728" s="3" t="s">
        <v>2857</v>
      </c>
      <c r="G728" s="3" t="s">
        <v>2858</v>
      </c>
      <c r="H728" s="3" t="s">
        <v>76</v>
      </c>
      <c r="I728" s="3" t="s">
        <v>73</v>
      </c>
      <c r="J728" s="3" t="s">
        <v>61</v>
      </c>
      <c r="K728" s="3" t="s">
        <v>314</v>
      </c>
      <c r="L728" s="6" t="s">
        <v>805</v>
      </c>
      <c r="M728" s="6" t="s">
        <v>479</v>
      </c>
      <c r="N728" s="3" t="s">
        <v>202</v>
      </c>
      <c r="O728" s="3" t="s">
        <v>62</v>
      </c>
      <c r="P728" s="3" t="s">
        <v>1217</v>
      </c>
      <c r="Q728" s="137">
        <v>117</v>
      </c>
      <c r="R728" s="139">
        <v>3.3719999999999999</v>
      </c>
      <c r="S728" s="140">
        <v>2040</v>
      </c>
      <c r="U728" s="137">
        <v>8.048</v>
      </c>
      <c r="V728" s="138">
        <v>1.9999999999999999E-6</v>
      </c>
      <c r="W728" s="138">
        <v>7.5333959884279599E-4</v>
      </c>
      <c r="X728" s="138">
        <v>6.6220293853956304E-5</v>
      </c>
    </row>
    <row r="729" spans="1:24" x14ac:dyDescent="0.2">
      <c r="A729" s="3">
        <v>559</v>
      </c>
      <c r="B729" s="3">
        <v>7207</v>
      </c>
      <c r="C729" s="3" t="s">
        <v>2859</v>
      </c>
      <c r="D729" s="3" t="s">
        <v>2860</v>
      </c>
      <c r="E729" s="3" t="s">
        <v>430</v>
      </c>
      <c r="F729" s="3" t="s">
        <v>2861</v>
      </c>
      <c r="G729" s="3" t="s">
        <v>2862</v>
      </c>
      <c r="H729" s="3" t="s">
        <v>76</v>
      </c>
      <c r="I729" s="3" t="s">
        <v>73</v>
      </c>
      <c r="J729" s="3" t="s">
        <v>53</v>
      </c>
      <c r="K729" s="3" t="s">
        <v>53</v>
      </c>
      <c r="L729" s="6" t="s">
        <v>805</v>
      </c>
      <c r="M729" s="6" t="s">
        <v>476</v>
      </c>
      <c r="N729" s="3" t="s">
        <v>878</v>
      </c>
      <c r="O729" s="3" t="s">
        <v>62</v>
      </c>
      <c r="P729" s="3" t="s">
        <v>1217</v>
      </c>
      <c r="Q729" s="137">
        <v>115</v>
      </c>
      <c r="R729" s="139">
        <v>3.3719999999999999</v>
      </c>
      <c r="S729" s="140">
        <v>1609</v>
      </c>
      <c r="U729" s="137">
        <v>6.2389999999999999</v>
      </c>
      <c r="V729" s="138">
        <v>9.9999999999999995E-7</v>
      </c>
      <c r="W729" s="138">
        <v>5.8402125302445501E-4</v>
      </c>
      <c r="X729" s="138">
        <v>5.1336819479079997E-5</v>
      </c>
    </row>
    <row r="730" spans="1:24" x14ac:dyDescent="0.2">
      <c r="A730" s="3">
        <v>559</v>
      </c>
      <c r="B730" s="3">
        <v>7207</v>
      </c>
      <c r="C730" s="3" t="s">
        <v>1545</v>
      </c>
      <c r="D730" s="3" t="s">
        <v>1546</v>
      </c>
      <c r="E730" s="3" t="s">
        <v>1477</v>
      </c>
      <c r="F730" s="3" t="s">
        <v>2863</v>
      </c>
      <c r="G730" s="3" t="s">
        <v>2864</v>
      </c>
      <c r="H730" s="3" t="s">
        <v>78</v>
      </c>
      <c r="I730" s="3" t="s">
        <v>73</v>
      </c>
      <c r="J730" s="3" t="s">
        <v>61</v>
      </c>
      <c r="L730" s="6" t="s">
        <v>805</v>
      </c>
      <c r="M730" s="6" t="s">
        <v>102</v>
      </c>
      <c r="N730" s="3" t="s">
        <v>638</v>
      </c>
      <c r="O730" s="3" t="s">
        <v>62</v>
      </c>
      <c r="P730" s="3" t="s">
        <v>1217</v>
      </c>
      <c r="Q730" s="137">
        <v>20</v>
      </c>
      <c r="R730" s="139">
        <v>3.3719999999999999</v>
      </c>
      <c r="S730" s="140">
        <v>44950</v>
      </c>
      <c r="T730" s="131">
        <v>0.01</v>
      </c>
      <c r="U730" s="137">
        <v>30.347000000000001</v>
      </c>
      <c r="V730" s="138">
        <v>0</v>
      </c>
      <c r="W730" s="138">
        <v>2.84052069115688E-3</v>
      </c>
      <c r="X730" s="138">
        <v>2.4968834129467202E-4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BEAD61AD-E583-4FAB-A889-8EB49934DC80}">
      <formula1>israel_abroad</formula1>
    </dataValidation>
    <dataValidation type="list" allowBlank="1" showInputMessage="1" showErrorMessage="1" sqref="O2:O19" xr:uid="{C45AC9AF-7D98-41B0-B469-56F8CB54C8EA}">
      <formula1>Holding_interest</formula1>
    </dataValidation>
    <dataValidation type="list" allowBlank="1" showInputMessage="1" showErrorMessage="1" sqref="K2:K20" xr:uid="{FB047F74-A683-4E8B-9313-DF1489AF727B}">
      <formula1>Country_list</formula1>
    </dataValidation>
    <dataValidation type="list" allowBlank="1" showInputMessage="1" showErrorMessage="1" sqref="E2:E20" xr:uid="{7CAA61CC-1E34-4BEB-9978-2325B54905CB}">
      <formula1>Issuer_Number_Type_2</formula1>
    </dataValidation>
    <dataValidation type="list" allowBlank="1" showInputMessage="1" showErrorMessage="1" sqref="H2:H20" xr:uid="{9E69256E-2F7F-4A09-AD22-4D52F4706511}">
      <formula1>Security_ID_Number_Type</formula1>
    </dataValidation>
    <dataValidation type="list" allowBlank="1" showInputMessage="1" showErrorMessage="1" sqref="N2:N21" xr:uid="{A46AE3BA-9EC7-4F3C-A356-F73B08A254F4}">
      <formula1>Industry_Sector</formula1>
    </dataValidation>
    <dataValidation type="list" allowBlank="1" showInputMessage="1" showErrorMessage="1" sqref="L2:L20" xr:uid="{D418F1A4-7467-45F5-A9B5-706C7F1A388E}">
      <formula1>Tradeable_Status</formula1>
    </dataValidation>
    <dataValidation type="list" allowBlank="1" showInputMessage="1" showErrorMessage="1" sqref="M2:M20" xr:uid="{B582A5A1-175D-4E62-A307-7815FFFD35F1}">
      <formula1>Stock_Exchange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57"/>
  <sheetViews>
    <sheetView rightToLeft="1" workbookViewId="0">
      <selection sqref="A1:XFD1048576"/>
    </sheetView>
  </sheetViews>
  <sheetFormatPr defaultColWidth="9" defaultRowHeight="14.25" x14ac:dyDescent="0.2"/>
  <cols>
    <col min="1" max="4" width="11.625" style="6" customWidth="1"/>
    <col min="5" max="5" width="11.625" style="3" customWidth="1"/>
    <col min="6" max="15" width="11.625" style="6" customWidth="1"/>
    <col min="16" max="16" width="11.625" style="3" customWidth="1"/>
    <col min="17" max="18" width="11.625" style="6" customWidth="1"/>
    <col min="19" max="19" width="11.625" style="160" customWidth="1"/>
    <col min="20" max="24" width="11.625" style="6" customWidth="1"/>
    <col min="25" max="16384" width="9" style="6"/>
  </cols>
  <sheetData>
    <row r="1" spans="1:23" ht="66.75" customHeight="1" x14ac:dyDescent="0.2">
      <c r="A1" s="13" t="s">
        <v>651</v>
      </c>
      <c r="B1" s="13" t="s">
        <v>0</v>
      </c>
      <c r="C1" s="13" t="s">
        <v>724</v>
      </c>
      <c r="D1" s="13" t="s">
        <v>2</v>
      </c>
      <c r="E1" s="13" t="s">
        <v>740</v>
      </c>
      <c r="F1" s="13" t="s">
        <v>1145</v>
      </c>
      <c r="G1" s="13" t="s">
        <v>29</v>
      </c>
      <c r="H1" s="13" t="s">
        <v>28</v>
      </c>
      <c r="I1" s="13" t="s">
        <v>1</v>
      </c>
      <c r="J1" s="13" t="s">
        <v>604</v>
      </c>
      <c r="K1" s="13" t="s">
        <v>605</v>
      </c>
      <c r="L1" s="13" t="s">
        <v>5</v>
      </c>
      <c r="M1" s="13" t="s">
        <v>300</v>
      </c>
      <c r="N1" s="13" t="s">
        <v>606</v>
      </c>
      <c r="O1" s="13" t="s">
        <v>396</v>
      </c>
      <c r="P1" s="13" t="s">
        <v>773</v>
      </c>
      <c r="Q1" s="124" t="s">
        <v>11</v>
      </c>
      <c r="R1" s="136" t="s">
        <v>15</v>
      </c>
      <c r="S1" s="13" t="s">
        <v>938</v>
      </c>
      <c r="T1" s="13" t="s">
        <v>1153</v>
      </c>
      <c r="U1" s="126" t="s">
        <v>18</v>
      </c>
      <c r="V1" s="126" t="s">
        <v>19</v>
      </c>
      <c r="W1" s="126" t="s">
        <v>30</v>
      </c>
    </row>
    <row r="2" spans="1:23" x14ac:dyDescent="0.2">
      <c r="A2" s="18">
        <v>13710</v>
      </c>
      <c r="B2" s="18">
        <v>13711</v>
      </c>
      <c r="C2" s="18" t="s">
        <v>2959</v>
      </c>
      <c r="D2" s="18" t="s">
        <v>2960</v>
      </c>
      <c r="E2" s="12" t="s">
        <v>1477</v>
      </c>
      <c r="F2" s="18" t="s">
        <v>2961</v>
      </c>
      <c r="G2" s="18" t="s">
        <v>2962</v>
      </c>
      <c r="H2" s="12" t="s">
        <v>76</v>
      </c>
      <c r="I2" s="18" t="s">
        <v>235</v>
      </c>
      <c r="J2" s="12" t="s">
        <v>53</v>
      </c>
      <c r="K2" s="12" t="s">
        <v>314</v>
      </c>
      <c r="L2" s="12" t="s">
        <v>311</v>
      </c>
      <c r="M2" s="18" t="s">
        <v>2963</v>
      </c>
      <c r="N2" s="18" t="s">
        <v>62</v>
      </c>
      <c r="O2" s="12" t="s">
        <v>1219</v>
      </c>
      <c r="P2" s="145">
        <v>2293</v>
      </c>
      <c r="Q2" s="156">
        <v>1</v>
      </c>
      <c r="R2" s="150">
        <v>18100</v>
      </c>
      <c r="S2" s="158"/>
      <c r="T2" s="151">
        <v>415.03300000000002</v>
      </c>
      <c r="U2" s="155">
        <v>3.1100000000000002E-4</v>
      </c>
      <c r="V2" s="155">
        <v>5.39830304026599E-2</v>
      </c>
      <c r="W2" s="155">
        <v>6.0845310076957197E-3</v>
      </c>
    </row>
    <row r="3" spans="1:23" x14ac:dyDescent="0.2">
      <c r="A3" s="18">
        <v>13710</v>
      </c>
      <c r="B3" s="18">
        <v>13711</v>
      </c>
      <c r="C3" s="18" t="s">
        <v>2964</v>
      </c>
      <c r="D3" s="18" t="s">
        <v>2965</v>
      </c>
      <c r="E3" s="12" t="s">
        <v>430</v>
      </c>
      <c r="F3" s="18" t="s">
        <v>2966</v>
      </c>
      <c r="G3" s="18" t="s">
        <v>2967</v>
      </c>
      <c r="H3" s="12" t="s">
        <v>76</v>
      </c>
      <c r="I3" s="18" t="s">
        <v>235</v>
      </c>
      <c r="J3" s="12" t="s">
        <v>61</v>
      </c>
      <c r="K3" s="12" t="s">
        <v>314</v>
      </c>
      <c r="L3" s="12" t="s">
        <v>476</v>
      </c>
      <c r="M3" s="18" t="s">
        <v>759</v>
      </c>
      <c r="N3" s="18" t="s">
        <v>62</v>
      </c>
      <c r="O3" s="12" t="s">
        <v>1217</v>
      </c>
      <c r="P3" s="145">
        <v>754</v>
      </c>
      <c r="Q3" s="156">
        <v>3.3719999999999999</v>
      </c>
      <c r="R3" s="150">
        <v>8097</v>
      </c>
      <c r="S3" s="158"/>
      <c r="T3" s="151">
        <v>205.86500000000001</v>
      </c>
      <c r="U3" s="155">
        <v>3.9999999999999998E-6</v>
      </c>
      <c r="V3" s="155">
        <v>2.6776738791816999E-2</v>
      </c>
      <c r="W3" s="155">
        <v>3.0180576423466401E-3</v>
      </c>
    </row>
    <row r="4" spans="1:23" x14ac:dyDescent="0.2">
      <c r="A4" s="18">
        <v>13710</v>
      </c>
      <c r="B4" s="18">
        <v>13711</v>
      </c>
      <c r="C4" s="18" t="s">
        <v>2964</v>
      </c>
      <c r="D4" s="18" t="s">
        <v>2965</v>
      </c>
      <c r="E4" s="12" t="s">
        <v>430</v>
      </c>
      <c r="F4" s="18" t="s">
        <v>2968</v>
      </c>
      <c r="G4" s="18" t="s">
        <v>2969</v>
      </c>
      <c r="H4" s="12" t="s">
        <v>76</v>
      </c>
      <c r="I4" s="18" t="s">
        <v>235</v>
      </c>
      <c r="J4" s="12" t="s">
        <v>61</v>
      </c>
      <c r="K4" s="12" t="s">
        <v>314</v>
      </c>
      <c r="L4" s="12" t="s">
        <v>476</v>
      </c>
      <c r="M4" s="18" t="s">
        <v>759</v>
      </c>
      <c r="N4" s="18" t="s">
        <v>62</v>
      </c>
      <c r="O4" s="12" t="s">
        <v>1217</v>
      </c>
      <c r="P4" s="145">
        <v>1151</v>
      </c>
      <c r="Q4" s="156">
        <v>3.3719999999999999</v>
      </c>
      <c r="R4" s="150">
        <v>5237</v>
      </c>
      <c r="S4" s="158"/>
      <c r="T4" s="151">
        <v>203.25700000000001</v>
      </c>
      <c r="U4" s="155">
        <v>9.9999999999999995E-7</v>
      </c>
      <c r="V4" s="155">
        <v>2.6437482329098899E-2</v>
      </c>
      <c r="W4" s="155">
        <v>2.9798193950387E-3</v>
      </c>
    </row>
    <row r="5" spans="1:23" x14ac:dyDescent="0.2">
      <c r="A5" s="18">
        <v>13710</v>
      </c>
      <c r="B5" s="18">
        <v>13711</v>
      </c>
      <c r="C5" s="18" t="s">
        <v>2964</v>
      </c>
      <c r="D5" s="18" t="s">
        <v>2965</v>
      </c>
      <c r="E5" s="12" t="s">
        <v>430</v>
      </c>
      <c r="F5" s="18" t="s">
        <v>2970</v>
      </c>
      <c r="G5" s="18" t="s">
        <v>2971</v>
      </c>
      <c r="H5" s="12" t="s">
        <v>76</v>
      </c>
      <c r="I5" s="18" t="s">
        <v>235</v>
      </c>
      <c r="J5" s="12" t="s">
        <v>61</v>
      </c>
      <c r="K5" s="12" t="s">
        <v>314</v>
      </c>
      <c r="L5" s="12" t="s">
        <v>476</v>
      </c>
      <c r="M5" s="18" t="s">
        <v>759</v>
      </c>
      <c r="N5" s="18" t="s">
        <v>62</v>
      </c>
      <c r="O5" s="12" t="s">
        <v>1217</v>
      </c>
      <c r="P5" s="145">
        <v>279</v>
      </c>
      <c r="Q5" s="156">
        <v>3.3719999999999999</v>
      </c>
      <c r="R5" s="150">
        <v>13479</v>
      </c>
      <c r="S5" s="158"/>
      <c r="T5" s="151">
        <v>126.809</v>
      </c>
      <c r="U5" s="155">
        <v>9.9999999999999995E-7</v>
      </c>
      <c r="V5" s="155">
        <v>1.64939272047245E-2</v>
      </c>
      <c r="W5" s="155">
        <v>1.8590622046826999E-3</v>
      </c>
    </row>
    <row r="6" spans="1:23" x14ac:dyDescent="0.2">
      <c r="A6" s="18">
        <v>13710</v>
      </c>
      <c r="B6" s="18">
        <v>13711</v>
      </c>
      <c r="C6" s="18" t="s">
        <v>2972</v>
      </c>
      <c r="D6" s="18" t="s">
        <v>2973</v>
      </c>
      <c r="E6" s="12" t="s">
        <v>430</v>
      </c>
      <c r="F6" s="18" t="s">
        <v>2974</v>
      </c>
      <c r="G6" s="18" t="s">
        <v>2975</v>
      </c>
      <c r="H6" s="12" t="s">
        <v>76</v>
      </c>
      <c r="I6" s="18" t="s">
        <v>235</v>
      </c>
      <c r="J6" s="12" t="s">
        <v>61</v>
      </c>
      <c r="K6" s="12" t="s">
        <v>314</v>
      </c>
      <c r="L6" s="12" t="s">
        <v>479</v>
      </c>
      <c r="M6" s="18" t="s">
        <v>759</v>
      </c>
      <c r="N6" s="18" t="s">
        <v>62</v>
      </c>
      <c r="O6" s="12" t="s">
        <v>1217</v>
      </c>
      <c r="P6" s="145">
        <v>2347</v>
      </c>
      <c r="Q6" s="156">
        <v>3.3719999999999999</v>
      </c>
      <c r="R6" s="150">
        <v>22710</v>
      </c>
      <c r="S6" s="158"/>
      <c r="T6" s="151">
        <v>1797.288</v>
      </c>
      <c r="U6" s="155">
        <v>0</v>
      </c>
      <c r="V6" s="155">
        <v>0.23377196141957801</v>
      </c>
      <c r="W6" s="155">
        <v>2.6348886629328199E-2</v>
      </c>
    </row>
    <row r="7" spans="1:23" x14ac:dyDescent="0.2">
      <c r="A7" s="18">
        <v>13710</v>
      </c>
      <c r="B7" s="18">
        <v>13711</v>
      </c>
      <c r="C7" s="18" t="s">
        <v>2976</v>
      </c>
      <c r="D7" s="18" t="s">
        <v>2977</v>
      </c>
      <c r="E7" s="12" t="s">
        <v>430</v>
      </c>
      <c r="F7" s="18" t="s">
        <v>2978</v>
      </c>
      <c r="G7" s="18" t="s">
        <v>2979</v>
      </c>
      <c r="H7" s="12" t="s">
        <v>76</v>
      </c>
      <c r="I7" s="18" t="s">
        <v>235</v>
      </c>
      <c r="J7" s="12" t="s">
        <v>61</v>
      </c>
      <c r="K7" s="12" t="s">
        <v>314</v>
      </c>
      <c r="L7" s="12" t="s">
        <v>494</v>
      </c>
      <c r="M7" s="18" t="s">
        <v>759</v>
      </c>
      <c r="N7" s="18" t="s">
        <v>62</v>
      </c>
      <c r="O7" s="12" t="s">
        <v>1217</v>
      </c>
      <c r="P7" s="145">
        <v>4556</v>
      </c>
      <c r="Q7" s="156">
        <v>3.3719999999999999</v>
      </c>
      <c r="R7" s="150">
        <v>3929</v>
      </c>
      <c r="S7" s="158"/>
      <c r="T7" s="151">
        <v>603.60599999999999</v>
      </c>
      <c r="U7" s="155">
        <v>3.4E-5</v>
      </c>
      <c r="V7" s="155">
        <v>7.8510535778986604E-2</v>
      </c>
      <c r="W7" s="155">
        <v>8.8490732331045607E-3</v>
      </c>
    </row>
    <row r="8" spans="1:23" x14ac:dyDescent="0.2">
      <c r="A8" s="18">
        <v>13710</v>
      </c>
      <c r="B8" s="18">
        <v>13711</v>
      </c>
      <c r="C8" s="18" t="s">
        <v>2972</v>
      </c>
      <c r="D8" s="18" t="s">
        <v>2973</v>
      </c>
      <c r="E8" s="12" t="s">
        <v>430</v>
      </c>
      <c r="F8" s="18" t="s">
        <v>2980</v>
      </c>
      <c r="G8" s="18" t="s">
        <v>2981</v>
      </c>
      <c r="H8" s="12" t="s">
        <v>76</v>
      </c>
      <c r="I8" s="18" t="s">
        <v>235</v>
      </c>
      <c r="J8" s="12" t="s">
        <v>61</v>
      </c>
      <c r="K8" s="12" t="s">
        <v>314</v>
      </c>
      <c r="L8" s="12" t="s">
        <v>494</v>
      </c>
      <c r="M8" s="18" t="s">
        <v>759</v>
      </c>
      <c r="N8" s="18" t="s">
        <v>62</v>
      </c>
      <c r="O8" s="12" t="s">
        <v>1217</v>
      </c>
      <c r="P8" s="145">
        <v>1107</v>
      </c>
      <c r="Q8" s="156">
        <v>3.3719999999999999</v>
      </c>
      <c r="R8" s="150">
        <v>55164</v>
      </c>
      <c r="S8" s="159">
        <v>0.49</v>
      </c>
      <c r="T8" s="151">
        <v>2060.817</v>
      </c>
      <c r="U8" s="155">
        <v>0</v>
      </c>
      <c r="V8" s="155">
        <v>0.26804897027656799</v>
      </c>
      <c r="W8" s="155">
        <v>3.02123141117384E-2</v>
      </c>
    </row>
    <row r="9" spans="1:23" x14ac:dyDescent="0.2">
      <c r="A9" s="18">
        <v>13710</v>
      </c>
      <c r="B9" s="18">
        <v>13711</v>
      </c>
      <c r="C9" s="18" t="s">
        <v>2972</v>
      </c>
      <c r="D9" s="18" t="s">
        <v>2973</v>
      </c>
      <c r="E9" s="12" t="s">
        <v>430</v>
      </c>
      <c r="F9" s="18" t="s">
        <v>2982</v>
      </c>
      <c r="G9" s="18" t="s">
        <v>2983</v>
      </c>
      <c r="H9" s="12" t="s">
        <v>76</v>
      </c>
      <c r="I9" s="18" t="s">
        <v>235</v>
      </c>
      <c r="J9" s="12" t="s">
        <v>61</v>
      </c>
      <c r="K9" s="12" t="s">
        <v>314</v>
      </c>
      <c r="L9" s="12" t="s">
        <v>494</v>
      </c>
      <c r="M9" s="18" t="s">
        <v>759</v>
      </c>
      <c r="N9" s="18" t="s">
        <v>62</v>
      </c>
      <c r="O9" s="12" t="s">
        <v>1217</v>
      </c>
      <c r="P9" s="145">
        <v>530</v>
      </c>
      <c r="Q9" s="156">
        <v>3.3719999999999999</v>
      </c>
      <c r="R9" s="150">
        <v>122758</v>
      </c>
      <c r="S9" s="158"/>
      <c r="T9" s="151">
        <v>2193.8820000000001</v>
      </c>
      <c r="U9" s="155">
        <v>5.1999999999999997E-5</v>
      </c>
      <c r="V9" s="155">
        <v>0.28535656643979401</v>
      </c>
      <c r="W9" s="155">
        <v>3.2163086507032299E-2</v>
      </c>
    </row>
    <row r="10" spans="1:23" x14ac:dyDescent="0.2">
      <c r="A10" s="18">
        <v>13710</v>
      </c>
      <c r="B10" s="18">
        <v>13711</v>
      </c>
      <c r="C10" s="18" t="s">
        <v>2964</v>
      </c>
      <c r="D10" s="18" t="s">
        <v>2965</v>
      </c>
      <c r="E10" s="12" t="s">
        <v>430</v>
      </c>
      <c r="F10" s="18" t="s">
        <v>2984</v>
      </c>
      <c r="G10" s="18" t="s">
        <v>2985</v>
      </c>
      <c r="H10" s="12" t="s">
        <v>76</v>
      </c>
      <c r="I10" s="18" t="s">
        <v>235</v>
      </c>
      <c r="J10" s="12" t="s">
        <v>61</v>
      </c>
      <c r="K10" s="12" t="s">
        <v>314</v>
      </c>
      <c r="L10" s="12" t="s">
        <v>476</v>
      </c>
      <c r="M10" s="18" t="s">
        <v>759</v>
      </c>
      <c r="N10" s="18" t="s">
        <v>62</v>
      </c>
      <c r="O10" s="12" t="s">
        <v>1217</v>
      </c>
      <c r="P10" s="145">
        <v>292</v>
      </c>
      <c r="Q10" s="156">
        <v>3.3719999999999999</v>
      </c>
      <c r="R10" s="150">
        <v>8293</v>
      </c>
      <c r="S10" s="158"/>
      <c r="T10" s="151">
        <v>81.655000000000001</v>
      </c>
      <c r="U10" s="155">
        <v>0</v>
      </c>
      <c r="V10" s="155">
        <v>1.06207873567734E-2</v>
      </c>
      <c r="W10" s="155">
        <v>1.19708933560066E-3</v>
      </c>
    </row>
    <row r="11" spans="1:23" x14ac:dyDescent="0.2">
      <c r="A11" s="18">
        <v>13710</v>
      </c>
      <c r="B11" s="18">
        <v>15444</v>
      </c>
      <c r="C11" s="18" t="s">
        <v>2986</v>
      </c>
      <c r="D11" s="18" t="s">
        <v>2987</v>
      </c>
      <c r="E11" s="12" t="s">
        <v>1477</v>
      </c>
      <c r="F11" s="18" t="s">
        <v>2988</v>
      </c>
      <c r="G11" s="18" t="s">
        <v>2989</v>
      </c>
      <c r="H11" s="12" t="s">
        <v>76</v>
      </c>
      <c r="I11" s="18" t="s">
        <v>235</v>
      </c>
      <c r="J11" s="12" t="s">
        <v>53</v>
      </c>
      <c r="K11" s="12" t="s">
        <v>314</v>
      </c>
      <c r="L11" s="12" t="s">
        <v>311</v>
      </c>
      <c r="M11" s="18" t="s">
        <v>2990</v>
      </c>
      <c r="N11" s="18" t="s">
        <v>62</v>
      </c>
      <c r="O11" s="12" t="s">
        <v>1219</v>
      </c>
      <c r="P11" s="145">
        <v>4072</v>
      </c>
      <c r="Q11" s="156">
        <v>1</v>
      </c>
      <c r="R11" s="150">
        <v>8840</v>
      </c>
      <c r="S11" s="158"/>
      <c r="T11" s="151">
        <v>359.96499999999997</v>
      </c>
      <c r="U11" s="155">
        <v>1.0059999999999999E-3</v>
      </c>
      <c r="V11" s="155">
        <v>8.3844403783552596E-2</v>
      </c>
      <c r="W11" s="155">
        <v>4.3117716533849902E-2</v>
      </c>
    </row>
    <row r="12" spans="1:23" x14ac:dyDescent="0.2">
      <c r="A12" s="18">
        <v>13710</v>
      </c>
      <c r="B12" s="18">
        <v>15444</v>
      </c>
      <c r="C12" s="18" t="s">
        <v>2986</v>
      </c>
      <c r="D12" s="18" t="s">
        <v>2987</v>
      </c>
      <c r="E12" s="12" t="s">
        <v>1477</v>
      </c>
      <c r="F12" s="18" t="s">
        <v>2991</v>
      </c>
      <c r="G12" s="18" t="s">
        <v>2992</v>
      </c>
      <c r="H12" s="12" t="s">
        <v>76</v>
      </c>
      <c r="I12" s="18" t="s">
        <v>235</v>
      </c>
      <c r="J12" s="12" t="s">
        <v>53</v>
      </c>
      <c r="K12" s="12" t="s">
        <v>314</v>
      </c>
      <c r="L12" s="12" t="s">
        <v>311</v>
      </c>
      <c r="M12" s="18" t="s">
        <v>2990</v>
      </c>
      <c r="N12" s="18" t="s">
        <v>62</v>
      </c>
      <c r="O12" s="12" t="s">
        <v>1219</v>
      </c>
      <c r="P12" s="145">
        <v>4621</v>
      </c>
      <c r="Q12" s="156">
        <v>1</v>
      </c>
      <c r="R12" s="150">
        <v>7820</v>
      </c>
      <c r="S12" s="158"/>
      <c r="T12" s="151">
        <v>361.36200000000002</v>
      </c>
      <c r="U12" s="155">
        <v>1.9000000000000001E-4</v>
      </c>
      <c r="V12" s="155">
        <v>8.4169891636384706E-2</v>
      </c>
      <c r="W12" s="155">
        <v>4.3285101503392501E-2</v>
      </c>
    </row>
    <row r="13" spans="1:23" x14ac:dyDescent="0.2">
      <c r="A13" s="18">
        <v>13710</v>
      </c>
      <c r="B13" s="18">
        <v>15444</v>
      </c>
      <c r="C13" s="18" t="s">
        <v>2986</v>
      </c>
      <c r="D13" s="18" t="s">
        <v>2987</v>
      </c>
      <c r="E13" s="12" t="s">
        <v>1477</v>
      </c>
      <c r="F13" s="18" t="s">
        <v>2993</v>
      </c>
      <c r="G13" s="18" t="s">
        <v>2994</v>
      </c>
      <c r="H13" s="12" t="s">
        <v>76</v>
      </c>
      <c r="I13" s="18" t="s">
        <v>235</v>
      </c>
      <c r="J13" s="12" t="s">
        <v>53</v>
      </c>
      <c r="K13" s="12" t="s">
        <v>314</v>
      </c>
      <c r="L13" s="12" t="s">
        <v>311</v>
      </c>
      <c r="M13" s="18" t="s">
        <v>2990</v>
      </c>
      <c r="N13" s="18" t="s">
        <v>62</v>
      </c>
      <c r="O13" s="12" t="s">
        <v>1219</v>
      </c>
      <c r="P13" s="145">
        <v>1741</v>
      </c>
      <c r="Q13" s="156">
        <v>1</v>
      </c>
      <c r="R13" s="150">
        <v>6574</v>
      </c>
      <c r="S13" s="158"/>
      <c r="T13" s="151">
        <v>114.453</v>
      </c>
      <c r="U13" s="155">
        <v>3.8699999999999997E-4</v>
      </c>
      <c r="V13" s="155">
        <v>2.6658917909018399E-2</v>
      </c>
      <c r="W13" s="155">
        <v>1.37095812437003E-2</v>
      </c>
    </row>
    <row r="14" spans="1:23" x14ac:dyDescent="0.2">
      <c r="A14" s="18">
        <v>13710</v>
      </c>
      <c r="B14" s="18">
        <v>15444</v>
      </c>
      <c r="C14" s="18" t="s">
        <v>2959</v>
      </c>
      <c r="D14" s="18" t="s">
        <v>2960</v>
      </c>
      <c r="E14" s="12" t="s">
        <v>1477</v>
      </c>
      <c r="F14" s="18" t="s">
        <v>2995</v>
      </c>
      <c r="G14" s="18" t="s">
        <v>2996</v>
      </c>
      <c r="H14" s="12" t="s">
        <v>76</v>
      </c>
      <c r="I14" s="18" t="s">
        <v>235</v>
      </c>
      <c r="J14" s="12" t="s">
        <v>53</v>
      </c>
      <c r="K14" s="12" t="s">
        <v>314</v>
      </c>
      <c r="L14" s="12" t="s">
        <v>311</v>
      </c>
      <c r="M14" s="18" t="s">
        <v>2990</v>
      </c>
      <c r="N14" s="18" t="s">
        <v>62</v>
      </c>
      <c r="O14" s="12" t="s">
        <v>1219</v>
      </c>
      <c r="P14" s="145">
        <v>6947</v>
      </c>
      <c r="Q14" s="156">
        <v>1</v>
      </c>
      <c r="R14" s="150">
        <v>5943</v>
      </c>
      <c r="S14" s="158"/>
      <c r="T14" s="151">
        <v>412.86</v>
      </c>
      <c r="U14" s="155">
        <v>5.7000000000000003E-5</v>
      </c>
      <c r="V14" s="155">
        <v>9.61650087825318E-2</v>
      </c>
      <c r="W14" s="155">
        <v>4.9453695202658E-2</v>
      </c>
    </row>
    <row r="15" spans="1:23" x14ac:dyDescent="0.2">
      <c r="A15" s="18">
        <v>13710</v>
      </c>
      <c r="B15" s="18">
        <v>15444</v>
      </c>
      <c r="C15" s="18" t="s">
        <v>2959</v>
      </c>
      <c r="D15" s="18" t="s">
        <v>2960</v>
      </c>
      <c r="E15" s="12" t="s">
        <v>1477</v>
      </c>
      <c r="F15" s="18" t="s">
        <v>2961</v>
      </c>
      <c r="G15" s="18" t="s">
        <v>2962</v>
      </c>
      <c r="H15" s="12" t="s">
        <v>76</v>
      </c>
      <c r="I15" s="18" t="s">
        <v>235</v>
      </c>
      <c r="J15" s="12" t="s">
        <v>53</v>
      </c>
      <c r="K15" s="12" t="s">
        <v>314</v>
      </c>
      <c r="L15" s="12" t="s">
        <v>311</v>
      </c>
      <c r="M15" s="18" t="s">
        <v>2963</v>
      </c>
      <c r="N15" s="18" t="s">
        <v>62</v>
      </c>
      <c r="O15" s="12" t="s">
        <v>1219</v>
      </c>
      <c r="P15" s="145">
        <v>641</v>
      </c>
      <c r="Q15" s="156">
        <v>1</v>
      </c>
      <c r="R15" s="150">
        <v>18100</v>
      </c>
      <c r="S15" s="158"/>
      <c r="T15" s="151">
        <v>116.021</v>
      </c>
      <c r="U15" s="155">
        <v>8.7000000000000001E-5</v>
      </c>
      <c r="V15" s="155">
        <v>2.7024063384451898E-2</v>
      </c>
      <c r="W15" s="155">
        <v>1.3897360491842E-2</v>
      </c>
    </row>
    <row r="16" spans="1:23" x14ac:dyDescent="0.2">
      <c r="A16" s="18">
        <v>13710</v>
      </c>
      <c r="B16" s="18">
        <v>15444</v>
      </c>
      <c r="C16" s="18" t="s">
        <v>2959</v>
      </c>
      <c r="D16" s="18" t="s">
        <v>2960</v>
      </c>
      <c r="E16" s="12" t="s">
        <v>1477</v>
      </c>
      <c r="F16" s="18" t="s">
        <v>2997</v>
      </c>
      <c r="G16" s="18" t="s">
        <v>2998</v>
      </c>
      <c r="H16" s="12" t="s">
        <v>76</v>
      </c>
      <c r="I16" s="18" t="s">
        <v>235</v>
      </c>
      <c r="J16" s="12" t="s">
        <v>53</v>
      </c>
      <c r="K16" s="12"/>
      <c r="L16" s="12" t="s">
        <v>102</v>
      </c>
      <c r="M16" s="18" t="s">
        <v>2963</v>
      </c>
      <c r="N16" s="18" t="s">
        <v>62</v>
      </c>
      <c r="O16" s="12" t="s">
        <v>1219</v>
      </c>
      <c r="P16" s="145">
        <v>1488</v>
      </c>
      <c r="Q16" s="156">
        <v>1</v>
      </c>
      <c r="R16" s="150">
        <v>19320</v>
      </c>
      <c r="S16" s="158"/>
      <c r="T16" s="151">
        <v>287.48200000000003</v>
      </c>
      <c r="U16" s="155">
        <v>1.6799999999999999E-4</v>
      </c>
      <c r="V16" s="155">
        <v>6.6961334415870002E-2</v>
      </c>
      <c r="W16" s="155">
        <v>3.4435450737121003E-2</v>
      </c>
    </row>
    <row r="17" spans="1:23" x14ac:dyDescent="0.2">
      <c r="A17" s="18">
        <v>13710</v>
      </c>
      <c r="B17" s="18">
        <v>15444</v>
      </c>
      <c r="C17" s="18" t="s">
        <v>2999</v>
      </c>
      <c r="D17" s="18" t="s">
        <v>3000</v>
      </c>
      <c r="E17" s="12" t="s">
        <v>1477</v>
      </c>
      <c r="F17" s="18" t="s">
        <v>3001</v>
      </c>
      <c r="G17" s="18" t="s">
        <v>3002</v>
      </c>
      <c r="H17" s="12" t="s">
        <v>76</v>
      </c>
      <c r="I17" s="18" t="s">
        <v>235</v>
      </c>
      <c r="J17" s="12" t="s">
        <v>53</v>
      </c>
      <c r="K17" s="12" t="s">
        <v>314</v>
      </c>
      <c r="L17" s="12" t="s">
        <v>311</v>
      </c>
      <c r="M17" s="18" t="s">
        <v>2963</v>
      </c>
      <c r="N17" s="18" t="s">
        <v>62</v>
      </c>
      <c r="O17" s="12" t="s">
        <v>1219</v>
      </c>
      <c r="P17" s="145">
        <v>100</v>
      </c>
      <c r="Q17" s="156">
        <v>1</v>
      </c>
      <c r="R17" s="150">
        <v>39800</v>
      </c>
      <c r="S17" s="158"/>
      <c r="T17" s="151">
        <v>39.799999999999997</v>
      </c>
      <c r="U17" s="155">
        <v>6.0000000000000002E-6</v>
      </c>
      <c r="V17" s="155">
        <v>9.2703710767980396E-3</v>
      </c>
      <c r="W17" s="155">
        <v>4.7673692484577002E-3</v>
      </c>
    </row>
    <row r="18" spans="1:23" x14ac:dyDescent="0.2">
      <c r="A18" s="18">
        <v>13710</v>
      </c>
      <c r="B18" s="18">
        <v>15444</v>
      </c>
      <c r="C18" s="18" t="s">
        <v>2999</v>
      </c>
      <c r="D18" s="18" t="s">
        <v>3000</v>
      </c>
      <c r="E18" s="12" t="s">
        <v>1477</v>
      </c>
      <c r="F18" s="18" t="s">
        <v>3003</v>
      </c>
      <c r="G18" s="18" t="s">
        <v>3004</v>
      </c>
      <c r="H18" s="12" t="s">
        <v>76</v>
      </c>
      <c r="I18" s="18" t="s">
        <v>235</v>
      </c>
      <c r="J18" s="12" t="s">
        <v>53</v>
      </c>
      <c r="K18" s="12"/>
      <c r="L18" s="12" t="s">
        <v>102</v>
      </c>
      <c r="M18" s="18" t="s">
        <v>2963</v>
      </c>
      <c r="N18" s="18" t="s">
        <v>62</v>
      </c>
      <c r="O18" s="12" t="s">
        <v>1219</v>
      </c>
      <c r="P18" s="145">
        <v>2466</v>
      </c>
      <c r="Q18" s="156">
        <v>1</v>
      </c>
      <c r="R18" s="150">
        <v>8095</v>
      </c>
      <c r="S18" s="158"/>
      <c r="T18" s="151">
        <v>199.62299999999999</v>
      </c>
      <c r="U18" s="155">
        <v>2.6400000000000002E-4</v>
      </c>
      <c r="V18" s="155">
        <v>4.6496897094279697E-2</v>
      </c>
      <c r="W18" s="155">
        <v>2.39114352078919E-2</v>
      </c>
    </row>
    <row r="19" spans="1:23" x14ac:dyDescent="0.2">
      <c r="A19" s="18">
        <v>13710</v>
      </c>
      <c r="B19" s="18">
        <v>15444</v>
      </c>
      <c r="C19" s="18" t="s">
        <v>2999</v>
      </c>
      <c r="D19" s="18" t="s">
        <v>3000</v>
      </c>
      <c r="E19" s="12" t="s">
        <v>1477</v>
      </c>
      <c r="F19" s="18" t="s">
        <v>3005</v>
      </c>
      <c r="G19" s="18" t="s">
        <v>3006</v>
      </c>
      <c r="H19" s="12" t="s">
        <v>76</v>
      </c>
      <c r="I19" s="18" t="s">
        <v>235</v>
      </c>
      <c r="J19" s="12" t="s">
        <v>53</v>
      </c>
      <c r="K19" s="12" t="s">
        <v>314</v>
      </c>
      <c r="L19" s="12" t="s">
        <v>311</v>
      </c>
      <c r="M19" s="18" t="s">
        <v>2990</v>
      </c>
      <c r="N19" s="18" t="s">
        <v>62</v>
      </c>
      <c r="O19" s="12" t="s">
        <v>1219</v>
      </c>
      <c r="P19" s="145">
        <v>8426</v>
      </c>
      <c r="Q19" s="156">
        <v>1</v>
      </c>
      <c r="R19" s="150">
        <v>5389</v>
      </c>
      <c r="S19" s="158"/>
      <c r="T19" s="151">
        <v>454.077</v>
      </c>
      <c r="U19" s="155">
        <v>6.6000000000000005E-5</v>
      </c>
      <c r="V19" s="155">
        <v>0.105765416715859</v>
      </c>
      <c r="W19" s="155">
        <v>5.4390788785518097E-2</v>
      </c>
    </row>
    <row r="20" spans="1:23" x14ac:dyDescent="0.2">
      <c r="A20" s="6">
        <v>13710</v>
      </c>
      <c r="B20" s="6">
        <v>15444</v>
      </c>
      <c r="C20" s="6" t="s">
        <v>2972</v>
      </c>
      <c r="D20" s="6" t="s">
        <v>2973</v>
      </c>
      <c r="E20" s="12" t="s">
        <v>430</v>
      </c>
      <c r="F20" s="6" t="s">
        <v>2974</v>
      </c>
      <c r="G20" s="6" t="s">
        <v>2975</v>
      </c>
      <c r="H20" s="12" t="s">
        <v>76</v>
      </c>
      <c r="I20" s="18" t="s">
        <v>235</v>
      </c>
      <c r="J20" s="12" t="s">
        <v>61</v>
      </c>
      <c r="K20" s="12" t="s">
        <v>314</v>
      </c>
      <c r="L20" s="12" t="s">
        <v>479</v>
      </c>
      <c r="M20" s="18" t="s">
        <v>759</v>
      </c>
      <c r="N20" s="18" t="s">
        <v>62</v>
      </c>
      <c r="O20" s="6" t="s">
        <v>1217</v>
      </c>
      <c r="P20" s="145">
        <v>627</v>
      </c>
      <c r="Q20" s="129">
        <v>3.3719999999999999</v>
      </c>
      <c r="R20" s="157">
        <v>22710</v>
      </c>
      <c r="T20" s="131">
        <v>480.14499999999998</v>
      </c>
      <c r="U20" s="132">
        <v>0</v>
      </c>
      <c r="V20" s="132">
        <v>0.11183720054139699</v>
      </c>
      <c r="W20" s="132">
        <v>5.7513256619151999E-2</v>
      </c>
    </row>
    <row r="21" spans="1:23" x14ac:dyDescent="0.2">
      <c r="A21" s="6">
        <v>13710</v>
      </c>
      <c r="B21" s="6">
        <v>15444</v>
      </c>
      <c r="C21" s="6" t="s">
        <v>2976</v>
      </c>
      <c r="D21" s="6" t="s">
        <v>2977</v>
      </c>
      <c r="E21" s="3" t="s">
        <v>430</v>
      </c>
      <c r="F21" s="6" t="s">
        <v>2978</v>
      </c>
      <c r="G21" s="6" t="s">
        <v>2979</v>
      </c>
      <c r="H21" s="3" t="s">
        <v>76</v>
      </c>
      <c r="I21" s="6" t="s">
        <v>235</v>
      </c>
      <c r="J21" s="6" t="s">
        <v>61</v>
      </c>
      <c r="K21" s="6" t="s">
        <v>314</v>
      </c>
      <c r="L21" s="3" t="s">
        <v>494</v>
      </c>
      <c r="M21" s="6" t="s">
        <v>759</v>
      </c>
      <c r="N21" s="6" t="s">
        <v>62</v>
      </c>
      <c r="O21" s="6" t="s">
        <v>1217</v>
      </c>
      <c r="P21" s="137">
        <v>1359</v>
      </c>
      <c r="Q21" s="129">
        <v>3.3719999999999999</v>
      </c>
      <c r="R21" s="157">
        <v>3929</v>
      </c>
      <c r="T21" s="131">
        <v>180.048</v>
      </c>
      <c r="U21" s="132">
        <v>1.0000000000000001E-5</v>
      </c>
      <c r="V21" s="132">
        <v>4.1937554120078102E-2</v>
      </c>
      <c r="W21" s="132">
        <v>2.1566753284340601E-2</v>
      </c>
    </row>
    <row r="22" spans="1:23" x14ac:dyDescent="0.2">
      <c r="A22" s="6">
        <v>13710</v>
      </c>
      <c r="B22" s="6">
        <v>15444</v>
      </c>
      <c r="C22" s="6" t="s">
        <v>2976</v>
      </c>
      <c r="D22" s="6" t="s">
        <v>2977</v>
      </c>
      <c r="E22" s="3" t="s">
        <v>430</v>
      </c>
      <c r="F22" s="6" t="s">
        <v>3007</v>
      </c>
      <c r="G22" s="6" t="s">
        <v>3008</v>
      </c>
      <c r="H22" s="6" t="s">
        <v>76</v>
      </c>
      <c r="I22" s="6" t="s">
        <v>235</v>
      </c>
      <c r="J22" s="6" t="s">
        <v>61</v>
      </c>
      <c r="K22" s="6" t="s">
        <v>67</v>
      </c>
      <c r="L22" s="3" t="s">
        <v>102</v>
      </c>
      <c r="M22" s="6" t="s">
        <v>759</v>
      </c>
      <c r="N22" s="6" t="s">
        <v>62</v>
      </c>
      <c r="O22" s="6" t="s">
        <v>1214</v>
      </c>
      <c r="P22" s="137">
        <v>2658</v>
      </c>
      <c r="Q22" s="129">
        <v>2.2031999999999998</v>
      </c>
      <c r="R22" s="157">
        <v>3459</v>
      </c>
      <c r="T22" s="131">
        <v>202.56299999999999</v>
      </c>
      <c r="U22" s="132">
        <v>0</v>
      </c>
      <c r="V22" s="132">
        <v>4.7181691650288703E-2</v>
      </c>
      <c r="W22" s="132">
        <v>2.42635967859758E-2</v>
      </c>
    </row>
    <row r="23" spans="1:23" x14ac:dyDescent="0.2">
      <c r="A23" s="6">
        <v>13710</v>
      </c>
      <c r="B23" s="6">
        <v>15444</v>
      </c>
      <c r="C23" s="6" t="s">
        <v>3009</v>
      </c>
      <c r="D23" s="6" t="s">
        <v>3010</v>
      </c>
      <c r="E23" s="3" t="s">
        <v>430</v>
      </c>
      <c r="F23" s="6" t="s">
        <v>3011</v>
      </c>
      <c r="G23" s="6" t="s">
        <v>3012</v>
      </c>
      <c r="H23" s="6" t="s">
        <v>76</v>
      </c>
      <c r="I23" s="6" t="s">
        <v>235</v>
      </c>
      <c r="J23" s="6" t="s">
        <v>61</v>
      </c>
      <c r="K23" s="6" t="s">
        <v>203</v>
      </c>
      <c r="L23" s="6" t="s">
        <v>486</v>
      </c>
      <c r="M23" s="6" t="s">
        <v>759</v>
      </c>
      <c r="N23" s="6" t="s">
        <v>62</v>
      </c>
      <c r="O23" s="6" t="s">
        <v>1215</v>
      </c>
      <c r="P23" s="137">
        <v>164</v>
      </c>
      <c r="Q23" s="129">
        <v>3.9552</v>
      </c>
      <c r="R23" s="157">
        <v>25882</v>
      </c>
      <c r="T23" s="131">
        <v>167.88399999999999</v>
      </c>
      <c r="U23" s="132">
        <v>0</v>
      </c>
      <c r="V23" s="132">
        <v>3.9104269422537002E-2</v>
      </c>
      <c r="W23" s="132">
        <v>2.0109711896537999E-2</v>
      </c>
    </row>
    <row r="24" spans="1:23" x14ac:dyDescent="0.2">
      <c r="A24" s="6">
        <v>13710</v>
      </c>
      <c r="B24" s="6">
        <v>15444</v>
      </c>
      <c r="C24" s="6" t="s">
        <v>3009</v>
      </c>
      <c r="D24" s="6" t="s">
        <v>3010</v>
      </c>
      <c r="E24" s="3" t="s">
        <v>430</v>
      </c>
      <c r="F24" s="6" t="s">
        <v>3013</v>
      </c>
      <c r="G24" s="6" t="s">
        <v>3014</v>
      </c>
      <c r="H24" s="6" t="s">
        <v>76</v>
      </c>
      <c r="I24" s="6" t="s">
        <v>235</v>
      </c>
      <c r="J24" s="6" t="s">
        <v>61</v>
      </c>
      <c r="L24" s="6" t="s">
        <v>102</v>
      </c>
      <c r="M24" s="6" t="s">
        <v>759</v>
      </c>
      <c r="N24" s="6" t="s">
        <v>62</v>
      </c>
      <c r="O24" s="6" t="s">
        <v>1217</v>
      </c>
      <c r="P24" s="137">
        <v>283</v>
      </c>
      <c r="Q24" s="129">
        <v>3.3719999999999999</v>
      </c>
      <c r="R24" s="157">
        <v>44471</v>
      </c>
      <c r="T24" s="131">
        <v>424.37599999999998</v>
      </c>
      <c r="U24" s="132">
        <v>0</v>
      </c>
      <c r="V24" s="132">
        <v>9.8847330084073301E-2</v>
      </c>
      <c r="W24" s="132">
        <v>5.0833102346289703E-2</v>
      </c>
    </row>
    <row r="25" spans="1:23" x14ac:dyDescent="0.2">
      <c r="A25" s="6">
        <v>13710</v>
      </c>
      <c r="B25" s="6">
        <v>15444</v>
      </c>
      <c r="C25" s="6" t="s">
        <v>2972</v>
      </c>
      <c r="D25" s="6" t="s">
        <v>2973</v>
      </c>
      <c r="E25" s="3" t="s">
        <v>430</v>
      </c>
      <c r="F25" s="6" t="s">
        <v>2982</v>
      </c>
      <c r="G25" s="6" t="s">
        <v>2983</v>
      </c>
      <c r="H25" s="6" t="s">
        <v>76</v>
      </c>
      <c r="I25" s="6" t="s">
        <v>235</v>
      </c>
      <c r="J25" s="6" t="s">
        <v>61</v>
      </c>
      <c r="K25" s="6" t="s">
        <v>314</v>
      </c>
      <c r="L25" s="6" t="s">
        <v>494</v>
      </c>
      <c r="M25" s="6" t="s">
        <v>759</v>
      </c>
      <c r="N25" s="6" t="s">
        <v>62</v>
      </c>
      <c r="O25" s="6" t="s">
        <v>1217</v>
      </c>
      <c r="P25" s="137">
        <v>119</v>
      </c>
      <c r="Q25" s="129">
        <v>3.3719999999999999</v>
      </c>
      <c r="R25" s="157">
        <v>122758</v>
      </c>
      <c r="T25" s="131">
        <v>492.589</v>
      </c>
      <c r="U25" s="132">
        <v>1.2E-5</v>
      </c>
      <c r="V25" s="132">
        <v>0.11473564938288</v>
      </c>
      <c r="W25" s="132">
        <v>5.9003809236803102E-2</v>
      </c>
    </row>
    <row r="26" spans="1:23" x14ac:dyDescent="0.2">
      <c r="A26" s="6">
        <v>559</v>
      </c>
      <c r="B26" s="6">
        <v>556</v>
      </c>
      <c r="C26" s="6" t="s">
        <v>2964</v>
      </c>
      <c r="D26" s="6" t="s">
        <v>2965</v>
      </c>
      <c r="E26" s="3" t="s">
        <v>430</v>
      </c>
      <c r="F26" s="6" t="s">
        <v>2966</v>
      </c>
      <c r="G26" s="6" t="s">
        <v>2967</v>
      </c>
      <c r="H26" s="6" t="s">
        <v>76</v>
      </c>
      <c r="I26" s="6" t="s">
        <v>235</v>
      </c>
      <c r="J26" s="6" t="s">
        <v>61</v>
      </c>
      <c r="K26" s="6" t="s">
        <v>314</v>
      </c>
      <c r="L26" s="6" t="s">
        <v>476</v>
      </c>
      <c r="M26" s="6" t="s">
        <v>759</v>
      </c>
      <c r="N26" s="6" t="s">
        <v>62</v>
      </c>
      <c r="O26" s="6" t="s">
        <v>1217</v>
      </c>
      <c r="P26" s="137">
        <v>5377</v>
      </c>
      <c r="Q26" s="129">
        <v>3.3719999999999999</v>
      </c>
      <c r="R26" s="157">
        <v>8097</v>
      </c>
      <c r="T26" s="131">
        <v>1468.087</v>
      </c>
      <c r="U26" s="132">
        <v>2.5999999999999998E-5</v>
      </c>
      <c r="V26" s="132">
        <v>0.10629341581151799</v>
      </c>
      <c r="W26" s="132">
        <v>4.4022356528131898E-3</v>
      </c>
    </row>
    <row r="27" spans="1:23" x14ac:dyDescent="0.2">
      <c r="A27" s="6">
        <v>559</v>
      </c>
      <c r="B27" s="6">
        <v>556</v>
      </c>
      <c r="C27" s="6" t="s">
        <v>2964</v>
      </c>
      <c r="D27" s="6" t="s">
        <v>2965</v>
      </c>
      <c r="E27" s="3" t="s">
        <v>430</v>
      </c>
      <c r="F27" s="6" t="s">
        <v>2968</v>
      </c>
      <c r="G27" s="6" t="s">
        <v>2969</v>
      </c>
      <c r="H27" s="6" t="s">
        <v>76</v>
      </c>
      <c r="I27" s="6" t="s">
        <v>235</v>
      </c>
      <c r="J27" s="6" t="s">
        <v>61</v>
      </c>
      <c r="K27" s="6" t="s">
        <v>314</v>
      </c>
      <c r="L27" s="6" t="s">
        <v>476</v>
      </c>
      <c r="M27" s="6" t="s">
        <v>759</v>
      </c>
      <c r="N27" s="6" t="s">
        <v>62</v>
      </c>
      <c r="O27" s="6" t="s">
        <v>1217</v>
      </c>
      <c r="P27" s="137">
        <v>5241</v>
      </c>
      <c r="Q27" s="129">
        <v>3.3719999999999999</v>
      </c>
      <c r="R27" s="157">
        <v>5237</v>
      </c>
      <c r="T27" s="131">
        <v>925.51700000000005</v>
      </c>
      <c r="U27" s="132">
        <v>6.0000000000000002E-6</v>
      </c>
      <c r="V27" s="132">
        <v>6.7009892539208499E-2</v>
      </c>
      <c r="W27" s="132">
        <v>2.7752738565705198E-3</v>
      </c>
    </row>
    <row r="28" spans="1:23" x14ac:dyDescent="0.2">
      <c r="A28" s="6">
        <v>559</v>
      </c>
      <c r="B28" s="6">
        <v>556</v>
      </c>
      <c r="C28" s="6" t="s">
        <v>2964</v>
      </c>
      <c r="D28" s="6" t="s">
        <v>2965</v>
      </c>
      <c r="E28" s="3" t="s">
        <v>430</v>
      </c>
      <c r="F28" s="6" t="s">
        <v>2970</v>
      </c>
      <c r="G28" s="6" t="s">
        <v>2971</v>
      </c>
      <c r="H28" s="6" t="s">
        <v>76</v>
      </c>
      <c r="I28" s="6" t="s">
        <v>235</v>
      </c>
      <c r="J28" s="6" t="s">
        <v>61</v>
      </c>
      <c r="K28" s="6" t="s">
        <v>314</v>
      </c>
      <c r="L28" s="6" t="s">
        <v>476</v>
      </c>
      <c r="M28" s="6" t="s">
        <v>759</v>
      </c>
      <c r="N28" s="6" t="s">
        <v>62</v>
      </c>
      <c r="O28" s="6" t="s">
        <v>1217</v>
      </c>
      <c r="P28" s="137">
        <v>1458</v>
      </c>
      <c r="Q28" s="129">
        <v>3.3719999999999999</v>
      </c>
      <c r="R28" s="157">
        <v>13479</v>
      </c>
      <c r="T28" s="131">
        <v>662.678</v>
      </c>
      <c r="U28" s="132">
        <v>6.9999999999999999E-6</v>
      </c>
      <c r="V28" s="132">
        <v>4.7979684203607799E-2</v>
      </c>
      <c r="W28" s="132">
        <v>1.9871209782775E-3</v>
      </c>
    </row>
    <row r="29" spans="1:23" x14ac:dyDescent="0.2">
      <c r="A29" s="6">
        <v>559</v>
      </c>
      <c r="B29" s="6">
        <v>556</v>
      </c>
      <c r="C29" s="6" t="s">
        <v>2972</v>
      </c>
      <c r="D29" s="6" t="s">
        <v>2973</v>
      </c>
      <c r="E29" s="3" t="s">
        <v>430</v>
      </c>
      <c r="F29" s="6" t="s">
        <v>2974</v>
      </c>
      <c r="G29" s="6" t="s">
        <v>2975</v>
      </c>
      <c r="H29" s="6" t="s">
        <v>76</v>
      </c>
      <c r="I29" s="6" t="s">
        <v>235</v>
      </c>
      <c r="J29" s="6" t="s">
        <v>61</v>
      </c>
      <c r="K29" s="6" t="s">
        <v>314</v>
      </c>
      <c r="L29" s="6" t="s">
        <v>479</v>
      </c>
      <c r="M29" s="6" t="s">
        <v>759</v>
      </c>
      <c r="N29" s="6" t="s">
        <v>62</v>
      </c>
      <c r="O29" s="6" t="s">
        <v>1217</v>
      </c>
      <c r="P29" s="137">
        <v>2992</v>
      </c>
      <c r="Q29" s="129">
        <v>3.3719999999999999</v>
      </c>
      <c r="R29" s="157">
        <v>22710</v>
      </c>
      <c r="T29" s="131">
        <v>2291.2170000000001</v>
      </c>
      <c r="U29" s="132">
        <v>0</v>
      </c>
      <c r="V29" s="132">
        <v>0.16589026896412301</v>
      </c>
      <c r="W29" s="132">
        <v>6.8704919388760501E-3</v>
      </c>
    </row>
    <row r="30" spans="1:23" x14ac:dyDescent="0.2">
      <c r="A30" s="6">
        <v>559</v>
      </c>
      <c r="B30" s="6">
        <v>556</v>
      </c>
      <c r="C30" s="6" t="s">
        <v>2976</v>
      </c>
      <c r="D30" s="6" t="s">
        <v>2977</v>
      </c>
      <c r="E30" s="3" t="s">
        <v>430</v>
      </c>
      <c r="F30" s="6" t="s">
        <v>2978</v>
      </c>
      <c r="G30" s="6" t="s">
        <v>2979</v>
      </c>
      <c r="H30" s="6" t="s">
        <v>76</v>
      </c>
      <c r="I30" s="6" t="s">
        <v>235</v>
      </c>
      <c r="J30" s="6" t="s">
        <v>61</v>
      </c>
      <c r="K30" s="6" t="s">
        <v>314</v>
      </c>
      <c r="L30" s="6" t="s">
        <v>494</v>
      </c>
      <c r="M30" s="6" t="s">
        <v>759</v>
      </c>
      <c r="N30" s="6" t="s">
        <v>62</v>
      </c>
      <c r="O30" s="6" t="s">
        <v>1217</v>
      </c>
      <c r="P30" s="137">
        <v>8476</v>
      </c>
      <c r="Q30" s="129">
        <v>3.3719999999999999</v>
      </c>
      <c r="R30" s="157">
        <v>3929</v>
      </c>
      <c r="T30" s="131">
        <v>1122.95</v>
      </c>
      <c r="U30" s="132">
        <v>6.3E-5</v>
      </c>
      <c r="V30" s="132">
        <v>8.1304608835922595E-2</v>
      </c>
      <c r="W30" s="132">
        <v>3.3673021515293602E-3</v>
      </c>
    </row>
    <row r="31" spans="1:23" x14ac:dyDescent="0.2">
      <c r="A31" s="6">
        <v>559</v>
      </c>
      <c r="B31" s="6">
        <v>556</v>
      </c>
      <c r="C31" s="6" t="s">
        <v>3009</v>
      </c>
      <c r="D31" s="6" t="s">
        <v>3010</v>
      </c>
      <c r="E31" s="3" t="s">
        <v>430</v>
      </c>
      <c r="F31" s="6" t="s">
        <v>3011</v>
      </c>
      <c r="G31" s="6" t="s">
        <v>3012</v>
      </c>
      <c r="H31" s="6" t="s">
        <v>76</v>
      </c>
      <c r="I31" s="6" t="s">
        <v>235</v>
      </c>
      <c r="J31" s="6" t="s">
        <v>61</v>
      </c>
      <c r="K31" s="6" t="s">
        <v>203</v>
      </c>
      <c r="L31" s="6" t="s">
        <v>486</v>
      </c>
      <c r="M31" s="6" t="s">
        <v>759</v>
      </c>
      <c r="N31" s="6" t="s">
        <v>62</v>
      </c>
      <c r="O31" s="6" t="s">
        <v>1215</v>
      </c>
      <c r="P31" s="137">
        <v>687</v>
      </c>
      <c r="Q31" s="129">
        <v>3.9552</v>
      </c>
      <c r="R31" s="157">
        <v>25882</v>
      </c>
      <c r="T31" s="131">
        <v>703.27200000000005</v>
      </c>
      <c r="U31" s="132">
        <v>0</v>
      </c>
      <c r="V31" s="132">
        <v>5.0918739127717702E-2</v>
      </c>
      <c r="W31" s="132">
        <v>2.10884453258905E-3</v>
      </c>
    </row>
    <row r="32" spans="1:23" x14ac:dyDescent="0.2">
      <c r="A32" s="6">
        <v>559</v>
      </c>
      <c r="B32" s="6">
        <v>556</v>
      </c>
      <c r="C32" s="6" t="s">
        <v>2972</v>
      </c>
      <c r="D32" s="6" t="s">
        <v>2973</v>
      </c>
      <c r="E32" s="3" t="s">
        <v>430</v>
      </c>
      <c r="F32" s="6" t="s">
        <v>2980</v>
      </c>
      <c r="G32" s="6" t="s">
        <v>2981</v>
      </c>
      <c r="H32" s="6" t="s">
        <v>76</v>
      </c>
      <c r="I32" s="6" t="s">
        <v>235</v>
      </c>
      <c r="J32" s="6" t="s">
        <v>61</v>
      </c>
      <c r="K32" s="6" t="s">
        <v>314</v>
      </c>
      <c r="L32" s="6" t="s">
        <v>494</v>
      </c>
      <c r="M32" s="6" t="s">
        <v>759</v>
      </c>
      <c r="N32" s="6" t="s">
        <v>62</v>
      </c>
      <c r="O32" s="6" t="s">
        <v>1217</v>
      </c>
      <c r="P32" s="137">
        <v>3380</v>
      </c>
      <c r="Q32" s="129">
        <v>3.3719999999999999</v>
      </c>
      <c r="R32" s="157">
        <v>55164</v>
      </c>
      <c r="S32" s="161">
        <v>1.4970000000000001</v>
      </c>
      <c r="T32" s="131">
        <v>6292.2879999999996</v>
      </c>
      <c r="U32" s="132">
        <v>0</v>
      </c>
      <c r="V32" s="132">
        <v>0.45557849205621798</v>
      </c>
      <c r="W32" s="132">
        <v>1.88681854381373E-2</v>
      </c>
    </row>
    <row r="33" spans="1:23" x14ac:dyDescent="0.2">
      <c r="A33" s="6">
        <v>559</v>
      </c>
      <c r="B33" s="6">
        <v>556</v>
      </c>
      <c r="C33" s="6" t="s">
        <v>2964</v>
      </c>
      <c r="D33" s="6" t="s">
        <v>2965</v>
      </c>
      <c r="E33" s="3" t="s">
        <v>430</v>
      </c>
      <c r="F33" s="6" t="s">
        <v>2984</v>
      </c>
      <c r="G33" s="6" t="s">
        <v>2985</v>
      </c>
      <c r="H33" s="6" t="s">
        <v>76</v>
      </c>
      <c r="I33" s="6" t="s">
        <v>235</v>
      </c>
      <c r="J33" s="6" t="s">
        <v>61</v>
      </c>
      <c r="K33" s="6" t="s">
        <v>314</v>
      </c>
      <c r="L33" s="6" t="s">
        <v>476</v>
      </c>
      <c r="M33" s="6" t="s">
        <v>759</v>
      </c>
      <c r="N33" s="6" t="s">
        <v>62</v>
      </c>
      <c r="O33" s="6" t="s">
        <v>1217</v>
      </c>
      <c r="P33" s="137">
        <v>1236</v>
      </c>
      <c r="Q33" s="129">
        <v>3.3719999999999999</v>
      </c>
      <c r="R33" s="157">
        <v>8293</v>
      </c>
      <c r="T33" s="131">
        <v>345.63499999999999</v>
      </c>
      <c r="U33" s="132">
        <v>0</v>
      </c>
      <c r="V33" s="132">
        <v>2.5024898461684798E-2</v>
      </c>
      <c r="W33" s="132">
        <v>1.0364282620421901E-3</v>
      </c>
    </row>
    <row r="34" spans="1:23" x14ac:dyDescent="0.2">
      <c r="A34" s="6">
        <v>559</v>
      </c>
      <c r="B34" s="6">
        <v>7205</v>
      </c>
      <c r="C34" s="6" t="s">
        <v>2964</v>
      </c>
      <c r="D34" s="6" t="s">
        <v>2965</v>
      </c>
      <c r="E34" s="3" t="s">
        <v>430</v>
      </c>
      <c r="F34" s="6" t="s">
        <v>2966</v>
      </c>
      <c r="G34" s="6" t="s">
        <v>2967</v>
      </c>
      <c r="H34" s="6" t="s">
        <v>76</v>
      </c>
      <c r="I34" s="6" t="s">
        <v>235</v>
      </c>
      <c r="J34" s="6" t="s">
        <v>61</v>
      </c>
      <c r="K34" s="6" t="s">
        <v>314</v>
      </c>
      <c r="L34" s="6" t="s">
        <v>476</v>
      </c>
      <c r="M34" s="6" t="s">
        <v>759</v>
      </c>
      <c r="N34" s="6" t="s">
        <v>62</v>
      </c>
      <c r="O34" s="6" t="s">
        <v>1217</v>
      </c>
      <c r="P34" s="137">
        <v>40375</v>
      </c>
      <c r="Q34" s="129">
        <v>3.3719999999999999</v>
      </c>
      <c r="R34" s="157">
        <v>8097</v>
      </c>
      <c r="T34" s="131">
        <v>11023.62</v>
      </c>
      <c r="U34" s="132">
        <v>1.95E-4</v>
      </c>
      <c r="V34" s="132">
        <v>0.117291999330321</v>
      </c>
      <c r="W34" s="132">
        <v>5.7505717287708704E-3</v>
      </c>
    </row>
    <row r="35" spans="1:23" x14ac:dyDescent="0.2">
      <c r="A35" s="6">
        <v>559</v>
      </c>
      <c r="B35" s="6">
        <v>7205</v>
      </c>
      <c r="C35" s="6" t="s">
        <v>2964</v>
      </c>
      <c r="D35" s="6" t="s">
        <v>2965</v>
      </c>
      <c r="E35" s="3" t="s">
        <v>430</v>
      </c>
      <c r="F35" s="6" t="s">
        <v>2968</v>
      </c>
      <c r="G35" s="6" t="s">
        <v>2969</v>
      </c>
      <c r="H35" s="6" t="s">
        <v>76</v>
      </c>
      <c r="I35" s="6" t="s">
        <v>235</v>
      </c>
      <c r="J35" s="6" t="s">
        <v>61</v>
      </c>
      <c r="K35" s="6" t="s">
        <v>314</v>
      </c>
      <c r="L35" s="6" t="s">
        <v>476</v>
      </c>
      <c r="M35" s="6" t="s">
        <v>759</v>
      </c>
      <c r="N35" s="6" t="s">
        <v>62</v>
      </c>
      <c r="O35" s="6" t="s">
        <v>1217</v>
      </c>
      <c r="P35" s="137">
        <v>40308</v>
      </c>
      <c r="Q35" s="129">
        <v>3.3719999999999999</v>
      </c>
      <c r="R35" s="157">
        <v>5237</v>
      </c>
      <c r="T35" s="131">
        <v>7118.0559999999996</v>
      </c>
      <c r="U35" s="132">
        <v>4.5000000000000003E-5</v>
      </c>
      <c r="V35" s="132">
        <v>7.5736553561954606E-2</v>
      </c>
      <c r="W35" s="132">
        <v>3.7131985662668099E-3</v>
      </c>
    </row>
    <row r="36" spans="1:23" x14ac:dyDescent="0.2">
      <c r="A36" s="6">
        <v>559</v>
      </c>
      <c r="B36" s="6">
        <v>7205</v>
      </c>
      <c r="C36" s="6" t="s">
        <v>2964</v>
      </c>
      <c r="D36" s="6" t="s">
        <v>2965</v>
      </c>
      <c r="E36" s="3" t="s">
        <v>430</v>
      </c>
      <c r="F36" s="6" t="s">
        <v>2970</v>
      </c>
      <c r="G36" s="6" t="s">
        <v>2971</v>
      </c>
      <c r="H36" s="6" t="s">
        <v>76</v>
      </c>
      <c r="I36" s="6" t="s">
        <v>235</v>
      </c>
      <c r="J36" s="6" t="s">
        <v>61</v>
      </c>
      <c r="K36" s="6" t="s">
        <v>314</v>
      </c>
      <c r="L36" s="6" t="s">
        <v>476</v>
      </c>
      <c r="M36" s="6" t="s">
        <v>759</v>
      </c>
      <c r="N36" s="6" t="s">
        <v>62</v>
      </c>
      <c r="O36" s="6" t="s">
        <v>1217</v>
      </c>
      <c r="P36" s="137">
        <v>10657</v>
      </c>
      <c r="Q36" s="129">
        <v>3.3719999999999999</v>
      </c>
      <c r="R36" s="157">
        <v>13479</v>
      </c>
      <c r="T36" s="131">
        <v>4843.7330000000002</v>
      </c>
      <c r="U36" s="132">
        <v>5.0000000000000002E-5</v>
      </c>
      <c r="V36" s="132">
        <v>5.1537619368499203E-2</v>
      </c>
      <c r="W36" s="132">
        <v>2.52677743239756E-3</v>
      </c>
    </row>
    <row r="37" spans="1:23" x14ac:dyDescent="0.2">
      <c r="A37" s="6">
        <v>559</v>
      </c>
      <c r="B37" s="6">
        <v>7205</v>
      </c>
      <c r="C37" s="6" t="s">
        <v>2972</v>
      </c>
      <c r="D37" s="6" t="s">
        <v>2973</v>
      </c>
      <c r="E37" s="3" t="s">
        <v>430</v>
      </c>
      <c r="F37" s="6" t="s">
        <v>2974</v>
      </c>
      <c r="G37" s="6" t="s">
        <v>2975</v>
      </c>
      <c r="H37" s="6" t="s">
        <v>76</v>
      </c>
      <c r="I37" s="6" t="s">
        <v>235</v>
      </c>
      <c r="J37" s="6" t="s">
        <v>61</v>
      </c>
      <c r="K37" s="6" t="s">
        <v>314</v>
      </c>
      <c r="L37" s="6" t="s">
        <v>479</v>
      </c>
      <c r="M37" s="6" t="s">
        <v>759</v>
      </c>
      <c r="N37" s="6" t="s">
        <v>62</v>
      </c>
      <c r="O37" s="6" t="s">
        <v>1217</v>
      </c>
      <c r="P37" s="137">
        <v>14924</v>
      </c>
      <c r="Q37" s="129">
        <v>3.3719999999999999</v>
      </c>
      <c r="R37" s="157">
        <v>22710</v>
      </c>
      <c r="T37" s="131">
        <v>11428.519</v>
      </c>
      <c r="U37" s="132">
        <v>0</v>
      </c>
      <c r="V37" s="132">
        <v>0.121600143990064</v>
      </c>
      <c r="W37" s="132">
        <v>5.9617906953263102E-3</v>
      </c>
    </row>
    <row r="38" spans="1:23" x14ac:dyDescent="0.2">
      <c r="A38" s="6">
        <v>559</v>
      </c>
      <c r="B38" s="6">
        <v>7205</v>
      </c>
      <c r="C38" s="6" t="s">
        <v>2976</v>
      </c>
      <c r="D38" s="6" t="s">
        <v>2977</v>
      </c>
      <c r="E38" s="3" t="s">
        <v>430</v>
      </c>
      <c r="F38" s="6" t="s">
        <v>2978</v>
      </c>
      <c r="G38" s="6" t="s">
        <v>2979</v>
      </c>
      <c r="H38" s="6" t="s">
        <v>76</v>
      </c>
      <c r="I38" s="6" t="s">
        <v>235</v>
      </c>
      <c r="J38" s="6" t="s">
        <v>61</v>
      </c>
      <c r="K38" s="6" t="s">
        <v>314</v>
      </c>
      <c r="L38" s="6" t="s">
        <v>494</v>
      </c>
      <c r="M38" s="6" t="s">
        <v>759</v>
      </c>
      <c r="N38" s="6" t="s">
        <v>62</v>
      </c>
      <c r="O38" s="6" t="s">
        <v>1217</v>
      </c>
      <c r="P38" s="137">
        <v>52263</v>
      </c>
      <c r="Q38" s="129">
        <v>3.3719999999999999</v>
      </c>
      <c r="R38" s="157">
        <v>3929</v>
      </c>
      <c r="T38" s="131">
        <v>6924.11</v>
      </c>
      <c r="U38" s="132">
        <v>3.8999999999999999E-4</v>
      </c>
      <c r="V38" s="132">
        <v>7.3672953179452397E-2</v>
      </c>
      <c r="W38" s="132">
        <v>3.6120247258782799E-3</v>
      </c>
    </row>
    <row r="39" spans="1:23" x14ac:dyDescent="0.2">
      <c r="A39" s="6">
        <v>559</v>
      </c>
      <c r="B39" s="6">
        <v>7205</v>
      </c>
      <c r="C39" s="6" t="s">
        <v>3009</v>
      </c>
      <c r="D39" s="6" t="s">
        <v>3010</v>
      </c>
      <c r="E39" s="3" t="s">
        <v>430</v>
      </c>
      <c r="F39" s="6" t="s">
        <v>3011</v>
      </c>
      <c r="G39" s="6" t="s">
        <v>3012</v>
      </c>
      <c r="H39" s="6" t="s">
        <v>76</v>
      </c>
      <c r="I39" s="6" t="s">
        <v>235</v>
      </c>
      <c r="J39" s="6" t="s">
        <v>61</v>
      </c>
      <c r="K39" s="6" t="s">
        <v>203</v>
      </c>
      <c r="L39" s="6" t="s">
        <v>486</v>
      </c>
      <c r="M39" s="6" t="s">
        <v>759</v>
      </c>
      <c r="N39" s="6" t="s">
        <v>62</v>
      </c>
      <c r="O39" s="6" t="s">
        <v>1215</v>
      </c>
      <c r="P39" s="137">
        <v>4378</v>
      </c>
      <c r="Q39" s="129">
        <v>3.9552</v>
      </c>
      <c r="R39" s="157">
        <v>25882</v>
      </c>
      <c r="T39" s="131">
        <v>4481.692</v>
      </c>
      <c r="U39" s="132">
        <v>0</v>
      </c>
      <c r="V39" s="132">
        <v>4.7685483211464701E-2</v>
      </c>
      <c r="W39" s="132">
        <v>2.3379155713456898E-3</v>
      </c>
    </row>
    <row r="40" spans="1:23" x14ac:dyDescent="0.2">
      <c r="A40" s="6">
        <v>559</v>
      </c>
      <c r="B40" s="6">
        <v>7205</v>
      </c>
      <c r="C40" s="6" t="s">
        <v>2972</v>
      </c>
      <c r="D40" s="6" t="s">
        <v>2973</v>
      </c>
      <c r="E40" s="3" t="s">
        <v>430</v>
      </c>
      <c r="F40" s="6" t="s">
        <v>2980</v>
      </c>
      <c r="G40" s="6" t="s">
        <v>2981</v>
      </c>
      <c r="H40" s="6" t="s">
        <v>76</v>
      </c>
      <c r="I40" s="6" t="s">
        <v>235</v>
      </c>
      <c r="J40" s="6" t="s">
        <v>61</v>
      </c>
      <c r="K40" s="6" t="s">
        <v>314</v>
      </c>
      <c r="L40" s="6" t="s">
        <v>494</v>
      </c>
      <c r="M40" s="6" t="s">
        <v>759</v>
      </c>
      <c r="N40" s="6" t="s">
        <v>62</v>
      </c>
      <c r="O40" s="6" t="s">
        <v>1217</v>
      </c>
      <c r="P40" s="137">
        <v>24350</v>
      </c>
      <c r="Q40" s="129">
        <v>3.3719999999999999</v>
      </c>
      <c r="R40" s="157">
        <v>55164</v>
      </c>
      <c r="S40" s="161">
        <v>10.786</v>
      </c>
      <c r="T40" s="131">
        <v>45330.536</v>
      </c>
      <c r="U40" s="132">
        <v>0</v>
      </c>
      <c r="V40" s="132">
        <v>0.48231970574986199</v>
      </c>
      <c r="W40" s="132">
        <v>2.3647086586895901E-2</v>
      </c>
    </row>
    <row r="41" spans="1:23" x14ac:dyDescent="0.2">
      <c r="A41" s="6">
        <v>559</v>
      </c>
      <c r="B41" s="6">
        <v>7205</v>
      </c>
      <c r="C41" s="6" t="s">
        <v>2964</v>
      </c>
      <c r="D41" s="6" t="s">
        <v>2965</v>
      </c>
      <c r="E41" s="3" t="s">
        <v>430</v>
      </c>
      <c r="F41" s="6" t="s">
        <v>2984</v>
      </c>
      <c r="G41" s="6" t="s">
        <v>2985</v>
      </c>
      <c r="H41" s="6" t="s">
        <v>76</v>
      </c>
      <c r="I41" s="6" t="s">
        <v>235</v>
      </c>
      <c r="J41" s="6" t="s">
        <v>61</v>
      </c>
      <c r="K41" s="6" t="s">
        <v>314</v>
      </c>
      <c r="L41" s="6" t="s">
        <v>476</v>
      </c>
      <c r="M41" s="6" t="s">
        <v>759</v>
      </c>
      <c r="N41" s="6" t="s">
        <v>62</v>
      </c>
      <c r="O41" s="6" t="s">
        <v>1217</v>
      </c>
      <c r="P41" s="137">
        <v>10135</v>
      </c>
      <c r="Q41" s="129">
        <v>3.3719999999999999</v>
      </c>
      <c r="R41" s="157">
        <v>8293</v>
      </c>
      <c r="T41" s="131">
        <v>2834.1509999999998</v>
      </c>
      <c r="U41" s="132">
        <v>0</v>
      </c>
      <c r="V41" s="132">
        <v>3.01555416083817E-2</v>
      </c>
      <c r="W41" s="132">
        <v>1.47846064547477E-3</v>
      </c>
    </row>
    <row r="42" spans="1:23" x14ac:dyDescent="0.2">
      <c r="A42" s="6">
        <v>559</v>
      </c>
      <c r="B42" s="6">
        <v>7206</v>
      </c>
      <c r="C42" s="6" t="s">
        <v>2964</v>
      </c>
      <c r="D42" s="6" t="s">
        <v>2965</v>
      </c>
      <c r="E42" s="3" t="s">
        <v>430</v>
      </c>
      <c r="F42" s="6" t="s">
        <v>2966</v>
      </c>
      <c r="G42" s="6" t="s">
        <v>2967</v>
      </c>
      <c r="H42" s="6" t="s">
        <v>76</v>
      </c>
      <c r="I42" s="6" t="s">
        <v>235</v>
      </c>
      <c r="J42" s="6" t="s">
        <v>61</v>
      </c>
      <c r="K42" s="6" t="s">
        <v>314</v>
      </c>
      <c r="L42" s="6" t="s">
        <v>476</v>
      </c>
      <c r="M42" s="6" t="s">
        <v>759</v>
      </c>
      <c r="N42" s="6" t="s">
        <v>62</v>
      </c>
      <c r="O42" s="6" t="s">
        <v>1217</v>
      </c>
      <c r="P42" s="137">
        <v>1066</v>
      </c>
      <c r="Q42" s="129">
        <v>3.3719999999999999</v>
      </c>
      <c r="R42" s="157">
        <v>8097</v>
      </c>
      <c r="T42" s="131">
        <v>291.05099999999999</v>
      </c>
      <c r="U42" s="132">
        <v>5.0000000000000004E-6</v>
      </c>
      <c r="V42" s="132">
        <v>4.0974030018890897E-2</v>
      </c>
      <c r="W42" s="132">
        <v>3.3341397950896498E-3</v>
      </c>
    </row>
    <row r="43" spans="1:23" x14ac:dyDescent="0.2">
      <c r="A43" s="6">
        <v>559</v>
      </c>
      <c r="B43" s="6">
        <v>7206</v>
      </c>
      <c r="C43" s="6" t="s">
        <v>2964</v>
      </c>
      <c r="D43" s="6" t="s">
        <v>2965</v>
      </c>
      <c r="E43" s="3" t="s">
        <v>430</v>
      </c>
      <c r="F43" s="6" t="s">
        <v>2968</v>
      </c>
      <c r="G43" s="6" t="s">
        <v>2969</v>
      </c>
      <c r="H43" s="6" t="s">
        <v>76</v>
      </c>
      <c r="I43" s="6" t="s">
        <v>235</v>
      </c>
      <c r="J43" s="6" t="s">
        <v>61</v>
      </c>
      <c r="K43" s="6" t="s">
        <v>314</v>
      </c>
      <c r="L43" s="6" t="s">
        <v>476</v>
      </c>
      <c r="M43" s="6" t="s">
        <v>759</v>
      </c>
      <c r="N43" s="6" t="s">
        <v>62</v>
      </c>
      <c r="O43" s="6" t="s">
        <v>1217</v>
      </c>
      <c r="P43" s="137">
        <v>1436</v>
      </c>
      <c r="Q43" s="129">
        <v>3.3719999999999999</v>
      </c>
      <c r="R43" s="157">
        <v>5237</v>
      </c>
      <c r="T43" s="131">
        <v>253.58600000000001</v>
      </c>
      <c r="U43" s="132">
        <v>1.9999999999999999E-6</v>
      </c>
      <c r="V43" s="132">
        <v>3.5699682290319203E-2</v>
      </c>
      <c r="W43" s="132">
        <v>2.9049554398562598E-3</v>
      </c>
    </row>
    <row r="44" spans="1:23" x14ac:dyDescent="0.2">
      <c r="A44" s="6">
        <v>559</v>
      </c>
      <c r="B44" s="6">
        <v>7206</v>
      </c>
      <c r="C44" s="6" t="s">
        <v>2964</v>
      </c>
      <c r="D44" s="6" t="s">
        <v>2965</v>
      </c>
      <c r="E44" s="3" t="s">
        <v>430</v>
      </c>
      <c r="F44" s="6" t="s">
        <v>2970</v>
      </c>
      <c r="G44" s="6" t="s">
        <v>2971</v>
      </c>
      <c r="H44" s="6" t="s">
        <v>76</v>
      </c>
      <c r="I44" s="6" t="s">
        <v>235</v>
      </c>
      <c r="J44" s="6" t="s">
        <v>61</v>
      </c>
      <c r="K44" s="6" t="s">
        <v>314</v>
      </c>
      <c r="L44" s="6" t="s">
        <v>476</v>
      </c>
      <c r="M44" s="6" t="s">
        <v>759</v>
      </c>
      <c r="N44" s="6" t="s">
        <v>62</v>
      </c>
      <c r="O44" s="6" t="s">
        <v>1217</v>
      </c>
      <c r="P44" s="137">
        <v>417</v>
      </c>
      <c r="Q44" s="129">
        <v>3.3719999999999999</v>
      </c>
      <c r="R44" s="157">
        <v>13479</v>
      </c>
      <c r="T44" s="131">
        <v>189.53100000000001</v>
      </c>
      <c r="U44" s="132">
        <v>1.9999999999999999E-6</v>
      </c>
      <c r="V44" s="132">
        <v>2.6682165007546901E-2</v>
      </c>
      <c r="W44" s="132">
        <v>2.1711817980753999E-3</v>
      </c>
    </row>
    <row r="45" spans="1:23" x14ac:dyDescent="0.2">
      <c r="A45" s="6">
        <v>559</v>
      </c>
      <c r="B45" s="6">
        <v>7206</v>
      </c>
      <c r="C45" s="6" t="s">
        <v>2972</v>
      </c>
      <c r="D45" s="6" t="s">
        <v>2973</v>
      </c>
      <c r="E45" s="3" t="s">
        <v>430</v>
      </c>
      <c r="F45" s="6" t="s">
        <v>2974</v>
      </c>
      <c r="G45" s="6" t="s">
        <v>2975</v>
      </c>
      <c r="H45" s="6" t="s">
        <v>76</v>
      </c>
      <c r="I45" s="6" t="s">
        <v>235</v>
      </c>
      <c r="J45" s="6" t="s">
        <v>61</v>
      </c>
      <c r="K45" s="6" t="s">
        <v>314</v>
      </c>
      <c r="L45" s="6" t="s">
        <v>479</v>
      </c>
      <c r="M45" s="6" t="s">
        <v>759</v>
      </c>
      <c r="N45" s="6" t="s">
        <v>62</v>
      </c>
      <c r="O45" s="6" t="s">
        <v>1217</v>
      </c>
      <c r="P45" s="137">
        <v>1958</v>
      </c>
      <c r="Q45" s="129">
        <v>3.3719999999999999</v>
      </c>
      <c r="R45" s="157">
        <v>22710</v>
      </c>
      <c r="T45" s="131">
        <v>1499.4</v>
      </c>
      <c r="U45" s="132">
        <v>0</v>
      </c>
      <c r="V45" s="132">
        <v>0.21108489607428799</v>
      </c>
      <c r="W45" s="132">
        <v>1.7176405440694299E-2</v>
      </c>
    </row>
    <row r="46" spans="1:23" x14ac:dyDescent="0.2">
      <c r="A46" s="6">
        <v>559</v>
      </c>
      <c r="B46" s="6">
        <v>7206</v>
      </c>
      <c r="C46" s="6" t="s">
        <v>2976</v>
      </c>
      <c r="D46" s="6" t="s">
        <v>2977</v>
      </c>
      <c r="E46" s="3" t="s">
        <v>430</v>
      </c>
      <c r="F46" s="6" t="s">
        <v>2978</v>
      </c>
      <c r="G46" s="6" t="s">
        <v>2979</v>
      </c>
      <c r="H46" s="6" t="s">
        <v>76</v>
      </c>
      <c r="I46" s="6" t="s">
        <v>235</v>
      </c>
      <c r="J46" s="6" t="s">
        <v>61</v>
      </c>
      <c r="K46" s="6" t="s">
        <v>314</v>
      </c>
      <c r="L46" s="6" t="s">
        <v>494</v>
      </c>
      <c r="M46" s="6" t="s">
        <v>759</v>
      </c>
      <c r="N46" s="6" t="s">
        <v>62</v>
      </c>
      <c r="O46" s="6" t="s">
        <v>1217</v>
      </c>
      <c r="P46" s="137">
        <v>7147</v>
      </c>
      <c r="Q46" s="129">
        <v>3.3719999999999999</v>
      </c>
      <c r="R46" s="157">
        <v>3929</v>
      </c>
      <c r="T46" s="131">
        <v>946.87699999999995</v>
      </c>
      <c r="U46" s="132">
        <v>5.3000000000000001E-5</v>
      </c>
      <c r="V46" s="132">
        <v>0.13330092044251399</v>
      </c>
      <c r="W46" s="132">
        <v>1.0846965830907E-2</v>
      </c>
    </row>
    <row r="47" spans="1:23" x14ac:dyDescent="0.2">
      <c r="A47" s="6">
        <v>559</v>
      </c>
      <c r="B47" s="6">
        <v>7206</v>
      </c>
      <c r="C47" s="6" t="s">
        <v>2972</v>
      </c>
      <c r="D47" s="6" t="s">
        <v>2973</v>
      </c>
      <c r="E47" s="3" t="s">
        <v>430</v>
      </c>
      <c r="F47" s="6" t="s">
        <v>2980</v>
      </c>
      <c r="G47" s="6" t="s">
        <v>2981</v>
      </c>
      <c r="H47" s="6" t="s">
        <v>76</v>
      </c>
      <c r="I47" s="6" t="s">
        <v>235</v>
      </c>
      <c r="J47" s="6" t="s">
        <v>61</v>
      </c>
      <c r="K47" s="6" t="s">
        <v>314</v>
      </c>
      <c r="L47" s="6" t="s">
        <v>494</v>
      </c>
      <c r="M47" s="6" t="s">
        <v>759</v>
      </c>
      <c r="N47" s="6" t="s">
        <v>62</v>
      </c>
      <c r="O47" s="6" t="s">
        <v>1217</v>
      </c>
      <c r="P47" s="137">
        <v>1692</v>
      </c>
      <c r="Q47" s="129">
        <v>3.3719999999999999</v>
      </c>
      <c r="R47" s="157">
        <v>55164</v>
      </c>
      <c r="S47" s="161">
        <v>0.749</v>
      </c>
      <c r="T47" s="131">
        <v>3149.8670000000002</v>
      </c>
      <c r="U47" s="132">
        <v>0</v>
      </c>
      <c r="V47" s="132">
        <v>0.443437096252638</v>
      </c>
      <c r="W47" s="132">
        <v>3.6083374482648499E-2</v>
      </c>
    </row>
    <row r="48" spans="1:23" x14ac:dyDescent="0.2">
      <c r="A48" s="6">
        <v>559</v>
      </c>
      <c r="B48" s="6">
        <v>7206</v>
      </c>
      <c r="C48" s="6" t="s">
        <v>2972</v>
      </c>
      <c r="D48" s="6" t="s">
        <v>2973</v>
      </c>
      <c r="E48" s="3" t="s">
        <v>430</v>
      </c>
      <c r="F48" s="6" t="s">
        <v>2982</v>
      </c>
      <c r="G48" s="6" t="s">
        <v>2983</v>
      </c>
      <c r="H48" s="6" t="s">
        <v>76</v>
      </c>
      <c r="I48" s="6" t="s">
        <v>235</v>
      </c>
      <c r="J48" s="6" t="s">
        <v>61</v>
      </c>
      <c r="K48" s="6" t="s">
        <v>314</v>
      </c>
      <c r="L48" s="6" t="s">
        <v>494</v>
      </c>
      <c r="M48" s="6" t="s">
        <v>759</v>
      </c>
      <c r="N48" s="6" t="s">
        <v>62</v>
      </c>
      <c r="O48" s="6" t="s">
        <v>1217</v>
      </c>
      <c r="P48" s="137">
        <v>166</v>
      </c>
      <c r="Q48" s="129">
        <v>3.3719999999999999</v>
      </c>
      <c r="R48" s="157">
        <v>122758</v>
      </c>
      <c r="T48" s="131">
        <v>687.14</v>
      </c>
      <c r="U48" s="132">
        <v>1.5999999999999999E-5</v>
      </c>
      <c r="V48" s="132">
        <v>9.6735354950655106E-2</v>
      </c>
      <c r="W48" s="132">
        <v>7.8715517215270699E-3</v>
      </c>
    </row>
    <row r="49" spans="1:23" x14ac:dyDescent="0.2">
      <c r="A49" s="6">
        <v>559</v>
      </c>
      <c r="B49" s="6">
        <v>7206</v>
      </c>
      <c r="C49" s="6" t="s">
        <v>2964</v>
      </c>
      <c r="D49" s="6" t="s">
        <v>2965</v>
      </c>
      <c r="E49" s="3" t="s">
        <v>430</v>
      </c>
      <c r="F49" s="6" t="s">
        <v>2984</v>
      </c>
      <c r="G49" s="6" t="s">
        <v>2985</v>
      </c>
      <c r="H49" s="6" t="s">
        <v>76</v>
      </c>
      <c r="I49" s="6" t="s">
        <v>235</v>
      </c>
      <c r="J49" s="6" t="s">
        <v>61</v>
      </c>
      <c r="K49" s="6" t="s">
        <v>314</v>
      </c>
      <c r="L49" s="6" t="s">
        <v>476</v>
      </c>
      <c r="M49" s="6" t="s">
        <v>759</v>
      </c>
      <c r="N49" s="6" t="s">
        <v>62</v>
      </c>
      <c r="O49" s="6" t="s">
        <v>1217</v>
      </c>
      <c r="P49" s="137">
        <v>307</v>
      </c>
      <c r="Q49" s="129">
        <v>3.3719999999999999</v>
      </c>
      <c r="R49" s="157">
        <v>8293</v>
      </c>
      <c r="T49" s="131">
        <v>85.849000000000004</v>
      </c>
      <c r="U49" s="132">
        <v>0</v>
      </c>
      <c r="V49" s="132">
        <v>1.2085854963148001E-2</v>
      </c>
      <c r="W49" s="132">
        <v>9.8345049221995498E-4</v>
      </c>
    </row>
    <row r="50" spans="1:23" x14ac:dyDescent="0.2">
      <c r="A50" s="6">
        <v>559</v>
      </c>
      <c r="B50" s="6">
        <v>7207</v>
      </c>
      <c r="C50" s="6" t="s">
        <v>2959</v>
      </c>
      <c r="D50" s="6" t="s">
        <v>2960</v>
      </c>
      <c r="E50" s="3" t="s">
        <v>1477</v>
      </c>
      <c r="F50" s="6" t="s">
        <v>2961</v>
      </c>
      <c r="G50" s="6" t="s">
        <v>2962</v>
      </c>
      <c r="H50" s="6" t="s">
        <v>76</v>
      </c>
      <c r="I50" s="6" t="s">
        <v>235</v>
      </c>
      <c r="J50" s="6" t="s">
        <v>53</v>
      </c>
      <c r="K50" s="6" t="s">
        <v>314</v>
      </c>
      <c r="L50" s="6" t="s">
        <v>311</v>
      </c>
      <c r="M50" s="6" t="s">
        <v>2963</v>
      </c>
      <c r="N50" s="6" t="s">
        <v>62</v>
      </c>
      <c r="O50" s="6" t="s">
        <v>1219</v>
      </c>
      <c r="P50" s="137">
        <v>2346</v>
      </c>
      <c r="Q50" s="129">
        <v>1</v>
      </c>
      <c r="R50" s="157">
        <v>18100</v>
      </c>
      <c r="T50" s="131">
        <v>424.62599999999998</v>
      </c>
      <c r="U50" s="132">
        <v>3.1799999999999998E-4</v>
      </c>
      <c r="V50" s="132">
        <v>8.03568368551493E-2</v>
      </c>
      <c r="W50" s="132">
        <v>3.4937682284730499E-3</v>
      </c>
    </row>
    <row r="51" spans="1:23" x14ac:dyDescent="0.2">
      <c r="A51" s="6">
        <v>559</v>
      </c>
      <c r="B51" s="6">
        <v>7207</v>
      </c>
      <c r="C51" s="6" t="s">
        <v>2964</v>
      </c>
      <c r="D51" s="6" t="s">
        <v>2965</v>
      </c>
      <c r="E51" s="3" t="s">
        <v>430</v>
      </c>
      <c r="F51" s="6" t="s">
        <v>2966</v>
      </c>
      <c r="G51" s="6" t="s">
        <v>2967</v>
      </c>
      <c r="H51" s="6" t="s">
        <v>76</v>
      </c>
      <c r="I51" s="6" t="s">
        <v>235</v>
      </c>
      <c r="J51" s="6" t="s">
        <v>61</v>
      </c>
      <c r="K51" s="6" t="s">
        <v>314</v>
      </c>
      <c r="L51" s="6" t="s">
        <v>476</v>
      </c>
      <c r="M51" s="6" t="s">
        <v>759</v>
      </c>
      <c r="N51" s="6" t="s">
        <v>62</v>
      </c>
      <c r="O51" s="6" t="s">
        <v>1217</v>
      </c>
      <c r="P51" s="137">
        <v>859</v>
      </c>
      <c r="Q51" s="129">
        <v>3.3719999999999999</v>
      </c>
      <c r="R51" s="157">
        <v>8097</v>
      </c>
      <c r="T51" s="131">
        <v>234.53299999999999</v>
      </c>
      <c r="U51" s="132">
        <v>3.9999999999999998E-6</v>
      </c>
      <c r="V51" s="132">
        <v>4.4383456308270001E-2</v>
      </c>
      <c r="W51" s="132">
        <v>1.9297114668559599E-3</v>
      </c>
    </row>
    <row r="52" spans="1:23" x14ac:dyDescent="0.2">
      <c r="A52" s="6">
        <v>559</v>
      </c>
      <c r="B52" s="6">
        <v>7207</v>
      </c>
      <c r="C52" s="6" t="s">
        <v>2964</v>
      </c>
      <c r="D52" s="6" t="s">
        <v>2965</v>
      </c>
      <c r="E52" s="3" t="s">
        <v>430</v>
      </c>
      <c r="F52" s="6" t="s">
        <v>2968</v>
      </c>
      <c r="G52" s="6" t="s">
        <v>2969</v>
      </c>
      <c r="H52" s="6" t="s">
        <v>76</v>
      </c>
      <c r="I52" s="6" t="s">
        <v>235</v>
      </c>
      <c r="J52" s="6" t="s">
        <v>61</v>
      </c>
      <c r="K52" s="6" t="s">
        <v>314</v>
      </c>
      <c r="L52" s="6" t="s">
        <v>476</v>
      </c>
      <c r="M52" s="6" t="s">
        <v>759</v>
      </c>
      <c r="N52" s="6" t="s">
        <v>62</v>
      </c>
      <c r="O52" s="6" t="s">
        <v>1217</v>
      </c>
      <c r="P52" s="137">
        <v>1181</v>
      </c>
      <c r="Q52" s="129">
        <v>3.3719999999999999</v>
      </c>
      <c r="R52" s="157">
        <v>5237</v>
      </c>
      <c r="T52" s="131">
        <v>208.55500000000001</v>
      </c>
      <c r="U52" s="132">
        <v>9.9999999999999995E-7</v>
      </c>
      <c r="V52" s="132">
        <v>3.9467197392651698E-2</v>
      </c>
      <c r="W52" s="132">
        <v>1.7159615250395999E-3</v>
      </c>
    </row>
    <row r="53" spans="1:23" x14ac:dyDescent="0.2">
      <c r="A53" s="6">
        <v>559</v>
      </c>
      <c r="B53" s="6">
        <v>7207</v>
      </c>
      <c r="C53" s="6" t="s">
        <v>2964</v>
      </c>
      <c r="D53" s="6" t="s">
        <v>2965</v>
      </c>
      <c r="E53" s="3" t="s">
        <v>430</v>
      </c>
      <c r="F53" s="6" t="s">
        <v>2970</v>
      </c>
      <c r="G53" s="6" t="s">
        <v>2971</v>
      </c>
      <c r="H53" s="6" t="s">
        <v>76</v>
      </c>
      <c r="I53" s="6" t="s">
        <v>235</v>
      </c>
      <c r="J53" s="6" t="s">
        <v>61</v>
      </c>
      <c r="K53" s="6" t="s">
        <v>314</v>
      </c>
      <c r="L53" s="6" t="s">
        <v>476</v>
      </c>
      <c r="M53" s="6" t="s">
        <v>759</v>
      </c>
      <c r="N53" s="6" t="s">
        <v>62</v>
      </c>
      <c r="O53" s="6" t="s">
        <v>1217</v>
      </c>
      <c r="P53" s="137">
        <v>366</v>
      </c>
      <c r="Q53" s="129">
        <v>3.3719999999999999</v>
      </c>
      <c r="R53" s="157">
        <v>13479</v>
      </c>
      <c r="T53" s="131">
        <v>166.351</v>
      </c>
      <c r="U53" s="132">
        <v>1.9999999999999999E-6</v>
      </c>
      <c r="V53" s="132">
        <v>3.1480569108577203E-2</v>
      </c>
      <c r="W53" s="132">
        <v>1.3687175412847199E-3</v>
      </c>
    </row>
    <row r="54" spans="1:23" x14ac:dyDescent="0.2">
      <c r="A54" s="6">
        <v>559</v>
      </c>
      <c r="B54" s="6">
        <v>7207</v>
      </c>
      <c r="C54" s="6" t="s">
        <v>2972</v>
      </c>
      <c r="D54" s="6" t="s">
        <v>2973</v>
      </c>
      <c r="E54" s="3" t="s">
        <v>430</v>
      </c>
      <c r="F54" s="6" t="s">
        <v>2974</v>
      </c>
      <c r="G54" s="6" t="s">
        <v>2975</v>
      </c>
      <c r="H54" s="6" t="s">
        <v>76</v>
      </c>
      <c r="I54" s="6" t="s">
        <v>235</v>
      </c>
      <c r="J54" s="6" t="s">
        <v>61</v>
      </c>
      <c r="K54" s="6" t="s">
        <v>314</v>
      </c>
      <c r="L54" s="6" t="s">
        <v>479</v>
      </c>
      <c r="M54" s="6" t="s">
        <v>759</v>
      </c>
      <c r="N54" s="6" t="s">
        <v>62</v>
      </c>
      <c r="O54" s="6" t="s">
        <v>1217</v>
      </c>
      <c r="P54" s="137">
        <v>3920</v>
      </c>
      <c r="Q54" s="129">
        <v>3.3719999999999999</v>
      </c>
      <c r="R54" s="157">
        <v>22710</v>
      </c>
      <c r="T54" s="131">
        <v>3001.8620000000001</v>
      </c>
      <c r="U54" s="132">
        <v>0</v>
      </c>
      <c r="V54" s="132">
        <v>0.56807675324674101</v>
      </c>
      <c r="W54" s="132">
        <v>2.4698937756911E-2</v>
      </c>
    </row>
    <row r="55" spans="1:23" x14ac:dyDescent="0.2">
      <c r="A55" s="6">
        <v>559</v>
      </c>
      <c r="B55" s="6">
        <v>7207</v>
      </c>
      <c r="C55" s="6" t="s">
        <v>2976</v>
      </c>
      <c r="D55" s="6" t="s">
        <v>2977</v>
      </c>
      <c r="E55" s="3" t="s">
        <v>430</v>
      </c>
      <c r="F55" s="6" t="s">
        <v>2978</v>
      </c>
      <c r="G55" s="6" t="s">
        <v>2979</v>
      </c>
      <c r="H55" s="6" t="s">
        <v>76</v>
      </c>
      <c r="I55" s="6" t="s">
        <v>235</v>
      </c>
      <c r="J55" s="6" t="s">
        <v>61</v>
      </c>
      <c r="K55" s="6" t="s">
        <v>314</v>
      </c>
      <c r="L55" s="6" t="s">
        <v>494</v>
      </c>
      <c r="M55" s="6" t="s">
        <v>759</v>
      </c>
      <c r="N55" s="6" t="s">
        <v>62</v>
      </c>
      <c r="O55" s="6" t="s">
        <v>1217</v>
      </c>
      <c r="P55" s="137">
        <v>4637</v>
      </c>
      <c r="Q55" s="129">
        <v>3.3719999999999999</v>
      </c>
      <c r="R55" s="157">
        <v>3929</v>
      </c>
      <c r="T55" s="131">
        <v>614.33699999999999</v>
      </c>
      <c r="U55" s="132">
        <v>3.4999999999999997E-5</v>
      </c>
      <c r="V55" s="132">
        <v>0.116258025031446</v>
      </c>
      <c r="W55" s="132">
        <v>5.0546861979157299E-3</v>
      </c>
    </row>
    <row r="56" spans="1:23" x14ac:dyDescent="0.2">
      <c r="A56" s="6">
        <v>559</v>
      </c>
      <c r="B56" s="6">
        <v>7207</v>
      </c>
      <c r="C56" s="6" t="s">
        <v>2972</v>
      </c>
      <c r="D56" s="6" t="s">
        <v>2973</v>
      </c>
      <c r="E56" s="3" t="s">
        <v>430</v>
      </c>
      <c r="F56" s="6" t="s">
        <v>2980</v>
      </c>
      <c r="G56" s="6" t="s">
        <v>2981</v>
      </c>
      <c r="H56" s="6" t="s">
        <v>76</v>
      </c>
      <c r="I56" s="6" t="s">
        <v>235</v>
      </c>
      <c r="J56" s="6" t="s">
        <v>61</v>
      </c>
      <c r="K56" s="6" t="s">
        <v>314</v>
      </c>
      <c r="L56" s="6" t="s">
        <v>494</v>
      </c>
      <c r="M56" s="6" t="s">
        <v>759</v>
      </c>
      <c r="N56" s="6" t="s">
        <v>62</v>
      </c>
      <c r="O56" s="6" t="s">
        <v>1217</v>
      </c>
      <c r="P56" s="137">
        <v>300</v>
      </c>
      <c r="Q56" s="129">
        <v>3.3719999999999999</v>
      </c>
      <c r="R56" s="157">
        <v>55164</v>
      </c>
      <c r="S56" s="161">
        <v>0.13300000000000001</v>
      </c>
      <c r="T56" s="131">
        <v>558.48699999999997</v>
      </c>
      <c r="U56" s="132">
        <v>0</v>
      </c>
      <c r="V56" s="132">
        <v>0.1056889052998</v>
      </c>
      <c r="W56" s="132">
        <v>4.5951602114969901E-3</v>
      </c>
    </row>
    <row r="57" spans="1:23" x14ac:dyDescent="0.2">
      <c r="A57" s="6">
        <v>559</v>
      </c>
      <c r="B57" s="6">
        <v>7207</v>
      </c>
      <c r="C57" s="6" t="s">
        <v>2964</v>
      </c>
      <c r="D57" s="6" t="s">
        <v>2965</v>
      </c>
      <c r="E57" s="3" t="s">
        <v>430</v>
      </c>
      <c r="F57" s="6" t="s">
        <v>2984</v>
      </c>
      <c r="G57" s="6" t="s">
        <v>2985</v>
      </c>
      <c r="H57" s="6" t="s">
        <v>76</v>
      </c>
      <c r="I57" s="6" t="s">
        <v>235</v>
      </c>
      <c r="J57" s="6" t="s">
        <v>61</v>
      </c>
      <c r="K57" s="6" t="s">
        <v>314</v>
      </c>
      <c r="L57" s="6" t="s">
        <v>476</v>
      </c>
      <c r="M57" s="6" t="s">
        <v>759</v>
      </c>
      <c r="N57" s="6" t="s">
        <v>62</v>
      </c>
      <c r="O57" s="6" t="s">
        <v>1217</v>
      </c>
      <c r="P57" s="137">
        <v>270</v>
      </c>
      <c r="Q57" s="129">
        <v>3.3719999999999999</v>
      </c>
      <c r="R57" s="157">
        <v>8293</v>
      </c>
      <c r="T57" s="131">
        <v>75.503</v>
      </c>
      <c r="U57" s="132">
        <v>0</v>
      </c>
      <c r="V57" s="132">
        <v>1.42882567573656E-2</v>
      </c>
      <c r="W57" s="132">
        <v>6.2122725897156101E-4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4D34608A-738F-4364-B3E8-E617BC190D81}">
      <formula1>israel_abroad</formula1>
    </dataValidation>
    <dataValidation type="list" allowBlank="1" showInputMessage="1" showErrorMessage="1" sqref="N2:N20" xr:uid="{5ADA2911-D4A3-4685-8B37-CE6A4AC9E30D}">
      <formula1>Holding_interest</formula1>
    </dataValidation>
    <dataValidation type="list" allowBlank="1" showInputMessage="1" showErrorMessage="1" sqref="K3:K20" xr:uid="{3C450B43-8C66-4329-A4CD-518BCB3124C2}">
      <formula1>Country_list</formula1>
    </dataValidation>
    <dataValidation type="list" allowBlank="1" showInputMessage="1" showErrorMessage="1" sqref="M2:M20" xr:uid="{43A7682A-A47F-401A-A527-953BEB7B13FB}">
      <formula1>Fund_type</formula1>
    </dataValidation>
    <dataValidation type="list" allowBlank="1" showInputMessage="1" showErrorMessage="1" sqref="E2:E20" xr:uid="{B32E5D44-3686-457A-959F-168D059A3800}">
      <formula1>Issuer_Type_TFunds</formula1>
    </dataValidation>
    <dataValidation type="list" allowBlank="1" showInputMessage="1" showErrorMessage="1" sqref="H2:H20" xr:uid="{0DA9461E-ACC9-4487-B8B9-F007BB7227B2}">
      <formula1>Security_ID_Number_Type</formula1>
    </dataValidation>
    <dataValidation type="list" allowBlank="1" showInputMessage="1" showErrorMessage="1" sqref="K2" xr:uid="{D72CC1E9-AE70-4E32-9D10-557CF6E9BE00}">
      <formula1>Country_list_funds</formula1>
    </dataValidation>
    <dataValidation type="list" allowBlank="1" showInputMessage="1" showErrorMessage="1" sqref="L2:L20" xr:uid="{F9E02315-2086-4177-BE91-21E47AF45B7C}">
      <formula1>Stock_Exchange</formula1>
    </dataValidation>
  </dataValidation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A2" sqref="A2"/>
    </sheetView>
  </sheetViews>
  <sheetFormatPr defaultColWidth="0" defaultRowHeight="14.25" x14ac:dyDescent="0.2"/>
  <cols>
    <col min="1" max="12" width="11.625" style="3" customWidth="1"/>
    <col min="13" max="13" width="11.625" style="2" customWidth="1"/>
    <col min="14" max="23" width="11.625" style="3" customWidth="1"/>
    <col min="24" max="24" width="11.625" style="3" hidden="1" customWidth="1"/>
    <col min="25" max="16384" width="9" style="3" hidden="1"/>
  </cols>
  <sheetData>
    <row r="1" spans="1:23" ht="51" x14ac:dyDescent="0.2">
      <c r="A1" s="13" t="s">
        <v>651</v>
      </c>
      <c r="B1" s="13" t="s">
        <v>0</v>
      </c>
      <c r="C1" s="13" t="s">
        <v>724</v>
      </c>
      <c r="D1" s="13" t="s">
        <v>2</v>
      </c>
      <c r="E1" s="13" t="s">
        <v>740</v>
      </c>
      <c r="F1" s="13" t="s">
        <v>3</v>
      </c>
      <c r="G1" s="13" t="s">
        <v>29</v>
      </c>
      <c r="H1" s="13" t="s">
        <v>28</v>
      </c>
      <c r="I1" s="13" t="s">
        <v>1</v>
      </c>
      <c r="J1" s="13" t="s">
        <v>604</v>
      </c>
      <c r="K1" s="13" t="s">
        <v>605</v>
      </c>
      <c r="L1" s="13" t="s">
        <v>609</v>
      </c>
      <c r="M1" s="13" t="s">
        <v>5</v>
      </c>
      <c r="N1" s="13" t="s">
        <v>300</v>
      </c>
      <c r="O1" s="13" t="s">
        <v>606</v>
      </c>
      <c r="P1" s="13" t="s">
        <v>396</v>
      </c>
      <c r="Q1" s="13" t="s">
        <v>773</v>
      </c>
      <c r="R1" s="13" t="s">
        <v>11</v>
      </c>
      <c r="S1" s="13" t="s">
        <v>15</v>
      </c>
      <c r="T1" s="13" t="s">
        <v>1153</v>
      </c>
      <c r="U1" s="13" t="s">
        <v>18</v>
      </c>
      <c r="V1" s="13" t="s">
        <v>19</v>
      </c>
      <c r="W1" s="13" t="s">
        <v>30</v>
      </c>
    </row>
    <row r="2" spans="1:23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/>
      <c r="M2" s="12"/>
      <c r="N2" s="14"/>
      <c r="O2" s="14"/>
      <c r="P2" s="12"/>
      <c r="Q2" s="12"/>
      <c r="R2" s="12"/>
      <c r="S2" s="12"/>
      <c r="T2" s="12"/>
      <c r="U2" s="12"/>
      <c r="V2" s="12"/>
      <c r="W2" s="12"/>
    </row>
    <row r="3" spans="1:23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/>
      <c r="M3" s="12"/>
      <c r="N3" s="14"/>
      <c r="O3" s="14"/>
      <c r="P3" s="12"/>
      <c r="Q3" s="12"/>
      <c r="R3" s="12"/>
      <c r="S3" s="12"/>
      <c r="T3" s="12"/>
      <c r="U3" s="12"/>
      <c r="V3" s="12"/>
      <c r="W3" s="12"/>
    </row>
    <row r="4" spans="1:23" x14ac:dyDescent="0.2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/>
      <c r="M4" s="12"/>
      <c r="N4" s="14"/>
      <c r="O4" s="14"/>
      <c r="P4" s="12"/>
      <c r="Q4" s="12"/>
      <c r="R4" s="12"/>
      <c r="S4" s="12"/>
      <c r="T4" s="12"/>
      <c r="U4" s="12"/>
      <c r="V4" s="12"/>
      <c r="W4" s="12"/>
    </row>
    <row r="5" spans="1:23" x14ac:dyDescent="0.2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/>
      <c r="M5" s="12"/>
      <c r="N5" s="14"/>
      <c r="O5" s="14"/>
      <c r="P5" s="12"/>
      <c r="Q5" s="12"/>
      <c r="R5" s="12"/>
      <c r="S5" s="12"/>
      <c r="T5" s="12"/>
      <c r="U5" s="12"/>
      <c r="V5" s="12"/>
      <c r="W5" s="12"/>
    </row>
    <row r="6" spans="1:23" x14ac:dyDescent="0.2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/>
      <c r="M6" s="12"/>
      <c r="N6" s="14"/>
      <c r="O6" s="14"/>
      <c r="P6" s="12"/>
      <c r="Q6" s="12"/>
      <c r="R6" s="12"/>
      <c r="S6" s="12"/>
      <c r="T6" s="12"/>
      <c r="U6" s="12"/>
      <c r="V6" s="12"/>
      <c r="W6" s="12"/>
    </row>
    <row r="7" spans="1:23" x14ac:dyDescent="0.2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/>
      <c r="M7" s="12"/>
      <c r="N7" s="14"/>
      <c r="O7" s="14"/>
      <c r="P7" s="12"/>
      <c r="Q7" s="12"/>
      <c r="R7" s="12"/>
      <c r="S7" s="12"/>
      <c r="T7" s="12"/>
      <c r="U7" s="12"/>
      <c r="V7" s="12"/>
      <c r="W7" s="12"/>
    </row>
    <row r="8" spans="1:23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/>
      <c r="M8" s="12"/>
      <c r="N8" s="14"/>
      <c r="O8" s="14"/>
      <c r="P8" s="12"/>
      <c r="Q8" s="12"/>
      <c r="R8" s="12"/>
      <c r="S8" s="12"/>
      <c r="T8" s="12"/>
      <c r="U8" s="12"/>
      <c r="V8" s="12"/>
      <c r="W8" s="12"/>
    </row>
    <row r="9" spans="1:23" x14ac:dyDescent="0.2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/>
      <c r="M9" s="12"/>
      <c r="N9" s="14"/>
      <c r="O9" s="14"/>
      <c r="P9" s="12"/>
      <c r="Q9" s="12"/>
      <c r="R9" s="12"/>
      <c r="S9" s="12"/>
      <c r="T9" s="12"/>
      <c r="U9" s="12"/>
      <c r="V9" s="12"/>
      <c r="W9" s="12"/>
    </row>
    <row r="10" spans="1:23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/>
      <c r="M10" s="12"/>
      <c r="N10" s="14"/>
      <c r="O10" s="14"/>
      <c r="P10" s="12"/>
      <c r="Q10" s="12"/>
      <c r="R10" s="12"/>
      <c r="S10" s="12"/>
      <c r="T10" s="12"/>
      <c r="U10" s="12"/>
      <c r="V10" s="12"/>
      <c r="W10" s="12"/>
    </row>
    <row r="11" spans="1:23" x14ac:dyDescent="0.2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/>
      <c r="M11" s="12"/>
      <c r="N11" s="14"/>
      <c r="O11" s="14"/>
      <c r="P11" s="12"/>
      <c r="Q11" s="12"/>
      <c r="R11" s="12"/>
      <c r="S11" s="12"/>
      <c r="T11" s="12"/>
      <c r="U11" s="12"/>
      <c r="V11" s="12"/>
      <c r="W11" s="12"/>
    </row>
    <row r="12" spans="1:23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/>
      <c r="M12" s="12"/>
      <c r="N12" s="14"/>
      <c r="O12" s="14"/>
      <c r="P12" s="12"/>
      <c r="Q12" s="12"/>
      <c r="R12" s="12"/>
      <c r="S12" s="12"/>
      <c r="T12" s="12"/>
      <c r="U12" s="12"/>
      <c r="V12" s="12"/>
      <c r="W12" s="12"/>
    </row>
    <row r="13" spans="1:23" x14ac:dyDescent="0.2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/>
      <c r="M13" s="12"/>
      <c r="N13" s="14"/>
      <c r="O13" s="14"/>
      <c r="P13" s="12"/>
      <c r="Q13" s="12"/>
      <c r="R13" s="12"/>
      <c r="S13" s="12"/>
      <c r="T13" s="12"/>
      <c r="U13" s="12"/>
      <c r="V13" s="12"/>
      <c r="W13" s="12"/>
    </row>
    <row r="14" spans="1:23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/>
      <c r="M14" s="12"/>
      <c r="N14" s="14"/>
      <c r="O14" s="14"/>
      <c r="P14" s="12"/>
      <c r="Q14" s="12"/>
      <c r="R14" s="12"/>
      <c r="S14" s="12"/>
      <c r="T14" s="12"/>
      <c r="U14" s="12"/>
      <c r="V14" s="12"/>
      <c r="W14" s="12"/>
    </row>
    <row r="15" spans="1:23" x14ac:dyDescent="0.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/>
      <c r="M15" s="12"/>
      <c r="N15" s="14"/>
      <c r="O15" s="14"/>
      <c r="P15" s="12"/>
      <c r="Q15" s="12"/>
      <c r="R15" s="12"/>
      <c r="S15" s="12"/>
      <c r="T15" s="12"/>
      <c r="U15" s="12"/>
      <c r="V15" s="12"/>
      <c r="W15" s="12"/>
    </row>
    <row r="16" spans="1:23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/>
      <c r="M16" s="12"/>
      <c r="N16" s="14"/>
      <c r="O16" s="14"/>
      <c r="P16" s="12"/>
      <c r="Q16" s="12"/>
      <c r="R16" s="12"/>
      <c r="S16" s="12"/>
      <c r="T16" s="12"/>
      <c r="U16" s="12"/>
      <c r="V16" s="12"/>
      <c r="W16" s="12"/>
    </row>
    <row r="17" spans="1:23" x14ac:dyDescent="0.2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/>
      <c r="M17" s="12"/>
      <c r="N17" s="14"/>
      <c r="O17" s="14"/>
      <c r="P17" s="12"/>
      <c r="Q17" s="12"/>
      <c r="R17" s="12"/>
      <c r="S17" s="12"/>
      <c r="T17" s="12"/>
      <c r="U17" s="12"/>
      <c r="V17" s="12"/>
      <c r="W17" s="12"/>
    </row>
    <row r="18" spans="1:23" x14ac:dyDescent="0.2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/>
      <c r="M18" s="12"/>
      <c r="N18" s="14"/>
      <c r="O18" s="14"/>
      <c r="P18" s="12"/>
      <c r="Q18" s="12"/>
      <c r="R18" s="12"/>
      <c r="S18" s="12"/>
      <c r="T18" s="12"/>
      <c r="U18" s="12"/>
      <c r="V18" s="12"/>
      <c r="W18" s="12"/>
    </row>
    <row r="19" spans="1:23" x14ac:dyDescent="0.2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/>
      <c r="M19" s="12"/>
      <c r="N19" s="14"/>
      <c r="O19" s="14"/>
      <c r="P19" s="12"/>
      <c r="Q19" s="12"/>
      <c r="R19" s="12"/>
      <c r="S19" s="12"/>
      <c r="T19" s="12"/>
      <c r="U19" s="12"/>
      <c r="V19" s="12"/>
      <c r="W19" s="12"/>
    </row>
    <row r="20" spans="1:23" x14ac:dyDescent="0.2">
      <c r="E20" s="12"/>
      <c r="H20" s="12"/>
      <c r="I20" s="12"/>
      <c r="J20" s="12"/>
      <c r="K20" s="12"/>
      <c r="L20"/>
      <c r="M20" s="12"/>
      <c r="N20" s="14"/>
      <c r="O20" s="1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34"/>
  <sheetViews>
    <sheetView rightToLeft="1" workbookViewId="0">
      <selection activeCell="F11" sqref="F11"/>
    </sheetView>
  </sheetViews>
  <sheetFormatPr defaultColWidth="9" defaultRowHeight="14.25" x14ac:dyDescent="0.2"/>
  <cols>
    <col min="1" max="4" width="11.625" style="6" customWidth="1"/>
    <col min="5" max="5" width="11.625" style="3" customWidth="1"/>
    <col min="6" max="27" width="11.625" style="6" customWidth="1"/>
    <col min="28" max="16384" width="9" style="6"/>
  </cols>
  <sheetData>
    <row r="1" spans="1:25" ht="51" x14ac:dyDescent="0.2">
      <c r="A1" s="13" t="s">
        <v>651</v>
      </c>
      <c r="B1" s="13" t="s">
        <v>0</v>
      </c>
      <c r="C1" s="13" t="s">
        <v>724</v>
      </c>
      <c r="D1" s="13" t="s">
        <v>2</v>
      </c>
      <c r="E1" s="13" t="s">
        <v>740</v>
      </c>
      <c r="F1" s="13" t="s">
        <v>1145</v>
      </c>
      <c r="G1" s="13" t="s">
        <v>29</v>
      </c>
      <c r="H1" s="13" t="s">
        <v>28</v>
      </c>
      <c r="I1" s="13" t="s">
        <v>604</v>
      </c>
      <c r="J1" s="13" t="s">
        <v>605</v>
      </c>
      <c r="K1" s="13" t="s">
        <v>609</v>
      </c>
      <c r="L1" s="13" t="s">
        <v>5</v>
      </c>
      <c r="M1" s="13" t="s">
        <v>738</v>
      </c>
      <c r="N1" s="13" t="s">
        <v>9</v>
      </c>
      <c r="O1" s="162" t="s">
        <v>666</v>
      </c>
      <c r="P1" s="13" t="s">
        <v>606</v>
      </c>
      <c r="Q1" s="13" t="s">
        <v>396</v>
      </c>
      <c r="R1" s="136" t="s">
        <v>23</v>
      </c>
      <c r="S1" s="13" t="s">
        <v>613</v>
      </c>
      <c r="T1" s="13" t="s">
        <v>773</v>
      </c>
      <c r="U1" s="124" t="s">
        <v>11</v>
      </c>
      <c r="V1" s="136" t="s">
        <v>15</v>
      </c>
      <c r="W1" s="13" t="s">
        <v>1153</v>
      </c>
      <c r="X1" s="126" t="s">
        <v>19</v>
      </c>
      <c r="Y1" s="126" t="s">
        <v>30</v>
      </c>
    </row>
    <row r="2" spans="1:25" x14ac:dyDescent="0.2">
      <c r="A2" s="18">
        <v>13710</v>
      </c>
      <c r="B2" s="18">
        <v>13711</v>
      </c>
      <c r="C2" s="18" t="s">
        <v>1560</v>
      </c>
      <c r="D2" s="18" t="s">
        <v>1561</v>
      </c>
      <c r="E2" s="12" t="s">
        <v>1477</v>
      </c>
      <c r="F2" s="18" t="s">
        <v>3015</v>
      </c>
      <c r="G2" s="18" t="s">
        <v>3016</v>
      </c>
      <c r="H2" s="12" t="s">
        <v>76</v>
      </c>
      <c r="I2" s="12" t="s">
        <v>53</v>
      </c>
      <c r="J2" s="12" t="s">
        <v>53</v>
      </c>
      <c r="K2" s="18" t="s">
        <v>805</v>
      </c>
      <c r="L2" s="12" t="s">
        <v>311</v>
      </c>
      <c r="M2" s="18" t="s">
        <v>3017</v>
      </c>
      <c r="N2" s="18" t="s">
        <v>692</v>
      </c>
      <c r="O2" s="163" t="s">
        <v>3018</v>
      </c>
      <c r="P2" s="18" t="s">
        <v>62</v>
      </c>
      <c r="Q2" s="12" t="s">
        <v>1219</v>
      </c>
      <c r="R2" s="148">
        <v>100</v>
      </c>
      <c r="S2" s="145">
        <v>1</v>
      </c>
      <c r="T2" s="151">
        <v>4200</v>
      </c>
      <c r="U2" s="156">
        <v>1</v>
      </c>
      <c r="V2" s="150">
        <v>7.2</v>
      </c>
      <c r="W2" s="151">
        <v>0.30199999999999999</v>
      </c>
      <c r="X2" s="155">
        <v>2.9174556853531802E-2</v>
      </c>
      <c r="Y2" s="155">
        <v>4.4332912725667202E-6</v>
      </c>
    </row>
    <row r="3" spans="1:25" x14ac:dyDescent="0.2">
      <c r="A3" s="18">
        <v>13710</v>
      </c>
      <c r="B3" s="18">
        <v>13711</v>
      </c>
      <c r="C3" s="18" t="s">
        <v>1565</v>
      </c>
      <c r="D3" s="18" t="s">
        <v>1566</v>
      </c>
      <c r="E3" s="12" t="s">
        <v>1477</v>
      </c>
      <c r="F3" s="18" t="s">
        <v>3019</v>
      </c>
      <c r="G3" s="18" t="s">
        <v>3020</v>
      </c>
      <c r="H3" s="12" t="s">
        <v>76</v>
      </c>
      <c r="I3" s="12" t="s">
        <v>53</v>
      </c>
      <c r="J3" s="12" t="s">
        <v>53</v>
      </c>
      <c r="K3" s="18" t="s">
        <v>805</v>
      </c>
      <c r="L3" s="12" t="s">
        <v>311</v>
      </c>
      <c r="M3" s="18" t="s">
        <v>2540</v>
      </c>
      <c r="N3" s="18" t="s">
        <v>631</v>
      </c>
      <c r="O3" s="163" t="s">
        <v>3021</v>
      </c>
      <c r="P3" s="18" t="s">
        <v>62</v>
      </c>
      <c r="Q3" s="12" t="s">
        <v>1219</v>
      </c>
      <c r="R3" s="148">
        <v>8000</v>
      </c>
      <c r="S3" s="145">
        <v>0</v>
      </c>
      <c r="T3" s="151">
        <v>36</v>
      </c>
      <c r="U3" s="156">
        <v>1</v>
      </c>
      <c r="V3" s="150">
        <v>327.10000000000002</v>
      </c>
      <c r="W3" s="151">
        <v>0.11799999999999999</v>
      </c>
      <c r="X3" s="155">
        <v>1.1360711365226501E-2</v>
      </c>
      <c r="Y3" s="155">
        <v>1.7263447324483E-6</v>
      </c>
    </row>
    <row r="4" spans="1:25" x14ac:dyDescent="0.2">
      <c r="A4" s="18">
        <v>13710</v>
      </c>
      <c r="B4" s="18">
        <v>13711</v>
      </c>
      <c r="C4" s="18" t="s">
        <v>1635</v>
      </c>
      <c r="D4" s="18" t="s">
        <v>1636</v>
      </c>
      <c r="E4" s="12" t="s">
        <v>1477</v>
      </c>
      <c r="F4" s="18" t="s">
        <v>3022</v>
      </c>
      <c r="G4" s="18" t="s">
        <v>3023</v>
      </c>
      <c r="H4" s="12" t="s">
        <v>76</v>
      </c>
      <c r="I4" s="12" t="s">
        <v>53</v>
      </c>
      <c r="J4" s="12" t="s">
        <v>53</v>
      </c>
      <c r="K4" s="18" t="s">
        <v>805</v>
      </c>
      <c r="L4" s="12" t="s">
        <v>1227</v>
      </c>
      <c r="M4" s="18" t="s">
        <v>2558</v>
      </c>
      <c r="N4" s="18" t="s">
        <v>636</v>
      </c>
      <c r="O4" s="163" t="s">
        <v>3024</v>
      </c>
      <c r="P4" s="18" t="s">
        <v>62</v>
      </c>
      <c r="Q4" s="12" t="s">
        <v>1219</v>
      </c>
      <c r="R4" s="148">
        <v>17000</v>
      </c>
      <c r="S4" s="145">
        <v>0</v>
      </c>
      <c r="T4" s="151">
        <v>222</v>
      </c>
      <c r="U4" s="156">
        <v>1</v>
      </c>
      <c r="V4" s="150">
        <v>2502</v>
      </c>
      <c r="W4" s="151">
        <v>5.5540000000000003</v>
      </c>
      <c r="X4" s="155">
        <v>0.53587409249183504</v>
      </c>
      <c r="Y4" s="155">
        <v>8.1430060767180904E-5</v>
      </c>
    </row>
    <row r="5" spans="1:25" x14ac:dyDescent="0.2">
      <c r="A5" s="18">
        <v>13710</v>
      </c>
      <c r="B5" s="18">
        <v>13711</v>
      </c>
      <c r="C5" s="18" t="s">
        <v>1961</v>
      </c>
      <c r="D5" s="18" t="s">
        <v>1962</v>
      </c>
      <c r="E5" s="12" t="s">
        <v>1477</v>
      </c>
      <c r="F5" s="18" t="s">
        <v>3025</v>
      </c>
      <c r="G5" s="18" t="s">
        <v>3026</v>
      </c>
      <c r="H5" s="12" t="s">
        <v>76</v>
      </c>
      <c r="I5" s="12" t="s">
        <v>53</v>
      </c>
      <c r="J5" s="12" t="s">
        <v>53</v>
      </c>
      <c r="K5" s="18" t="s">
        <v>805</v>
      </c>
      <c r="L5" s="12" t="s">
        <v>311</v>
      </c>
      <c r="M5" s="18" t="s">
        <v>2708</v>
      </c>
      <c r="N5" s="18" t="s">
        <v>635</v>
      </c>
      <c r="O5" s="163" t="s">
        <v>3027</v>
      </c>
      <c r="P5" s="18" t="s">
        <v>62</v>
      </c>
      <c r="Q5" s="12" t="s">
        <v>1219</v>
      </c>
      <c r="R5" s="148">
        <v>190</v>
      </c>
      <c r="S5" s="145">
        <v>0</v>
      </c>
      <c r="T5" s="151">
        <v>6500</v>
      </c>
      <c r="U5" s="156">
        <v>1</v>
      </c>
      <c r="V5" s="150">
        <v>41.3</v>
      </c>
      <c r="W5" s="151">
        <v>2.6840000000000002</v>
      </c>
      <c r="X5" s="155">
        <v>0.25899172577151502</v>
      </c>
      <c r="Y5" s="155">
        <v>3.9355722292345799E-5</v>
      </c>
    </row>
    <row r="6" spans="1:25" x14ac:dyDescent="0.2">
      <c r="A6" s="18">
        <v>13710</v>
      </c>
      <c r="B6" s="18">
        <v>13711</v>
      </c>
      <c r="C6" s="18" t="s">
        <v>2025</v>
      </c>
      <c r="D6" s="18" t="s">
        <v>2026</v>
      </c>
      <c r="E6" s="12" t="s">
        <v>1477</v>
      </c>
      <c r="F6" s="18" t="s">
        <v>3028</v>
      </c>
      <c r="G6" s="18" t="s">
        <v>3029</v>
      </c>
      <c r="H6" s="12" t="s">
        <v>76</v>
      </c>
      <c r="I6" s="12" t="s">
        <v>53</v>
      </c>
      <c r="J6" s="12" t="s">
        <v>53</v>
      </c>
      <c r="K6" s="18" t="s">
        <v>805</v>
      </c>
      <c r="L6" s="12" t="s">
        <v>1227</v>
      </c>
      <c r="M6" s="18" t="s">
        <v>3030</v>
      </c>
      <c r="N6" s="18" t="s">
        <v>631</v>
      </c>
      <c r="O6" s="163" t="s">
        <v>2033</v>
      </c>
      <c r="P6" s="18" t="s">
        <v>62</v>
      </c>
      <c r="Q6" s="12" t="s">
        <v>1219</v>
      </c>
      <c r="R6" s="148">
        <v>4152</v>
      </c>
      <c r="S6" s="145">
        <v>0</v>
      </c>
      <c r="T6" s="151">
        <v>300</v>
      </c>
      <c r="U6" s="156">
        <v>1</v>
      </c>
      <c r="V6" s="150">
        <v>315.3</v>
      </c>
      <c r="W6" s="151">
        <v>0.94599999999999995</v>
      </c>
      <c r="X6" s="155">
        <v>9.1257319205541296E-2</v>
      </c>
      <c r="Y6" s="155">
        <v>1.38672295460346E-5</v>
      </c>
    </row>
    <row r="7" spans="1:25" x14ac:dyDescent="0.2">
      <c r="A7" s="18">
        <v>13710</v>
      </c>
      <c r="B7" s="18">
        <v>13711</v>
      </c>
      <c r="C7" s="18" t="s">
        <v>3031</v>
      </c>
      <c r="D7" s="18" t="s">
        <v>3032</v>
      </c>
      <c r="E7" s="12" t="s">
        <v>1477</v>
      </c>
      <c r="F7" s="18" t="s">
        <v>3033</v>
      </c>
      <c r="G7" s="18" t="s">
        <v>3034</v>
      </c>
      <c r="H7" s="12" t="s">
        <v>76</v>
      </c>
      <c r="I7" s="12" t="s">
        <v>53</v>
      </c>
      <c r="J7" s="12" t="s">
        <v>53</v>
      </c>
      <c r="K7" s="18" t="s">
        <v>805</v>
      </c>
      <c r="L7" s="12" t="s">
        <v>1227</v>
      </c>
      <c r="M7" s="18" t="s">
        <v>3035</v>
      </c>
      <c r="N7" s="18" t="s">
        <v>140</v>
      </c>
      <c r="O7" s="163" t="s">
        <v>3036</v>
      </c>
      <c r="P7" s="18" t="s">
        <v>62</v>
      </c>
      <c r="Q7" s="12" t="s">
        <v>1219</v>
      </c>
      <c r="R7" s="148">
        <v>1023</v>
      </c>
      <c r="S7" s="145">
        <v>0</v>
      </c>
      <c r="T7" s="151">
        <v>300</v>
      </c>
      <c r="U7" s="156">
        <v>1</v>
      </c>
      <c r="V7" s="150">
        <v>253.4</v>
      </c>
      <c r="W7" s="151">
        <v>0.76</v>
      </c>
      <c r="X7" s="155">
        <v>7.3341594312350697E-2</v>
      </c>
      <c r="Y7" s="155">
        <v>1.1144801671313601E-5</v>
      </c>
    </row>
    <row r="8" spans="1:25" x14ac:dyDescent="0.2">
      <c r="A8" s="18">
        <v>13710</v>
      </c>
      <c r="B8" s="18">
        <v>15444</v>
      </c>
      <c r="C8" s="18" t="s">
        <v>2025</v>
      </c>
      <c r="D8" s="18" t="s">
        <v>2026</v>
      </c>
      <c r="E8" s="12" t="s">
        <v>1477</v>
      </c>
      <c r="F8" s="18" t="s">
        <v>3028</v>
      </c>
      <c r="G8" s="18" t="s">
        <v>3029</v>
      </c>
      <c r="H8" s="12" t="s">
        <v>76</v>
      </c>
      <c r="I8" s="12" t="s">
        <v>53</v>
      </c>
      <c r="J8" s="12" t="s">
        <v>53</v>
      </c>
      <c r="K8" s="18" t="s">
        <v>805</v>
      </c>
      <c r="L8" s="12" t="s">
        <v>1227</v>
      </c>
      <c r="M8" s="18" t="s">
        <v>3030</v>
      </c>
      <c r="N8" s="18" t="s">
        <v>631</v>
      </c>
      <c r="O8" s="163" t="s">
        <v>2033</v>
      </c>
      <c r="P8" s="18" t="s">
        <v>62</v>
      </c>
      <c r="Q8" s="12" t="s">
        <v>1219</v>
      </c>
      <c r="R8" s="148">
        <v>4152</v>
      </c>
      <c r="S8" s="145">
        <v>0</v>
      </c>
      <c r="T8" s="151">
        <v>20</v>
      </c>
      <c r="U8" s="156">
        <v>1</v>
      </c>
      <c r="V8" s="150">
        <v>315.3</v>
      </c>
      <c r="W8" s="151">
        <v>6.3E-2</v>
      </c>
      <c r="X8" s="155">
        <v>1</v>
      </c>
      <c r="Y8" s="155">
        <v>7.55352524642569E-6</v>
      </c>
    </row>
    <row r="9" spans="1:25" x14ac:dyDescent="0.2">
      <c r="A9" s="18">
        <v>559</v>
      </c>
      <c r="B9" s="18">
        <v>556</v>
      </c>
      <c r="C9" s="18" t="s">
        <v>1560</v>
      </c>
      <c r="D9" s="18" t="s">
        <v>1561</v>
      </c>
      <c r="E9" s="12" t="s">
        <v>1477</v>
      </c>
      <c r="F9" s="18" t="s">
        <v>3015</v>
      </c>
      <c r="G9" s="18" t="s">
        <v>3016</v>
      </c>
      <c r="H9" s="12" t="s">
        <v>76</v>
      </c>
      <c r="I9" s="12" t="s">
        <v>53</v>
      </c>
      <c r="J9" s="12" t="s">
        <v>53</v>
      </c>
      <c r="K9" s="18" t="s">
        <v>805</v>
      </c>
      <c r="L9" s="12" t="s">
        <v>311</v>
      </c>
      <c r="M9" s="18" t="s">
        <v>3017</v>
      </c>
      <c r="N9" s="18" t="s">
        <v>692</v>
      </c>
      <c r="O9" s="163" t="s">
        <v>3018</v>
      </c>
      <c r="P9" s="18" t="s">
        <v>62</v>
      </c>
      <c r="Q9" s="12" t="s">
        <v>1219</v>
      </c>
      <c r="R9" s="148">
        <v>100</v>
      </c>
      <c r="S9" s="145">
        <v>1</v>
      </c>
      <c r="T9" s="151">
        <v>156200</v>
      </c>
      <c r="U9" s="156">
        <v>1</v>
      </c>
      <c r="V9" s="150">
        <v>7.2</v>
      </c>
      <c r="W9" s="151">
        <v>11.246</v>
      </c>
      <c r="X9" s="155">
        <v>9.9543840598291203E-2</v>
      </c>
      <c r="Y9" s="155">
        <v>3.37236886443297E-5</v>
      </c>
    </row>
    <row r="10" spans="1:25" x14ac:dyDescent="0.2">
      <c r="A10" s="18">
        <v>559</v>
      </c>
      <c r="B10" s="18">
        <v>556</v>
      </c>
      <c r="C10" s="18" t="s">
        <v>1565</v>
      </c>
      <c r="D10" s="18" t="s">
        <v>1566</v>
      </c>
      <c r="E10" s="12" t="s">
        <v>1477</v>
      </c>
      <c r="F10" s="18" t="s">
        <v>3019</v>
      </c>
      <c r="G10" s="18" t="s">
        <v>3020</v>
      </c>
      <c r="H10" s="12" t="s">
        <v>76</v>
      </c>
      <c r="I10" s="12" t="s">
        <v>53</v>
      </c>
      <c r="J10" s="12" t="s">
        <v>53</v>
      </c>
      <c r="K10" s="18" t="s">
        <v>805</v>
      </c>
      <c r="L10" s="12" t="s">
        <v>311</v>
      </c>
      <c r="M10" s="18" t="s">
        <v>2540</v>
      </c>
      <c r="N10" s="18" t="s">
        <v>631</v>
      </c>
      <c r="O10" s="163" t="s">
        <v>3021</v>
      </c>
      <c r="P10" s="18" t="s">
        <v>62</v>
      </c>
      <c r="Q10" s="12" t="s">
        <v>1219</v>
      </c>
      <c r="R10" s="148">
        <v>8000</v>
      </c>
      <c r="S10" s="145">
        <v>0</v>
      </c>
      <c r="T10" s="151">
        <v>288</v>
      </c>
      <c r="U10" s="156">
        <v>1</v>
      </c>
      <c r="V10" s="150">
        <v>327.10000000000002</v>
      </c>
      <c r="W10" s="151">
        <v>0.94199999999999995</v>
      </c>
      <c r="X10" s="155">
        <v>8.3382305402563504E-3</v>
      </c>
      <c r="Y10" s="155">
        <v>2.8248447005275901E-6</v>
      </c>
    </row>
    <row r="11" spans="1:25" x14ac:dyDescent="0.2">
      <c r="A11" s="18">
        <v>559</v>
      </c>
      <c r="B11" s="18">
        <v>556</v>
      </c>
      <c r="C11" s="18" t="s">
        <v>1635</v>
      </c>
      <c r="D11" s="18" t="s">
        <v>1636</v>
      </c>
      <c r="E11" s="12" t="s">
        <v>1477</v>
      </c>
      <c r="F11" s="18" t="s">
        <v>3022</v>
      </c>
      <c r="G11" s="18" t="s">
        <v>3023</v>
      </c>
      <c r="H11" s="12" t="s">
        <v>76</v>
      </c>
      <c r="I11" s="12" t="s">
        <v>53</v>
      </c>
      <c r="J11" s="12" t="s">
        <v>53</v>
      </c>
      <c r="K11" s="18" t="s">
        <v>805</v>
      </c>
      <c r="L11" s="12" t="s">
        <v>1227</v>
      </c>
      <c r="M11" s="18" t="s">
        <v>2558</v>
      </c>
      <c r="N11" s="18" t="s">
        <v>636</v>
      </c>
      <c r="O11" s="163" t="s">
        <v>3024</v>
      </c>
      <c r="P11" s="18" t="s">
        <v>62</v>
      </c>
      <c r="Q11" s="12" t="s">
        <v>1219</v>
      </c>
      <c r="R11" s="148">
        <v>17000</v>
      </c>
      <c r="S11" s="145">
        <v>0</v>
      </c>
      <c r="T11" s="151">
        <v>1332</v>
      </c>
      <c r="U11" s="156">
        <v>1</v>
      </c>
      <c r="V11" s="150">
        <v>2502</v>
      </c>
      <c r="W11" s="151">
        <v>33.326999999999998</v>
      </c>
      <c r="X11" s="155">
        <v>0.29497988154757399</v>
      </c>
      <c r="Y11" s="155">
        <v>9.9933954947508798E-5</v>
      </c>
    </row>
    <row r="12" spans="1:25" x14ac:dyDescent="0.2">
      <c r="A12" s="18">
        <v>559</v>
      </c>
      <c r="B12" s="18">
        <v>556</v>
      </c>
      <c r="C12" s="18" t="s">
        <v>1961</v>
      </c>
      <c r="D12" s="18" t="s">
        <v>1962</v>
      </c>
      <c r="E12" s="12" t="s">
        <v>1477</v>
      </c>
      <c r="F12" s="18" t="s">
        <v>3025</v>
      </c>
      <c r="G12" s="18" t="s">
        <v>3026</v>
      </c>
      <c r="H12" s="12" t="s">
        <v>76</v>
      </c>
      <c r="I12" s="12" t="s">
        <v>53</v>
      </c>
      <c r="J12" s="12" t="s">
        <v>53</v>
      </c>
      <c r="K12" s="18" t="s">
        <v>805</v>
      </c>
      <c r="L12" s="12" t="s">
        <v>311</v>
      </c>
      <c r="M12" s="18" t="s">
        <v>2708</v>
      </c>
      <c r="N12" s="18" t="s">
        <v>635</v>
      </c>
      <c r="O12" s="163" t="s">
        <v>3027</v>
      </c>
      <c r="P12" s="18" t="s">
        <v>62</v>
      </c>
      <c r="Q12" s="12" t="s">
        <v>1219</v>
      </c>
      <c r="R12" s="148">
        <v>190</v>
      </c>
      <c r="S12" s="145">
        <v>0</v>
      </c>
      <c r="T12" s="151">
        <v>129600</v>
      </c>
      <c r="U12" s="156">
        <v>1</v>
      </c>
      <c r="V12" s="150">
        <v>41.3</v>
      </c>
      <c r="W12" s="151">
        <v>53.524999999999999</v>
      </c>
      <c r="X12" s="155">
        <v>0.47375730538264799</v>
      </c>
      <c r="Y12" s="155">
        <v>1.6050057706910799E-4</v>
      </c>
    </row>
    <row r="13" spans="1:25" x14ac:dyDescent="0.2">
      <c r="A13" s="18">
        <v>559</v>
      </c>
      <c r="B13" s="18">
        <v>556</v>
      </c>
      <c r="C13" s="18" t="s">
        <v>2025</v>
      </c>
      <c r="D13" s="18" t="s">
        <v>2026</v>
      </c>
      <c r="E13" s="12" t="s">
        <v>1477</v>
      </c>
      <c r="F13" s="18" t="s">
        <v>3028</v>
      </c>
      <c r="G13" s="18" t="s">
        <v>3029</v>
      </c>
      <c r="H13" s="12" t="s">
        <v>76</v>
      </c>
      <c r="I13" s="12" t="s">
        <v>53</v>
      </c>
      <c r="J13" s="12" t="s">
        <v>53</v>
      </c>
      <c r="K13" s="18" t="s">
        <v>805</v>
      </c>
      <c r="L13" s="12" t="s">
        <v>1227</v>
      </c>
      <c r="M13" s="18" t="s">
        <v>3030</v>
      </c>
      <c r="N13" s="18" t="s">
        <v>631</v>
      </c>
      <c r="O13" s="163" t="s">
        <v>2033</v>
      </c>
      <c r="P13" s="18" t="s">
        <v>62</v>
      </c>
      <c r="Q13" s="12" t="s">
        <v>1219</v>
      </c>
      <c r="R13" s="148">
        <v>4152</v>
      </c>
      <c r="S13" s="145">
        <v>0</v>
      </c>
      <c r="T13" s="151">
        <v>1400</v>
      </c>
      <c r="U13" s="156">
        <v>1</v>
      </c>
      <c r="V13" s="150">
        <v>315.3</v>
      </c>
      <c r="W13" s="151">
        <v>4.4139999999999997</v>
      </c>
      <c r="X13" s="155">
        <v>3.9070851220744197E-2</v>
      </c>
      <c r="Y13" s="155">
        <v>1.32365118094501E-5</v>
      </c>
    </row>
    <row r="14" spans="1:25" x14ac:dyDescent="0.2">
      <c r="A14" s="18">
        <v>559</v>
      </c>
      <c r="B14" s="18">
        <v>556</v>
      </c>
      <c r="C14" s="18" t="s">
        <v>2094</v>
      </c>
      <c r="D14" s="18" t="s">
        <v>2095</v>
      </c>
      <c r="E14" s="12" t="s">
        <v>1477</v>
      </c>
      <c r="F14" s="18" t="s">
        <v>3037</v>
      </c>
      <c r="G14" s="18" t="s">
        <v>3038</v>
      </c>
      <c r="H14" s="12" t="s">
        <v>76</v>
      </c>
      <c r="I14" s="12" t="s">
        <v>53</v>
      </c>
      <c r="J14" s="12" t="s">
        <v>53</v>
      </c>
      <c r="K14" s="18" t="s">
        <v>805</v>
      </c>
      <c r="L14" s="12" t="s">
        <v>311</v>
      </c>
      <c r="M14" s="18" t="s">
        <v>3039</v>
      </c>
      <c r="N14" s="18" t="s">
        <v>156</v>
      </c>
      <c r="O14" s="163" t="s">
        <v>3040</v>
      </c>
      <c r="P14" s="18" t="s">
        <v>62</v>
      </c>
      <c r="Q14" s="12" t="s">
        <v>1219</v>
      </c>
      <c r="R14" s="148">
        <v>37.5</v>
      </c>
      <c r="S14" s="145">
        <v>1</v>
      </c>
      <c r="T14" s="151">
        <v>3817.27</v>
      </c>
      <c r="U14" s="156">
        <v>1</v>
      </c>
      <c r="V14" s="150">
        <v>140</v>
      </c>
      <c r="W14" s="151">
        <v>5.3440000000000003</v>
      </c>
      <c r="X14" s="155">
        <v>4.7302248093691698E-2</v>
      </c>
      <c r="Y14" s="155">
        <v>1.6025163157266001E-5</v>
      </c>
    </row>
    <row r="15" spans="1:25" x14ac:dyDescent="0.2">
      <c r="A15" s="18">
        <v>559</v>
      </c>
      <c r="B15" s="18">
        <v>556</v>
      </c>
      <c r="C15" s="18" t="s">
        <v>3031</v>
      </c>
      <c r="D15" s="18" t="s">
        <v>3032</v>
      </c>
      <c r="E15" s="12" t="s">
        <v>1477</v>
      </c>
      <c r="F15" s="18" t="s">
        <v>3033</v>
      </c>
      <c r="G15" s="18" t="s">
        <v>3034</v>
      </c>
      <c r="H15" s="12" t="s">
        <v>76</v>
      </c>
      <c r="I15" s="12" t="s">
        <v>53</v>
      </c>
      <c r="J15" s="12" t="s">
        <v>53</v>
      </c>
      <c r="K15" s="18" t="s">
        <v>805</v>
      </c>
      <c r="L15" s="12" t="s">
        <v>1227</v>
      </c>
      <c r="M15" s="18" t="s">
        <v>3035</v>
      </c>
      <c r="N15" s="18" t="s">
        <v>140</v>
      </c>
      <c r="O15" s="163" t="s">
        <v>3036</v>
      </c>
      <c r="P15" s="18" t="s">
        <v>62</v>
      </c>
      <c r="Q15" s="12" t="s">
        <v>1219</v>
      </c>
      <c r="R15" s="148">
        <v>1023</v>
      </c>
      <c r="S15" s="145">
        <v>0</v>
      </c>
      <c r="T15" s="151">
        <v>1650</v>
      </c>
      <c r="U15" s="156">
        <v>1</v>
      </c>
      <c r="V15" s="150">
        <v>253.4</v>
      </c>
      <c r="W15" s="151">
        <v>4.181</v>
      </c>
      <c r="X15" s="155">
        <v>3.7007642616794303E-2</v>
      </c>
      <c r="Y15" s="155">
        <v>1.2537533307619E-5</v>
      </c>
    </row>
    <row r="16" spans="1:25" x14ac:dyDescent="0.2">
      <c r="A16" s="18">
        <v>559</v>
      </c>
      <c r="B16" s="18">
        <v>7205</v>
      </c>
      <c r="C16" s="18" t="s">
        <v>1560</v>
      </c>
      <c r="D16" s="18" t="s">
        <v>1561</v>
      </c>
      <c r="E16" s="12" t="s">
        <v>1477</v>
      </c>
      <c r="F16" s="18" t="s">
        <v>3015</v>
      </c>
      <c r="G16" s="18" t="s">
        <v>3016</v>
      </c>
      <c r="H16" s="12" t="s">
        <v>76</v>
      </c>
      <c r="I16" s="12" t="s">
        <v>53</v>
      </c>
      <c r="J16" s="12" t="s">
        <v>53</v>
      </c>
      <c r="K16" s="18" t="s">
        <v>805</v>
      </c>
      <c r="L16" s="12" t="s">
        <v>311</v>
      </c>
      <c r="M16" s="18" t="s">
        <v>3017</v>
      </c>
      <c r="N16" s="18" t="s">
        <v>692</v>
      </c>
      <c r="O16" s="163" t="s">
        <v>3018</v>
      </c>
      <c r="P16" s="18" t="s">
        <v>62</v>
      </c>
      <c r="Q16" s="12" t="s">
        <v>1219</v>
      </c>
      <c r="R16" s="148">
        <v>100</v>
      </c>
      <c r="S16" s="145">
        <v>1</v>
      </c>
      <c r="T16" s="151">
        <v>815600</v>
      </c>
      <c r="U16" s="156">
        <v>1</v>
      </c>
      <c r="V16" s="150">
        <v>7.2</v>
      </c>
      <c r="W16" s="151">
        <v>58.722999999999999</v>
      </c>
      <c r="X16" s="155">
        <v>9.3371394519439196E-2</v>
      </c>
      <c r="Y16" s="155">
        <v>3.0633491420099E-5</v>
      </c>
    </row>
    <row r="17" spans="1:25" x14ac:dyDescent="0.2">
      <c r="A17" s="18">
        <v>559</v>
      </c>
      <c r="B17" s="18">
        <v>7205</v>
      </c>
      <c r="C17" s="18" t="s">
        <v>1565</v>
      </c>
      <c r="D17" s="18" t="s">
        <v>1566</v>
      </c>
      <c r="E17" s="12" t="s">
        <v>1477</v>
      </c>
      <c r="F17" s="18" t="s">
        <v>3019</v>
      </c>
      <c r="G17" s="18" t="s">
        <v>3020</v>
      </c>
      <c r="H17" s="12" t="s">
        <v>76</v>
      </c>
      <c r="I17" s="12" t="s">
        <v>53</v>
      </c>
      <c r="J17" s="12" t="s">
        <v>53</v>
      </c>
      <c r="K17" s="18" t="s">
        <v>805</v>
      </c>
      <c r="L17" s="12" t="s">
        <v>311</v>
      </c>
      <c r="M17" s="18" t="s">
        <v>2540</v>
      </c>
      <c r="N17" s="18" t="s">
        <v>631</v>
      </c>
      <c r="O17" s="163" t="s">
        <v>3021</v>
      </c>
      <c r="P17" s="18" t="s">
        <v>62</v>
      </c>
      <c r="Q17" s="12" t="s">
        <v>1219</v>
      </c>
      <c r="R17" s="148">
        <v>8000</v>
      </c>
      <c r="S17" s="145">
        <v>0</v>
      </c>
      <c r="T17" s="151">
        <v>1518</v>
      </c>
      <c r="U17" s="156">
        <v>1</v>
      </c>
      <c r="V17" s="150">
        <v>327.10000000000002</v>
      </c>
      <c r="W17" s="151">
        <v>4.9649999999999999</v>
      </c>
      <c r="X17" s="155">
        <v>7.8950784047215408E-3</v>
      </c>
      <c r="Y17" s="155">
        <v>2.59023459826011E-6</v>
      </c>
    </row>
    <row r="18" spans="1:25" x14ac:dyDescent="0.2">
      <c r="A18" s="18">
        <v>559</v>
      </c>
      <c r="B18" s="18">
        <v>7205</v>
      </c>
      <c r="C18" s="18" t="s">
        <v>1635</v>
      </c>
      <c r="D18" s="18" t="s">
        <v>1636</v>
      </c>
      <c r="E18" s="12" t="s">
        <v>1477</v>
      </c>
      <c r="F18" s="18" t="s">
        <v>3022</v>
      </c>
      <c r="G18" s="18" t="s">
        <v>3023</v>
      </c>
      <c r="H18" s="12" t="s">
        <v>76</v>
      </c>
      <c r="I18" s="12" t="s">
        <v>53</v>
      </c>
      <c r="J18" s="12" t="s">
        <v>53</v>
      </c>
      <c r="K18" s="18" t="s">
        <v>805</v>
      </c>
      <c r="L18" s="12" t="s">
        <v>1227</v>
      </c>
      <c r="M18" s="18" t="s">
        <v>2558</v>
      </c>
      <c r="N18" s="18" t="s">
        <v>636</v>
      </c>
      <c r="O18" s="163" t="s">
        <v>3024</v>
      </c>
      <c r="P18" s="18" t="s">
        <v>62</v>
      </c>
      <c r="Q18" s="12" t="s">
        <v>1219</v>
      </c>
      <c r="R18" s="148">
        <v>17000</v>
      </c>
      <c r="S18" s="145">
        <v>0</v>
      </c>
      <c r="T18" s="151">
        <v>7030</v>
      </c>
      <c r="U18" s="156">
        <v>1</v>
      </c>
      <c r="V18" s="150">
        <v>2502</v>
      </c>
      <c r="W18" s="151">
        <v>175.89099999999999</v>
      </c>
      <c r="X18" s="155">
        <v>0.27967056640068799</v>
      </c>
      <c r="Y18" s="155">
        <v>9.1754931372542E-5</v>
      </c>
    </row>
    <row r="19" spans="1:25" x14ac:dyDescent="0.2">
      <c r="A19" s="18">
        <v>559</v>
      </c>
      <c r="B19" s="18">
        <v>7205</v>
      </c>
      <c r="C19" s="18" t="s">
        <v>1961</v>
      </c>
      <c r="D19" s="18" t="s">
        <v>1962</v>
      </c>
      <c r="E19" s="12" t="s">
        <v>1477</v>
      </c>
      <c r="F19" s="18" t="s">
        <v>3025</v>
      </c>
      <c r="G19" s="18" t="s">
        <v>3026</v>
      </c>
      <c r="H19" s="12" t="s">
        <v>76</v>
      </c>
      <c r="I19" s="12" t="s">
        <v>53</v>
      </c>
      <c r="J19" s="12" t="s">
        <v>53</v>
      </c>
      <c r="K19" s="18" t="s">
        <v>805</v>
      </c>
      <c r="L19" s="12" t="s">
        <v>311</v>
      </c>
      <c r="M19" s="18" t="s">
        <v>2708</v>
      </c>
      <c r="N19" s="18" t="s">
        <v>635</v>
      </c>
      <c r="O19" s="163" t="s">
        <v>3027</v>
      </c>
      <c r="P19" s="18" t="s">
        <v>62</v>
      </c>
      <c r="Q19" s="12" t="s">
        <v>1219</v>
      </c>
      <c r="R19" s="148">
        <v>190</v>
      </c>
      <c r="S19" s="145">
        <v>0</v>
      </c>
      <c r="T19" s="151">
        <v>738100</v>
      </c>
      <c r="U19" s="156">
        <v>1</v>
      </c>
      <c r="V19" s="150">
        <v>41.3</v>
      </c>
      <c r="W19" s="151">
        <v>304.83499999999998</v>
      </c>
      <c r="X19" s="155">
        <v>0.48469594742370298</v>
      </c>
      <c r="Y19" s="155">
        <v>1.59020106995077E-4</v>
      </c>
    </row>
    <row r="20" spans="1:25" x14ac:dyDescent="0.2">
      <c r="A20" s="6">
        <v>559</v>
      </c>
      <c r="B20" s="6">
        <v>7205</v>
      </c>
      <c r="C20" s="6" t="s">
        <v>2025</v>
      </c>
      <c r="D20" s="6" t="s">
        <v>2026</v>
      </c>
      <c r="E20" s="12" t="s">
        <v>1477</v>
      </c>
      <c r="F20" s="6" t="s">
        <v>3028</v>
      </c>
      <c r="G20" s="6" t="s">
        <v>3029</v>
      </c>
      <c r="H20" s="12" t="s">
        <v>76</v>
      </c>
      <c r="I20" s="12" t="s">
        <v>53</v>
      </c>
      <c r="J20" s="12" t="s">
        <v>53</v>
      </c>
      <c r="K20" s="18" t="s">
        <v>805</v>
      </c>
      <c r="L20" s="12" t="s">
        <v>1227</v>
      </c>
      <c r="M20" s="6" t="s">
        <v>3030</v>
      </c>
      <c r="N20" s="18" t="s">
        <v>631</v>
      </c>
      <c r="O20" s="164" t="s">
        <v>2033</v>
      </c>
      <c r="P20" s="18" t="s">
        <v>62</v>
      </c>
      <c r="Q20" s="6" t="s">
        <v>1219</v>
      </c>
      <c r="R20" s="157">
        <v>4152</v>
      </c>
      <c r="S20" s="131">
        <v>0</v>
      </c>
      <c r="T20" s="131">
        <v>7320</v>
      </c>
      <c r="U20" s="129">
        <v>1</v>
      </c>
      <c r="V20" s="157">
        <v>315.3</v>
      </c>
      <c r="W20" s="131">
        <v>23.08</v>
      </c>
      <c r="X20" s="132">
        <v>3.6697728506840097E-2</v>
      </c>
      <c r="Y20" s="132">
        <v>1.20398710669076E-5</v>
      </c>
    </row>
    <row r="21" spans="1:25" x14ac:dyDescent="0.2">
      <c r="A21" s="6">
        <v>559</v>
      </c>
      <c r="B21" s="6">
        <v>7205</v>
      </c>
      <c r="C21" s="6" t="s">
        <v>2094</v>
      </c>
      <c r="D21" s="6" t="s">
        <v>2095</v>
      </c>
      <c r="E21" s="3" t="s">
        <v>1477</v>
      </c>
      <c r="F21" s="6" t="s">
        <v>3037</v>
      </c>
      <c r="G21" s="6" t="s">
        <v>3038</v>
      </c>
      <c r="H21" s="3" t="s">
        <v>76</v>
      </c>
      <c r="I21" s="6" t="s">
        <v>53</v>
      </c>
      <c r="J21" s="6" t="s">
        <v>53</v>
      </c>
      <c r="K21" s="6" t="s">
        <v>805</v>
      </c>
      <c r="L21" s="3" t="s">
        <v>311</v>
      </c>
      <c r="M21" s="6" t="s">
        <v>3039</v>
      </c>
      <c r="N21" s="6" t="s">
        <v>156</v>
      </c>
      <c r="O21" s="164" t="s">
        <v>3040</v>
      </c>
      <c r="P21" s="6" t="s">
        <v>62</v>
      </c>
      <c r="Q21" s="6" t="s">
        <v>1219</v>
      </c>
      <c r="R21" s="157">
        <v>37.5</v>
      </c>
      <c r="S21" s="131">
        <v>1</v>
      </c>
      <c r="T21" s="131">
        <v>22698.880000000001</v>
      </c>
      <c r="U21" s="129">
        <v>1</v>
      </c>
      <c r="V21" s="157">
        <v>140</v>
      </c>
      <c r="W21" s="131">
        <v>31.777999999999999</v>
      </c>
      <c r="X21" s="132">
        <v>5.0528522142546203E-2</v>
      </c>
      <c r="Y21" s="132">
        <v>1.6577508106101099E-5</v>
      </c>
    </row>
    <row r="22" spans="1:25" x14ac:dyDescent="0.2">
      <c r="A22" s="6">
        <v>559</v>
      </c>
      <c r="B22" s="6">
        <v>7205</v>
      </c>
      <c r="C22" s="6" t="s">
        <v>3031</v>
      </c>
      <c r="D22" s="6" t="s">
        <v>3032</v>
      </c>
      <c r="E22" s="3" t="s">
        <v>1477</v>
      </c>
      <c r="F22" s="6" t="s">
        <v>3033</v>
      </c>
      <c r="G22" s="6" t="s">
        <v>3034</v>
      </c>
      <c r="H22" s="6" t="s">
        <v>76</v>
      </c>
      <c r="I22" s="6" t="s">
        <v>53</v>
      </c>
      <c r="J22" s="6" t="s">
        <v>53</v>
      </c>
      <c r="K22" s="6" t="s">
        <v>805</v>
      </c>
      <c r="L22" s="3" t="s">
        <v>1227</v>
      </c>
      <c r="M22" s="6" t="s">
        <v>3035</v>
      </c>
      <c r="N22" s="6" t="s">
        <v>140</v>
      </c>
      <c r="O22" s="164" t="s">
        <v>3036</v>
      </c>
      <c r="P22" s="6" t="s">
        <v>62</v>
      </c>
      <c r="Q22" s="6" t="s">
        <v>1219</v>
      </c>
      <c r="R22" s="157">
        <v>1023</v>
      </c>
      <c r="S22" s="131">
        <v>0</v>
      </c>
      <c r="T22" s="131">
        <v>11700</v>
      </c>
      <c r="U22" s="129">
        <v>1</v>
      </c>
      <c r="V22" s="157">
        <v>253.4</v>
      </c>
      <c r="W22" s="131">
        <v>29.648</v>
      </c>
      <c r="X22" s="132">
        <v>4.7140762602062403E-2</v>
      </c>
      <c r="Y22" s="132">
        <v>1.5466044543294801E-5</v>
      </c>
    </row>
    <row r="23" spans="1:25" x14ac:dyDescent="0.2">
      <c r="A23" s="6">
        <v>559</v>
      </c>
      <c r="B23" s="6">
        <v>7206</v>
      </c>
      <c r="C23" s="6" t="s">
        <v>1560</v>
      </c>
      <c r="D23" s="6" t="s">
        <v>1561</v>
      </c>
      <c r="E23" s="3" t="s">
        <v>1477</v>
      </c>
      <c r="F23" s="6" t="s">
        <v>3015</v>
      </c>
      <c r="G23" s="6" t="s">
        <v>3016</v>
      </c>
      <c r="H23" s="6" t="s">
        <v>76</v>
      </c>
      <c r="I23" s="6" t="s">
        <v>53</v>
      </c>
      <c r="J23" s="6" t="s">
        <v>53</v>
      </c>
      <c r="K23" s="6" t="s">
        <v>805</v>
      </c>
      <c r="L23" s="6" t="s">
        <v>311</v>
      </c>
      <c r="M23" s="6" t="s">
        <v>3017</v>
      </c>
      <c r="N23" s="6" t="s">
        <v>692</v>
      </c>
      <c r="O23" s="164" t="s">
        <v>3018</v>
      </c>
      <c r="P23" s="6" t="s">
        <v>62</v>
      </c>
      <c r="Q23" s="6" t="s">
        <v>1219</v>
      </c>
      <c r="R23" s="157">
        <v>100</v>
      </c>
      <c r="S23" s="131">
        <v>1</v>
      </c>
      <c r="T23" s="131">
        <v>21600</v>
      </c>
      <c r="U23" s="129">
        <v>1</v>
      </c>
      <c r="V23" s="157">
        <v>7.2</v>
      </c>
      <c r="W23" s="131">
        <v>1.5549999999999999</v>
      </c>
      <c r="X23" s="132">
        <v>5.6432052970654803E-2</v>
      </c>
      <c r="Y23" s="132">
        <v>1.7815628286582399E-5</v>
      </c>
    </row>
    <row r="24" spans="1:25" x14ac:dyDescent="0.2">
      <c r="A24" s="6">
        <v>559</v>
      </c>
      <c r="B24" s="6">
        <v>7206</v>
      </c>
      <c r="C24" s="6" t="s">
        <v>1565</v>
      </c>
      <c r="D24" s="6" t="s">
        <v>1566</v>
      </c>
      <c r="E24" s="3" t="s">
        <v>1477</v>
      </c>
      <c r="F24" s="6" t="s">
        <v>3019</v>
      </c>
      <c r="G24" s="6" t="s">
        <v>3020</v>
      </c>
      <c r="H24" s="6" t="s">
        <v>76</v>
      </c>
      <c r="I24" s="6" t="s">
        <v>53</v>
      </c>
      <c r="J24" s="6" t="s">
        <v>53</v>
      </c>
      <c r="K24" s="6" t="s">
        <v>805</v>
      </c>
      <c r="L24" s="6" t="s">
        <v>311</v>
      </c>
      <c r="M24" s="6" t="s">
        <v>2540</v>
      </c>
      <c r="N24" s="6" t="s">
        <v>631</v>
      </c>
      <c r="O24" s="164" t="s">
        <v>3021</v>
      </c>
      <c r="P24" s="6" t="s">
        <v>62</v>
      </c>
      <c r="Q24" s="6" t="s">
        <v>1219</v>
      </c>
      <c r="R24" s="157">
        <v>8000</v>
      </c>
      <c r="S24" s="131">
        <v>0</v>
      </c>
      <c r="T24" s="131">
        <v>66</v>
      </c>
      <c r="U24" s="129">
        <v>1</v>
      </c>
      <c r="V24" s="157">
        <v>327.10000000000002</v>
      </c>
      <c r="W24" s="131">
        <v>0.216</v>
      </c>
      <c r="X24" s="132">
        <v>7.8336485259920194E-3</v>
      </c>
      <c r="Y24" s="132">
        <v>2.4730868880382799E-6</v>
      </c>
    </row>
    <row r="25" spans="1:25" x14ac:dyDescent="0.2">
      <c r="A25" s="6">
        <v>559</v>
      </c>
      <c r="B25" s="6">
        <v>7206</v>
      </c>
      <c r="C25" s="6" t="s">
        <v>1635</v>
      </c>
      <c r="D25" s="6" t="s">
        <v>1636</v>
      </c>
      <c r="E25" s="3" t="s">
        <v>1477</v>
      </c>
      <c r="F25" s="6" t="s">
        <v>3022</v>
      </c>
      <c r="G25" s="6" t="s">
        <v>3023</v>
      </c>
      <c r="H25" s="6" t="s">
        <v>76</v>
      </c>
      <c r="I25" s="6" t="s">
        <v>53</v>
      </c>
      <c r="J25" s="6" t="s">
        <v>53</v>
      </c>
      <c r="K25" s="6" t="s">
        <v>805</v>
      </c>
      <c r="L25" s="6" t="s">
        <v>1227</v>
      </c>
      <c r="M25" s="6" t="s">
        <v>2558</v>
      </c>
      <c r="N25" s="6" t="s">
        <v>636</v>
      </c>
      <c r="O25" s="164" t="s">
        <v>3024</v>
      </c>
      <c r="P25" s="6" t="s">
        <v>62</v>
      </c>
      <c r="Q25" s="6" t="s">
        <v>1219</v>
      </c>
      <c r="R25" s="157">
        <v>17000</v>
      </c>
      <c r="S25" s="131">
        <v>0</v>
      </c>
      <c r="T25" s="131">
        <v>296</v>
      </c>
      <c r="U25" s="129">
        <v>1</v>
      </c>
      <c r="V25" s="157">
        <v>2502</v>
      </c>
      <c r="W25" s="131">
        <v>7.4059999999999997</v>
      </c>
      <c r="X25" s="132">
        <v>0.26873152632229402</v>
      </c>
      <c r="Y25" s="132">
        <v>8.4838681738790003E-5</v>
      </c>
    </row>
    <row r="26" spans="1:25" x14ac:dyDescent="0.2">
      <c r="A26" s="6">
        <v>559</v>
      </c>
      <c r="B26" s="6">
        <v>7206</v>
      </c>
      <c r="C26" s="6" t="s">
        <v>1961</v>
      </c>
      <c r="D26" s="6" t="s">
        <v>1962</v>
      </c>
      <c r="E26" s="3" t="s">
        <v>1477</v>
      </c>
      <c r="F26" s="6" t="s">
        <v>3025</v>
      </c>
      <c r="G26" s="6" t="s">
        <v>3026</v>
      </c>
      <c r="H26" s="6" t="s">
        <v>76</v>
      </c>
      <c r="I26" s="6" t="s">
        <v>53</v>
      </c>
      <c r="J26" s="6" t="s">
        <v>53</v>
      </c>
      <c r="K26" s="6" t="s">
        <v>805</v>
      </c>
      <c r="L26" s="6" t="s">
        <v>311</v>
      </c>
      <c r="M26" s="6" t="s">
        <v>2708</v>
      </c>
      <c r="N26" s="6" t="s">
        <v>635</v>
      </c>
      <c r="O26" s="164" t="s">
        <v>3027</v>
      </c>
      <c r="P26" s="6" t="s">
        <v>62</v>
      </c>
      <c r="Q26" s="6" t="s">
        <v>1219</v>
      </c>
      <c r="R26" s="157">
        <v>190</v>
      </c>
      <c r="S26" s="131">
        <v>0</v>
      </c>
      <c r="T26" s="131">
        <v>39000</v>
      </c>
      <c r="U26" s="129">
        <v>1</v>
      </c>
      <c r="V26" s="157">
        <v>41.3</v>
      </c>
      <c r="W26" s="131">
        <v>16.106999999999999</v>
      </c>
      <c r="X26" s="132">
        <v>0.58445928317794305</v>
      </c>
      <c r="Y26" s="132">
        <v>1.8451409774433001E-4</v>
      </c>
    </row>
    <row r="27" spans="1:25" x14ac:dyDescent="0.2">
      <c r="A27" s="6">
        <v>559</v>
      </c>
      <c r="B27" s="6">
        <v>7206</v>
      </c>
      <c r="C27" s="6" t="s">
        <v>2025</v>
      </c>
      <c r="D27" s="6" t="s">
        <v>2026</v>
      </c>
      <c r="E27" s="3" t="s">
        <v>1477</v>
      </c>
      <c r="F27" s="6" t="s">
        <v>3028</v>
      </c>
      <c r="G27" s="6" t="s">
        <v>3029</v>
      </c>
      <c r="H27" s="6" t="s">
        <v>76</v>
      </c>
      <c r="I27" s="6" t="s">
        <v>53</v>
      </c>
      <c r="J27" s="6" t="s">
        <v>53</v>
      </c>
      <c r="K27" s="6" t="s">
        <v>805</v>
      </c>
      <c r="L27" s="6" t="s">
        <v>1227</v>
      </c>
      <c r="M27" s="6" t="s">
        <v>3030</v>
      </c>
      <c r="N27" s="6" t="s">
        <v>631</v>
      </c>
      <c r="O27" s="164" t="s">
        <v>2033</v>
      </c>
      <c r="P27" s="6" t="s">
        <v>62</v>
      </c>
      <c r="Q27" s="6" t="s">
        <v>1219</v>
      </c>
      <c r="R27" s="157">
        <v>4152</v>
      </c>
      <c r="S27" s="131">
        <v>0</v>
      </c>
      <c r="T27" s="131">
        <v>400</v>
      </c>
      <c r="U27" s="129">
        <v>1</v>
      </c>
      <c r="V27" s="157">
        <v>315.3</v>
      </c>
      <c r="W27" s="131">
        <v>1.2609999999999999</v>
      </c>
      <c r="X27" s="132">
        <v>4.5763956537159103E-2</v>
      </c>
      <c r="Y27" s="132">
        <v>1.4447704729319499E-5</v>
      </c>
    </row>
    <row r="28" spans="1:25" x14ac:dyDescent="0.2">
      <c r="A28" s="6">
        <v>559</v>
      </c>
      <c r="B28" s="6">
        <v>7206</v>
      </c>
      <c r="C28" s="6" t="s">
        <v>3031</v>
      </c>
      <c r="D28" s="6" t="s">
        <v>3032</v>
      </c>
      <c r="E28" s="3" t="s">
        <v>1477</v>
      </c>
      <c r="F28" s="6" t="s">
        <v>3033</v>
      </c>
      <c r="G28" s="6" t="s">
        <v>3034</v>
      </c>
      <c r="H28" s="6" t="s">
        <v>76</v>
      </c>
      <c r="I28" s="6" t="s">
        <v>53</v>
      </c>
      <c r="J28" s="6" t="s">
        <v>53</v>
      </c>
      <c r="K28" s="6" t="s">
        <v>805</v>
      </c>
      <c r="L28" s="6" t="s">
        <v>1227</v>
      </c>
      <c r="M28" s="6" t="s">
        <v>3035</v>
      </c>
      <c r="N28" s="6" t="s">
        <v>140</v>
      </c>
      <c r="O28" s="164" t="s">
        <v>3036</v>
      </c>
      <c r="P28" s="6" t="s">
        <v>62</v>
      </c>
      <c r="Q28" s="6" t="s">
        <v>1219</v>
      </c>
      <c r="R28" s="157">
        <v>1023</v>
      </c>
      <c r="S28" s="131">
        <v>0</v>
      </c>
      <c r="T28" s="131">
        <v>400</v>
      </c>
      <c r="U28" s="129">
        <v>1</v>
      </c>
      <c r="V28" s="157">
        <v>253.4</v>
      </c>
      <c r="W28" s="131">
        <v>1.014</v>
      </c>
      <c r="X28" s="132">
        <v>3.6779532465956603E-2</v>
      </c>
      <c r="Y28" s="132">
        <v>1.1611317406944399E-5</v>
      </c>
    </row>
    <row r="29" spans="1:25" x14ac:dyDescent="0.2">
      <c r="A29" s="6">
        <v>559</v>
      </c>
      <c r="B29" s="6">
        <v>7207</v>
      </c>
      <c r="C29" s="6" t="s">
        <v>1560</v>
      </c>
      <c r="D29" s="6" t="s">
        <v>1561</v>
      </c>
      <c r="E29" s="3" t="s">
        <v>1477</v>
      </c>
      <c r="F29" s="6" t="s">
        <v>3015</v>
      </c>
      <c r="G29" s="6" t="s">
        <v>3016</v>
      </c>
      <c r="H29" s="6" t="s">
        <v>76</v>
      </c>
      <c r="I29" s="6" t="s">
        <v>53</v>
      </c>
      <c r="J29" s="6" t="s">
        <v>53</v>
      </c>
      <c r="K29" s="6" t="s">
        <v>805</v>
      </c>
      <c r="L29" s="6" t="s">
        <v>311</v>
      </c>
      <c r="M29" s="6" t="s">
        <v>3017</v>
      </c>
      <c r="N29" s="6" t="s">
        <v>692</v>
      </c>
      <c r="O29" s="164" t="s">
        <v>3018</v>
      </c>
      <c r="P29" s="6" t="s">
        <v>62</v>
      </c>
      <c r="Q29" s="6" t="s">
        <v>1219</v>
      </c>
      <c r="R29" s="157">
        <v>100</v>
      </c>
      <c r="S29" s="131">
        <v>1</v>
      </c>
      <c r="T29" s="131">
        <v>43400</v>
      </c>
      <c r="U29" s="129">
        <v>1</v>
      </c>
      <c r="V29" s="157">
        <v>7.2</v>
      </c>
      <c r="W29" s="131">
        <v>3.125</v>
      </c>
      <c r="X29" s="132">
        <v>7.6021028981411595E-2</v>
      </c>
      <c r="Y29" s="132">
        <v>2.5710453340899E-5</v>
      </c>
    </row>
    <row r="30" spans="1:25" x14ac:dyDescent="0.2">
      <c r="A30" s="6">
        <v>559</v>
      </c>
      <c r="B30" s="6">
        <v>7207</v>
      </c>
      <c r="C30" s="6" t="s">
        <v>1565</v>
      </c>
      <c r="D30" s="6" t="s">
        <v>1566</v>
      </c>
      <c r="E30" s="3" t="s">
        <v>1477</v>
      </c>
      <c r="F30" s="6" t="s">
        <v>3019</v>
      </c>
      <c r="G30" s="6" t="s">
        <v>3020</v>
      </c>
      <c r="H30" s="6" t="s">
        <v>76</v>
      </c>
      <c r="I30" s="6" t="s">
        <v>53</v>
      </c>
      <c r="J30" s="6" t="s">
        <v>53</v>
      </c>
      <c r="K30" s="6" t="s">
        <v>805</v>
      </c>
      <c r="L30" s="6" t="s">
        <v>311</v>
      </c>
      <c r="M30" s="6" t="s">
        <v>2540</v>
      </c>
      <c r="N30" s="6" t="s">
        <v>631</v>
      </c>
      <c r="O30" s="164" t="s">
        <v>3021</v>
      </c>
      <c r="P30" s="6" t="s">
        <v>62</v>
      </c>
      <c r="Q30" s="6" t="s">
        <v>1219</v>
      </c>
      <c r="R30" s="157">
        <v>8000</v>
      </c>
      <c r="S30" s="131">
        <v>0</v>
      </c>
      <c r="T30" s="131">
        <v>66</v>
      </c>
      <c r="U30" s="129">
        <v>1</v>
      </c>
      <c r="V30" s="157">
        <v>327.10000000000002</v>
      </c>
      <c r="W30" s="131">
        <v>0.216</v>
      </c>
      <c r="X30" s="132">
        <v>5.2521364127883496E-3</v>
      </c>
      <c r="Y30" s="132">
        <v>1.77628229965224E-6</v>
      </c>
    </row>
    <row r="31" spans="1:25" x14ac:dyDescent="0.2">
      <c r="A31" s="6">
        <v>559</v>
      </c>
      <c r="B31" s="6">
        <v>7207</v>
      </c>
      <c r="C31" s="6" t="s">
        <v>1635</v>
      </c>
      <c r="D31" s="6" t="s">
        <v>1636</v>
      </c>
      <c r="E31" s="3" t="s">
        <v>1477</v>
      </c>
      <c r="F31" s="6" t="s">
        <v>3022</v>
      </c>
      <c r="G31" s="6" t="s">
        <v>3023</v>
      </c>
      <c r="H31" s="6" t="s">
        <v>76</v>
      </c>
      <c r="I31" s="6" t="s">
        <v>53</v>
      </c>
      <c r="J31" s="6" t="s">
        <v>53</v>
      </c>
      <c r="K31" s="6" t="s">
        <v>805</v>
      </c>
      <c r="L31" s="6" t="s">
        <v>1227</v>
      </c>
      <c r="M31" s="6" t="s">
        <v>2558</v>
      </c>
      <c r="N31" s="6" t="s">
        <v>636</v>
      </c>
      <c r="O31" s="164" t="s">
        <v>3024</v>
      </c>
      <c r="P31" s="6" t="s">
        <v>62</v>
      </c>
      <c r="Q31" s="6" t="s">
        <v>1219</v>
      </c>
      <c r="R31" s="157">
        <v>17000</v>
      </c>
      <c r="S31" s="131">
        <v>0</v>
      </c>
      <c r="T31" s="131">
        <v>444</v>
      </c>
      <c r="U31" s="129">
        <v>1</v>
      </c>
      <c r="V31" s="157">
        <v>2502</v>
      </c>
      <c r="W31" s="131">
        <v>11.109</v>
      </c>
      <c r="X31" s="132">
        <v>0.27026001293875601</v>
      </c>
      <c r="Y31" s="132">
        <v>9.1402438847173001E-5</v>
      </c>
    </row>
    <row r="32" spans="1:25" x14ac:dyDescent="0.2">
      <c r="A32" s="6">
        <v>559</v>
      </c>
      <c r="B32" s="6">
        <v>7207</v>
      </c>
      <c r="C32" s="6" t="s">
        <v>1961</v>
      </c>
      <c r="D32" s="6" t="s">
        <v>1962</v>
      </c>
      <c r="E32" s="3" t="s">
        <v>1477</v>
      </c>
      <c r="F32" s="6" t="s">
        <v>3025</v>
      </c>
      <c r="G32" s="6" t="s">
        <v>3026</v>
      </c>
      <c r="H32" s="6" t="s">
        <v>76</v>
      </c>
      <c r="I32" s="6" t="s">
        <v>53</v>
      </c>
      <c r="J32" s="6" t="s">
        <v>53</v>
      </c>
      <c r="K32" s="6" t="s">
        <v>805</v>
      </c>
      <c r="L32" s="6" t="s">
        <v>311</v>
      </c>
      <c r="M32" s="6" t="s">
        <v>2708</v>
      </c>
      <c r="N32" s="6" t="s">
        <v>635</v>
      </c>
      <c r="O32" s="164" t="s">
        <v>3027</v>
      </c>
      <c r="P32" s="6" t="s">
        <v>62</v>
      </c>
      <c r="Q32" s="6" t="s">
        <v>1219</v>
      </c>
      <c r="R32" s="157">
        <v>190</v>
      </c>
      <c r="S32" s="131">
        <v>0</v>
      </c>
      <c r="T32" s="131">
        <v>58500</v>
      </c>
      <c r="U32" s="129">
        <v>1</v>
      </c>
      <c r="V32" s="157">
        <v>41.3</v>
      </c>
      <c r="W32" s="131">
        <v>24.16</v>
      </c>
      <c r="X32" s="132">
        <v>0.58778356077361604</v>
      </c>
      <c r="Y32" s="132">
        <v>1.98789493069249E-4</v>
      </c>
    </row>
    <row r="33" spans="1:25" x14ac:dyDescent="0.2">
      <c r="A33" s="6">
        <v>559</v>
      </c>
      <c r="B33" s="6">
        <v>7207</v>
      </c>
      <c r="C33" s="6" t="s">
        <v>2025</v>
      </c>
      <c r="D33" s="6" t="s">
        <v>2026</v>
      </c>
      <c r="E33" s="3" t="s">
        <v>1477</v>
      </c>
      <c r="F33" s="6" t="s">
        <v>3028</v>
      </c>
      <c r="G33" s="6" t="s">
        <v>3029</v>
      </c>
      <c r="H33" s="6" t="s">
        <v>76</v>
      </c>
      <c r="I33" s="6" t="s">
        <v>53</v>
      </c>
      <c r="J33" s="6" t="s">
        <v>53</v>
      </c>
      <c r="K33" s="6" t="s">
        <v>805</v>
      </c>
      <c r="L33" s="6" t="s">
        <v>1227</v>
      </c>
      <c r="M33" s="6" t="s">
        <v>3030</v>
      </c>
      <c r="N33" s="6" t="s">
        <v>631</v>
      </c>
      <c r="O33" s="164" t="s">
        <v>2033</v>
      </c>
      <c r="P33" s="6" t="s">
        <v>62</v>
      </c>
      <c r="Q33" s="6" t="s">
        <v>1219</v>
      </c>
      <c r="R33" s="157">
        <v>4152</v>
      </c>
      <c r="S33" s="131">
        <v>0</v>
      </c>
      <c r="T33" s="131">
        <v>550</v>
      </c>
      <c r="U33" s="129">
        <v>1</v>
      </c>
      <c r="V33" s="157">
        <v>315.3</v>
      </c>
      <c r="W33" s="131">
        <v>1.734</v>
      </c>
      <c r="X33" s="132">
        <v>4.2188897660046999E-2</v>
      </c>
      <c r="Y33" s="132">
        <v>1.4268363626830499E-5</v>
      </c>
    </row>
    <row r="34" spans="1:25" x14ac:dyDescent="0.2">
      <c r="A34" s="6">
        <v>559</v>
      </c>
      <c r="B34" s="6">
        <v>7207</v>
      </c>
      <c r="C34" s="6" t="s">
        <v>3031</v>
      </c>
      <c r="D34" s="6" t="s">
        <v>3032</v>
      </c>
      <c r="E34" s="3" t="s">
        <v>1477</v>
      </c>
      <c r="F34" s="6" t="s">
        <v>3033</v>
      </c>
      <c r="G34" s="6" t="s">
        <v>3034</v>
      </c>
      <c r="H34" s="6" t="s">
        <v>76</v>
      </c>
      <c r="I34" s="6" t="s">
        <v>53</v>
      </c>
      <c r="J34" s="6" t="s">
        <v>53</v>
      </c>
      <c r="K34" s="6" t="s">
        <v>805</v>
      </c>
      <c r="L34" s="6" t="s">
        <v>1227</v>
      </c>
      <c r="M34" s="6" t="s">
        <v>3035</v>
      </c>
      <c r="N34" s="6" t="s">
        <v>140</v>
      </c>
      <c r="O34" s="164" t="s">
        <v>3036</v>
      </c>
      <c r="P34" s="6" t="s">
        <v>62</v>
      </c>
      <c r="Q34" s="6" t="s">
        <v>1219</v>
      </c>
      <c r="R34" s="157">
        <v>1023</v>
      </c>
      <c r="S34" s="131">
        <v>0</v>
      </c>
      <c r="T34" s="131">
        <v>300</v>
      </c>
      <c r="U34" s="129">
        <v>1</v>
      </c>
      <c r="V34" s="157">
        <v>253.4</v>
      </c>
      <c r="W34" s="131">
        <v>0.76</v>
      </c>
      <c r="X34" s="132">
        <v>1.8494363233381099E-2</v>
      </c>
      <c r="Y34" s="132">
        <v>6.2548280305144099E-6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7F50457B-38E8-47A4-AD2C-AEDC0808991D}">
      <formula1>israel_abroad</formula1>
    </dataValidation>
    <dataValidation type="list" allowBlank="1" showInputMessage="1" showErrorMessage="1" sqref="N2:N20" xr:uid="{AB2C5F65-42D1-462C-B9F5-2366FE93EA6E}">
      <formula1>Industry_sectors</formula1>
    </dataValidation>
    <dataValidation type="list" allowBlank="1" showInputMessage="1" showErrorMessage="1" sqref="P2:P20" xr:uid="{206E523D-DC5C-4C9E-A62C-3340ED115E05}">
      <formula1>Holding_interest</formula1>
    </dataValidation>
    <dataValidation type="list" allowBlank="1" showInputMessage="1" showErrorMessage="1" sqref="J2:J20" xr:uid="{D23FE513-8DC1-4B90-A196-F638F1CCCC62}">
      <formula1>Country_list</formula1>
    </dataValidation>
    <dataValidation type="list" allowBlank="1" showInputMessage="1" showErrorMessage="1" sqref="E2:E20" xr:uid="{C89D999E-AFA7-4154-A240-9C71EE32D4DB}">
      <formula1>Issuer_Type_TFunds</formula1>
    </dataValidation>
    <dataValidation type="list" allowBlank="1" showInputMessage="1" showErrorMessage="1" sqref="H2:H20" xr:uid="{8CF2EAFF-FA6B-409C-AB53-AD832A5CB60E}">
      <formula1>Security_ID_Number_Type</formula1>
    </dataValidation>
    <dataValidation type="list" allowBlank="1" showInputMessage="1" showErrorMessage="1" sqref="K2:K20" xr:uid="{A63E9871-06A5-47C9-B3CC-1556B4AEC31D}">
      <formula1>tradeable_status_warrants</formula1>
    </dataValidation>
    <dataValidation type="list" allowBlank="1" showInputMessage="1" showErrorMessage="1" sqref="L2:L20" xr:uid="{61FEAB46-EB98-48B3-9DBC-C193C5454B28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3" customWidth="1"/>
    <col min="6" max="24" width="11.625" style="2" customWidth="1"/>
    <col min="25" max="25" width="11.625" style="2" hidden="1" customWidth="1"/>
    <col min="26" max="16384" width="9" style="2" hidden="1"/>
  </cols>
  <sheetData>
    <row r="1" spans="1:24" ht="51" x14ac:dyDescent="0.2">
      <c r="A1" s="13" t="s">
        <v>651</v>
      </c>
      <c r="B1" s="13" t="s">
        <v>0</v>
      </c>
      <c r="C1" s="13" t="s">
        <v>724</v>
      </c>
      <c r="D1" s="13" t="s">
        <v>2</v>
      </c>
      <c r="E1" s="13" t="s">
        <v>740</v>
      </c>
      <c r="F1" s="13" t="s">
        <v>1145</v>
      </c>
      <c r="G1" s="13" t="s">
        <v>29</v>
      </c>
      <c r="H1" s="13" t="s">
        <v>28</v>
      </c>
      <c r="I1" s="13" t="s">
        <v>1</v>
      </c>
      <c r="J1" s="13" t="s">
        <v>604</v>
      </c>
      <c r="K1" s="13" t="s">
        <v>605</v>
      </c>
      <c r="L1" s="13" t="s">
        <v>5</v>
      </c>
      <c r="M1" s="13" t="s">
        <v>9</v>
      </c>
      <c r="N1" s="13" t="s">
        <v>10</v>
      </c>
      <c r="O1" s="13" t="s">
        <v>666</v>
      </c>
      <c r="P1" s="13" t="s">
        <v>606</v>
      </c>
      <c r="Q1" s="13" t="s">
        <v>396</v>
      </c>
      <c r="R1" s="13" t="s">
        <v>23</v>
      </c>
      <c r="S1" s="13" t="s">
        <v>773</v>
      </c>
      <c r="T1" s="13" t="s">
        <v>11</v>
      </c>
      <c r="U1" s="13" t="s">
        <v>15</v>
      </c>
      <c r="V1" s="13" t="s">
        <v>1153</v>
      </c>
      <c r="W1" s="13" t="s">
        <v>19</v>
      </c>
      <c r="X1" s="13" t="s">
        <v>30</v>
      </c>
    </row>
    <row r="2" spans="1:24" x14ac:dyDescent="0.2">
      <c r="A2" s="14"/>
      <c r="B2" s="14"/>
      <c r="C2" s="14"/>
      <c r="D2" s="14"/>
      <c r="E2" s="12"/>
      <c r="F2" s="14"/>
      <c r="G2" s="14"/>
      <c r="H2" s="12"/>
      <c r="I2" s="14"/>
      <c r="J2" s="12"/>
      <c r="K2" s="12"/>
      <c r="L2" s="12"/>
      <c r="M2" s="14"/>
      <c r="N2" s="14"/>
      <c r="O2" s="14"/>
      <c r="P2" s="14"/>
      <c r="Q2" s="12"/>
      <c r="R2" s="12"/>
      <c r="S2" s="14"/>
      <c r="T2" s="14"/>
      <c r="U2" s="14"/>
      <c r="V2" s="14"/>
      <c r="W2" s="14"/>
      <c r="X2" s="14"/>
    </row>
    <row r="3" spans="1:24" x14ac:dyDescent="0.2">
      <c r="A3" s="14"/>
      <c r="B3" s="14"/>
      <c r="C3" s="14"/>
      <c r="D3" s="14"/>
      <c r="E3" s="12"/>
      <c r="F3" s="14"/>
      <c r="G3" s="14"/>
      <c r="H3" s="12"/>
      <c r="I3" s="14"/>
      <c r="J3" s="12"/>
      <c r="K3" s="12"/>
      <c r="L3" s="12"/>
      <c r="M3" s="14"/>
      <c r="N3" s="14"/>
      <c r="O3" s="14"/>
      <c r="P3" s="14"/>
      <c r="Q3" s="12"/>
      <c r="R3" s="12"/>
      <c r="S3" s="14"/>
      <c r="T3" s="14"/>
      <c r="U3" s="14"/>
      <c r="V3" s="14"/>
      <c r="W3" s="14"/>
      <c r="X3" s="14"/>
    </row>
    <row r="4" spans="1:24" x14ac:dyDescent="0.2">
      <c r="A4" s="14"/>
      <c r="B4" s="14"/>
      <c r="C4" s="14"/>
      <c r="D4" s="14"/>
      <c r="E4" s="12"/>
      <c r="F4" s="14"/>
      <c r="G4" s="14"/>
      <c r="H4" s="12"/>
      <c r="I4" s="14"/>
      <c r="J4" s="12"/>
      <c r="K4" s="12"/>
      <c r="L4" s="12"/>
      <c r="M4" s="14"/>
      <c r="N4" s="14"/>
      <c r="O4" s="14"/>
      <c r="P4" s="14"/>
      <c r="Q4" s="12"/>
      <c r="R4" s="12"/>
      <c r="S4" s="14"/>
      <c r="T4" s="14"/>
      <c r="U4" s="14"/>
      <c r="V4" s="14"/>
      <c r="W4" s="14"/>
      <c r="X4" s="14"/>
    </row>
    <row r="5" spans="1:24" x14ac:dyDescent="0.2">
      <c r="A5" s="14"/>
      <c r="B5" s="14"/>
      <c r="C5" s="14"/>
      <c r="D5" s="14"/>
      <c r="E5" s="12"/>
      <c r="F5" s="14"/>
      <c r="G5" s="14"/>
      <c r="H5" s="12"/>
      <c r="I5" s="14"/>
      <c r="J5" s="12"/>
      <c r="K5" s="12"/>
      <c r="L5" s="12"/>
      <c r="M5" s="14"/>
      <c r="N5" s="14"/>
      <c r="O5" s="14"/>
      <c r="P5" s="14"/>
      <c r="Q5" s="12"/>
      <c r="R5" s="12"/>
      <c r="S5" s="14"/>
      <c r="T5" s="14"/>
      <c r="U5" s="14"/>
      <c r="V5" s="14"/>
      <c r="W5" s="14"/>
      <c r="X5" s="14"/>
    </row>
    <row r="6" spans="1:24" x14ac:dyDescent="0.2">
      <c r="A6" s="14"/>
      <c r="B6" s="14"/>
      <c r="C6" s="14"/>
      <c r="D6" s="14"/>
      <c r="E6" s="12"/>
      <c r="F6" s="14"/>
      <c r="G6" s="14"/>
      <c r="H6" s="12"/>
      <c r="I6" s="14"/>
      <c r="J6" s="12"/>
      <c r="K6" s="12"/>
      <c r="L6" s="12"/>
      <c r="M6" s="14"/>
      <c r="N6" s="14"/>
      <c r="O6" s="14"/>
      <c r="P6" s="14"/>
      <c r="Q6" s="12"/>
      <c r="R6" s="12"/>
      <c r="S6" s="14"/>
      <c r="T6" s="14"/>
      <c r="U6" s="14"/>
      <c r="V6" s="14"/>
      <c r="W6" s="14"/>
      <c r="X6" s="14"/>
    </row>
    <row r="7" spans="1:24" x14ac:dyDescent="0.2">
      <c r="A7" s="14"/>
      <c r="B7" s="14"/>
      <c r="C7" s="14"/>
      <c r="D7" s="14"/>
      <c r="E7" s="12"/>
      <c r="F7" s="14"/>
      <c r="G7" s="14"/>
      <c r="H7" s="12"/>
      <c r="I7" s="14"/>
      <c r="J7" s="12"/>
      <c r="K7" s="12"/>
      <c r="L7" s="12"/>
      <c r="M7" s="14"/>
      <c r="N7" s="14"/>
      <c r="O7" s="14"/>
      <c r="P7" s="14"/>
      <c r="Q7" s="12"/>
      <c r="R7" s="12"/>
      <c r="S7" s="14"/>
      <c r="T7" s="14"/>
      <c r="U7" s="14"/>
      <c r="V7" s="14"/>
      <c r="W7" s="14"/>
      <c r="X7" s="14"/>
    </row>
    <row r="8" spans="1:24" x14ac:dyDescent="0.2">
      <c r="A8" s="14"/>
      <c r="B8" s="14"/>
      <c r="C8" s="14"/>
      <c r="D8" s="14"/>
      <c r="E8" s="12"/>
      <c r="F8" s="14"/>
      <c r="G8" s="14"/>
      <c r="H8" s="12"/>
      <c r="I8" s="14"/>
      <c r="J8" s="12"/>
      <c r="K8" s="12"/>
      <c r="L8" s="12"/>
      <c r="M8" s="14"/>
      <c r="N8" s="14"/>
      <c r="O8" s="14"/>
      <c r="P8" s="14"/>
      <c r="Q8" s="12"/>
      <c r="R8" s="12"/>
      <c r="S8" s="14"/>
      <c r="T8" s="14"/>
      <c r="U8" s="14"/>
      <c r="V8" s="14"/>
      <c r="W8" s="14"/>
      <c r="X8" s="14"/>
    </row>
    <row r="9" spans="1:24" x14ac:dyDescent="0.2">
      <c r="A9" s="14"/>
      <c r="B9" s="14"/>
      <c r="C9" s="14"/>
      <c r="D9" s="14"/>
      <c r="E9" s="12"/>
      <c r="F9" s="14"/>
      <c r="G9" s="14"/>
      <c r="H9" s="12"/>
      <c r="I9" s="14"/>
      <c r="J9" s="12"/>
      <c r="K9" s="12"/>
      <c r="L9" s="12"/>
      <c r="M9" s="14"/>
      <c r="N9" s="14"/>
      <c r="O9" s="14"/>
      <c r="P9" s="14"/>
      <c r="Q9" s="12"/>
      <c r="R9" s="12"/>
      <c r="S9" s="14"/>
      <c r="T9" s="14"/>
      <c r="U9" s="14"/>
      <c r="V9" s="14"/>
      <c r="W9" s="14"/>
      <c r="X9" s="14"/>
    </row>
    <row r="10" spans="1:24" x14ac:dyDescent="0.2">
      <c r="A10" s="14"/>
      <c r="B10" s="14"/>
      <c r="C10" s="14"/>
      <c r="D10" s="14"/>
      <c r="E10" s="12"/>
      <c r="F10" s="14"/>
      <c r="G10" s="14"/>
      <c r="H10" s="12"/>
      <c r="I10" s="14"/>
      <c r="J10" s="12"/>
      <c r="K10" s="12"/>
      <c r="L10" s="12"/>
      <c r="M10" s="14"/>
      <c r="N10" s="14"/>
      <c r="O10" s="14"/>
      <c r="P10" s="14"/>
      <c r="Q10" s="12"/>
      <c r="R10" s="12"/>
      <c r="S10" s="14"/>
      <c r="T10" s="14"/>
      <c r="U10" s="14"/>
      <c r="V10" s="14"/>
      <c r="W10" s="14"/>
      <c r="X10" s="14"/>
    </row>
    <row r="11" spans="1:24" x14ac:dyDescent="0.2">
      <c r="A11" s="14"/>
      <c r="B11" s="14"/>
      <c r="C11" s="14"/>
      <c r="D11" s="14"/>
      <c r="E11" s="12"/>
      <c r="F11" s="14"/>
      <c r="G11" s="14"/>
      <c r="H11" s="12"/>
      <c r="I11" s="14"/>
      <c r="J11" s="12"/>
      <c r="K11" s="12"/>
      <c r="L11" s="12"/>
      <c r="M11" s="14"/>
      <c r="N11" s="14"/>
      <c r="O11" s="14"/>
      <c r="P11" s="14"/>
      <c r="Q11" s="12"/>
      <c r="R11" s="12"/>
      <c r="S11" s="14"/>
      <c r="T11" s="14"/>
      <c r="U11" s="14"/>
      <c r="V11" s="14"/>
      <c r="W11" s="14"/>
      <c r="X11" s="14"/>
    </row>
    <row r="12" spans="1:24" x14ac:dyDescent="0.2">
      <c r="A12" s="14"/>
      <c r="B12" s="14"/>
      <c r="C12" s="14"/>
      <c r="D12" s="14"/>
      <c r="E12" s="12"/>
      <c r="F12" s="14"/>
      <c r="G12" s="14"/>
      <c r="H12" s="12"/>
      <c r="I12" s="14"/>
      <c r="J12" s="12"/>
      <c r="K12" s="12"/>
      <c r="L12" s="12"/>
      <c r="M12" s="14"/>
      <c r="N12" s="14"/>
      <c r="O12" s="14"/>
      <c r="P12" s="14"/>
      <c r="Q12" s="12"/>
      <c r="R12" s="12"/>
      <c r="S12" s="14"/>
      <c r="T12" s="14"/>
      <c r="U12" s="14"/>
      <c r="V12" s="14"/>
      <c r="W12" s="14"/>
      <c r="X12" s="14"/>
    </row>
    <row r="13" spans="1:24" x14ac:dyDescent="0.2">
      <c r="A13" s="14"/>
      <c r="B13" s="14"/>
      <c r="C13" s="14"/>
      <c r="D13" s="14"/>
      <c r="E13" s="12"/>
      <c r="F13" s="14"/>
      <c r="G13" s="14"/>
      <c r="H13" s="12"/>
      <c r="I13" s="14"/>
      <c r="J13" s="12"/>
      <c r="K13" s="12"/>
      <c r="L13" s="12"/>
      <c r="M13" s="14"/>
      <c r="N13" s="14"/>
      <c r="O13" s="14"/>
      <c r="P13" s="14"/>
      <c r="Q13" s="12"/>
      <c r="R13" s="12"/>
      <c r="S13" s="14"/>
      <c r="T13" s="14"/>
      <c r="U13" s="14"/>
      <c r="V13" s="14"/>
      <c r="W13" s="14"/>
      <c r="X13" s="14"/>
    </row>
    <row r="14" spans="1:24" x14ac:dyDescent="0.2">
      <c r="A14" s="14"/>
      <c r="B14" s="14"/>
      <c r="C14" s="14"/>
      <c r="D14" s="14"/>
      <c r="E14" s="12"/>
      <c r="F14" s="14"/>
      <c r="G14" s="14"/>
      <c r="H14" s="12"/>
      <c r="I14" s="14"/>
      <c r="J14" s="12"/>
      <c r="K14" s="12"/>
      <c r="L14" s="12"/>
      <c r="M14" s="14"/>
      <c r="N14" s="14"/>
      <c r="O14" s="14"/>
      <c r="P14" s="14"/>
      <c r="Q14" s="12"/>
      <c r="R14" s="12"/>
      <c r="S14" s="14"/>
      <c r="T14" s="14"/>
      <c r="U14" s="14"/>
      <c r="V14" s="14"/>
      <c r="W14" s="14"/>
      <c r="X14" s="14"/>
    </row>
    <row r="15" spans="1:24" x14ac:dyDescent="0.2">
      <c r="A15" s="14"/>
      <c r="B15" s="14"/>
      <c r="C15" s="14"/>
      <c r="D15" s="14"/>
      <c r="E15" s="12"/>
      <c r="F15" s="14"/>
      <c r="G15" s="14"/>
      <c r="H15" s="12"/>
      <c r="I15" s="14"/>
      <c r="J15" s="12"/>
      <c r="K15" s="12"/>
      <c r="L15" s="12"/>
      <c r="M15" s="14"/>
      <c r="N15" s="14"/>
      <c r="O15" s="14"/>
      <c r="P15" s="14"/>
      <c r="Q15" s="12"/>
      <c r="R15" s="12"/>
      <c r="S15" s="14"/>
      <c r="T15" s="14"/>
      <c r="U15" s="14"/>
      <c r="V15" s="14"/>
      <c r="W15" s="14"/>
      <c r="X15" s="14"/>
    </row>
    <row r="16" spans="1:24" x14ac:dyDescent="0.2">
      <c r="A16" s="14"/>
      <c r="B16" s="14"/>
      <c r="C16" s="14"/>
      <c r="D16" s="14"/>
      <c r="E16" s="12"/>
      <c r="F16" s="14"/>
      <c r="G16" s="14"/>
      <c r="H16" s="12"/>
      <c r="I16" s="14"/>
      <c r="J16" s="12"/>
      <c r="K16" s="12"/>
      <c r="L16" s="12"/>
      <c r="M16" s="14"/>
      <c r="N16" s="14"/>
      <c r="O16" s="14"/>
      <c r="P16" s="14"/>
      <c r="Q16" s="12"/>
      <c r="R16" s="12"/>
      <c r="S16" s="14"/>
      <c r="T16" s="14"/>
      <c r="U16" s="14"/>
      <c r="V16" s="14"/>
      <c r="W16" s="14"/>
      <c r="X16" s="14"/>
    </row>
    <row r="17" spans="1:24" x14ac:dyDescent="0.2">
      <c r="A17" s="14"/>
      <c r="B17" s="14"/>
      <c r="C17" s="14"/>
      <c r="D17" s="14"/>
      <c r="E17" s="12"/>
      <c r="F17" s="14"/>
      <c r="G17" s="14"/>
      <c r="H17" s="12"/>
      <c r="I17" s="14"/>
      <c r="J17" s="12"/>
      <c r="K17" s="12"/>
      <c r="L17" s="12"/>
      <c r="M17" s="14"/>
      <c r="N17" s="14"/>
      <c r="O17" s="14"/>
      <c r="P17" s="14"/>
      <c r="Q17" s="12"/>
      <c r="R17" s="12"/>
      <c r="S17" s="14"/>
      <c r="T17" s="14"/>
      <c r="U17" s="14"/>
      <c r="V17" s="14"/>
      <c r="W17" s="14"/>
      <c r="X17" s="14"/>
    </row>
    <row r="18" spans="1:24" x14ac:dyDescent="0.2">
      <c r="A18" s="14"/>
      <c r="B18" s="14"/>
      <c r="C18" s="14"/>
      <c r="D18" s="14"/>
      <c r="E18" s="12"/>
      <c r="F18" s="14"/>
      <c r="G18" s="14"/>
      <c r="H18" s="12"/>
      <c r="I18" s="14"/>
      <c r="J18" s="12"/>
      <c r="K18" s="12"/>
      <c r="L18" s="12"/>
      <c r="M18" s="14"/>
      <c r="N18" s="14"/>
      <c r="O18" s="14"/>
      <c r="P18" s="14"/>
      <c r="Q18" s="12"/>
      <c r="R18" s="12"/>
      <c r="S18" s="14"/>
      <c r="T18" s="14"/>
      <c r="U18" s="14"/>
      <c r="V18" s="14"/>
      <c r="W18" s="14"/>
      <c r="X18" s="14"/>
    </row>
    <row r="19" spans="1:24" x14ac:dyDescent="0.2">
      <c r="A19" s="14"/>
      <c r="B19" s="14"/>
      <c r="C19" s="14"/>
      <c r="D19" s="14"/>
      <c r="E19" s="12"/>
      <c r="F19" s="14"/>
      <c r="G19" s="14"/>
      <c r="H19" s="12"/>
      <c r="I19" s="14"/>
      <c r="J19" s="12"/>
      <c r="K19" s="12"/>
      <c r="L19" s="12"/>
      <c r="M19" s="14"/>
      <c r="N19" s="14"/>
      <c r="O19" s="14"/>
      <c r="P19" s="14"/>
      <c r="Q19" s="12"/>
      <c r="R19" s="12"/>
      <c r="S19" s="14"/>
      <c r="T19" s="14"/>
      <c r="U19" s="14"/>
      <c r="V19" s="14"/>
      <c r="W19" s="14"/>
      <c r="X19" s="14"/>
    </row>
    <row r="20" spans="1:24" x14ac:dyDescent="0.2">
      <c r="E20" s="12"/>
      <c r="H20" s="12"/>
      <c r="I20" s="14"/>
      <c r="J20" s="12"/>
      <c r="K20" s="12"/>
      <c r="L20" s="12"/>
      <c r="M20" s="14"/>
      <c r="P20" s="14"/>
    </row>
    <row r="21" spans="1:24" x14ac:dyDescent="0.2">
      <c r="E21"/>
      <c r="H21" s="3"/>
      <c r="L21" s="3"/>
    </row>
    <row r="22" spans="1:24" x14ac:dyDescent="0.2">
      <c r="L22" s="3"/>
    </row>
    <row r="30" spans="1:24" x14ac:dyDescent="0.2">
      <c r="H30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49"/>
  <sheetViews>
    <sheetView rightToLeft="1" workbookViewId="0">
      <selection activeCell="I10" sqref="I10"/>
    </sheetView>
  </sheetViews>
  <sheetFormatPr defaultColWidth="9" defaultRowHeight="14.25" x14ac:dyDescent="0.2"/>
  <cols>
    <col min="1" max="4" width="11.625" style="6" customWidth="1"/>
    <col min="5" max="5" width="11.625" style="3" customWidth="1"/>
    <col min="6" max="20" width="11.625" style="6" customWidth="1"/>
    <col min="21" max="16384" width="9" style="6"/>
  </cols>
  <sheetData>
    <row r="1" spans="1:20" ht="66.75" customHeight="1" x14ac:dyDescent="0.2">
      <c r="A1" s="13" t="s">
        <v>651</v>
      </c>
      <c r="B1" s="13" t="s">
        <v>0</v>
      </c>
      <c r="C1" s="13" t="s">
        <v>724</v>
      </c>
      <c r="D1" s="13" t="s">
        <v>2</v>
      </c>
      <c r="E1" s="13" t="s">
        <v>740</v>
      </c>
      <c r="F1" s="13" t="s">
        <v>1145</v>
      </c>
      <c r="G1" s="13" t="s">
        <v>29</v>
      </c>
      <c r="H1" s="13" t="s">
        <v>28</v>
      </c>
      <c r="I1" s="13" t="s">
        <v>604</v>
      </c>
      <c r="J1" s="13" t="s">
        <v>605</v>
      </c>
      <c r="K1" s="13" t="s">
        <v>5</v>
      </c>
      <c r="L1" s="13" t="s">
        <v>10</v>
      </c>
      <c r="M1" s="13" t="s">
        <v>606</v>
      </c>
      <c r="N1" s="13" t="s">
        <v>396</v>
      </c>
      <c r="O1" s="13" t="s">
        <v>773</v>
      </c>
      <c r="P1" s="124" t="s">
        <v>11</v>
      </c>
      <c r="Q1" s="136" t="s">
        <v>15</v>
      </c>
      <c r="R1" s="13" t="s">
        <v>1153</v>
      </c>
      <c r="S1" s="126" t="s">
        <v>19</v>
      </c>
      <c r="T1" s="126" t="s">
        <v>30</v>
      </c>
    </row>
    <row r="2" spans="1:20" x14ac:dyDescent="0.2">
      <c r="A2" s="18">
        <v>13710</v>
      </c>
      <c r="B2" s="18">
        <v>13711</v>
      </c>
      <c r="C2" s="6" t="s">
        <v>3041</v>
      </c>
      <c r="D2" s="6" t="s">
        <v>3042</v>
      </c>
      <c r="E2" s="12" t="s">
        <v>78</v>
      </c>
      <c r="F2" s="18" t="s">
        <v>3043</v>
      </c>
      <c r="G2" s="18" t="s">
        <v>3044</v>
      </c>
      <c r="H2" s="12" t="s">
        <v>102</v>
      </c>
      <c r="I2" s="12" t="s">
        <v>61</v>
      </c>
      <c r="J2" s="12" t="s">
        <v>313</v>
      </c>
      <c r="K2" s="12" t="s">
        <v>3045</v>
      </c>
      <c r="L2" s="18" t="s">
        <v>97</v>
      </c>
      <c r="M2" s="18" t="s">
        <v>62</v>
      </c>
      <c r="N2" s="12" t="s">
        <v>1215</v>
      </c>
      <c r="O2" s="151">
        <v>8</v>
      </c>
      <c r="P2" s="156">
        <v>3.9552</v>
      </c>
      <c r="Q2" s="150">
        <v>542.6</v>
      </c>
      <c r="R2" s="151">
        <v>-1.97</v>
      </c>
      <c r="S2" s="155">
        <v>-6.9697135490992901E-3</v>
      </c>
      <c r="T2" s="155">
        <v>-2.8876348258418098E-5</v>
      </c>
    </row>
    <row r="3" spans="1:20" x14ac:dyDescent="0.2">
      <c r="A3" s="18">
        <v>13710</v>
      </c>
      <c r="B3" s="18">
        <v>13711</v>
      </c>
      <c r="C3" s="6" t="s">
        <v>3041</v>
      </c>
      <c r="D3" s="6" t="s">
        <v>3042</v>
      </c>
      <c r="E3" s="12" t="s">
        <v>78</v>
      </c>
      <c r="F3" s="18" t="s">
        <v>3046</v>
      </c>
      <c r="G3" s="18" t="s">
        <v>3047</v>
      </c>
      <c r="H3" s="12" t="s">
        <v>102</v>
      </c>
      <c r="I3" s="12" t="s">
        <v>61</v>
      </c>
      <c r="J3" s="12" t="s">
        <v>313</v>
      </c>
      <c r="K3" s="12" t="s">
        <v>487</v>
      </c>
      <c r="L3" s="18" t="s">
        <v>97</v>
      </c>
      <c r="M3" s="18" t="s">
        <v>62</v>
      </c>
      <c r="N3" s="12" t="s">
        <v>1215</v>
      </c>
      <c r="O3" s="151">
        <v>2</v>
      </c>
      <c r="P3" s="156">
        <v>3.9552</v>
      </c>
      <c r="Q3" s="150">
        <v>24049</v>
      </c>
      <c r="R3" s="151">
        <v>17.462</v>
      </c>
      <c r="S3" s="155">
        <v>6.17897295567729E-2</v>
      </c>
      <c r="T3" s="155">
        <v>2.5600216377693501E-4</v>
      </c>
    </row>
    <row r="4" spans="1:20" x14ac:dyDescent="0.2">
      <c r="A4" s="18">
        <v>13710</v>
      </c>
      <c r="B4" s="18">
        <v>13711</v>
      </c>
      <c r="C4" s="6" t="s">
        <v>3041</v>
      </c>
      <c r="D4" s="6" t="s">
        <v>3042</v>
      </c>
      <c r="E4" s="12" t="s">
        <v>78</v>
      </c>
      <c r="F4" s="18" t="s">
        <v>3048</v>
      </c>
      <c r="G4" s="18" t="s">
        <v>3049</v>
      </c>
      <c r="H4" s="12" t="s">
        <v>102</v>
      </c>
      <c r="I4" s="12" t="s">
        <v>61</v>
      </c>
      <c r="J4" s="12" t="s">
        <v>188</v>
      </c>
      <c r="K4" s="12" t="s">
        <v>3050</v>
      </c>
      <c r="L4" s="18" t="s">
        <v>97</v>
      </c>
      <c r="M4" s="18" t="s">
        <v>62</v>
      </c>
      <c r="N4" s="12" t="s">
        <v>1216</v>
      </c>
      <c r="O4" s="151">
        <v>2</v>
      </c>
      <c r="P4" s="156">
        <v>0.42899999999999999</v>
      </c>
      <c r="Q4" s="150">
        <v>24081</v>
      </c>
      <c r="R4" s="151">
        <v>4.41</v>
      </c>
      <c r="S4" s="155">
        <v>1.5605135508231E-2</v>
      </c>
      <c r="T4" s="155">
        <v>6.4653923634166904E-5</v>
      </c>
    </row>
    <row r="5" spans="1:20" x14ac:dyDescent="0.2">
      <c r="A5" s="18">
        <v>13710</v>
      </c>
      <c r="B5" s="18">
        <v>13711</v>
      </c>
      <c r="C5" s="6" t="s">
        <v>3041</v>
      </c>
      <c r="D5" s="6" t="s">
        <v>3042</v>
      </c>
      <c r="E5" s="12" t="s">
        <v>78</v>
      </c>
      <c r="F5" s="18" t="s">
        <v>3051</v>
      </c>
      <c r="G5" s="18" t="s">
        <v>3052</v>
      </c>
      <c r="H5" s="12" t="s">
        <v>102</v>
      </c>
      <c r="I5" s="12" t="s">
        <v>61</v>
      </c>
      <c r="J5" s="12" t="s">
        <v>313</v>
      </c>
      <c r="K5" s="12" t="s">
        <v>487</v>
      </c>
      <c r="L5" s="18" t="s">
        <v>97</v>
      </c>
      <c r="M5" s="18" t="s">
        <v>62</v>
      </c>
      <c r="N5" s="12" t="s">
        <v>1215</v>
      </c>
      <c r="O5" s="151">
        <v>4</v>
      </c>
      <c r="P5" s="156">
        <v>3.9552</v>
      </c>
      <c r="Q5" s="150">
        <v>5327</v>
      </c>
      <c r="R5" s="151">
        <v>3.085</v>
      </c>
      <c r="S5" s="155">
        <v>1.09164188118424E-2</v>
      </c>
      <c r="T5" s="155">
        <v>4.5228015344510698E-5</v>
      </c>
    </row>
    <row r="6" spans="1:20" x14ac:dyDescent="0.2">
      <c r="A6" s="18">
        <v>13710</v>
      </c>
      <c r="B6" s="18">
        <v>13711</v>
      </c>
      <c r="C6" s="6" t="s">
        <v>3041</v>
      </c>
      <c r="D6" s="6" t="s">
        <v>3042</v>
      </c>
      <c r="E6" s="12" t="s">
        <v>78</v>
      </c>
      <c r="F6" s="18" t="s">
        <v>3053</v>
      </c>
      <c r="G6" s="18" t="s">
        <v>3054</v>
      </c>
      <c r="H6" s="12" t="s">
        <v>102</v>
      </c>
      <c r="I6" s="12" t="s">
        <v>61</v>
      </c>
      <c r="J6" s="12" t="s">
        <v>314</v>
      </c>
      <c r="K6" s="12" t="s">
        <v>3055</v>
      </c>
      <c r="L6" s="18" t="s">
        <v>382</v>
      </c>
      <c r="M6" s="18" t="s">
        <v>62</v>
      </c>
      <c r="N6" s="12" t="s">
        <v>1217</v>
      </c>
      <c r="O6" s="151">
        <v>2</v>
      </c>
      <c r="P6" s="156">
        <v>3.3719999999999999</v>
      </c>
      <c r="Q6" s="150">
        <v>119.125</v>
      </c>
      <c r="R6" s="151">
        <v>25.975000000000001</v>
      </c>
      <c r="S6" s="155">
        <v>9.19127747190778E-2</v>
      </c>
      <c r="T6" s="155">
        <v>3.8080550563352898E-4</v>
      </c>
    </row>
    <row r="7" spans="1:20" x14ac:dyDescent="0.2">
      <c r="A7" s="18">
        <v>13710</v>
      </c>
      <c r="B7" s="18">
        <v>13711</v>
      </c>
      <c r="C7" s="6" t="s">
        <v>3041</v>
      </c>
      <c r="D7" s="6" t="s">
        <v>3042</v>
      </c>
      <c r="E7" s="12" t="s">
        <v>78</v>
      </c>
      <c r="F7" s="18" t="s">
        <v>3056</v>
      </c>
      <c r="G7" s="18" t="s">
        <v>3057</v>
      </c>
      <c r="H7" s="12" t="s">
        <v>102</v>
      </c>
      <c r="I7" s="12" t="s">
        <v>61</v>
      </c>
      <c r="J7" s="12" t="s">
        <v>314</v>
      </c>
      <c r="K7" s="12" t="s">
        <v>3055</v>
      </c>
      <c r="L7" s="18" t="s">
        <v>97</v>
      </c>
      <c r="M7" s="18" t="s">
        <v>62</v>
      </c>
      <c r="N7" s="12" t="s">
        <v>1217</v>
      </c>
      <c r="O7" s="151">
        <v>7</v>
      </c>
      <c r="P7" s="156">
        <v>3.3719999999999999</v>
      </c>
      <c r="Q7" s="150">
        <v>6253.75</v>
      </c>
      <c r="R7" s="151">
        <v>194.02500000000001</v>
      </c>
      <c r="S7" s="155">
        <v>0.68655377730498002</v>
      </c>
      <c r="T7" s="155">
        <v>2.8444735686666799E-3</v>
      </c>
    </row>
    <row r="8" spans="1:20" x14ac:dyDescent="0.2">
      <c r="A8" s="18">
        <v>13710</v>
      </c>
      <c r="B8" s="18">
        <v>13711</v>
      </c>
      <c r="C8" s="6" t="s">
        <v>3041</v>
      </c>
      <c r="D8" s="6" t="s">
        <v>3042</v>
      </c>
      <c r="E8" s="12" t="s">
        <v>78</v>
      </c>
      <c r="F8" s="18" t="s">
        <v>3058</v>
      </c>
      <c r="G8" s="18" t="s">
        <v>3059</v>
      </c>
      <c r="H8" s="12" t="s">
        <v>102</v>
      </c>
      <c r="I8" s="12" t="s">
        <v>61</v>
      </c>
      <c r="J8" s="12" t="s">
        <v>314</v>
      </c>
      <c r="K8" s="12" t="s">
        <v>3055</v>
      </c>
      <c r="L8" s="18" t="s">
        <v>97</v>
      </c>
      <c r="M8" s="18" t="s">
        <v>62</v>
      </c>
      <c r="N8" s="12" t="s">
        <v>1217</v>
      </c>
      <c r="O8" s="151">
        <v>3</v>
      </c>
      <c r="P8" s="156">
        <v>3.3719999999999999</v>
      </c>
      <c r="Q8" s="150">
        <v>2191.6999999999998</v>
      </c>
      <c r="R8" s="151">
        <v>25.315000000000001</v>
      </c>
      <c r="S8" s="155">
        <v>8.9577728243258603E-2</v>
      </c>
      <c r="T8" s="155">
        <v>3.7113113167822298E-4</v>
      </c>
    </row>
    <row r="9" spans="1:20" x14ac:dyDescent="0.2">
      <c r="A9" s="18">
        <v>13710</v>
      </c>
      <c r="B9" s="18">
        <v>13711</v>
      </c>
      <c r="C9" s="6" t="s">
        <v>3041</v>
      </c>
      <c r="D9" s="6" t="s">
        <v>3042</v>
      </c>
      <c r="E9" s="12" t="s">
        <v>78</v>
      </c>
      <c r="F9" s="18" t="s">
        <v>3060</v>
      </c>
      <c r="G9" s="18" t="s">
        <v>3061</v>
      </c>
      <c r="H9" s="12" t="s">
        <v>102</v>
      </c>
      <c r="I9" s="12" t="s">
        <v>61</v>
      </c>
      <c r="J9" s="12" t="s">
        <v>67</v>
      </c>
      <c r="K9" s="12" t="s">
        <v>3062</v>
      </c>
      <c r="L9" s="18" t="s">
        <v>97</v>
      </c>
      <c r="M9" s="18" t="s">
        <v>62</v>
      </c>
      <c r="N9" s="12" t="s">
        <v>1214</v>
      </c>
      <c r="O9" s="151">
        <v>2</v>
      </c>
      <c r="P9" s="156">
        <v>2.2031999999999998</v>
      </c>
      <c r="Q9" s="150">
        <v>8537</v>
      </c>
      <c r="R9" s="151">
        <v>1.542</v>
      </c>
      <c r="S9" s="155">
        <v>5.4571903227607996E-3</v>
      </c>
      <c r="T9" s="155">
        <v>2.2609785490090201E-5</v>
      </c>
    </row>
    <row r="10" spans="1:20" x14ac:dyDescent="0.2">
      <c r="A10" s="18">
        <v>13710</v>
      </c>
      <c r="B10" s="18">
        <v>13711</v>
      </c>
      <c r="C10" s="6" t="s">
        <v>3041</v>
      </c>
      <c r="D10" s="6" t="s">
        <v>3042</v>
      </c>
      <c r="E10" s="12" t="s">
        <v>78</v>
      </c>
      <c r="F10" s="18" t="s">
        <v>3063</v>
      </c>
      <c r="G10" s="18" t="s">
        <v>3064</v>
      </c>
      <c r="H10" s="12" t="s">
        <v>102</v>
      </c>
      <c r="I10" s="12" t="s">
        <v>61</v>
      </c>
      <c r="J10" s="12" t="s">
        <v>314</v>
      </c>
      <c r="K10" s="12" t="s">
        <v>3055</v>
      </c>
      <c r="L10" s="18" t="s">
        <v>97</v>
      </c>
      <c r="M10" s="18" t="s">
        <v>62</v>
      </c>
      <c r="N10" s="12" t="s">
        <v>1217</v>
      </c>
      <c r="O10" s="151">
        <v>2</v>
      </c>
      <c r="P10" s="156">
        <v>3.3719999999999999</v>
      </c>
      <c r="Q10" s="150">
        <v>6253.75</v>
      </c>
      <c r="R10" s="151">
        <v>5.5439999999999996</v>
      </c>
      <c r="S10" s="155">
        <v>1.96158222087136E-2</v>
      </c>
      <c r="T10" s="155">
        <v>8.1270673390476301E-5</v>
      </c>
    </row>
    <row r="11" spans="1:20" x14ac:dyDescent="0.2">
      <c r="A11" s="18">
        <v>13710</v>
      </c>
      <c r="B11" s="18">
        <v>13711</v>
      </c>
      <c r="C11" s="6" t="s">
        <v>3041</v>
      </c>
      <c r="D11" s="6" t="s">
        <v>3042</v>
      </c>
      <c r="E11" s="12" t="s">
        <v>78</v>
      </c>
      <c r="F11" s="18" t="s">
        <v>3065</v>
      </c>
      <c r="G11" s="18" t="s">
        <v>3066</v>
      </c>
      <c r="H11" s="12" t="s">
        <v>102</v>
      </c>
      <c r="I11" s="12" t="s">
        <v>61</v>
      </c>
      <c r="J11" s="12" t="s">
        <v>314</v>
      </c>
      <c r="K11" s="12" t="s">
        <v>3055</v>
      </c>
      <c r="L11" s="18" t="s">
        <v>382</v>
      </c>
      <c r="M11" s="18" t="s">
        <v>62</v>
      </c>
      <c r="N11" s="12" t="s">
        <v>1217</v>
      </c>
      <c r="O11" s="151">
        <v>1</v>
      </c>
      <c r="P11" s="156">
        <v>3.3719999999999999</v>
      </c>
      <c r="Q11" s="150">
        <v>114.26600000000001</v>
      </c>
      <c r="R11" s="151">
        <v>7.218</v>
      </c>
      <c r="S11" s="155">
        <v>2.55411368734627E-2</v>
      </c>
      <c r="T11" s="155">
        <v>1.05819953442612E-4</v>
      </c>
    </row>
    <row r="12" spans="1:20" x14ac:dyDescent="0.2">
      <c r="A12" s="18">
        <v>13710</v>
      </c>
      <c r="B12" s="18">
        <v>15444</v>
      </c>
      <c r="C12" s="6" t="s">
        <v>3041</v>
      </c>
      <c r="D12" s="6" t="s">
        <v>3042</v>
      </c>
      <c r="E12" s="12" t="s">
        <v>78</v>
      </c>
      <c r="F12" s="18" t="s">
        <v>3043</v>
      </c>
      <c r="G12" s="18" t="s">
        <v>3044</v>
      </c>
      <c r="H12" s="12" t="s">
        <v>102</v>
      </c>
      <c r="I12" s="12" t="s">
        <v>61</v>
      </c>
      <c r="J12" s="12" t="s">
        <v>313</v>
      </c>
      <c r="K12" s="12" t="s">
        <v>3045</v>
      </c>
      <c r="L12" s="18" t="s">
        <v>97</v>
      </c>
      <c r="M12" s="18" t="s">
        <v>62</v>
      </c>
      <c r="N12" s="12" t="s">
        <v>1215</v>
      </c>
      <c r="O12" s="151">
        <v>3</v>
      </c>
      <c r="P12" s="156">
        <v>3.9552</v>
      </c>
      <c r="Q12" s="150">
        <v>542.6</v>
      </c>
      <c r="R12" s="151">
        <v>-2.7530000000000001</v>
      </c>
      <c r="S12" s="155">
        <v>-0.21595242828998801</v>
      </c>
      <c r="T12" s="155">
        <v>-3.2974134674985001E-4</v>
      </c>
    </row>
    <row r="13" spans="1:20" x14ac:dyDescent="0.2">
      <c r="A13" s="18">
        <v>13710</v>
      </c>
      <c r="B13" s="18">
        <v>15444</v>
      </c>
      <c r="C13" s="6" t="s">
        <v>3041</v>
      </c>
      <c r="D13" s="6" t="s">
        <v>3042</v>
      </c>
      <c r="E13" s="12" t="s">
        <v>78</v>
      </c>
      <c r="F13" s="18" t="s">
        <v>3051</v>
      </c>
      <c r="G13" s="18" t="s">
        <v>3052</v>
      </c>
      <c r="H13" s="12" t="s">
        <v>102</v>
      </c>
      <c r="I13" s="12" t="s">
        <v>61</v>
      </c>
      <c r="J13" s="12" t="s">
        <v>313</v>
      </c>
      <c r="K13" s="12" t="s">
        <v>487</v>
      </c>
      <c r="L13" s="18" t="s">
        <v>97</v>
      </c>
      <c r="M13" s="18" t="s">
        <v>62</v>
      </c>
      <c r="N13" s="12" t="s">
        <v>1215</v>
      </c>
      <c r="O13" s="151">
        <v>1</v>
      </c>
      <c r="P13" s="156">
        <v>3.9552</v>
      </c>
      <c r="Q13" s="150">
        <v>5327</v>
      </c>
      <c r="R13" s="151">
        <v>0.77100000000000002</v>
      </c>
      <c r="S13" s="155">
        <v>6.0503913098489397E-2</v>
      </c>
      <c r="T13" s="155">
        <v>9.2384429046296404E-5</v>
      </c>
    </row>
    <row r="14" spans="1:20" x14ac:dyDescent="0.2">
      <c r="A14" s="18">
        <v>13710</v>
      </c>
      <c r="B14" s="18">
        <v>15444</v>
      </c>
      <c r="C14" s="6" t="s">
        <v>3041</v>
      </c>
      <c r="D14" s="6" t="s">
        <v>3042</v>
      </c>
      <c r="E14" s="12" t="s">
        <v>78</v>
      </c>
      <c r="F14" s="18" t="s">
        <v>3063</v>
      </c>
      <c r="G14" s="18" t="s">
        <v>3064</v>
      </c>
      <c r="H14" s="12" t="s">
        <v>102</v>
      </c>
      <c r="I14" s="12" t="s">
        <v>61</v>
      </c>
      <c r="J14" s="12" t="s">
        <v>314</v>
      </c>
      <c r="K14" s="12" t="s">
        <v>3055</v>
      </c>
      <c r="L14" s="18" t="s">
        <v>97</v>
      </c>
      <c r="M14" s="18" t="s">
        <v>62</v>
      </c>
      <c r="N14" s="12" t="s">
        <v>1217</v>
      </c>
      <c r="O14" s="151">
        <v>6</v>
      </c>
      <c r="P14" s="156">
        <v>3.3719999999999999</v>
      </c>
      <c r="Q14" s="150">
        <v>6253.75</v>
      </c>
      <c r="R14" s="151">
        <v>14.728999999999999</v>
      </c>
      <c r="S14" s="155">
        <v>1.1554485151914999</v>
      </c>
      <c r="T14" s="155">
        <v>1.7642735139228999E-3</v>
      </c>
    </row>
    <row r="15" spans="1:20" x14ac:dyDescent="0.2">
      <c r="A15" s="18">
        <v>559</v>
      </c>
      <c r="B15" s="18">
        <v>556</v>
      </c>
      <c r="C15" s="6" t="s">
        <v>3041</v>
      </c>
      <c r="D15" s="6" t="s">
        <v>3042</v>
      </c>
      <c r="E15" s="12" t="s">
        <v>78</v>
      </c>
      <c r="F15" s="18" t="s">
        <v>3043</v>
      </c>
      <c r="G15" s="18" t="s">
        <v>3044</v>
      </c>
      <c r="H15" s="12" t="s">
        <v>102</v>
      </c>
      <c r="I15" s="12" t="s">
        <v>61</v>
      </c>
      <c r="J15" s="12" t="s">
        <v>313</v>
      </c>
      <c r="K15" s="12" t="s">
        <v>3045</v>
      </c>
      <c r="L15" s="18" t="s">
        <v>97</v>
      </c>
      <c r="M15" s="18" t="s">
        <v>62</v>
      </c>
      <c r="N15" s="12" t="s">
        <v>1215</v>
      </c>
      <c r="O15" s="151">
        <v>22</v>
      </c>
      <c r="P15" s="156">
        <v>3.9552</v>
      </c>
      <c r="Q15" s="150">
        <v>542.6</v>
      </c>
      <c r="R15" s="151">
        <v>-5.9169999999999998</v>
      </c>
      <c r="S15" s="155">
        <v>-1.04139280069337E-2</v>
      </c>
      <c r="T15" s="155">
        <v>-1.7742776733512301E-5</v>
      </c>
    </row>
    <row r="16" spans="1:20" x14ac:dyDescent="0.2">
      <c r="A16" s="18">
        <v>559</v>
      </c>
      <c r="B16" s="18">
        <v>556</v>
      </c>
      <c r="C16" s="6" t="s">
        <v>3041</v>
      </c>
      <c r="D16" s="6" t="s">
        <v>3042</v>
      </c>
      <c r="E16" s="12" t="s">
        <v>78</v>
      </c>
      <c r="F16" s="18" t="s">
        <v>3046</v>
      </c>
      <c r="G16" s="18" t="s">
        <v>3047</v>
      </c>
      <c r="H16" s="12" t="s">
        <v>102</v>
      </c>
      <c r="I16" s="12" t="s">
        <v>61</v>
      </c>
      <c r="J16" s="12" t="s">
        <v>313</v>
      </c>
      <c r="K16" s="12" t="s">
        <v>487</v>
      </c>
      <c r="L16" s="18" t="s">
        <v>97</v>
      </c>
      <c r="M16" s="18" t="s">
        <v>62</v>
      </c>
      <c r="N16" s="12" t="s">
        <v>1215</v>
      </c>
      <c r="O16" s="151">
        <v>1</v>
      </c>
      <c r="P16" s="156">
        <v>3.9552</v>
      </c>
      <c r="Q16" s="150">
        <v>24049</v>
      </c>
      <c r="R16" s="151">
        <v>8.7309999999999999</v>
      </c>
      <c r="S16" s="155">
        <v>1.5366808873868E-2</v>
      </c>
      <c r="T16" s="155">
        <v>2.6181269812318899E-5</v>
      </c>
    </row>
    <row r="17" spans="1:20" x14ac:dyDescent="0.2">
      <c r="A17" s="18">
        <v>559</v>
      </c>
      <c r="B17" s="18">
        <v>556</v>
      </c>
      <c r="C17" s="6" t="s">
        <v>3041</v>
      </c>
      <c r="D17" s="6" t="s">
        <v>3042</v>
      </c>
      <c r="E17" s="12" t="s">
        <v>78</v>
      </c>
      <c r="F17" s="18" t="s">
        <v>3067</v>
      </c>
      <c r="G17" s="18" t="s">
        <v>3068</v>
      </c>
      <c r="H17" s="12" t="s">
        <v>102</v>
      </c>
      <c r="I17" s="12" t="s">
        <v>61</v>
      </c>
      <c r="J17" s="12" t="s">
        <v>314</v>
      </c>
      <c r="K17" s="12" t="s">
        <v>3069</v>
      </c>
      <c r="L17" s="18" t="s">
        <v>97</v>
      </c>
      <c r="M17" s="18" t="s">
        <v>62</v>
      </c>
      <c r="N17" s="12" t="s">
        <v>1217</v>
      </c>
      <c r="O17" s="151">
        <v>3</v>
      </c>
      <c r="P17" s="156">
        <v>3.3719999999999999</v>
      </c>
      <c r="Q17" s="150">
        <v>44389</v>
      </c>
      <c r="R17" s="151">
        <v>77.135000000000005</v>
      </c>
      <c r="S17" s="155">
        <v>0.135757301606001</v>
      </c>
      <c r="T17" s="155">
        <v>2.31297113897429E-4</v>
      </c>
    </row>
    <row r="18" spans="1:20" x14ac:dyDescent="0.2">
      <c r="A18" s="18">
        <v>559</v>
      </c>
      <c r="B18" s="18">
        <v>556</v>
      </c>
      <c r="C18" s="6" t="s">
        <v>3041</v>
      </c>
      <c r="D18" s="6" t="s">
        <v>3042</v>
      </c>
      <c r="E18" s="12" t="s">
        <v>78</v>
      </c>
      <c r="F18" s="18" t="s">
        <v>3051</v>
      </c>
      <c r="G18" s="18" t="s">
        <v>3052</v>
      </c>
      <c r="H18" s="12" t="s">
        <v>102</v>
      </c>
      <c r="I18" s="12" t="s">
        <v>61</v>
      </c>
      <c r="J18" s="12" t="s">
        <v>313</v>
      </c>
      <c r="K18" s="12" t="s">
        <v>487</v>
      </c>
      <c r="L18" s="18" t="s">
        <v>97</v>
      </c>
      <c r="M18" s="18" t="s">
        <v>62</v>
      </c>
      <c r="N18" s="12" t="s">
        <v>1215</v>
      </c>
      <c r="O18" s="151">
        <v>18</v>
      </c>
      <c r="P18" s="156">
        <v>3.9552</v>
      </c>
      <c r="Q18" s="150">
        <v>5327</v>
      </c>
      <c r="R18" s="151">
        <v>13.882999999999999</v>
      </c>
      <c r="S18" s="155">
        <v>2.4433748198087201E-2</v>
      </c>
      <c r="T18" s="155">
        <v>4.1629108512453401E-5</v>
      </c>
    </row>
    <row r="19" spans="1:20" x14ac:dyDescent="0.2">
      <c r="A19" s="18">
        <v>559</v>
      </c>
      <c r="B19" s="18">
        <v>556</v>
      </c>
      <c r="C19" s="6" t="s">
        <v>3041</v>
      </c>
      <c r="D19" s="6" t="s">
        <v>3042</v>
      </c>
      <c r="E19" s="12" t="s">
        <v>78</v>
      </c>
      <c r="F19" s="18" t="s">
        <v>3053</v>
      </c>
      <c r="G19" s="18" t="s">
        <v>3054</v>
      </c>
      <c r="H19" s="12" t="s">
        <v>102</v>
      </c>
      <c r="I19" s="12" t="s">
        <v>61</v>
      </c>
      <c r="J19" s="12" t="s">
        <v>314</v>
      </c>
      <c r="K19" s="12" t="s">
        <v>3055</v>
      </c>
      <c r="L19" s="18" t="s">
        <v>382</v>
      </c>
      <c r="M19" s="18" t="s">
        <v>62</v>
      </c>
      <c r="N19" s="12" t="s">
        <v>1217</v>
      </c>
      <c r="O19" s="151">
        <v>6</v>
      </c>
      <c r="P19" s="156">
        <v>3.3719999999999999</v>
      </c>
      <c r="Q19" s="150">
        <v>119.125</v>
      </c>
      <c r="R19" s="151">
        <v>77.926000000000002</v>
      </c>
      <c r="S19" s="155">
        <v>0.13714959288279999</v>
      </c>
      <c r="T19" s="155">
        <v>2.33669236429466E-4</v>
      </c>
    </row>
    <row r="20" spans="1:20" x14ac:dyDescent="0.2">
      <c r="A20" s="6">
        <v>559</v>
      </c>
      <c r="B20" s="6">
        <v>556</v>
      </c>
      <c r="C20" s="6" t="s">
        <v>3041</v>
      </c>
      <c r="D20" s="6" t="s">
        <v>3042</v>
      </c>
      <c r="E20" s="12" t="s">
        <v>78</v>
      </c>
      <c r="F20" s="6" t="s">
        <v>3056</v>
      </c>
      <c r="G20" s="6" t="s">
        <v>3057</v>
      </c>
      <c r="H20" s="12" t="s">
        <v>102</v>
      </c>
      <c r="I20" s="6" t="s">
        <v>61</v>
      </c>
      <c r="J20" s="12" t="s">
        <v>314</v>
      </c>
      <c r="K20" s="12" t="s">
        <v>3055</v>
      </c>
      <c r="L20" s="18" t="s">
        <v>97</v>
      </c>
      <c r="M20" s="18" t="s">
        <v>62</v>
      </c>
      <c r="N20" s="6" t="s">
        <v>1217</v>
      </c>
      <c r="O20" s="131">
        <v>13</v>
      </c>
      <c r="P20" s="129">
        <v>3.3719999999999999</v>
      </c>
      <c r="Q20" s="157">
        <v>6253.75</v>
      </c>
      <c r="R20" s="131">
        <v>360.33199999999999</v>
      </c>
      <c r="S20" s="132">
        <v>0.63418689615813195</v>
      </c>
      <c r="T20" s="132">
        <v>1.0804987799378899E-3</v>
      </c>
    </row>
    <row r="21" spans="1:20" x14ac:dyDescent="0.2">
      <c r="A21" s="6">
        <v>559</v>
      </c>
      <c r="B21" s="6">
        <v>556</v>
      </c>
      <c r="C21" s="6" t="s">
        <v>3041</v>
      </c>
      <c r="D21" s="6" t="s">
        <v>3042</v>
      </c>
      <c r="E21" s="3" t="s">
        <v>78</v>
      </c>
      <c r="F21" s="6" t="s">
        <v>3065</v>
      </c>
      <c r="G21" s="6" t="s">
        <v>3066</v>
      </c>
      <c r="H21" s="3" t="s">
        <v>102</v>
      </c>
      <c r="I21" s="6" t="s">
        <v>61</v>
      </c>
      <c r="J21" s="6" t="s">
        <v>314</v>
      </c>
      <c r="K21" s="3" t="s">
        <v>3055</v>
      </c>
      <c r="L21" s="6" t="s">
        <v>382</v>
      </c>
      <c r="M21" s="6" t="s">
        <v>62</v>
      </c>
      <c r="N21" s="6" t="s">
        <v>1217</v>
      </c>
      <c r="O21" s="131">
        <v>5</v>
      </c>
      <c r="P21" s="129">
        <v>3.3719999999999999</v>
      </c>
      <c r="Q21" s="157">
        <v>114.26600000000001</v>
      </c>
      <c r="R21" s="131">
        <v>36.091000000000001</v>
      </c>
      <c r="S21" s="132">
        <v>6.3519580288045094E-2</v>
      </c>
      <c r="T21" s="132">
        <v>1.08221770930894E-4</v>
      </c>
    </row>
    <row r="22" spans="1:20" x14ac:dyDescent="0.2">
      <c r="A22" s="6">
        <v>559</v>
      </c>
      <c r="B22" s="6">
        <v>7205</v>
      </c>
      <c r="C22" s="6" t="s">
        <v>3041</v>
      </c>
      <c r="D22" s="6" t="s">
        <v>3042</v>
      </c>
      <c r="E22" s="3" t="s">
        <v>78</v>
      </c>
      <c r="F22" s="6" t="s">
        <v>3043</v>
      </c>
      <c r="G22" s="6" t="s">
        <v>3044</v>
      </c>
      <c r="H22" s="6" t="s">
        <v>102</v>
      </c>
      <c r="I22" s="6" t="s">
        <v>61</v>
      </c>
      <c r="J22" s="6" t="s">
        <v>313</v>
      </c>
      <c r="K22" s="3" t="s">
        <v>3045</v>
      </c>
      <c r="L22" s="6" t="s">
        <v>97</v>
      </c>
      <c r="M22" s="6" t="s">
        <v>62</v>
      </c>
      <c r="N22" s="6" t="s">
        <v>1215</v>
      </c>
      <c r="O22" s="131">
        <v>137</v>
      </c>
      <c r="P22" s="129">
        <v>3.9552</v>
      </c>
      <c r="Q22" s="157">
        <v>542.6</v>
      </c>
      <c r="R22" s="131">
        <v>-36.847000000000001</v>
      </c>
      <c r="S22" s="132">
        <v>-1.0263585946153E-2</v>
      </c>
      <c r="T22" s="132">
        <v>-1.9221386578501701E-5</v>
      </c>
    </row>
    <row r="23" spans="1:20" x14ac:dyDescent="0.2">
      <c r="A23" s="6">
        <v>559</v>
      </c>
      <c r="B23" s="6">
        <v>7205</v>
      </c>
      <c r="C23" s="6" t="s">
        <v>3041</v>
      </c>
      <c r="D23" s="6" t="s">
        <v>3042</v>
      </c>
      <c r="E23" s="3" t="s">
        <v>78</v>
      </c>
      <c r="F23" s="6" t="s">
        <v>3067</v>
      </c>
      <c r="G23" s="6" t="s">
        <v>3068</v>
      </c>
      <c r="H23" s="6" t="s">
        <v>102</v>
      </c>
      <c r="I23" s="6" t="s">
        <v>61</v>
      </c>
      <c r="J23" s="6" t="s">
        <v>314</v>
      </c>
      <c r="K23" s="6" t="s">
        <v>3069</v>
      </c>
      <c r="L23" s="6" t="s">
        <v>97</v>
      </c>
      <c r="M23" s="6" t="s">
        <v>62</v>
      </c>
      <c r="N23" s="6" t="s">
        <v>1217</v>
      </c>
      <c r="O23" s="131">
        <v>20</v>
      </c>
      <c r="P23" s="129">
        <v>3.3719999999999999</v>
      </c>
      <c r="Q23" s="157">
        <v>44389</v>
      </c>
      <c r="R23" s="131">
        <v>514.23</v>
      </c>
      <c r="S23" s="132">
        <v>0.14323811730806901</v>
      </c>
      <c r="T23" s="132">
        <v>2.6825275688241597E-4</v>
      </c>
    </row>
    <row r="24" spans="1:20" x14ac:dyDescent="0.2">
      <c r="A24" s="6">
        <v>559</v>
      </c>
      <c r="B24" s="6">
        <v>7205</v>
      </c>
      <c r="C24" s="6" t="s">
        <v>3041</v>
      </c>
      <c r="D24" s="6" t="s">
        <v>3042</v>
      </c>
      <c r="E24" s="3" t="s">
        <v>78</v>
      </c>
      <c r="F24" s="6" t="s">
        <v>3051</v>
      </c>
      <c r="G24" s="6" t="s">
        <v>3052</v>
      </c>
      <c r="H24" s="6" t="s">
        <v>102</v>
      </c>
      <c r="I24" s="6" t="s">
        <v>61</v>
      </c>
      <c r="J24" s="6" t="s">
        <v>313</v>
      </c>
      <c r="K24" s="6" t="s">
        <v>487</v>
      </c>
      <c r="L24" s="6" t="s">
        <v>97</v>
      </c>
      <c r="M24" s="6" t="s">
        <v>62</v>
      </c>
      <c r="N24" s="6" t="s">
        <v>1215</v>
      </c>
      <c r="O24" s="131">
        <v>130</v>
      </c>
      <c r="P24" s="129">
        <v>3.9552</v>
      </c>
      <c r="Q24" s="157">
        <v>5327</v>
      </c>
      <c r="R24" s="131">
        <v>100.264</v>
      </c>
      <c r="S24" s="132">
        <v>2.7928499756867099E-2</v>
      </c>
      <c r="T24" s="132">
        <v>5.2303794521791502E-5</v>
      </c>
    </row>
    <row r="25" spans="1:20" x14ac:dyDescent="0.2">
      <c r="A25" s="6">
        <v>559</v>
      </c>
      <c r="B25" s="6">
        <v>7205</v>
      </c>
      <c r="C25" s="6" t="s">
        <v>3041</v>
      </c>
      <c r="D25" s="6" t="s">
        <v>3042</v>
      </c>
      <c r="E25" s="3" t="s">
        <v>78</v>
      </c>
      <c r="F25" s="6" t="s">
        <v>3053</v>
      </c>
      <c r="G25" s="6" t="s">
        <v>3054</v>
      </c>
      <c r="H25" s="6" t="s">
        <v>102</v>
      </c>
      <c r="I25" s="6" t="s">
        <v>61</v>
      </c>
      <c r="J25" s="6" t="s">
        <v>314</v>
      </c>
      <c r="K25" s="6" t="s">
        <v>3055</v>
      </c>
      <c r="L25" s="6" t="s">
        <v>382</v>
      </c>
      <c r="M25" s="6" t="s">
        <v>62</v>
      </c>
      <c r="N25" s="6" t="s">
        <v>1217</v>
      </c>
      <c r="O25" s="131">
        <v>36</v>
      </c>
      <c r="P25" s="129">
        <v>3.3719999999999999</v>
      </c>
      <c r="Q25" s="157">
        <v>119.125</v>
      </c>
      <c r="R25" s="131">
        <v>467.553</v>
      </c>
      <c r="S25" s="132">
        <v>0.13023641688167401</v>
      </c>
      <c r="T25" s="132">
        <v>2.43903498116061E-4</v>
      </c>
    </row>
    <row r="26" spans="1:20" x14ac:dyDescent="0.2">
      <c r="A26" s="6">
        <v>559</v>
      </c>
      <c r="B26" s="6">
        <v>7205</v>
      </c>
      <c r="C26" s="6" t="s">
        <v>3041</v>
      </c>
      <c r="D26" s="6" t="s">
        <v>3042</v>
      </c>
      <c r="E26" s="3" t="s">
        <v>78</v>
      </c>
      <c r="F26" s="6" t="s">
        <v>3056</v>
      </c>
      <c r="G26" s="6" t="s">
        <v>3057</v>
      </c>
      <c r="H26" s="6" t="s">
        <v>102</v>
      </c>
      <c r="I26" s="6" t="s">
        <v>61</v>
      </c>
      <c r="J26" s="6" t="s">
        <v>314</v>
      </c>
      <c r="K26" s="6" t="s">
        <v>3055</v>
      </c>
      <c r="L26" s="6" t="s">
        <v>97</v>
      </c>
      <c r="M26" s="6" t="s">
        <v>62</v>
      </c>
      <c r="N26" s="6" t="s">
        <v>1217</v>
      </c>
      <c r="O26" s="131">
        <v>80</v>
      </c>
      <c r="P26" s="129">
        <v>3.3719999999999999</v>
      </c>
      <c r="Q26" s="157">
        <v>6253.75</v>
      </c>
      <c r="R26" s="131">
        <v>2217.4270000000001</v>
      </c>
      <c r="S26" s="132">
        <v>0.61766154715925303</v>
      </c>
      <c r="T26" s="132">
        <v>1.1567410683664099E-3</v>
      </c>
    </row>
    <row r="27" spans="1:20" x14ac:dyDescent="0.2">
      <c r="A27" s="6">
        <v>559</v>
      </c>
      <c r="B27" s="6">
        <v>7205</v>
      </c>
      <c r="C27" s="6" t="s">
        <v>3041</v>
      </c>
      <c r="D27" s="6" t="s">
        <v>3042</v>
      </c>
      <c r="E27" s="3" t="s">
        <v>78</v>
      </c>
      <c r="F27" s="6" t="s">
        <v>3070</v>
      </c>
      <c r="G27" s="6" t="s">
        <v>3071</v>
      </c>
      <c r="H27" s="6" t="s">
        <v>102</v>
      </c>
      <c r="I27" s="6" t="s">
        <v>61</v>
      </c>
      <c r="J27" s="6" t="s">
        <v>314</v>
      </c>
      <c r="K27" s="6" t="s">
        <v>3055</v>
      </c>
      <c r="L27" s="6" t="s">
        <v>97</v>
      </c>
      <c r="M27" s="6" t="s">
        <v>62</v>
      </c>
      <c r="N27" s="6" t="s">
        <v>1217</v>
      </c>
      <c r="O27" s="131">
        <v>3</v>
      </c>
      <c r="P27" s="129">
        <v>3.3719999999999999</v>
      </c>
      <c r="Q27" s="157">
        <v>22893.25</v>
      </c>
      <c r="R27" s="131">
        <v>146.95500000000001</v>
      </c>
      <c r="S27" s="132">
        <v>4.0934166494445298E-2</v>
      </c>
      <c r="T27" s="132">
        <v>7.6660481296344401E-5</v>
      </c>
    </row>
    <row r="28" spans="1:20" x14ac:dyDescent="0.2">
      <c r="A28" s="6">
        <v>559</v>
      </c>
      <c r="B28" s="6">
        <v>7205</v>
      </c>
      <c r="C28" s="6" t="s">
        <v>3041</v>
      </c>
      <c r="D28" s="6" t="s">
        <v>3042</v>
      </c>
      <c r="E28" s="3" t="s">
        <v>78</v>
      </c>
      <c r="F28" s="6" t="s">
        <v>3065</v>
      </c>
      <c r="G28" s="6" t="s">
        <v>3066</v>
      </c>
      <c r="H28" s="6" t="s">
        <v>102</v>
      </c>
      <c r="I28" s="6" t="s">
        <v>61</v>
      </c>
      <c r="J28" s="6" t="s">
        <v>314</v>
      </c>
      <c r="K28" s="6" t="s">
        <v>3055</v>
      </c>
      <c r="L28" s="6" t="s">
        <v>382</v>
      </c>
      <c r="M28" s="6" t="s">
        <v>62</v>
      </c>
      <c r="N28" s="6" t="s">
        <v>1217</v>
      </c>
      <c r="O28" s="131">
        <v>25</v>
      </c>
      <c r="P28" s="129">
        <v>3.3719999999999999</v>
      </c>
      <c r="Q28" s="157">
        <v>114.26600000000001</v>
      </c>
      <c r="R28" s="131">
        <v>180.453</v>
      </c>
      <c r="S28" s="132">
        <v>5.0264838345844602E-2</v>
      </c>
      <c r="T28" s="132">
        <v>9.4134729734836106E-5</v>
      </c>
    </row>
    <row r="29" spans="1:20" x14ac:dyDescent="0.2">
      <c r="A29" s="6">
        <v>559</v>
      </c>
      <c r="B29" s="6">
        <v>7206</v>
      </c>
      <c r="C29" s="6" t="s">
        <v>3041</v>
      </c>
      <c r="D29" s="6" t="s">
        <v>3042</v>
      </c>
      <c r="E29" s="3" t="s">
        <v>78</v>
      </c>
      <c r="F29" s="6" t="s">
        <v>3043</v>
      </c>
      <c r="G29" s="6" t="s">
        <v>3044</v>
      </c>
      <c r="H29" s="6" t="s">
        <v>102</v>
      </c>
      <c r="I29" s="6" t="s">
        <v>61</v>
      </c>
      <c r="J29" s="6" t="s">
        <v>313</v>
      </c>
      <c r="K29" s="6" t="s">
        <v>3045</v>
      </c>
      <c r="L29" s="6" t="s">
        <v>97</v>
      </c>
      <c r="M29" s="6" t="s">
        <v>62</v>
      </c>
      <c r="N29" s="6" t="s">
        <v>1215</v>
      </c>
      <c r="O29" s="131">
        <v>8</v>
      </c>
      <c r="P29" s="129">
        <v>3.9552</v>
      </c>
      <c r="Q29" s="157">
        <v>542.6</v>
      </c>
      <c r="R29" s="131">
        <v>-2.1520000000000001</v>
      </c>
      <c r="S29" s="132">
        <v>-5.1980869475468996E-3</v>
      </c>
      <c r="T29" s="132">
        <v>-2.4648031707501599E-5</v>
      </c>
    </row>
    <row r="30" spans="1:20" x14ac:dyDescent="0.2">
      <c r="A30" s="6">
        <v>559</v>
      </c>
      <c r="B30" s="6">
        <v>7206</v>
      </c>
      <c r="C30" s="6" t="s">
        <v>3041</v>
      </c>
      <c r="D30" s="6" t="s">
        <v>3042</v>
      </c>
      <c r="E30" s="3" t="s">
        <v>78</v>
      </c>
      <c r="F30" s="6" t="s">
        <v>3046</v>
      </c>
      <c r="G30" s="6" t="s">
        <v>3047</v>
      </c>
      <c r="H30" s="6" t="s">
        <v>102</v>
      </c>
      <c r="I30" s="6" t="s">
        <v>61</v>
      </c>
      <c r="J30" s="6" t="s">
        <v>313</v>
      </c>
      <c r="K30" s="6" t="s">
        <v>487</v>
      </c>
      <c r="L30" s="6" t="s">
        <v>97</v>
      </c>
      <c r="M30" s="6" t="s">
        <v>62</v>
      </c>
      <c r="N30" s="6" t="s">
        <v>1215</v>
      </c>
      <c r="O30" s="131">
        <v>3</v>
      </c>
      <c r="P30" s="129">
        <v>3.9552</v>
      </c>
      <c r="Q30" s="157">
        <v>24049</v>
      </c>
      <c r="R30" s="131">
        <v>26.193000000000001</v>
      </c>
      <c r="S30" s="132">
        <v>6.3280019871559207E-2</v>
      </c>
      <c r="T30" s="132">
        <v>3.0005806982155101E-4</v>
      </c>
    </row>
    <row r="31" spans="1:20" x14ac:dyDescent="0.2">
      <c r="A31" s="6">
        <v>559</v>
      </c>
      <c r="B31" s="6">
        <v>7206</v>
      </c>
      <c r="C31" s="6" t="s">
        <v>3041</v>
      </c>
      <c r="D31" s="6" t="s">
        <v>3042</v>
      </c>
      <c r="E31" s="3" t="s">
        <v>78</v>
      </c>
      <c r="F31" s="6" t="s">
        <v>3048</v>
      </c>
      <c r="G31" s="6" t="s">
        <v>3049</v>
      </c>
      <c r="H31" s="6" t="s">
        <v>102</v>
      </c>
      <c r="I31" s="6" t="s">
        <v>61</v>
      </c>
      <c r="J31" s="6" t="s">
        <v>188</v>
      </c>
      <c r="K31" s="6" t="s">
        <v>3050</v>
      </c>
      <c r="L31" s="6" t="s">
        <v>97</v>
      </c>
      <c r="M31" s="6" t="s">
        <v>62</v>
      </c>
      <c r="N31" s="6" t="s">
        <v>1216</v>
      </c>
      <c r="O31" s="131">
        <v>3</v>
      </c>
      <c r="P31" s="129">
        <v>0.42899999999999999</v>
      </c>
      <c r="Q31" s="157">
        <v>24081</v>
      </c>
      <c r="R31" s="131">
        <v>6.6150000000000002</v>
      </c>
      <c r="S31" s="132">
        <v>1.5981511687179598E-2</v>
      </c>
      <c r="T31" s="132">
        <v>7.5780342032429204E-5</v>
      </c>
    </row>
    <row r="32" spans="1:20" x14ac:dyDescent="0.2">
      <c r="A32" s="6">
        <v>559</v>
      </c>
      <c r="B32" s="6">
        <v>7206</v>
      </c>
      <c r="C32" s="6" t="s">
        <v>3041</v>
      </c>
      <c r="D32" s="6" t="s">
        <v>3042</v>
      </c>
      <c r="E32" s="3" t="s">
        <v>78</v>
      </c>
      <c r="F32" s="6" t="s">
        <v>3067</v>
      </c>
      <c r="G32" s="6" t="s">
        <v>3068</v>
      </c>
      <c r="H32" s="6" t="s">
        <v>102</v>
      </c>
      <c r="I32" s="6" t="s">
        <v>61</v>
      </c>
      <c r="J32" s="6" t="s">
        <v>314</v>
      </c>
      <c r="K32" s="6" t="s">
        <v>3069</v>
      </c>
      <c r="L32" s="6" t="s">
        <v>97</v>
      </c>
      <c r="M32" s="6" t="s">
        <v>62</v>
      </c>
      <c r="N32" s="6" t="s">
        <v>1217</v>
      </c>
      <c r="O32" s="131">
        <v>1</v>
      </c>
      <c r="P32" s="129">
        <v>3.3719999999999999</v>
      </c>
      <c r="Q32" s="157">
        <v>44389</v>
      </c>
      <c r="R32" s="131">
        <v>25.712</v>
      </c>
      <c r="S32" s="132">
        <v>6.2116017666173702E-2</v>
      </c>
      <c r="T32" s="132">
        <v>2.9453866170940299E-4</v>
      </c>
    </row>
    <row r="33" spans="1:20" x14ac:dyDescent="0.2">
      <c r="A33" s="6">
        <v>559</v>
      </c>
      <c r="B33" s="6">
        <v>7206</v>
      </c>
      <c r="C33" s="6" t="s">
        <v>3041</v>
      </c>
      <c r="D33" s="6" t="s">
        <v>3042</v>
      </c>
      <c r="E33" s="3" t="s">
        <v>78</v>
      </c>
      <c r="F33" s="6" t="s">
        <v>3051</v>
      </c>
      <c r="G33" s="6" t="s">
        <v>3052</v>
      </c>
      <c r="H33" s="6" t="s">
        <v>102</v>
      </c>
      <c r="I33" s="6" t="s">
        <v>61</v>
      </c>
      <c r="J33" s="6" t="s">
        <v>313</v>
      </c>
      <c r="K33" s="6" t="s">
        <v>487</v>
      </c>
      <c r="L33" s="6" t="s">
        <v>97</v>
      </c>
      <c r="M33" s="6" t="s">
        <v>62</v>
      </c>
      <c r="N33" s="6" t="s">
        <v>1215</v>
      </c>
      <c r="O33" s="131">
        <v>4</v>
      </c>
      <c r="P33" s="129">
        <v>3.9552</v>
      </c>
      <c r="Q33" s="157">
        <v>5327</v>
      </c>
      <c r="R33" s="131">
        <v>3.085</v>
      </c>
      <c r="S33" s="132">
        <v>7.4531393733209403E-3</v>
      </c>
      <c r="T33" s="132">
        <v>3.5340927815903097E-5</v>
      </c>
    </row>
    <row r="34" spans="1:20" x14ac:dyDescent="0.2">
      <c r="A34" s="6">
        <v>559</v>
      </c>
      <c r="B34" s="6">
        <v>7206</v>
      </c>
      <c r="C34" s="6" t="s">
        <v>3041</v>
      </c>
      <c r="D34" s="6" t="s">
        <v>3042</v>
      </c>
      <c r="E34" s="3" t="s">
        <v>78</v>
      </c>
      <c r="F34" s="6" t="s">
        <v>3053</v>
      </c>
      <c r="G34" s="6" t="s">
        <v>3054</v>
      </c>
      <c r="H34" s="6" t="s">
        <v>102</v>
      </c>
      <c r="I34" s="6" t="s">
        <v>61</v>
      </c>
      <c r="J34" s="6" t="s">
        <v>314</v>
      </c>
      <c r="K34" s="6" t="s">
        <v>3055</v>
      </c>
      <c r="L34" s="6" t="s">
        <v>382</v>
      </c>
      <c r="M34" s="6" t="s">
        <v>62</v>
      </c>
      <c r="N34" s="6" t="s">
        <v>1217</v>
      </c>
      <c r="O34" s="131">
        <v>2</v>
      </c>
      <c r="P34" s="129">
        <v>3.3719999999999999</v>
      </c>
      <c r="Q34" s="157">
        <v>119.125</v>
      </c>
      <c r="R34" s="131">
        <v>25.975000000000001</v>
      </c>
      <c r="S34" s="132">
        <v>6.2753063250632193E-2</v>
      </c>
      <c r="T34" s="132">
        <v>2.9755937296785297E-4</v>
      </c>
    </row>
    <row r="35" spans="1:20" x14ac:dyDescent="0.2">
      <c r="A35" s="6">
        <v>559</v>
      </c>
      <c r="B35" s="6">
        <v>7206</v>
      </c>
      <c r="C35" s="6" t="s">
        <v>3041</v>
      </c>
      <c r="D35" s="6" t="s">
        <v>3042</v>
      </c>
      <c r="E35" s="3" t="s">
        <v>78</v>
      </c>
      <c r="F35" s="6" t="s">
        <v>3056</v>
      </c>
      <c r="G35" s="6" t="s">
        <v>3057</v>
      </c>
      <c r="H35" s="6" t="s">
        <v>102</v>
      </c>
      <c r="I35" s="6" t="s">
        <v>61</v>
      </c>
      <c r="J35" s="6" t="s">
        <v>314</v>
      </c>
      <c r="K35" s="6" t="s">
        <v>3055</v>
      </c>
      <c r="L35" s="6" t="s">
        <v>97</v>
      </c>
      <c r="M35" s="6" t="s">
        <v>62</v>
      </c>
      <c r="N35" s="6" t="s">
        <v>1217</v>
      </c>
      <c r="O35" s="131">
        <v>10</v>
      </c>
      <c r="P35" s="129">
        <v>3.3719999999999999</v>
      </c>
      <c r="Q35" s="157">
        <v>6253.75</v>
      </c>
      <c r="R35" s="131">
        <v>280.44099999999997</v>
      </c>
      <c r="S35" s="132">
        <v>0.67751264252478804</v>
      </c>
      <c r="T35" s="132">
        <v>3.21259595379892E-3</v>
      </c>
    </row>
    <row r="36" spans="1:20" x14ac:dyDescent="0.2">
      <c r="A36" s="6">
        <v>559</v>
      </c>
      <c r="B36" s="6">
        <v>7206</v>
      </c>
      <c r="C36" s="6" t="s">
        <v>3041</v>
      </c>
      <c r="D36" s="6" t="s">
        <v>3042</v>
      </c>
      <c r="E36" s="3" t="s">
        <v>78</v>
      </c>
      <c r="F36" s="6" t="s">
        <v>3058</v>
      </c>
      <c r="G36" s="6" t="s">
        <v>3059</v>
      </c>
      <c r="H36" s="6" t="s">
        <v>102</v>
      </c>
      <c r="I36" s="6" t="s">
        <v>61</v>
      </c>
      <c r="J36" s="6" t="s">
        <v>314</v>
      </c>
      <c r="K36" s="6" t="s">
        <v>3055</v>
      </c>
      <c r="L36" s="6" t="s">
        <v>97</v>
      </c>
      <c r="M36" s="6" t="s">
        <v>62</v>
      </c>
      <c r="N36" s="6" t="s">
        <v>1217</v>
      </c>
      <c r="O36" s="131">
        <v>4</v>
      </c>
      <c r="P36" s="129">
        <v>3.3719999999999999</v>
      </c>
      <c r="Q36" s="157">
        <v>2191.6999999999998</v>
      </c>
      <c r="R36" s="131">
        <v>33.753999999999998</v>
      </c>
      <c r="S36" s="132">
        <v>8.1545093355854997E-2</v>
      </c>
      <c r="T36" s="132">
        <v>3.8666649228998002E-4</v>
      </c>
    </row>
    <row r="37" spans="1:20" x14ac:dyDescent="0.2">
      <c r="A37" s="6">
        <v>559</v>
      </c>
      <c r="B37" s="6">
        <v>7206</v>
      </c>
      <c r="C37" s="6" t="s">
        <v>3041</v>
      </c>
      <c r="D37" s="6" t="s">
        <v>3042</v>
      </c>
      <c r="E37" s="3" t="s">
        <v>78</v>
      </c>
      <c r="F37" s="6" t="s">
        <v>3060</v>
      </c>
      <c r="G37" s="6" t="s">
        <v>3061</v>
      </c>
      <c r="H37" s="6" t="s">
        <v>102</v>
      </c>
      <c r="I37" s="6" t="s">
        <v>61</v>
      </c>
      <c r="J37" s="6" t="s">
        <v>67</v>
      </c>
      <c r="K37" s="6" t="s">
        <v>3062</v>
      </c>
      <c r="L37" s="6" t="s">
        <v>97</v>
      </c>
      <c r="M37" s="6" t="s">
        <v>62</v>
      </c>
      <c r="N37" s="6" t="s">
        <v>1214</v>
      </c>
      <c r="O37" s="131">
        <v>2</v>
      </c>
      <c r="P37" s="129">
        <v>2.2031999999999998</v>
      </c>
      <c r="Q37" s="157">
        <v>8537</v>
      </c>
      <c r="R37" s="131">
        <v>1.542</v>
      </c>
      <c r="S37" s="132">
        <v>3.72587391188687E-3</v>
      </c>
      <c r="T37" s="132">
        <v>1.7667164717527401E-5</v>
      </c>
    </row>
    <row r="38" spans="1:20" x14ac:dyDescent="0.2">
      <c r="A38" s="6">
        <v>559</v>
      </c>
      <c r="B38" s="6">
        <v>7206</v>
      </c>
      <c r="C38" s="6" t="s">
        <v>3041</v>
      </c>
      <c r="D38" s="6" t="s">
        <v>3042</v>
      </c>
      <c r="E38" s="3" t="s">
        <v>78</v>
      </c>
      <c r="F38" s="6" t="s">
        <v>3063</v>
      </c>
      <c r="G38" s="6" t="s">
        <v>3064</v>
      </c>
      <c r="H38" s="6" t="s">
        <v>102</v>
      </c>
      <c r="I38" s="6" t="s">
        <v>61</v>
      </c>
      <c r="J38" s="6" t="s">
        <v>314</v>
      </c>
      <c r="K38" s="6" t="s">
        <v>3055</v>
      </c>
      <c r="L38" s="6" t="s">
        <v>97</v>
      </c>
      <c r="M38" s="6" t="s">
        <v>62</v>
      </c>
      <c r="N38" s="6" t="s">
        <v>1217</v>
      </c>
      <c r="O38" s="131">
        <v>2</v>
      </c>
      <c r="P38" s="129">
        <v>3.3719999999999999</v>
      </c>
      <c r="Q38" s="157">
        <v>6253.75</v>
      </c>
      <c r="R38" s="131">
        <v>5.5439999999999996</v>
      </c>
      <c r="S38" s="132">
        <v>1.33926207269756E-2</v>
      </c>
      <c r="T38" s="132">
        <v>6.3504466865607298E-5</v>
      </c>
    </row>
    <row r="39" spans="1:20" x14ac:dyDescent="0.2">
      <c r="A39" s="6">
        <v>559</v>
      </c>
      <c r="B39" s="6">
        <v>7206</v>
      </c>
      <c r="C39" s="6" t="s">
        <v>3041</v>
      </c>
      <c r="D39" s="6" t="s">
        <v>3042</v>
      </c>
      <c r="E39" s="3" t="s">
        <v>78</v>
      </c>
      <c r="F39" s="6" t="s">
        <v>3065</v>
      </c>
      <c r="G39" s="6" t="s">
        <v>3066</v>
      </c>
      <c r="H39" s="6" t="s">
        <v>102</v>
      </c>
      <c r="I39" s="6" t="s">
        <v>61</v>
      </c>
      <c r="J39" s="6" t="s">
        <v>314</v>
      </c>
      <c r="K39" s="6" t="s">
        <v>3055</v>
      </c>
      <c r="L39" s="6" t="s">
        <v>382</v>
      </c>
      <c r="M39" s="6" t="s">
        <v>62</v>
      </c>
      <c r="N39" s="6" t="s">
        <v>1217</v>
      </c>
      <c r="O39" s="131">
        <v>1</v>
      </c>
      <c r="P39" s="129">
        <v>3.3719999999999999</v>
      </c>
      <c r="Q39" s="157">
        <v>114.26600000000001</v>
      </c>
      <c r="R39" s="131">
        <v>7.218</v>
      </c>
      <c r="S39" s="132">
        <v>1.7438104579175301E-2</v>
      </c>
      <c r="T39" s="132">
        <v>8.2687142197396507E-5</v>
      </c>
    </row>
    <row r="40" spans="1:20" x14ac:dyDescent="0.2">
      <c r="A40" s="6">
        <v>559</v>
      </c>
      <c r="B40" s="6">
        <v>7207</v>
      </c>
      <c r="C40" s="6" t="s">
        <v>3041</v>
      </c>
      <c r="D40" s="6" t="s">
        <v>3042</v>
      </c>
      <c r="E40" s="3" t="s">
        <v>78</v>
      </c>
      <c r="F40" s="6" t="s">
        <v>3043</v>
      </c>
      <c r="G40" s="6" t="s">
        <v>3044</v>
      </c>
      <c r="H40" s="6" t="s">
        <v>102</v>
      </c>
      <c r="I40" s="6" t="s">
        <v>61</v>
      </c>
      <c r="J40" s="6" t="s">
        <v>313</v>
      </c>
      <c r="K40" s="6" t="s">
        <v>3045</v>
      </c>
      <c r="L40" s="6" t="s">
        <v>97</v>
      </c>
      <c r="M40" s="6" t="s">
        <v>62</v>
      </c>
      <c r="N40" s="6" t="s">
        <v>1215</v>
      </c>
      <c r="O40" s="131">
        <v>7</v>
      </c>
      <c r="P40" s="129">
        <v>3.9552</v>
      </c>
      <c r="Q40" s="157">
        <v>542.6</v>
      </c>
      <c r="R40" s="131">
        <v>-1.792</v>
      </c>
      <c r="S40" s="132">
        <v>-5.6691227557192402E-3</v>
      </c>
      <c r="T40" s="132">
        <v>-1.4741923716534499E-5</v>
      </c>
    </row>
    <row r="41" spans="1:20" x14ac:dyDescent="0.2">
      <c r="A41" s="6">
        <v>559</v>
      </c>
      <c r="B41" s="6">
        <v>7207</v>
      </c>
      <c r="C41" s="6" t="s">
        <v>3041</v>
      </c>
      <c r="D41" s="6" t="s">
        <v>3042</v>
      </c>
      <c r="E41" s="3" t="s">
        <v>78</v>
      </c>
      <c r="F41" s="6" t="s">
        <v>3046</v>
      </c>
      <c r="G41" s="6" t="s">
        <v>3047</v>
      </c>
      <c r="H41" s="6" t="s">
        <v>102</v>
      </c>
      <c r="I41" s="6" t="s">
        <v>61</v>
      </c>
      <c r="J41" s="6" t="s">
        <v>313</v>
      </c>
      <c r="K41" s="6" t="s">
        <v>487</v>
      </c>
      <c r="L41" s="6" t="s">
        <v>97</v>
      </c>
      <c r="M41" s="6" t="s">
        <v>62</v>
      </c>
      <c r="N41" s="6" t="s">
        <v>1215</v>
      </c>
      <c r="O41" s="131">
        <v>2</v>
      </c>
      <c r="P41" s="129">
        <v>3.9552</v>
      </c>
      <c r="Q41" s="157">
        <v>24049</v>
      </c>
      <c r="R41" s="131">
        <v>17.462</v>
      </c>
      <c r="S41" s="132">
        <v>5.5252046283666097E-2</v>
      </c>
      <c r="T41" s="132">
        <v>1.43676806199781E-4</v>
      </c>
    </row>
    <row r="42" spans="1:20" x14ac:dyDescent="0.2">
      <c r="A42" s="6">
        <v>559</v>
      </c>
      <c r="B42" s="6">
        <v>7207</v>
      </c>
      <c r="C42" s="6" t="s">
        <v>3041</v>
      </c>
      <c r="D42" s="6" t="s">
        <v>3042</v>
      </c>
      <c r="E42" s="3" t="s">
        <v>78</v>
      </c>
      <c r="F42" s="6" t="s">
        <v>3048</v>
      </c>
      <c r="G42" s="6" t="s">
        <v>3049</v>
      </c>
      <c r="H42" s="6" t="s">
        <v>102</v>
      </c>
      <c r="I42" s="6" t="s">
        <v>61</v>
      </c>
      <c r="J42" s="6" t="s">
        <v>188</v>
      </c>
      <c r="K42" s="6" t="s">
        <v>3050</v>
      </c>
      <c r="L42" s="6" t="s">
        <v>97</v>
      </c>
      <c r="M42" s="6" t="s">
        <v>62</v>
      </c>
      <c r="N42" s="6" t="s">
        <v>1216</v>
      </c>
      <c r="O42" s="131">
        <v>2</v>
      </c>
      <c r="P42" s="129">
        <v>0.42899999999999999</v>
      </c>
      <c r="Q42" s="157">
        <v>24081</v>
      </c>
      <c r="R42" s="131">
        <v>4.41</v>
      </c>
      <c r="S42" s="132">
        <v>1.3954028858007001E-2</v>
      </c>
      <c r="T42" s="132">
        <v>3.6285901333770501E-5</v>
      </c>
    </row>
    <row r="43" spans="1:20" x14ac:dyDescent="0.2">
      <c r="A43" s="6">
        <v>559</v>
      </c>
      <c r="B43" s="6">
        <v>7207</v>
      </c>
      <c r="C43" s="6" t="s">
        <v>3041</v>
      </c>
      <c r="D43" s="6" t="s">
        <v>3042</v>
      </c>
      <c r="E43" s="3" t="s">
        <v>78</v>
      </c>
      <c r="F43" s="6" t="s">
        <v>3051</v>
      </c>
      <c r="G43" s="6" t="s">
        <v>3052</v>
      </c>
      <c r="H43" s="6" t="s">
        <v>102</v>
      </c>
      <c r="I43" s="6" t="s">
        <v>61</v>
      </c>
      <c r="J43" s="6" t="s">
        <v>313</v>
      </c>
      <c r="K43" s="6" t="s">
        <v>487</v>
      </c>
      <c r="L43" s="6" t="s">
        <v>97</v>
      </c>
      <c r="M43" s="6" t="s">
        <v>62</v>
      </c>
      <c r="N43" s="6" t="s">
        <v>1215</v>
      </c>
      <c r="O43" s="131">
        <v>4</v>
      </c>
      <c r="P43" s="129">
        <v>3.9552</v>
      </c>
      <c r="Q43" s="157">
        <v>5327</v>
      </c>
      <c r="R43" s="131">
        <v>3.085</v>
      </c>
      <c r="S43" s="132">
        <v>9.7614034204440998E-3</v>
      </c>
      <c r="T43" s="132">
        <v>2.5383444809928E-5</v>
      </c>
    </row>
    <row r="44" spans="1:20" x14ac:dyDescent="0.2">
      <c r="A44" s="6">
        <v>559</v>
      </c>
      <c r="B44" s="6">
        <v>7207</v>
      </c>
      <c r="C44" s="6" t="s">
        <v>3041</v>
      </c>
      <c r="D44" s="6" t="s">
        <v>3042</v>
      </c>
      <c r="E44" s="3" t="s">
        <v>78</v>
      </c>
      <c r="F44" s="6" t="s">
        <v>3053</v>
      </c>
      <c r="G44" s="6" t="s">
        <v>3054</v>
      </c>
      <c r="H44" s="6" t="s">
        <v>102</v>
      </c>
      <c r="I44" s="6" t="s">
        <v>61</v>
      </c>
      <c r="J44" s="6" t="s">
        <v>314</v>
      </c>
      <c r="K44" s="6" t="s">
        <v>3055</v>
      </c>
      <c r="L44" s="6" t="s">
        <v>382</v>
      </c>
      <c r="M44" s="6" t="s">
        <v>62</v>
      </c>
      <c r="N44" s="6" t="s">
        <v>1217</v>
      </c>
      <c r="O44" s="131">
        <v>2</v>
      </c>
      <c r="P44" s="129">
        <v>3.3719999999999999</v>
      </c>
      <c r="Q44" s="157">
        <v>119.125</v>
      </c>
      <c r="R44" s="131">
        <v>25.975000000000001</v>
      </c>
      <c r="S44" s="132">
        <v>8.21879124454271E-2</v>
      </c>
      <c r="T44" s="132">
        <v>2.13720532770152E-4</v>
      </c>
    </row>
    <row r="45" spans="1:20" x14ac:dyDescent="0.2">
      <c r="A45" s="6">
        <v>559</v>
      </c>
      <c r="B45" s="6">
        <v>7207</v>
      </c>
      <c r="C45" s="6" t="s">
        <v>3041</v>
      </c>
      <c r="D45" s="6" t="s">
        <v>3042</v>
      </c>
      <c r="E45" s="3" t="s">
        <v>78</v>
      </c>
      <c r="F45" s="6" t="s">
        <v>3056</v>
      </c>
      <c r="G45" s="6" t="s">
        <v>3057</v>
      </c>
      <c r="H45" s="6" t="s">
        <v>102</v>
      </c>
      <c r="I45" s="6" t="s">
        <v>61</v>
      </c>
      <c r="J45" s="6" t="s">
        <v>314</v>
      </c>
      <c r="K45" s="6" t="s">
        <v>3055</v>
      </c>
      <c r="L45" s="6" t="s">
        <v>97</v>
      </c>
      <c r="M45" s="6" t="s">
        <v>62</v>
      </c>
      <c r="N45" s="6" t="s">
        <v>1217</v>
      </c>
      <c r="O45" s="131">
        <v>8</v>
      </c>
      <c r="P45" s="129">
        <v>3.3719999999999999</v>
      </c>
      <c r="Q45" s="157">
        <v>6253.75</v>
      </c>
      <c r="R45" s="131">
        <v>221.74299999999999</v>
      </c>
      <c r="S45" s="132">
        <v>0.70161453972521304</v>
      </c>
      <c r="T45" s="132">
        <v>1.8244706401190601E-3</v>
      </c>
    </row>
    <row r="46" spans="1:20" x14ac:dyDescent="0.2">
      <c r="A46" s="6">
        <v>559</v>
      </c>
      <c r="B46" s="6">
        <v>7207</v>
      </c>
      <c r="C46" s="6" t="s">
        <v>3041</v>
      </c>
      <c r="D46" s="6" t="s">
        <v>3042</v>
      </c>
      <c r="E46" s="3" t="s">
        <v>78</v>
      </c>
      <c r="F46" s="6" t="s">
        <v>3058</v>
      </c>
      <c r="G46" s="6" t="s">
        <v>3059</v>
      </c>
      <c r="H46" s="6" t="s">
        <v>102</v>
      </c>
      <c r="I46" s="6" t="s">
        <v>61</v>
      </c>
      <c r="J46" s="6" t="s">
        <v>314</v>
      </c>
      <c r="K46" s="6" t="s">
        <v>3055</v>
      </c>
      <c r="L46" s="6" t="s">
        <v>97</v>
      </c>
      <c r="M46" s="6" t="s">
        <v>62</v>
      </c>
      <c r="N46" s="6" t="s">
        <v>1217</v>
      </c>
      <c r="O46" s="131">
        <v>3</v>
      </c>
      <c r="P46" s="129">
        <v>3.3719999999999999</v>
      </c>
      <c r="Q46" s="157">
        <v>2191.6999999999998</v>
      </c>
      <c r="R46" s="131">
        <v>25.315000000000001</v>
      </c>
      <c r="S46" s="132">
        <v>8.00999263532087E-2</v>
      </c>
      <c r="T46" s="132">
        <v>2.0829095697527E-4</v>
      </c>
    </row>
    <row r="47" spans="1:20" x14ac:dyDescent="0.2">
      <c r="A47" s="6">
        <v>559</v>
      </c>
      <c r="B47" s="6">
        <v>7207</v>
      </c>
      <c r="C47" s="6" t="s">
        <v>3041</v>
      </c>
      <c r="D47" s="6" t="s">
        <v>3042</v>
      </c>
      <c r="E47" s="3" t="s">
        <v>78</v>
      </c>
      <c r="F47" s="6" t="s">
        <v>3060</v>
      </c>
      <c r="G47" s="6" t="s">
        <v>3061</v>
      </c>
      <c r="H47" s="6" t="s">
        <v>102</v>
      </c>
      <c r="I47" s="6" t="s">
        <v>61</v>
      </c>
      <c r="J47" s="6" t="s">
        <v>67</v>
      </c>
      <c r="K47" s="6" t="s">
        <v>3062</v>
      </c>
      <c r="L47" s="6" t="s">
        <v>97</v>
      </c>
      <c r="M47" s="6" t="s">
        <v>62</v>
      </c>
      <c r="N47" s="6" t="s">
        <v>1214</v>
      </c>
      <c r="O47" s="131">
        <v>2</v>
      </c>
      <c r="P47" s="129">
        <v>2.2031999999999998</v>
      </c>
      <c r="Q47" s="157">
        <v>8537</v>
      </c>
      <c r="R47" s="131">
        <v>1.542</v>
      </c>
      <c r="S47" s="132">
        <v>4.8797904515007597E-3</v>
      </c>
      <c r="T47" s="132">
        <v>1.26893527779275E-5</v>
      </c>
    </row>
    <row r="48" spans="1:20" x14ac:dyDescent="0.2">
      <c r="A48" s="6">
        <v>559</v>
      </c>
      <c r="B48" s="6">
        <v>7207</v>
      </c>
      <c r="C48" s="6" t="s">
        <v>3041</v>
      </c>
      <c r="D48" s="6" t="s">
        <v>3042</v>
      </c>
      <c r="E48" s="3" t="s">
        <v>78</v>
      </c>
      <c r="F48" s="6" t="s">
        <v>3063</v>
      </c>
      <c r="G48" s="6" t="s">
        <v>3064</v>
      </c>
      <c r="H48" s="6" t="s">
        <v>102</v>
      </c>
      <c r="I48" s="6" t="s">
        <v>61</v>
      </c>
      <c r="J48" s="6" t="s">
        <v>314</v>
      </c>
      <c r="K48" s="6" t="s">
        <v>3055</v>
      </c>
      <c r="L48" s="6" t="s">
        <v>97</v>
      </c>
      <c r="M48" s="6" t="s">
        <v>62</v>
      </c>
      <c r="N48" s="6" t="s">
        <v>1217</v>
      </c>
      <c r="O48" s="131">
        <v>4</v>
      </c>
      <c r="P48" s="129">
        <v>3.3719999999999999</v>
      </c>
      <c r="Q48" s="157">
        <v>6253.75</v>
      </c>
      <c r="R48" s="131">
        <v>11.087</v>
      </c>
      <c r="S48" s="132">
        <v>3.5080726986260503E-2</v>
      </c>
      <c r="T48" s="132">
        <v>9.1223532005952398E-5</v>
      </c>
    </row>
    <row r="49" spans="1:20" x14ac:dyDescent="0.2">
      <c r="A49" s="6">
        <v>559</v>
      </c>
      <c r="B49" s="6">
        <v>7207</v>
      </c>
      <c r="C49" s="6" t="s">
        <v>3041</v>
      </c>
      <c r="D49" s="6" t="s">
        <v>3042</v>
      </c>
      <c r="E49" s="3" t="s">
        <v>78</v>
      </c>
      <c r="F49" s="6" t="s">
        <v>3065</v>
      </c>
      <c r="G49" s="6" t="s">
        <v>3066</v>
      </c>
      <c r="H49" s="6" t="s">
        <v>102</v>
      </c>
      <c r="I49" s="6" t="s">
        <v>61</v>
      </c>
      <c r="J49" s="6" t="s">
        <v>314</v>
      </c>
      <c r="K49" s="6" t="s">
        <v>3055</v>
      </c>
      <c r="L49" s="6" t="s">
        <v>382</v>
      </c>
      <c r="M49" s="6" t="s">
        <v>62</v>
      </c>
      <c r="N49" s="6" t="s">
        <v>1217</v>
      </c>
      <c r="O49" s="131">
        <v>1</v>
      </c>
      <c r="P49" s="129">
        <v>3.3719999999999999</v>
      </c>
      <c r="Q49" s="157">
        <v>114.26600000000001</v>
      </c>
      <c r="R49" s="131">
        <v>7.218</v>
      </c>
      <c r="S49" s="132">
        <v>2.2838748231992001E-2</v>
      </c>
      <c r="T49" s="132">
        <v>5.9389626706795397E-5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D0DFF30A-2FB9-4C9A-99C5-30E472DE5F63}">
      <formula1>israel_abroad</formula1>
    </dataValidation>
    <dataValidation type="list" allowBlank="1" showInputMessage="1" showErrorMessage="1" sqref="M2:M20" xr:uid="{04D526DE-AD87-45ED-B221-0B91F6AAD55D}">
      <formula1>Holding_interest</formula1>
    </dataValidation>
    <dataValidation type="list" allowBlank="1" showInputMessage="1" showErrorMessage="1" sqref="L2:L20" xr:uid="{7AEC74A2-501D-4023-A139-59E468116669}">
      <formula1>Underlying_Asset</formula1>
    </dataValidation>
    <dataValidation type="list" allowBlank="1" showInputMessage="1" showErrorMessage="1" sqref="J2:J20" xr:uid="{2C535932-E98B-4477-A6D8-14689CCC3108}">
      <formula1>Country_list</formula1>
    </dataValidation>
    <dataValidation type="list" allowBlank="1" showInputMessage="1" showErrorMessage="1" sqref="E2:E20" xr:uid="{147E199E-9996-49CC-890B-61DB6E27F64E}">
      <formula1>Issuer_Type_TFunds</formula1>
    </dataValidation>
    <dataValidation type="list" allowBlank="1" showInputMessage="1" showErrorMessage="1" sqref="H2:H20" xr:uid="{74DD6AEA-8F35-4BC8-923B-01A2B4A6614D}">
      <formula1>Security_ID_Number_Type</formula1>
    </dataValidation>
    <dataValidation type="list" allowBlank="1" showInputMessage="1" showErrorMessage="1" sqref="K2:K20" xr:uid="{DDBC4139-0FEC-4608-A479-699368E88A6B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>
      <selection sqref="A1:XFD1048576"/>
    </sheetView>
  </sheetViews>
  <sheetFormatPr defaultColWidth="9" defaultRowHeight="14.25" x14ac:dyDescent="0.2"/>
  <cols>
    <col min="1" max="4" width="11.625" style="6" customWidth="1"/>
    <col min="5" max="5" width="11.625" style="3" customWidth="1"/>
    <col min="6" max="16" width="11.625" style="6" customWidth="1"/>
    <col min="17" max="17" width="11.625" style="135" customWidth="1"/>
    <col min="18" max="28" width="11.625" style="6" customWidth="1"/>
    <col min="29" max="16384" width="9" style="6"/>
  </cols>
  <sheetData>
    <row r="1" spans="1:28" ht="51" x14ac:dyDescent="0.2">
      <c r="A1" s="13" t="s">
        <v>651</v>
      </c>
      <c r="B1" s="13" t="s">
        <v>0</v>
      </c>
      <c r="C1" s="13" t="s">
        <v>724</v>
      </c>
      <c r="D1" s="13" t="s">
        <v>2</v>
      </c>
      <c r="E1" s="13" t="s">
        <v>740</v>
      </c>
      <c r="F1" s="13" t="s">
        <v>1145</v>
      </c>
      <c r="G1" s="13" t="s">
        <v>29</v>
      </c>
      <c r="H1" s="13" t="s">
        <v>28</v>
      </c>
      <c r="I1" s="13" t="s">
        <v>1</v>
      </c>
      <c r="J1" s="13" t="s">
        <v>604</v>
      </c>
      <c r="K1" s="13" t="s">
        <v>605</v>
      </c>
      <c r="L1" s="13" t="s">
        <v>609</v>
      </c>
      <c r="M1" s="13" t="s">
        <v>5</v>
      </c>
      <c r="N1" s="13" t="s">
        <v>10</v>
      </c>
      <c r="O1" s="13" t="s">
        <v>606</v>
      </c>
      <c r="P1" s="13" t="s">
        <v>13</v>
      </c>
      <c r="Q1" s="125" t="s">
        <v>14</v>
      </c>
      <c r="R1" s="126" t="s">
        <v>621</v>
      </c>
      <c r="S1" s="13" t="s">
        <v>6</v>
      </c>
      <c r="T1" s="13" t="s">
        <v>8</v>
      </c>
      <c r="U1" s="13" t="s">
        <v>1146</v>
      </c>
      <c r="V1" s="13" t="s">
        <v>396</v>
      </c>
      <c r="W1" s="13" t="s">
        <v>773</v>
      </c>
      <c r="X1" s="124" t="s">
        <v>11</v>
      </c>
      <c r="Y1" s="136" t="s">
        <v>15</v>
      </c>
      <c r="Z1" s="13" t="s">
        <v>1153</v>
      </c>
      <c r="AA1" s="126" t="s">
        <v>19</v>
      </c>
      <c r="AB1" s="126" t="s">
        <v>30</v>
      </c>
    </row>
    <row r="2" spans="1:28" x14ac:dyDescent="0.2">
      <c r="A2" s="18">
        <v>13710</v>
      </c>
      <c r="B2" s="18">
        <v>13711</v>
      </c>
      <c r="C2" s="18" t="s">
        <v>3072</v>
      </c>
      <c r="D2" s="18" t="s">
        <v>3073</v>
      </c>
      <c r="E2" s="12" t="s">
        <v>1477</v>
      </c>
      <c r="F2" s="18" t="s">
        <v>3074</v>
      </c>
      <c r="G2" s="18" t="s">
        <v>3075</v>
      </c>
      <c r="H2" s="12" t="s">
        <v>76</v>
      </c>
      <c r="I2" s="18" t="s">
        <v>239</v>
      </c>
      <c r="J2" s="12" t="s">
        <v>53</v>
      </c>
      <c r="K2" s="12" t="s">
        <v>53</v>
      </c>
      <c r="L2" s="18" t="s">
        <v>805</v>
      </c>
      <c r="M2" s="12" t="s">
        <v>311</v>
      </c>
      <c r="N2" s="18" t="s">
        <v>72</v>
      </c>
      <c r="O2" s="18" t="s">
        <v>62</v>
      </c>
      <c r="P2" s="151">
        <v>0.76800000000000002</v>
      </c>
      <c r="Q2" s="154">
        <v>9.4959000000000002E-2</v>
      </c>
      <c r="R2" s="155">
        <v>8.2710000000000006E-2</v>
      </c>
      <c r="S2" s="18" t="s">
        <v>1213</v>
      </c>
      <c r="T2" s="18" t="s">
        <v>65</v>
      </c>
      <c r="U2" s="18" t="s">
        <v>57</v>
      </c>
      <c r="V2" s="12" t="s">
        <v>1219</v>
      </c>
      <c r="W2" s="151">
        <v>14101.23</v>
      </c>
      <c r="X2" s="156">
        <v>1</v>
      </c>
      <c r="Y2" s="150">
        <v>98.67</v>
      </c>
      <c r="Z2" s="151">
        <v>13.914</v>
      </c>
      <c r="AA2" s="155">
        <v>6.1985037064974199E-2</v>
      </c>
      <c r="AB2" s="155">
        <v>2.0397953787995899E-4</v>
      </c>
    </row>
    <row r="3" spans="1:28" x14ac:dyDescent="0.2">
      <c r="A3" s="18">
        <v>13710</v>
      </c>
      <c r="B3" s="18">
        <v>13711</v>
      </c>
      <c r="C3" s="18" t="s">
        <v>3072</v>
      </c>
      <c r="D3" s="18" t="s">
        <v>3073</v>
      </c>
      <c r="E3" s="12" t="s">
        <v>1477</v>
      </c>
      <c r="F3" s="18" t="s">
        <v>3076</v>
      </c>
      <c r="G3" s="18" t="s">
        <v>3077</v>
      </c>
      <c r="H3" s="12" t="s">
        <v>76</v>
      </c>
      <c r="I3" s="18" t="s">
        <v>239</v>
      </c>
      <c r="J3" s="12" t="s">
        <v>53</v>
      </c>
      <c r="K3" s="12" t="s">
        <v>53</v>
      </c>
      <c r="L3" s="18" t="s">
        <v>805</v>
      </c>
      <c r="M3" s="12" t="s">
        <v>311</v>
      </c>
      <c r="N3" s="18" t="s">
        <v>79</v>
      </c>
      <c r="O3" s="18" t="s">
        <v>62</v>
      </c>
      <c r="P3" s="151">
        <v>3.0369999999999999</v>
      </c>
      <c r="Q3" s="154">
        <v>5.0000000000000001E-4</v>
      </c>
      <c r="R3" s="155">
        <v>2.588E-2</v>
      </c>
      <c r="S3" s="18" t="s">
        <v>1213</v>
      </c>
      <c r="T3" s="18" t="s">
        <v>65</v>
      </c>
      <c r="U3" s="18" t="s">
        <v>57</v>
      </c>
      <c r="V3" s="12" t="s">
        <v>1219</v>
      </c>
      <c r="W3" s="151">
        <v>195428.57</v>
      </c>
      <c r="X3" s="156">
        <v>1</v>
      </c>
      <c r="Y3" s="150">
        <v>107.74</v>
      </c>
      <c r="Z3" s="151">
        <v>210.55500000000001</v>
      </c>
      <c r="AA3" s="155">
        <v>0.93801496293502595</v>
      </c>
      <c r="AB3" s="155">
        <v>3.0868071993473299E-3</v>
      </c>
    </row>
    <row r="4" spans="1:28" x14ac:dyDescent="0.2">
      <c r="A4" s="18">
        <v>13710</v>
      </c>
      <c r="B4" s="18">
        <v>15444</v>
      </c>
      <c r="C4" s="18" t="s">
        <v>3072</v>
      </c>
      <c r="D4" s="18" t="s">
        <v>3073</v>
      </c>
      <c r="E4" s="12" t="s">
        <v>1477</v>
      </c>
      <c r="F4" s="18" t="s">
        <v>3074</v>
      </c>
      <c r="G4" s="18" t="s">
        <v>3075</v>
      </c>
      <c r="H4" s="12" t="s">
        <v>76</v>
      </c>
      <c r="I4" s="18" t="s">
        <v>239</v>
      </c>
      <c r="J4" s="12" t="s">
        <v>53</v>
      </c>
      <c r="K4" s="12" t="s">
        <v>53</v>
      </c>
      <c r="L4" s="18" t="s">
        <v>805</v>
      </c>
      <c r="M4" s="12" t="s">
        <v>311</v>
      </c>
      <c r="N4" s="18" t="s">
        <v>72</v>
      </c>
      <c r="O4" s="18" t="s">
        <v>62</v>
      </c>
      <c r="P4" s="151">
        <v>0.76800000000000002</v>
      </c>
      <c r="Q4" s="154">
        <v>9.4959000000000002E-2</v>
      </c>
      <c r="R4" s="155">
        <v>8.2710000000000006E-2</v>
      </c>
      <c r="S4" s="18" t="s">
        <v>1213</v>
      </c>
      <c r="T4" s="18" t="s">
        <v>65</v>
      </c>
      <c r="U4" s="18" t="s">
        <v>57</v>
      </c>
      <c r="V4" s="12" t="s">
        <v>1219</v>
      </c>
      <c r="W4" s="151">
        <v>1000</v>
      </c>
      <c r="X4" s="156">
        <v>1</v>
      </c>
      <c r="Y4" s="150">
        <v>98.67</v>
      </c>
      <c r="Z4" s="151">
        <v>0.98699999999999999</v>
      </c>
      <c r="AA4" s="155">
        <v>1</v>
      </c>
      <c r="AB4" s="155">
        <v>1.1819003109178901E-4</v>
      </c>
    </row>
    <row r="5" spans="1:28" x14ac:dyDescent="0.2">
      <c r="A5" s="18">
        <v>559</v>
      </c>
      <c r="B5" s="18">
        <v>556</v>
      </c>
      <c r="C5" s="18" t="s">
        <v>3072</v>
      </c>
      <c r="D5" s="18" t="s">
        <v>3073</v>
      </c>
      <c r="E5" s="12" t="s">
        <v>1477</v>
      </c>
      <c r="F5" s="18" t="s">
        <v>3074</v>
      </c>
      <c r="G5" s="18" t="s">
        <v>3075</v>
      </c>
      <c r="H5" s="12" t="s">
        <v>76</v>
      </c>
      <c r="I5" s="18" t="s">
        <v>239</v>
      </c>
      <c r="J5" s="12" t="s">
        <v>53</v>
      </c>
      <c r="K5" s="12" t="s">
        <v>53</v>
      </c>
      <c r="L5" s="18" t="s">
        <v>805</v>
      </c>
      <c r="M5" s="12" t="s">
        <v>311</v>
      </c>
      <c r="N5" s="18" t="s">
        <v>72</v>
      </c>
      <c r="O5" s="18" t="s">
        <v>62</v>
      </c>
      <c r="P5" s="151">
        <v>0.76800000000000002</v>
      </c>
      <c r="Q5" s="154">
        <v>9.4959000000000002E-2</v>
      </c>
      <c r="R5" s="155">
        <v>8.2710000000000006E-2</v>
      </c>
      <c r="S5" s="18" t="s">
        <v>1213</v>
      </c>
      <c r="T5" s="18" t="s">
        <v>65</v>
      </c>
      <c r="U5" s="18" t="s">
        <v>57</v>
      </c>
      <c r="V5" s="12" t="s">
        <v>1219</v>
      </c>
      <c r="W5" s="151">
        <v>884628.87</v>
      </c>
      <c r="X5" s="156">
        <v>1</v>
      </c>
      <c r="Y5" s="150">
        <v>98.67</v>
      </c>
      <c r="Z5" s="151">
        <v>872.86300000000006</v>
      </c>
      <c r="AA5" s="155">
        <v>0.37759753937310397</v>
      </c>
      <c r="AB5" s="155">
        <v>2.61738604011793E-3</v>
      </c>
    </row>
    <row r="6" spans="1:28" x14ac:dyDescent="0.2">
      <c r="A6" s="18">
        <v>559</v>
      </c>
      <c r="B6" s="18">
        <v>556</v>
      </c>
      <c r="C6" s="18" t="s">
        <v>3072</v>
      </c>
      <c r="D6" s="18" t="s">
        <v>3073</v>
      </c>
      <c r="E6" s="12" t="s">
        <v>1477</v>
      </c>
      <c r="F6" s="18" t="s">
        <v>3076</v>
      </c>
      <c r="G6" s="18" t="s">
        <v>3077</v>
      </c>
      <c r="H6" s="12" t="s">
        <v>76</v>
      </c>
      <c r="I6" s="18" t="s">
        <v>239</v>
      </c>
      <c r="J6" s="12" t="s">
        <v>53</v>
      </c>
      <c r="K6" s="12" t="s">
        <v>53</v>
      </c>
      <c r="L6" s="18" t="s">
        <v>805</v>
      </c>
      <c r="M6" s="12" t="s">
        <v>311</v>
      </c>
      <c r="N6" s="18" t="s">
        <v>79</v>
      </c>
      <c r="O6" s="18" t="s">
        <v>62</v>
      </c>
      <c r="P6" s="151">
        <v>3.0369999999999999</v>
      </c>
      <c r="Q6" s="154">
        <v>5.0000000000000001E-4</v>
      </c>
      <c r="R6" s="155">
        <v>2.588E-2</v>
      </c>
      <c r="S6" s="18" t="s">
        <v>1213</v>
      </c>
      <c r="T6" s="18" t="s">
        <v>65</v>
      </c>
      <c r="U6" s="18" t="s">
        <v>57</v>
      </c>
      <c r="V6" s="12" t="s">
        <v>1219</v>
      </c>
      <c r="W6" s="151">
        <v>1335400.1200000001</v>
      </c>
      <c r="X6" s="156">
        <v>1</v>
      </c>
      <c r="Y6" s="150">
        <v>107.74</v>
      </c>
      <c r="Z6" s="151">
        <v>1438.76</v>
      </c>
      <c r="AA6" s="155">
        <v>0.62240246062689597</v>
      </c>
      <c r="AB6" s="155">
        <v>4.3142958889099197E-3</v>
      </c>
    </row>
    <row r="7" spans="1:28" x14ac:dyDescent="0.2">
      <c r="A7" s="18">
        <v>559</v>
      </c>
      <c r="B7" s="18">
        <v>7205</v>
      </c>
      <c r="C7" s="18" t="s">
        <v>3072</v>
      </c>
      <c r="D7" s="18" t="s">
        <v>3073</v>
      </c>
      <c r="E7" s="12" t="s">
        <v>1477</v>
      </c>
      <c r="F7" s="18" t="s">
        <v>3074</v>
      </c>
      <c r="G7" s="18" t="s">
        <v>3075</v>
      </c>
      <c r="H7" s="12" t="s">
        <v>76</v>
      </c>
      <c r="I7" s="18" t="s">
        <v>239</v>
      </c>
      <c r="J7" s="12" t="s">
        <v>53</v>
      </c>
      <c r="K7" s="12" t="s">
        <v>53</v>
      </c>
      <c r="L7" s="18" t="s">
        <v>805</v>
      </c>
      <c r="M7" s="12" t="s">
        <v>311</v>
      </c>
      <c r="N7" s="18" t="s">
        <v>72</v>
      </c>
      <c r="O7" s="18" t="s">
        <v>62</v>
      </c>
      <c r="P7" s="151">
        <v>0.76800000000000002</v>
      </c>
      <c r="Q7" s="154">
        <v>9.4959000000000002E-2</v>
      </c>
      <c r="R7" s="155">
        <v>8.2710000000000006E-2</v>
      </c>
      <c r="S7" s="18" t="s">
        <v>1213</v>
      </c>
      <c r="T7" s="18" t="s">
        <v>65</v>
      </c>
      <c r="U7" s="18" t="s">
        <v>57</v>
      </c>
      <c r="V7" s="12" t="s">
        <v>1219</v>
      </c>
      <c r="W7" s="151">
        <v>4690994.24</v>
      </c>
      <c r="X7" s="156">
        <v>1</v>
      </c>
      <c r="Y7" s="150">
        <v>98.67</v>
      </c>
      <c r="Z7" s="151">
        <v>4628.6040000000003</v>
      </c>
      <c r="AA7" s="155">
        <v>0.366653156059361</v>
      </c>
      <c r="AB7" s="155">
        <v>2.4145533865626702E-3</v>
      </c>
    </row>
    <row r="8" spans="1:28" x14ac:dyDescent="0.2">
      <c r="A8" s="18">
        <v>559</v>
      </c>
      <c r="B8" s="18">
        <v>7205</v>
      </c>
      <c r="C8" s="18" t="s">
        <v>3072</v>
      </c>
      <c r="D8" s="18" t="s">
        <v>3073</v>
      </c>
      <c r="E8" s="12" t="s">
        <v>1477</v>
      </c>
      <c r="F8" s="18" t="s">
        <v>3076</v>
      </c>
      <c r="G8" s="18" t="s">
        <v>3077</v>
      </c>
      <c r="H8" s="12" t="s">
        <v>76</v>
      </c>
      <c r="I8" s="18" t="s">
        <v>239</v>
      </c>
      <c r="J8" s="12" t="s">
        <v>53</v>
      </c>
      <c r="K8" s="12" t="s">
        <v>53</v>
      </c>
      <c r="L8" s="18" t="s">
        <v>805</v>
      </c>
      <c r="M8" s="12" t="s">
        <v>311</v>
      </c>
      <c r="N8" s="18" t="s">
        <v>79</v>
      </c>
      <c r="O8" s="18" t="s">
        <v>62</v>
      </c>
      <c r="P8" s="151">
        <v>3.0369999999999999</v>
      </c>
      <c r="Q8" s="154">
        <v>5.0000000000000001E-4</v>
      </c>
      <c r="R8" s="155">
        <v>2.588E-2</v>
      </c>
      <c r="S8" s="18" t="s">
        <v>1213</v>
      </c>
      <c r="T8" s="18" t="s">
        <v>65</v>
      </c>
      <c r="U8" s="18" t="s">
        <v>57</v>
      </c>
      <c r="V8" s="12" t="s">
        <v>1219</v>
      </c>
      <c r="W8" s="151">
        <v>7420945.46</v>
      </c>
      <c r="X8" s="156">
        <v>1</v>
      </c>
      <c r="Y8" s="150">
        <v>107.74</v>
      </c>
      <c r="Z8" s="151">
        <v>7995.3270000000002</v>
      </c>
      <c r="AA8" s="155">
        <v>0.633346843940639</v>
      </c>
      <c r="AB8" s="155">
        <v>4.1708348656845102E-3</v>
      </c>
    </row>
    <row r="9" spans="1:28" x14ac:dyDescent="0.2">
      <c r="A9" s="18">
        <v>559</v>
      </c>
      <c r="B9" s="18">
        <v>7206</v>
      </c>
      <c r="C9" s="18" t="s">
        <v>3072</v>
      </c>
      <c r="D9" s="18" t="s">
        <v>3073</v>
      </c>
      <c r="E9" s="12" t="s">
        <v>1477</v>
      </c>
      <c r="F9" s="18" t="s">
        <v>3074</v>
      </c>
      <c r="G9" s="18" t="s">
        <v>3075</v>
      </c>
      <c r="H9" s="12" t="s">
        <v>76</v>
      </c>
      <c r="I9" s="18" t="s">
        <v>239</v>
      </c>
      <c r="J9" s="12" t="s">
        <v>53</v>
      </c>
      <c r="K9" s="12" t="s">
        <v>53</v>
      </c>
      <c r="L9" s="18" t="s">
        <v>805</v>
      </c>
      <c r="M9" s="12" t="s">
        <v>311</v>
      </c>
      <c r="N9" s="18" t="s">
        <v>72</v>
      </c>
      <c r="O9" s="18" t="s">
        <v>62</v>
      </c>
      <c r="P9" s="151">
        <v>0.76800000000000002</v>
      </c>
      <c r="Q9" s="154">
        <v>9.4959000000000002E-2</v>
      </c>
      <c r="R9" s="155">
        <v>8.2710000000000006E-2</v>
      </c>
      <c r="S9" s="18" t="s">
        <v>1213</v>
      </c>
      <c r="T9" s="18" t="s">
        <v>65</v>
      </c>
      <c r="U9" s="18" t="s">
        <v>57</v>
      </c>
      <c r="V9" s="12" t="s">
        <v>1219</v>
      </c>
      <c r="W9" s="151">
        <v>144429.47</v>
      </c>
      <c r="X9" s="156">
        <v>1</v>
      </c>
      <c r="Y9" s="150">
        <v>98.67</v>
      </c>
      <c r="Z9" s="151">
        <v>142.50899999999999</v>
      </c>
      <c r="AA9" s="155">
        <v>0.20566790169374999</v>
      </c>
      <c r="AB9" s="155">
        <v>1.63250996518636E-3</v>
      </c>
    </row>
    <row r="10" spans="1:28" x14ac:dyDescent="0.2">
      <c r="A10" s="18">
        <v>559</v>
      </c>
      <c r="B10" s="18">
        <v>7206</v>
      </c>
      <c r="C10" s="18" t="s">
        <v>3072</v>
      </c>
      <c r="D10" s="18" t="s">
        <v>3073</v>
      </c>
      <c r="E10" s="12" t="s">
        <v>1477</v>
      </c>
      <c r="F10" s="18" t="s">
        <v>3076</v>
      </c>
      <c r="G10" s="18" t="s">
        <v>3077</v>
      </c>
      <c r="H10" s="12" t="s">
        <v>76</v>
      </c>
      <c r="I10" s="18" t="s">
        <v>239</v>
      </c>
      <c r="J10" s="12" t="s">
        <v>53</v>
      </c>
      <c r="K10" s="12" t="s">
        <v>53</v>
      </c>
      <c r="L10" s="18" t="s">
        <v>805</v>
      </c>
      <c r="M10" s="12" t="s">
        <v>311</v>
      </c>
      <c r="N10" s="18" t="s">
        <v>79</v>
      </c>
      <c r="O10" s="18" t="s">
        <v>62</v>
      </c>
      <c r="P10" s="151">
        <v>3.0369999999999999</v>
      </c>
      <c r="Q10" s="154">
        <v>5.0000000000000001E-4</v>
      </c>
      <c r="R10" s="155">
        <v>2.588E-2</v>
      </c>
      <c r="S10" s="18" t="s">
        <v>1213</v>
      </c>
      <c r="T10" s="18" t="s">
        <v>65</v>
      </c>
      <c r="U10" s="18" t="s">
        <v>57</v>
      </c>
      <c r="V10" s="12" t="s">
        <v>1219</v>
      </c>
      <c r="W10" s="151">
        <v>510857.26</v>
      </c>
      <c r="X10" s="156">
        <v>1</v>
      </c>
      <c r="Y10" s="150">
        <v>107.74</v>
      </c>
      <c r="Z10" s="151">
        <v>550.39800000000002</v>
      </c>
      <c r="AA10" s="155">
        <v>0.79433209830624996</v>
      </c>
      <c r="AB10" s="155">
        <v>6.3050921192519399E-3</v>
      </c>
    </row>
    <row r="11" spans="1:28" x14ac:dyDescent="0.2">
      <c r="A11" s="18">
        <v>559</v>
      </c>
      <c r="B11" s="18">
        <v>7207</v>
      </c>
      <c r="C11" s="18" t="s">
        <v>3072</v>
      </c>
      <c r="D11" s="18" t="s">
        <v>3073</v>
      </c>
      <c r="E11" s="12" t="s">
        <v>1477</v>
      </c>
      <c r="F11" s="18" t="s">
        <v>3074</v>
      </c>
      <c r="G11" s="18" t="s">
        <v>3075</v>
      </c>
      <c r="H11" s="12" t="s">
        <v>76</v>
      </c>
      <c r="I11" s="18" t="s">
        <v>239</v>
      </c>
      <c r="J11" s="12" t="s">
        <v>53</v>
      </c>
      <c r="K11" s="12" t="s">
        <v>53</v>
      </c>
      <c r="L11" s="18" t="s">
        <v>805</v>
      </c>
      <c r="M11" s="12" t="s">
        <v>311</v>
      </c>
      <c r="N11" s="18" t="s">
        <v>72</v>
      </c>
      <c r="O11" s="18" t="s">
        <v>62</v>
      </c>
      <c r="P11" s="151">
        <v>0.76800000000000002</v>
      </c>
      <c r="Q11" s="154">
        <v>9.4959000000000002E-2</v>
      </c>
      <c r="R11" s="155">
        <v>8.2710000000000006E-2</v>
      </c>
      <c r="S11" s="18" t="s">
        <v>1213</v>
      </c>
      <c r="T11" s="18" t="s">
        <v>65</v>
      </c>
      <c r="U11" s="18" t="s">
        <v>57</v>
      </c>
      <c r="V11" s="12" t="s">
        <v>1219</v>
      </c>
      <c r="W11" s="151">
        <v>260061.39</v>
      </c>
      <c r="X11" s="156">
        <v>1</v>
      </c>
      <c r="Y11" s="150">
        <v>98.67</v>
      </c>
      <c r="Z11" s="151">
        <v>256.60300000000001</v>
      </c>
      <c r="AA11" s="155">
        <v>0.26093776421947401</v>
      </c>
      <c r="AB11" s="155">
        <v>2.11129304066199E-3</v>
      </c>
    </row>
    <row r="12" spans="1:28" x14ac:dyDescent="0.2">
      <c r="A12" s="18">
        <v>559</v>
      </c>
      <c r="B12" s="18">
        <v>7207</v>
      </c>
      <c r="C12" s="18" t="s">
        <v>3072</v>
      </c>
      <c r="D12" s="18" t="s">
        <v>3073</v>
      </c>
      <c r="E12" s="12" t="s">
        <v>1477</v>
      </c>
      <c r="F12" s="18" t="s">
        <v>3076</v>
      </c>
      <c r="G12" s="18" t="s">
        <v>3077</v>
      </c>
      <c r="H12" s="12" t="s">
        <v>76</v>
      </c>
      <c r="I12" s="18" t="s">
        <v>239</v>
      </c>
      <c r="J12" s="12" t="s">
        <v>53</v>
      </c>
      <c r="K12" s="12" t="s">
        <v>53</v>
      </c>
      <c r="L12" s="18" t="s">
        <v>805</v>
      </c>
      <c r="M12" s="12" t="s">
        <v>311</v>
      </c>
      <c r="N12" s="18" t="s">
        <v>79</v>
      </c>
      <c r="O12" s="18" t="s">
        <v>62</v>
      </c>
      <c r="P12" s="151">
        <v>3.0369999999999999</v>
      </c>
      <c r="Q12" s="154">
        <v>5.0000000000000001E-4</v>
      </c>
      <c r="R12" s="155">
        <v>2.588E-2</v>
      </c>
      <c r="S12" s="18" t="s">
        <v>1213</v>
      </c>
      <c r="T12" s="18" t="s">
        <v>65</v>
      </c>
      <c r="U12" s="18" t="s">
        <v>57</v>
      </c>
      <c r="V12" s="12" t="s">
        <v>1219</v>
      </c>
      <c r="W12" s="151">
        <v>674571.69</v>
      </c>
      <c r="X12" s="156">
        <v>1</v>
      </c>
      <c r="Y12" s="150">
        <v>107.74</v>
      </c>
      <c r="Z12" s="151">
        <v>726.78399999999999</v>
      </c>
      <c r="AA12" s="155">
        <v>0.73906223578052599</v>
      </c>
      <c r="AB12" s="155">
        <v>5.9798816767169501E-3</v>
      </c>
    </row>
    <row r="13" spans="1:28" x14ac:dyDescent="0.2">
      <c r="A13" s="18"/>
      <c r="B13" s="18"/>
      <c r="C13" s="18"/>
      <c r="D13" s="18"/>
      <c r="E13" s="12"/>
      <c r="F13" s="18"/>
      <c r="G13" s="18"/>
      <c r="H13" s="12"/>
      <c r="I13" s="18"/>
      <c r="J13" s="12"/>
      <c r="K13" s="12"/>
      <c r="L13" s="18"/>
      <c r="M13" s="12"/>
      <c r="N13" s="18"/>
      <c r="O13" s="18"/>
      <c r="P13" s="18"/>
      <c r="Q13" s="165"/>
      <c r="R13" s="18"/>
      <c r="S13" s="18"/>
      <c r="T13" s="18"/>
      <c r="U13" s="18"/>
      <c r="V13" s="12"/>
      <c r="W13" s="18"/>
      <c r="X13" s="18"/>
      <c r="Y13" s="18"/>
      <c r="Z13" s="18"/>
      <c r="AA13" s="18"/>
      <c r="AB13" s="18"/>
    </row>
    <row r="14" spans="1:28" x14ac:dyDescent="0.2">
      <c r="A14" s="18"/>
      <c r="B14" s="18"/>
      <c r="C14" s="18"/>
      <c r="D14" s="18"/>
      <c r="E14" s="12"/>
      <c r="F14" s="18"/>
      <c r="G14" s="18"/>
      <c r="H14" s="12"/>
      <c r="I14" s="18"/>
      <c r="J14" s="12"/>
      <c r="K14" s="12"/>
      <c r="L14" s="18"/>
      <c r="M14" s="12"/>
      <c r="N14" s="18"/>
      <c r="O14" s="18"/>
      <c r="P14" s="18"/>
      <c r="Q14" s="165"/>
      <c r="R14" s="18"/>
      <c r="S14" s="18"/>
      <c r="T14" s="18"/>
      <c r="U14" s="18"/>
      <c r="V14" s="12"/>
      <c r="W14" s="18"/>
      <c r="X14" s="18"/>
      <c r="Y14" s="18"/>
      <c r="Z14" s="18"/>
      <c r="AA14" s="18"/>
      <c r="AB14" s="18"/>
    </row>
    <row r="15" spans="1:28" x14ac:dyDescent="0.2">
      <c r="A15" s="18"/>
      <c r="B15" s="18"/>
      <c r="C15" s="18"/>
      <c r="D15" s="18"/>
      <c r="E15" s="12"/>
      <c r="F15" s="18"/>
      <c r="G15" s="18"/>
      <c r="H15" s="12"/>
      <c r="I15" s="18"/>
      <c r="J15" s="12"/>
      <c r="K15" s="12"/>
      <c r="L15" s="18"/>
      <c r="M15" s="12"/>
      <c r="N15" s="18"/>
      <c r="O15" s="18"/>
      <c r="P15" s="18"/>
      <c r="Q15" s="165"/>
      <c r="R15" s="18"/>
      <c r="S15" s="18"/>
      <c r="T15" s="18"/>
      <c r="U15" s="18"/>
      <c r="V15" s="12"/>
      <c r="W15" s="18"/>
      <c r="X15" s="18"/>
      <c r="Y15" s="18"/>
      <c r="Z15" s="18"/>
      <c r="AA15" s="18"/>
      <c r="AB15" s="18"/>
    </row>
    <row r="16" spans="1:28" x14ac:dyDescent="0.2">
      <c r="A16" s="18"/>
      <c r="B16" s="18"/>
      <c r="C16" s="18"/>
      <c r="D16" s="18"/>
      <c r="E16" s="12"/>
      <c r="F16" s="18"/>
      <c r="G16" s="18"/>
      <c r="H16" s="12"/>
      <c r="I16" s="18"/>
      <c r="J16" s="12"/>
      <c r="K16" s="12"/>
      <c r="L16" s="18"/>
      <c r="M16" s="12"/>
      <c r="N16" s="18"/>
      <c r="O16" s="18"/>
      <c r="P16" s="18"/>
      <c r="Q16" s="165"/>
      <c r="R16" s="18"/>
      <c r="S16" s="18"/>
      <c r="T16" s="18"/>
      <c r="U16" s="18"/>
      <c r="V16" s="12"/>
      <c r="W16" s="18"/>
      <c r="X16" s="18"/>
      <c r="Y16" s="18"/>
      <c r="Z16" s="18"/>
      <c r="AA16" s="18"/>
      <c r="AB16" s="18"/>
    </row>
    <row r="17" spans="1:28" x14ac:dyDescent="0.2">
      <c r="A17" s="18"/>
      <c r="B17" s="18"/>
      <c r="C17" s="18"/>
      <c r="D17" s="18"/>
      <c r="E17" s="12"/>
      <c r="F17" s="18"/>
      <c r="G17" s="18"/>
      <c r="H17" s="12"/>
      <c r="I17" s="18"/>
      <c r="J17" s="12"/>
      <c r="K17" s="12"/>
      <c r="L17" s="18"/>
      <c r="M17" s="12"/>
      <c r="N17" s="18"/>
      <c r="O17" s="18"/>
      <c r="P17" s="18"/>
      <c r="Q17" s="165"/>
      <c r="R17" s="18"/>
      <c r="S17" s="18"/>
      <c r="T17" s="18"/>
      <c r="U17" s="18"/>
      <c r="V17" s="12"/>
      <c r="W17" s="18"/>
      <c r="X17" s="18"/>
      <c r="Y17" s="18"/>
      <c r="Z17" s="18"/>
      <c r="AA17" s="18"/>
      <c r="AB17" s="18"/>
    </row>
    <row r="18" spans="1:28" x14ac:dyDescent="0.2">
      <c r="A18" s="18"/>
      <c r="B18" s="18"/>
      <c r="C18" s="18"/>
      <c r="D18" s="18"/>
      <c r="E18" s="12"/>
      <c r="F18" s="18"/>
      <c r="G18" s="18"/>
      <c r="H18" s="12"/>
      <c r="I18" s="18"/>
      <c r="J18" s="12"/>
      <c r="K18" s="12"/>
      <c r="L18" s="18"/>
      <c r="M18" s="12"/>
      <c r="N18" s="18"/>
      <c r="O18" s="18"/>
      <c r="P18" s="18"/>
      <c r="Q18" s="165"/>
      <c r="R18" s="18"/>
      <c r="S18" s="18"/>
      <c r="T18" s="18"/>
      <c r="U18" s="18"/>
      <c r="V18" s="12"/>
      <c r="W18" s="18"/>
      <c r="X18" s="18"/>
      <c r="Y18" s="18"/>
      <c r="Z18" s="18"/>
      <c r="AA18" s="18"/>
      <c r="AB18" s="18"/>
    </row>
    <row r="19" spans="1:28" x14ac:dyDescent="0.2">
      <c r="A19" s="18"/>
      <c r="B19" s="18"/>
      <c r="C19" s="18"/>
      <c r="D19" s="18"/>
      <c r="E19" s="12"/>
      <c r="F19" s="18"/>
      <c r="G19" s="18"/>
      <c r="H19" s="12"/>
      <c r="I19" s="18"/>
      <c r="J19" s="12"/>
      <c r="K19" s="12"/>
      <c r="L19" s="18"/>
      <c r="M19" s="12"/>
      <c r="N19" s="18"/>
      <c r="O19" s="18"/>
      <c r="P19" s="18"/>
      <c r="Q19" s="165"/>
      <c r="R19" s="18"/>
      <c r="S19" s="18"/>
      <c r="T19" s="18"/>
      <c r="U19" s="18"/>
      <c r="V19" s="12"/>
      <c r="W19" s="18"/>
      <c r="X19" s="18"/>
      <c r="Y19" s="18"/>
      <c r="Z19" s="18"/>
      <c r="AA19" s="18"/>
      <c r="AB19" s="18"/>
    </row>
    <row r="20" spans="1:28" x14ac:dyDescent="0.2">
      <c r="E20" s="12"/>
      <c r="H20" s="12"/>
      <c r="I20" s="18"/>
      <c r="J20" s="12"/>
      <c r="K20" s="12"/>
      <c r="L20" s="18"/>
      <c r="M20" s="12"/>
      <c r="N20" s="18"/>
      <c r="O20" s="18"/>
      <c r="T20" s="18"/>
      <c r="U20" s="18"/>
    </row>
    <row r="21" spans="1:28" x14ac:dyDescent="0.2">
      <c r="H21" s="3"/>
      <c r="M21" s="3"/>
      <c r="N21" s="18"/>
    </row>
    <row r="22" spans="1:28" x14ac:dyDescent="0.2">
      <c r="M22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8A9282B6-8CDD-4EBD-913C-C63AD20B458B}">
      <formula1>israel_abroad</formula1>
    </dataValidation>
    <dataValidation type="list" allowBlank="1" showInputMessage="1" showErrorMessage="1" sqref="O2:O20" xr:uid="{7D385827-5590-4DAB-8C4A-6C1CA89BD470}">
      <formula1>Holding_interest</formula1>
    </dataValidation>
    <dataValidation type="list" allowBlank="1" showInputMessage="1" showErrorMessage="1" sqref="U2:U20" xr:uid="{E8DFE97A-63B1-47CA-8F2B-46B87103B95E}">
      <formula1>What_is_rated</formula1>
    </dataValidation>
    <dataValidation type="list" allowBlank="1" showInputMessage="1" showErrorMessage="1" sqref="T2:T20" xr:uid="{4AD85F39-41BD-4863-9233-5E3D60FC4032}">
      <formula1>Rating_Agency</formula1>
    </dataValidation>
    <dataValidation type="list" allowBlank="1" showInputMessage="1" showErrorMessage="1" sqref="K2:K20" xr:uid="{DEBE6F0B-EAD7-404C-8431-D1FBC1EB8DFD}">
      <formula1>Country_list</formula1>
    </dataValidation>
    <dataValidation type="list" allowBlank="1" showInputMessage="1" showErrorMessage="1" sqref="E2:E20" xr:uid="{6574CF1F-80B9-48DD-AE66-E137B340787F}">
      <formula1>Issuer_Type_TFunds</formula1>
    </dataValidation>
    <dataValidation type="list" allowBlank="1" showInputMessage="1" showErrorMessage="1" sqref="N2:N21" xr:uid="{47C88CD7-AC35-4B22-A155-43DCEBA7E560}">
      <formula1>Underlying_Asset_Structured</formula1>
    </dataValidation>
    <dataValidation type="list" allowBlank="1" showInputMessage="1" showErrorMessage="1" sqref="H2:H20" xr:uid="{E91399BD-D583-402C-ABF0-2863D6D261A5}">
      <formula1>Security_ID_Number_Type</formula1>
    </dataValidation>
    <dataValidation type="list" allowBlank="1" showInputMessage="1" showErrorMessage="1" sqref="L2:L20" xr:uid="{1D839387-BE81-40FE-99AB-52AC5B984A75}">
      <formula1>Tradeable_Status</formula1>
    </dataValidation>
    <dataValidation type="list" allowBlank="1" showInputMessage="1" showErrorMessage="1" sqref="M2:M20" xr:uid="{9E107EF4-2933-4B37-B097-4F65D7A736A6}">
      <formula1>Stock_Exchange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>
      <selection activeCell="A2" sqref="A2"/>
    </sheetView>
  </sheetViews>
  <sheetFormatPr defaultColWidth="0" defaultRowHeight="14.25" x14ac:dyDescent="0.2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  <col min="26" max="16384" width="9" hidden="1"/>
  </cols>
  <sheetData>
    <row r="1" spans="1:25" ht="51" x14ac:dyDescent="0.2">
      <c r="A1" s="13" t="s">
        <v>651</v>
      </c>
      <c r="B1" s="13" t="s">
        <v>0</v>
      </c>
      <c r="C1" s="13" t="s">
        <v>724</v>
      </c>
      <c r="D1" s="13" t="s">
        <v>1145</v>
      </c>
      <c r="E1" s="13" t="s">
        <v>29</v>
      </c>
      <c r="F1" s="13" t="s">
        <v>28</v>
      </c>
      <c r="G1" s="13" t="s">
        <v>1</v>
      </c>
      <c r="H1" s="13" t="s">
        <v>604</v>
      </c>
      <c r="I1" s="13" t="s">
        <v>605</v>
      </c>
      <c r="J1" s="13" t="s">
        <v>12</v>
      </c>
      <c r="K1" s="13" t="s">
        <v>6</v>
      </c>
      <c r="L1" s="13" t="s">
        <v>8</v>
      </c>
      <c r="M1" s="13" t="s">
        <v>396</v>
      </c>
      <c r="N1" s="13" t="s">
        <v>13</v>
      </c>
      <c r="O1" s="13" t="s">
        <v>421</v>
      </c>
      <c r="P1" s="13" t="s">
        <v>14</v>
      </c>
      <c r="Q1" s="13" t="s">
        <v>621</v>
      </c>
      <c r="R1" s="13" t="s">
        <v>773</v>
      </c>
      <c r="S1" s="13" t="s">
        <v>11</v>
      </c>
      <c r="T1" s="13" t="s">
        <v>15</v>
      </c>
      <c r="U1" s="13" t="s">
        <v>1153</v>
      </c>
      <c r="V1" s="13" t="s">
        <v>1154</v>
      </c>
      <c r="W1" s="13" t="s">
        <v>26</v>
      </c>
      <c r="X1" s="13" t="s">
        <v>19</v>
      </c>
      <c r="Y1" s="13" t="s">
        <v>30</v>
      </c>
    </row>
    <row r="2" spans="1:25" x14ac:dyDescent="0.2">
      <c r="A2" s="14"/>
      <c r="B2" s="14"/>
      <c r="C2" s="14"/>
      <c r="D2" s="14"/>
      <c r="E2" s="14"/>
      <c r="F2" s="14"/>
      <c r="G2" s="14"/>
      <c r="H2" s="12"/>
      <c r="I2" s="12"/>
      <c r="J2" s="14"/>
      <c r="K2" s="18"/>
      <c r="L2" s="14"/>
      <c r="M2" s="12"/>
      <c r="N2" s="14"/>
      <c r="O2" s="14"/>
      <c r="P2" s="14"/>
      <c r="Q2" s="14"/>
      <c r="R2" s="14"/>
      <c r="S2" s="14"/>
      <c r="T2" s="14"/>
      <c r="U2" s="14"/>
      <c r="V2" s="14"/>
      <c r="W2" s="12"/>
      <c r="X2" s="14"/>
      <c r="Y2" s="14"/>
    </row>
    <row r="3" spans="1:25" x14ac:dyDescent="0.2">
      <c r="A3" s="14"/>
      <c r="B3" s="14"/>
      <c r="C3" s="14"/>
      <c r="D3" s="14"/>
      <c r="E3" s="14"/>
      <c r="F3" s="14"/>
      <c r="G3" s="14"/>
      <c r="H3" s="12"/>
      <c r="I3" s="12"/>
      <c r="J3" s="14"/>
      <c r="K3" s="14"/>
      <c r="L3" s="14"/>
      <c r="M3" s="12"/>
      <c r="N3" s="14"/>
      <c r="O3" s="14"/>
      <c r="P3" s="14"/>
      <c r="Q3" s="14"/>
      <c r="R3" s="14"/>
      <c r="S3" s="14"/>
      <c r="T3" s="14"/>
      <c r="U3" s="14"/>
      <c r="V3" s="14"/>
      <c r="W3" s="12"/>
      <c r="X3" s="14"/>
      <c r="Y3" s="14"/>
    </row>
    <row r="4" spans="1:25" x14ac:dyDescent="0.2">
      <c r="A4" s="14"/>
      <c r="B4" s="14"/>
      <c r="C4" s="14"/>
      <c r="D4" s="14"/>
      <c r="E4" s="14"/>
      <c r="F4" s="14"/>
      <c r="G4" s="14"/>
      <c r="H4" s="12"/>
      <c r="I4" s="12"/>
      <c r="J4" s="14"/>
      <c r="K4" s="14"/>
      <c r="L4" s="14"/>
      <c r="M4" s="12"/>
      <c r="N4" s="14"/>
      <c r="O4" s="14"/>
      <c r="P4" s="14"/>
      <c r="Q4" s="14"/>
      <c r="R4" s="14"/>
      <c r="S4" s="14"/>
      <c r="T4" s="14"/>
      <c r="U4" s="14"/>
      <c r="V4" s="14"/>
      <c r="W4" s="12"/>
      <c r="X4" s="14"/>
      <c r="Y4" s="14"/>
    </row>
    <row r="5" spans="1:25" x14ac:dyDescent="0.2">
      <c r="A5" s="14"/>
      <c r="B5" s="14"/>
      <c r="C5" s="14"/>
      <c r="D5" s="14"/>
      <c r="E5" s="14"/>
      <c r="F5" s="14"/>
      <c r="G5" s="14"/>
      <c r="H5" s="12"/>
      <c r="I5" s="12"/>
      <c r="J5" s="14"/>
      <c r="K5" s="12"/>
      <c r="L5" s="14"/>
      <c r="N5" s="14"/>
      <c r="O5" s="14"/>
      <c r="P5" s="12"/>
      <c r="Q5" s="12"/>
      <c r="R5" s="14"/>
      <c r="T5" s="14"/>
      <c r="U5" s="14"/>
      <c r="V5" s="14"/>
      <c r="W5" s="14"/>
      <c r="X5" s="14"/>
      <c r="Y5" s="14"/>
    </row>
    <row r="6" spans="1:25" x14ac:dyDescent="0.2">
      <c r="A6" s="14"/>
      <c r="B6" s="14"/>
      <c r="C6" s="14"/>
      <c r="D6" s="14"/>
      <c r="E6" s="14"/>
      <c r="F6" s="14"/>
      <c r="G6" s="14"/>
      <c r="H6" s="12"/>
      <c r="I6" s="12"/>
      <c r="J6" s="14"/>
      <c r="K6" s="14"/>
      <c r="L6" s="14"/>
      <c r="M6" s="12"/>
      <c r="N6" s="14"/>
      <c r="O6" s="14"/>
      <c r="P6" s="14"/>
      <c r="Q6" s="14"/>
      <c r="R6" s="14"/>
      <c r="S6" s="14"/>
      <c r="T6" s="14"/>
      <c r="U6" s="14"/>
      <c r="V6" s="14"/>
      <c r="W6" s="12"/>
      <c r="X6" s="14"/>
      <c r="Y6" s="14"/>
    </row>
    <row r="7" spans="1:25" x14ac:dyDescent="0.2">
      <c r="A7" s="14"/>
      <c r="B7" s="14"/>
      <c r="C7" s="14"/>
      <c r="D7" s="14"/>
      <c r="E7" s="14"/>
      <c r="F7" s="14"/>
      <c r="G7" s="14"/>
      <c r="H7" s="12"/>
      <c r="I7" s="12"/>
      <c r="J7" s="14"/>
      <c r="K7" s="14"/>
      <c r="L7" s="14"/>
      <c r="M7" s="12"/>
      <c r="N7" s="14"/>
      <c r="O7" s="14"/>
      <c r="P7" s="14"/>
      <c r="Q7" s="14"/>
      <c r="R7" s="14"/>
      <c r="S7" s="14"/>
      <c r="T7" s="14"/>
      <c r="U7" s="14"/>
      <c r="V7" s="14"/>
      <c r="W7" s="12"/>
      <c r="X7" s="14"/>
      <c r="Y7" s="14"/>
    </row>
    <row r="8" spans="1:25" x14ac:dyDescent="0.2">
      <c r="A8" s="14"/>
      <c r="B8" s="14"/>
      <c r="C8" s="14"/>
      <c r="D8" s="14"/>
      <c r="E8" s="14"/>
      <c r="F8" s="14"/>
      <c r="G8" s="14"/>
      <c r="H8" s="12"/>
      <c r="I8" s="12"/>
      <c r="J8" s="14"/>
      <c r="K8" s="14"/>
      <c r="L8" s="14"/>
      <c r="M8" s="12"/>
      <c r="N8" s="14"/>
      <c r="O8" s="14"/>
      <c r="P8" s="14"/>
      <c r="Q8" s="14"/>
      <c r="R8" s="14"/>
      <c r="S8" s="14"/>
      <c r="T8" s="14"/>
      <c r="U8" s="14"/>
      <c r="V8" s="14"/>
      <c r="W8" s="12"/>
      <c r="X8" s="14"/>
      <c r="Y8" s="14"/>
    </row>
    <row r="9" spans="1:25" x14ac:dyDescent="0.2">
      <c r="A9" s="14"/>
      <c r="B9" s="14"/>
      <c r="C9" s="14"/>
      <c r="D9" s="14"/>
      <c r="E9" s="14"/>
      <c r="F9" s="14"/>
      <c r="G9" s="14"/>
      <c r="H9" s="12"/>
      <c r="I9" s="12"/>
      <c r="J9" s="14"/>
      <c r="K9" s="14"/>
      <c r="L9" s="14"/>
      <c r="M9" s="12"/>
      <c r="N9" s="14"/>
      <c r="O9" s="14"/>
      <c r="P9" s="14"/>
      <c r="Q9" s="14"/>
      <c r="R9" s="14"/>
      <c r="S9" s="14"/>
      <c r="T9" s="14"/>
      <c r="U9" s="14"/>
      <c r="V9" s="14"/>
      <c r="W9" s="12"/>
      <c r="X9" s="14"/>
      <c r="Y9" s="14"/>
    </row>
    <row r="10" spans="1:25" x14ac:dyDescent="0.2">
      <c r="A10" s="14"/>
      <c r="B10" s="14"/>
      <c r="C10" s="14"/>
      <c r="D10" s="14"/>
      <c r="E10" s="14"/>
      <c r="F10" s="14"/>
      <c r="G10" s="14"/>
      <c r="H10" s="12"/>
      <c r="I10" s="12"/>
      <c r="J10" s="14"/>
      <c r="K10" s="14"/>
      <c r="L10" s="14"/>
      <c r="M10" s="12"/>
      <c r="N10" s="14"/>
      <c r="O10" s="14"/>
      <c r="P10" s="14"/>
      <c r="Q10" s="14"/>
      <c r="R10" s="14"/>
      <c r="S10" s="14"/>
      <c r="T10" s="14"/>
      <c r="U10" s="14"/>
      <c r="V10" s="14"/>
      <c r="W10" s="12"/>
      <c r="X10" s="14"/>
      <c r="Y10" s="14"/>
    </row>
    <row r="11" spans="1:25" x14ac:dyDescent="0.2">
      <c r="A11" s="14"/>
      <c r="B11" s="14"/>
      <c r="C11" s="14"/>
      <c r="D11" s="14"/>
      <c r="E11" s="14"/>
      <c r="F11" s="14"/>
      <c r="G11" s="14"/>
      <c r="H11" s="12"/>
      <c r="I11" s="12"/>
      <c r="J11" s="14"/>
      <c r="K11" s="14"/>
      <c r="L11" s="14"/>
      <c r="M11" s="12"/>
      <c r="N11" s="14"/>
      <c r="O11" s="14"/>
      <c r="P11" s="14"/>
      <c r="Q11" s="14"/>
      <c r="R11" s="14"/>
      <c r="S11" s="14"/>
      <c r="T11" s="14"/>
      <c r="U11" s="14"/>
      <c r="V11" s="14"/>
      <c r="W11" s="12"/>
      <c r="X11" s="14"/>
      <c r="Y11" s="14"/>
    </row>
    <row r="12" spans="1:25" x14ac:dyDescent="0.2">
      <c r="A12" s="14"/>
      <c r="B12" s="14"/>
      <c r="C12" s="14"/>
      <c r="D12" s="14"/>
      <c r="E12" s="14"/>
      <c r="F12" s="14"/>
      <c r="G12" s="14"/>
      <c r="H12" s="12"/>
      <c r="I12" s="12"/>
      <c r="J12" s="14"/>
      <c r="K12" s="14"/>
      <c r="L12" s="14"/>
      <c r="M12" s="12"/>
      <c r="N12" s="14"/>
      <c r="O12" s="14"/>
      <c r="P12" s="14"/>
      <c r="Q12" s="14"/>
      <c r="R12" s="14"/>
      <c r="S12" s="14"/>
      <c r="T12" s="14"/>
      <c r="U12" s="14"/>
      <c r="V12" s="14"/>
      <c r="W12" s="12"/>
      <c r="X12" s="14"/>
      <c r="Y12" s="14"/>
    </row>
    <row r="13" spans="1:25" x14ac:dyDescent="0.2">
      <c r="A13" s="14"/>
      <c r="B13" s="14"/>
      <c r="C13" s="14"/>
      <c r="D13" s="14"/>
      <c r="E13" s="14"/>
      <c r="F13" s="14"/>
      <c r="G13" s="14"/>
      <c r="H13" s="12"/>
      <c r="I13" s="12"/>
      <c r="J13" s="14"/>
      <c r="K13" s="14"/>
      <c r="L13" s="14"/>
      <c r="M13" s="12"/>
      <c r="N13" s="14"/>
      <c r="O13" s="14"/>
      <c r="P13" s="14"/>
      <c r="Q13" s="14"/>
      <c r="R13" s="14"/>
      <c r="S13" s="14"/>
      <c r="T13" s="14"/>
      <c r="U13" s="14"/>
      <c r="V13" s="14"/>
      <c r="W13" s="12"/>
      <c r="X13" s="14"/>
      <c r="Y13" s="14"/>
    </row>
    <row r="14" spans="1:25" x14ac:dyDescent="0.2">
      <c r="A14" s="14"/>
      <c r="B14" s="14"/>
      <c r="C14" s="14"/>
      <c r="D14" s="14"/>
      <c r="E14" s="14"/>
      <c r="F14" s="14"/>
      <c r="G14" s="14"/>
      <c r="H14" s="12"/>
      <c r="I14" s="12"/>
      <c r="J14" s="14"/>
      <c r="K14" s="14"/>
      <c r="L14" s="14"/>
      <c r="M14" s="12"/>
      <c r="N14" s="14"/>
      <c r="O14" s="14"/>
      <c r="P14" s="14"/>
      <c r="Q14" s="14"/>
      <c r="R14" s="14"/>
      <c r="S14" s="14"/>
      <c r="T14" s="14"/>
      <c r="U14" s="14"/>
      <c r="V14" s="14"/>
      <c r="W14" s="12"/>
      <c r="X14" s="14"/>
      <c r="Y14" s="14"/>
    </row>
    <row r="15" spans="1:25" x14ac:dyDescent="0.2">
      <c r="A15" s="14"/>
      <c r="B15" s="14"/>
      <c r="C15" s="14"/>
      <c r="D15" s="14"/>
      <c r="E15" s="14"/>
      <c r="F15" s="14"/>
      <c r="G15" s="14"/>
      <c r="H15" s="12"/>
      <c r="I15" s="12"/>
      <c r="J15" s="14"/>
      <c r="K15" s="14"/>
      <c r="L15" s="14"/>
      <c r="M15" s="12"/>
      <c r="N15" s="14"/>
      <c r="O15" s="14"/>
      <c r="P15" s="14"/>
      <c r="Q15" s="14"/>
      <c r="R15" s="14"/>
      <c r="S15" s="14"/>
      <c r="T15" s="14"/>
      <c r="U15" s="14"/>
      <c r="V15" s="14"/>
      <c r="W15" s="12"/>
      <c r="X15" s="14"/>
      <c r="Y15" s="14"/>
    </row>
    <row r="16" spans="1:25" x14ac:dyDescent="0.2">
      <c r="A16" s="14"/>
      <c r="B16" s="14"/>
      <c r="C16" s="14"/>
      <c r="D16" s="14"/>
      <c r="E16" s="14"/>
      <c r="F16" s="14"/>
      <c r="G16" s="14"/>
      <c r="H16" s="12"/>
      <c r="I16" s="12"/>
      <c r="J16" s="14"/>
      <c r="K16" s="14"/>
      <c r="L16" s="14"/>
      <c r="M16" s="12"/>
      <c r="N16" s="14"/>
      <c r="O16" s="14"/>
      <c r="P16" s="14"/>
      <c r="Q16" s="14"/>
      <c r="R16" s="14"/>
      <c r="S16" s="14"/>
      <c r="T16" s="14"/>
      <c r="U16" s="14"/>
      <c r="V16" s="14"/>
      <c r="W16" s="12"/>
      <c r="X16" s="14"/>
      <c r="Y16" s="14"/>
    </row>
    <row r="17" spans="1:25" x14ac:dyDescent="0.2">
      <c r="A17" s="14"/>
      <c r="B17" s="14"/>
      <c r="C17" s="14"/>
      <c r="D17" s="14"/>
      <c r="E17" s="14"/>
      <c r="F17" s="14"/>
      <c r="G17" s="14"/>
      <c r="H17" s="12"/>
      <c r="I17" s="12"/>
      <c r="J17" s="14"/>
      <c r="K17" s="14"/>
      <c r="L17" s="14"/>
      <c r="M17" s="12"/>
      <c r="N17" s="14"/>
      <c r="O17" s="14"/>
      <c r="P17" s="14"/>
      <c r="Q17" s="14"/>
      <c r="R17" s="14"/>
      <c r="S17" s="14"/>
      <c r="T17" s="14"/>
      <c r="U17" s="14"/>
      <c r="V17" s="14"/>
      <c r="W17" s="12"/>
      <c r="X17" s="14"/>
      <c r="Y17" s="14"/>
    </row>
    <row r="18" spans="1:25" x14ac:dyDescent="0.2">
      <c r="A18" s="14"/>
      <c r="B18" s="14"/>
      <c r="C18" s="14"/>
      <c r="D18" s="14"/>
      <c r="E18" s="14"/>
      <c r="F18" s="14"/>
      <c r="G18" s="14"/>
      <c r="H18" s="12"/>
      <c r="I18" s="12"/>
      <c r="J18" s="14"/>
      <c r="K18" s="14"/>
      <c r="L18" s="14"/>
      <c r="M18" s="12"/>
      <c r="N18" s="14"/>
      <c r="O18" s="14"/>
      <c r="P18" s="14"/>
      <c r="Q18" s="14"/>
      <c r="R18" s="14"/>
      <c r="S18" s="14"/>
      <c r="T18" s="14"/>
      <c r="U18" s="14"/>
      <c r="V18" s="14"/>
      <c r="W18" s="12"/>
      <c r="X18" s="14"/>
      <c r="Y18" s="14"/>
    </row>
    <row r="19" spans="1:25" x14ac:dyDescent="0.2">
      <c r="A19" s="14"/>
      <c r="B19" s="14"/>
      <c r="C19" s="14"/>
      <c r="D19" s="14"/>
      <c r="E19" s="14"/>
      <c r="F19" s="14"/>
      <c r="G19" s="14"/>
      <c r="H19" s="12"/>
      <c r="I19" s="12"/>
      <c r="J19" s="14"/>
      <c r="K19" s="14"/>
      <c r="L19" s="14"/>
      <c r="M19" s="12"/>
      <c r="N19" s="14"/>
      <c r="O19" s="14"/>
      <c r="P19" s="14"/>
      <c r="Q19" s="14"/>
      <c r="R19" s="14"/>
      <c r="S19" s="14"/>
      <c r="T19" s="14"/>
      <c r="U19" s="14"/>
      <c r="V19" s="14"/>
      <c r="W19" s="12"/>
      <c r="X19" s="14"/>
      <c r="Y19" s="14"/>
    </row>
    <row r="20" spans="1:25" x14ac:dyDescent="0.2">
      <c r="F20" s="14"/>
      <c r="G20" s="14"/>
      <c r="H20" s="12"/>
      <c r="I20" s="12"/>
      <c r="L20" s="14"/>
      <c r="W20" s="12"/>
    </row>
    <row r="21" spans="1:25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  <dataValidation type="list" allowBlank="1" showInputMessage="1" showErrorMessage="1" sqref="J5" xr:uid="{00000000-0002-0000-0D00-000006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7"/>
  <sheetViews>
    <sheetView rightToLeft="1" workbookViewId="0">
      <selection activeCell="A2" sqref="A2"/>
    </sheetView>
  </sheetViews>
  <sheetFormatPr defaultColWidth="0" defaultRowHeight="14.25" x14ac:dyDescent="0.2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8" width="11.625" style="2" customWidth="1"/>
    <col min="19" max="16384" width="9" style="2" hidden="1"/>
  </cols>
  <sheetData>
    <row r="1" spans="1:18" ht="51" x14ac:dyDescent="0.2">
      <c r="A1" s="13" t="s">
        <v>651</v>
      </c>
      <c r="B1" s="13" t="s">
        <v>0</v>
      </c>
      <c r="C1" s="13" t="s">
        <v>1</v>
      </c>
      <c r="D1" s="13" t="s">
        <v>1145</v>
      </c>
      <c r="E1" s="13" t="s">
        <v>29</v>
      </c>
      <c r="F1" s="13" t="s">
        <v>12</v>
      </c>
      <c r="G1" s="13" t="s">
        <v>13</v>
      </c>
      <c r="H1" s="13" t="s">
        <v>282</v>
      </c>
      <c r="I1" s="13" t="s">
        <v>421</v>
      </c>
      <c r="J1" s="13" t="s">
        <v>14</v>
      </c>
      <c r="K1" s="13" t="s">
        <v>621</v>
      </c>
      <c r="L1" s="13" t="s">
        <v>773</v>
      </c>
      <c r="M1" s="13" t="s">
        <v>15</v>
      </c>
      <c r="N1" s="13" t="s">
        <v>1153</v>
      </c>
      <c r="O1" s="13" t="s">
        <v>1154</v>
      </c>
      <c r="P1" s="13" t="s">
        <v>26</v>
      </c>
      <c r="Q1" s="13" t="s">
        <v>19</v>
      </c>
      <c r="R1" s="13" t="s">
        <v>30</v>
      </c>
    </row>
    <row r="2" spans="1:18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2"/>
      <c r="Q2" s="14"/>
      <c r="R2" s="14"/>
    </row>
    <row r="3" spans="1:18" x14ac:dyDescent="0.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2"/>
      <c r="Q3" s="14"/>
      <c r="R3" s="14"/>
    </row>
    <row r="4" spans="1:18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2"/>
      <c r="Q4" s="14"/>
      <c r="R4" s="14"/>
    </row>
    <row r="5" spans="1:18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spans="1:18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2"/>
      <c r="Q6" s="14"/>
      <c r="R6" s="14"/>
    </row>
    <row r="7" spans="1:18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2"/>
      <c r="Q7" s="14"/>
      <c r="R7" s="14"/>
    </row>
    <row r="8" spans="1:18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2"/>
      <c r="Q8" s="14"/>
      <c r="R8" s="14"/>
    </row>
    <row r="9" spans="1:18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2"/>
      <c r="Q9" s="14"/>
      <c r="R9" s="14"/>
    </row>
    <row r="10" spans="1:18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2"/>
      <c r="Q10" s="14"/>
      <c r="R10" s="14"/>
    </row>
    <row r="11" spans="1:18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2"/>
      <c r="Q11" s="14"/>
      <c r="R11" s="14"/>
    </row>
    <row r="12" spans="1:18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2"/>
      <c r="Q12" s="14"/>
      <c r="R12" s="14"/>
    </row>
    <row r="13" spans="1:18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2"/>
      <c r="Q13" s="14"/>
      <c r="R13" s="14"/>
    </row>
    <row r="14" spans="1:18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2"/>
      <c r="Q14" s="14"/>
      <c r="R14" s="14"/>
    </row>
    <row r="15" spans="1:18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2"/>
      <c r="Q15" s="14"/>
      <c r="R15" s="14"/>
    </row>
    <row r="16" spans="1:18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2"/>
      <c r="Q16" s="14"/>
      <c r="R16" s="14"/>
    </row>
    <row r="17" spans="1:18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2"/>
      <c r="Q17" s="14"/>
      <c r="R17" s="14"/>
    </row>
    <row r="18" spans="1:18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2"/>
      <c r="Q18" s="14"/>
      <c r="R18" s="14"/>
    </row>
    <row r="19" spans="1:18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2"/>
      <c r="Q19" s="14"/>
      <c r="R19" s="14"/>
    </row>
    <row r="20" spans="1:18" x14ac:dyDescent="0.2">
      <c r="C20" s="14"/>
      <c r="H20" s="14"/>
      <c r="P20" s="12"/>
    </row>
    <row r="21" spans="1:18" x14ac:dyDescent="0.2">
      <c r="C21"/>
      <c r="H21" s="2"/>
    </row>
    <row r="22" spans="1:18" x14ac:dyDescent="0.2">
      <c r="C22"/>
      <c r="H22" s="2"/>
    </row>
    <row r="23" spans="1:18" x14ac:dyDescent="0.2">
      <c r="C23"/>
      <c r="H23" s="2"/>
    </row>
    <row r="24" spans="1:18" x14ac:dyDescent="0.2">
      <c r="C24"/>
      <c r="H24" s="2"/>
    </row>
    <row r="25" spans="1:18" x14ac:dyDescent="0.2">
      <c r="C25"/>
    </row>
    <row r="26" spans="1:18" x14ac:dyDescent="0.2">
      <c r="C26"/>
    </row>
    <row r="27" spans="1:18" x14ac:dyDescent="0.2">
      <c r="C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>
      <selection activeCell="A2" sqref="A2"/>
    </sheetView>
  </sheetViews>
  <sheetFormatPr defaultColWidth="0" defaultRowHeight="14.25" x14ac:dyDescent="0.2"/>
  <cols>
    <col min="1" max="3" width="11.625" style="2" customWidth="1"/>
    <col min="4" max="6" width="11.625" customWidth="1"/>
    <col min="7" max="7" width="11.625" style="2" customWidth="1"/>
    <col min="8" max="16384" width="9" style="2" hidden="1"/>
  </cols>
  <sheetData>
    <row r="1" spans="1:7" ht="38.25" x14ac:dyDescent="0.2">
      <c r="A1" s="13" t="s">
        <v>784</v>
      </c>
      <c r="B1" s="13" t="s">
        <v>0</v>
      </c>
      <c r="C1" s="13" t="s">
        <v>1</v>
      </c>
      <c r="D1" s="13" t="s">
        <v>758</v>
      </c>
      <c r="E1" s="13" t="s">
        <v>757</v>
      </c>
      <c r="F1" s="13" t="s">
        <v>1161</v>
      </c>
      <c r="G1" s="13" t="s">
        <v>30</v>
      </c>
    </row>
    <row r="2" spans="1:7" x14ac:dyDescent="0.2">
      <c r="A2" s="14"/>
      <c r="B2" s="14"/>
      <c r="C2" s="14"/>
      <c r="D2" s="113"/>
      <c r="G2" s="18"/>
    </row>
    <row r="3" spans="1:7" x14ac:dyDescent="0.2">
      <c r="A3" s="14"/>
      <c r="B3" s="14"/>
      <c r="C3" s="14"/>
      <c r="G3" s="14"/>
    </row>
    <row r="4" spans="1:7" x14ac:dyDescent="0.2">
      <c r="A4" s="14"/>
      <c r="B4" s="14"/>
      <c r="C4" s="14"/>
      <c r="G4" s="14"/>
    </row>
    <row r="5" spans="1:7" x14ac:dyDescent="0.2">
      <c r="A5" s="14"/>
      <c r="B5" s="14"/>
      <c r="C5" s="14"/>
      <c r="G5" s="14"/>
    </row>
    <row r="6" spans="1:7" x14ac:dyDescent="0.2">
      <c r="A6" s="14"/>
      <c r="B6" s="14"/>
      <c r="C6" s="14"/>
      <c r="G6" s="14"/>
    </row>
    <row r="7" spans="1:7" x14ac:dyDescent="0.2">
      <c r="A7" s="14"/>
      <c r="B7" s="14"/>
      <c r="C7" s="14"/>
      <c r="G7" s="14"/>
    </row>
    <row r="8" spans="1:7" x14ac:dyDescent="0.2">
      <c r="A8" s="14"/>
      <c r="B8" s="14"/>
      <c r="C8" s="14"/>
      <c r="G8" s="14"/>
    </row>
    <row r="9" spans="1:7" x14ac:dyDescent="0.2">
      <c r="A9" s="14"/>
      <c r="B9" s="14"/>
      <c r="C9" s="14"/>
      <c r="G9" s="14"/>
    </row>
    <row r="10" spans="1:7" x14ac:dyDescent="0.2">
      <c r="A10" s="14"/>
      <c r="B10" s="14"/>
      <c r="C10" s="14"/>
      <c r="G10" s="14"/>
    </row>
    <row r="11" spans="1:7" x14ac:dyDescent="0.2">
      <c r="A11" s="14"/>
      <c r="B11" s="14"/>
      <c r="C11" s="14"/>
      <c r="G11" s="14"/>
    </row>
    <row r="12" spans="1:7" x14ac:dyDescent="0.2">
      <c r="A12" s="14"/>
      <c r="B12" s="14"/>
      <c r="C12" s="14"/>
      <c r="G12" s="14"/>
    </row>
    <row r="13" spans="1:7" x14ac:dyDescent="0.2">
      <c r="A13" s="14"/>
      <c r="B13" s="14"/>
      <c r="C13" s="14"/>
      <c r="G13" s="14"/>
    </row>
    <row r="14" spans="1:7" x14ac:dyDescent="0.2">
      <c r="A14" s="14"/>
      <c r="B14" s="14"/>
      <c r="C14" s="14"/>
      <c r="G14" s="14"/>
    </row>
    <row r="15" spans="1:7" x14ac:dyDescent="0.2">
      <c r="A15" s="14"/>
      <c r="B15" s="14"/>
      <c r="C15" s="14"/>
      <c r="G15" s="14"/>
    </row>
    <row r="16" spans="1:7" x14ac:dyDescent="0.2">
      <c r="A16" s="14"/>
      <c r="B16" s="14"/>
      <c r="C16" s="14"/>
      <c r="G16" s="14"/>
    </row>
    <row r="17" spans="1:7" x14ac:dyDescent="0.2">
      <c r="A17" s="14"/>
      <c r="B17" s="14"/>
      <c r="C17" s="14"/>
      <c r="G17" s="14"/>
    </row>
    <row r="18" spans="1:7" x14ac:dyDescent="0.2">
      <c r="A18" s="14"/>
      <c r="B18" s="14"/>
      <c r="C18" s="14"/>
      <c r="G18" s="14"/>
    </row>
    <row r="19" spans="1:7" x14ac:dyDescent="0.2">
      <c r="A19" s="14"/>
      <c r="B19" s="14"/>
      <c r="C19" s="14"/>
      <c r="G19" s="14"/>
    </row>
    <row r="20" spans="1:7" x14ac:dyDescent="0.2">
      <c r="C20" s="14"/>
    </row>
    <row r="21" spans="1:7" x14ac:dyDescent="0.2">
      <c r="C21"/>
    </row>
    <row r="22" spans="1:7" x14ac:dyDescent="0.2">
      <c r="C22"/>
    </row>
    <row r="23" spans="1:7" x14ac:dyDescent="0.2">
      <c r="C23"/>
    </row>
    <row r="24" spans="1:7" x14ac:dyDescent="0.2">
      <c r="C24"/>
    </row>
    <row r="25" spans="1:7" x14ac:dyDescent="0.2">
      <c r="C25"/>
    </row>
    <row r="26" spans="1:7" x14ac:dyDescent="0.2">
      <c r="C26"/>
    </row>
    <row r="27" spans="1:7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H16" sqref="H16"/>
    </sheetView>
  </sheetViews>
  <sheetFormatPr defaultRowHeight="14.25" x14ac:dyDescent="0.2"/>
  <cols>
    <col min="1" max="4" width="11.625" customWidth="1"/>
    <col min="5" max="5" width="11.625" style="3" customWidth="1"/>
    <col min="6" max="11" width="11.625" customWidth="1"/>
    <col min="12" max="12" width="11.625" style="6" customWidth="1"/>
    <col min="13" max="24" width="11.625" customWidth="1"/>
    <col min="25" max="26" width="11.625" style="3" customWidth="1"/>
    <col min="27" max="40" width="11.625" customWidth="1"/>
  </cols>
  <sheetData>
    <row r="1" spans="1:40" ht="51" x14ac:dyDescent="0.2">
      <c r="A1" s="13" t="s">
        <v>651</v>
      </c>
      <c r="B1" s="13" t="s">
        <v>0</v>
      </c>
      <c r="C1" s="13" t="s">
        <v>724</v>
      </c>
      <c r="D1" s="13" t="s">
        <v>2</v>
      </c>
      <c r="E1" s="13" t="s">
        <v>740</v>
      </c>
      <c r="F1" s="13" t="s">
        <v>1145</v>
      </c>
      <c r="G1" s="13" t="s">
        <v>29</v>
      </c>
      <c r="H1" s="13" t="s">
        <v>28</v>
      </c>
      <c r="I1" s="13" t="s">
        <v>1</v>
      </c>
      <c r="J1" s="13" t="s">
        <v>604</v>
      </c>
      <c r="K1" s="13" t="s">
        <v>605</v>
      </c>
      <c r="L1" s="13" t="s">
        <v>9</v>
      </c>
      <c r="M1" s="13" t="s">
        <v>606</v>
      </c>
      <c r="N1" s="162" t="s">
        <v>12</v>
      </c>
      <c r="O1" s="13" t="s">
        <v>6</v>
      </c>
      <c r="P1" s="13" t="s">
        <v>8</v>
      </c>
      <c r="Q1" s="13" t="s">
        <v>1146</v>
      </c>
      <c r="R1" s="13" t="s">
        <v>396</v>
      </c>
      <c r="S1" s="13" t="s">
        <v>13</v>
      </c>
      <c r="T1" s="13" t="s">
        <v>282</v>
      </c>
      <c r="U1" s="13" t="s">
        <v>309</v>
      </c>
      <c r="V1" s="13" t="s">
        <v>421</v>
      </c>
      <c r="W1" s="126" t="s">
        <v>14</v>
      </c>
      <c r="X1" s="126" t="s">
        <v>621</v>
      </c>
      <c r="Y1" s="13" t="s">
        <v>925</v>
      </c>
      <c r="Z1" s="13" t="s">
        <v>669</v>
      </c>
      <c r="AA1" s="13" t="s">
        <v>917</v>
      </c>
      <c r="AB1" s="13" t="s">
        <v>372</v>
      </c>
      <c r="AC1" s="13" t="s">
        <v>731</v>
      </c>
      <c r="AD1" s="162" t="s">
        <v>16</v>
      </c>
      <c r="AE1" s="162" t="s">
        <v>1147</v>
      </c>
      <c r="AF1" s="13" t="s">
        <v>773</v>
      </c>
      <c r="AG1" s="124" t="s">
        <v>11</v>
      </c>
      <c r="AH1" s="136" t="s">
        <v>15</v>
      </c>
      <c r="AI1" s="13" t="s">
        <v>1153</v>
      </c>
      <c r="AJ1" s="13" t="s">
        <v>1154</v>
      </c>
      <c r="AK1" s="13" t="s">
        <v>788</v>
      </c>
      <c r="AL1" s="13" t="s">
        <v>26</v>
      </c>
      <c r="AM1" s="126" t="s">
        <v>19</v>
      </c>
      <c r="AN1" s="126" t="s">
        <v>30</v>
      </c>
    </row>
    <row r="2" spans="1:40" x14ac:dyDescent="0.2">
      <c r="A2" s="18">
        <v>13710</v>
      </c>
      <c r="B2" s="18">
        <v>13711</v>
      </c>
      <c r="C2" s="18" t="s">
        <v>1545</v>
      </c>
      <c r="D2" s="18" t="s">
        <v>1546</v>
      </c>
      <c r="E2" s="12" t="s">
        <v>1477</v>
      </c>
      <c r="F2" s="18" t="s">
        <v>3078</v>
      </c>
      <c r="G2" s="18" t="s">
        <v>3079</v>
      </c>
      <c r="H2" s="12" t="s">
        <v>76</v>
      </c>
      <c r="I2" s="18" t="s">
        <v>230</v>
      </c>
      <c r="J2" s="12" t="s">
        <v>53</v>
      </c>
      <c r="K2" s="12" t="s">
        <v>53</v>
      </c>
      <c r="L2" s="18" t="s">
        <v>638</v>
      </c>
      <c r="M2" s="18" t="s">
        <v>62</v>
      </c>
      <c r="N2" s="163" t="s">
        <v>3080</v>
      </c>
      <c r="O2" s="18" t="s">
        <v>1577</v>
      </c>
      <c r="P2" s="18" t="s">
        <v>65</v>
      </c>
      <c r="Q2" s="18" t="s">
        <v>57</v>
      </c>
      <c r="R2" s="12" t="s">
        <v>1217</v>
      </c>
      <c r="S2" s="151">
        <v>0.3</v>
      </c>
      <c r="T2" s="18" t="s">
        <v>231</v>
      </c>
      <c r="U2" s="18" t="s">
        <v>325</v>
      </c>
      <c r="V2" s="18" t="s">
        <v>3081</v>
      </c>
      <c r="W2" s="155">
        <v>6.4225000000000004E-2</v>
      </c>
      <c r="X2" s="155">
        <v>4.8399999999999999E-2</v>
      </c>
      <c r="Y2" s="12" t="s">
        <v>620</v>
      </c>
      <c r="Z2" s="18" t="s">
        <v>62</v>
      </c>
      <c r="AA2" s="18" t="s">
        <v>775</v>
      </c>
      <c r="AB2" s="18" t="s">
        <v>3082</v>
      </c>
      <c r="AC2" s="18" t="s">
        <v>3083</v>
      </c>
      <c r="AD2" s="163" t="s">
        <v>2313</v>
      </c>
      <c r="AE2" s="18"/>
      <c r="AF2" s="151">
        <v>60000</v>
      </c>
      <c r="AG2" s="156">
        <v>3.3719999999999999</v>
      </c>
      <c r="AH2" s="150">
        <v>100.64</v>
      </c>
      <c r="AI2" s="151">
        <v>203.61500000000001</v>
      </c>
      <c r="AK2" s="18"/>
      <c r="AL2" s="18" t="s">
        <v>17</v>
      </c>
      <c r="AM2" s="141">
        <v>0.66543242528431601</v>
      </c>
      <c r="AN2" s="141">
        <v>2.98506590146627E-3</v>
      </c>
    </row>
    <row r="3" spans="1:40" x14ac:dyDescent="0.2">
      <c r="A3" s="18">
        <v>13710</v>
      </c>
      <c r="B3" s="18">
        <v>13711</v>
      </c>
      <c r="C3" s="18" t="s">
        <v>3084</v>
      </c>
      <c r="D3" s="18" t="s">
        <v>3085</v>
      </c>
      <c r="E3" s="12" t="s">
        <v>1477</v>
      </c>
      <c r="F3" s="18" t="s">
        <v>3086</v>
      </c>
      <c r="G3" s="18" t="s">
        <v>3087</v>
      </c>
      <c r="H3" s="12" t="s">
        <v>76</v>
      </c>
      <c r="I3" s="18" t="s">
        <v>230</v>
      </c>
      <c r="J3" s="12" t="s">
        <v>53</v>
      </c>
      <c r="K3" s="12" t="s">
        <v>53</v>
      </c>
      <c r="L3" s="18" t="s">
        <v>638</v>
      </c>
      <c r="M3" s="18" t="s">
        <v>62</v>
      </c>
      <c r="N3" s="163" t="s">
        <v>3088</v>
      </c>
      <c r="O3" s="18" t="s">
        <v>3089</v>
      </c>
      <c r="P3" s="18" t="s">
        <v>70</v>
      </c>
      <c r="Q3" s="18" t="s">
        <v>57</v>
      </c>
      <c r="R3" s="12" t="s">
        <v>1217</v>
      </c>
      <c r="S3" s="151">
        <v>0.08</v>
      </c>
      <c r="T3" s="18" t="s">
        <v>283</v>
      </c>
      <c r="U3" s="18" t="s">
        <v>325</v>
      </c>
      <c r="V3" s="18" t="s">
        <v>3090</v>
      </c>
      <c r="W3" s="155">
        <v>5.0405999999999999E-2</v>
      </c>
      <c r="X3" s="155">
        <v>4.6100000000000002E-2</v>
      </c>
      <c r="Y3" s="12" t="s">
        <v>620</v>
      </c>
      <c r="Z3" s="12" t="s">
        <v>62</v>
      </c>
      <c r="AA3" s="18" t="s">
        <v>775</v>
      </c>
      <c r="AB3" s="18" t="s">
        <v>3082</v>
      </c>
      <c r="AC3" t="s">
        <v>3083</v>
      </c>
      <c r="AD3" s="166" t="s">
        <v>2313</v>
      </c>
      <c r="AF3" s="151">
        <v>30000</v>
      </c>
      <c r="AG3" s="156">
        <v>3.3719999999999999</v>
      </c>
      <c r="AH3" s="150">
        <v>101.2</v>
      </c>
      <c r="AI3" s="151">
        <v>102.374</v>
      </c>
      <c r="AK3" s="18"/>
      <c r="AL3" s="18" t="s">
        <v>17</v>
      </c>
      <c r="AM3" s="141">
        <v>0.33456757471568399</v>
      </c>
      <c r="AN3" s="141">
        <v>1.50083798305041E-3</v>
      </c>
    </row>
    <row r="4" spans="1:40" x14ac:dyDescent="0.2">
      <c r="A4" s="18">
        <v>559</v>
      </c>
      <c r="B4" s="18">
        <v>556</v>
      </c>
      <c r="C4" s="18" t="s">
        <v>1545</v>
      </c>
      <c r="D4" s="18" t="s">
        <v>1546</v>
      </c>
      <c r="E4" s="12" t="s">
        <v>1477</v>
      </c>
      <c r="F4" s="18" t="s">
        <v>3078</v>
      </c>
      <c r="G4" s="18" t="s">
        <v>3079</v>
      </c>
      <c r="H4" s="12" t="s">
        <v>76</v>
      </c>
      <c r="I4" s="18" t="s">
        <v>230</v>
      </c>
      <c r="J4" s="12" t="s">
        <v>53</v>
      </c>
      <c r="K4" s="12" t="s">
        <v>53</v>
      </c>
      <c r="L4" s="18" t="s">
        <v>638</v>
      </c>
      <c r="M4" s="18" t="s">
        <v>62</v>
      </c>
      <c r="N4" s="163" t="s">
        <v>3080</v>
      </c>
      <c r="O4" s="18" t="s">
        <v>1577</v>
      </c>
      <c r="P4" s="18" t="s">
        <v>65</v>
      </c>
      <c r="Q4" s="18" t="s">
        <v>57</v>
      </c>
      <c r="R4" s="12" t="s">
        <v>1217</v>
      </c>
      <c r="S4" s="151">
        <v>0.3</v>
      </c>
      <c r="T4" s="18" t="s">
        <v>231</v>
      </c>
      <c r="U4" s="18" t="s">
        <v>325</v>
      </c>
      <c r="V4" s="18" t="s">
        <v>3081</v>
      </c>
      <c r="W4" s="155">
        <v>6.4225000000000004E-2</v>
      </c>
      <c r="X4" s="155">
        <v>4.8399999999999999E-2</v>
      </c>
      <c r="Y4" s="12" t="s">
        <v>620</v>
      </c>
      <c r="Z4" s="12" t="s">
        <v>62</v>
      </c>
      <c r="AA4" s="18" t="s">
        <v>775</v>
      </c>
      <c r="AB4" s="18" t="s">
        <v>3082</v>
      </c>
      <c r="AC4" t="s">
        <v>3083</v>
      </c>
      <c r="AD4" s="163" t="s">
        <v>2313</v>
      </c>
      <c r="AE4" s="18"/>
      <c r="AF4" s="151">
        <v>280000</v>
      </c>
      <c r="AG4" s="156">
        <v>3.3719999999999999</v>
      </c>
      <c r="AH4" s="150">
        <v>100.64</v>
      </c>
      <c r="AI4" s="151">
        <v>950.20299999999997</v>
      </c>
      <c r="AK4" s="18"/>
      <c r="AL4" s="18" t="s">
        <v>17</v>
      </c>
      <c r="AM4" s="141">
        <v>0.66543242528431601</v>
      </c>
      <c r="AN4" s="141">
        <v>2.8492973254375699E-3</v>
      </c>
    </row>
    <row r="5" spans="1:40" x14ac:dyDescent="0.2">
      <c r="A5" s="18">
        <v>559</v>
      </c>
      <c r="B5" s="18">
        <v>556</v>
      </c>
      <c r="C5" s="18" t="s">
        <v>3084</v>
      </c>
      <c r="D5" s="18" t="s">
        <v>3085</v>
      </c>
      <c r="E5" s="12" t="s">
        <v>1477</v>
      </c>
      <c r="F5" s="18" t="s">
        <v>3086</v>
      </c>
      <c r="G5" s="18" t="s">
        <v>3087</v>
      </c>
      <c r="H5" s="12" t="s">
        <v>76</v>
      </c>
      <c r="I5" s="18" t="s">
        <v>230</v>
      </c>
      <c r="J5" s="12" t="s">
        <v>53</v>
      </c>
      <c r="K5" s="12" t="s">
        <v>53</v>
      </c>
      <c r="L5" s="18" t="s">
        <v>638</v>
      </c>
      <c r="M5" s="18" t="s">
        <v>62</v>
      </c>
      <c r="N5" s="163" t="s">
        <v>3088</v>
      </c>
      <c r="O5" s="18" t="s">
        <v>3089</v>
      </c>
      <c r="P5" s="18" t="s">
        <v>70</v>
      </c>
      <c r="Q5" s="18" t="s">
        <v>57</v>
      </c>
      <c r="R5" s="12" t="s">
        <v>1217</v>
      </c>
      <c r="S5" s="151">
        <v>0.08</v>
      </c>
      <c r="T5" s="18" t="s">
        <v>283</v>
      </c>
      <c r="U5" s="18" t="s">
        <v>325</v>
      </c>
      <c r="V5" s="18" t="s">
        <v>3090</v>
      </c>
      <c r="W5" s="155">
        <v>5.0405999999999999E-2</v>
      </c>
      <c r="X5" s="155">
        <v>4.6100000000000002E-2</v>
      </c>
      <c r="Y5" s="12" t="s">
        <v>620</v>
      </c>
      <c r="Z5" s="12" t="s">
        <v>62</v>
      </c>
      <c r="AA5" s="18" t="s">
        <v>775</v>
      </c>
      <c r="AB5" s="18" t="s">
        <v>3082</v>
      </c>
      <c r="AC5" t="s">
        <v>3083</v>
      </c>
      <c r="AD5" s="163" t="s">
        <v>2313</v>
      </c>
      <c r="AE5" s="18"/>
      <c r="AF5" s="151">
        <v>140000</v>
      </c>
      <c r="AG5" s="156">
        <v>3.3719999999999999</v>
      </c>
      <c r="AH5" s="150">
        <v>101.2</v>
      </c>
      <c r="AI5" s="151">
        <v>477.745</v>
      </c>
      <c r="AK5" s="18"/>
      <c r="AL5" s="18" t="s">
        <v>17</v>
      </c>
      <c r="AM5" s="141">
        <v>0.33456757471568399</v>
      </c>
      <c r="AN5" s="141">
        <v>1.43257596052406E-3</v>
      </c>
    </row>
    <row r="6" spans="1:40" x14ac:dyDescent="0.2">
      <c r="A6" s="18">
        <v>559</v>
      </c>
      <c r="B6" s="18">
        <v>7205</v>
      </c>
      <c r="C6" s="18" t="s">
        <v>1545</v>
      </c>
      <c r="D6" s="18" t="s">
        <v>1546</v>
      </c>
      <c r="E6" s="12" t="s">
        <v>1477</v>
      </c>
      <c r="F6" s="18" t="s">
        <v>3078</v>
      </c>
      <c r="G6" s="18" t="s">
        <v>3079</v>
      </c>
      <c r="H6" s="12" t="s">
        <v>76</v>
      </c>
      <c r="I6" s="18" t="s">
        <v>230</v>
      </c>
      <c r="J6" s="12" t="s">
        <v>53</v>
      </c>
      <c r="K6" s="12" t="s">
        <v>53</v>
      </c>
      <c r="L6" s="18" t="s">
        <v>638</v>
      </c>
      <c r="M6" s="18" t="s">
        <v>62</v>
      </c>
      <c r="N6" s="163" t="s">
        <v>3080</v>
      </c>
      <c r="O6" s="18" t="s">
        <v>1577</v>
      </c>
      <c r="P6" s="18" t="s">
        <v>65</v>
      </c>
      <c r="Q6" s="18" t="s">
        <v>57</v>
      </c>
      <c r="R6" s="12" t="s">
        <v>1217</v>
      </c>
      <c r="S6" s="151">
        <v>0.3</v>
      </c>
      <c r="T6" s="18" t="s">
        <v>231</v>
      </c>
      <c r="U6" s="18" t="s">
        <v>325</v>
      </c>
      <c r="V6" s="18" t="s">
        <v>3081</v>
      </c>
      <c r="W6" s="155">
        <v>6.4225000000000004E-2</v>
      </c>
      <c r="X6" s="155">
        <v>4.8399999999999999E-2</v>
      </c>
      <c r="Y6" s="12" t="s">
        <v>620</v>
      </c>
      <c r="Z6" s="12" t="s">
        <v>62</v>
      </c>
      <c r="AA6" s="18" t="s">
        <v>775</v>
      </c>
      <c r="AB6" s="18" t="s">
        <v>3082</v>
      </c>
      <c r="AC6" t="s">
        <v>3083</v>
      </c>
      <c r="AD6" s="163" t="s">
        <v>2313</v>
      </c>
      <c r="AE6" s="18"/>
      <c r="AF6" s="151">
        <v>1460000</v>
      </c>
      <c r="AG6" s="156">
        <v>3.3719999999999999</v>
      </c>
      <c r="AH6" s="150">
        <v>100.64</v>
      </c>
      <c r="AI6" s="151">
        <v>4954.6279999999997</v>
      </c>
      <c r="AK6" s="18"/>
      <c r="AL6" s="18" t="s">
        <v>17</v>
      </c>
      <c r="AM6" s="141">
        <v>0.66696080514052403</v>
      </c>
      <c r="AN6" s="141">
        <v>2.5846267462861401E-3</v>
      </c>
    </row>
    <row r="7" spans="1:40" x14ac:dyDescent="0.2">
      <c r="A7" s="18">
        <v>559</v>
      </c>
      <c r="B7" s="18">
        <v>7205</v>
      </c>
      <c r="C7" s="18" t="s">
        <v>3084</v>
      </c>
      <c r="D7" s="18" t="s">
        <v>3085</v>
      </c>
      <c r="E7" s="12" t="s">
        <v>1477</v>
      </c>
      <c r="F7" s="18" t="s">
        <v>3086</v>
      </c>
      <c r="G7" s="18" t="s">
        <v>3087</v>
      </c>
      <c r="H7" s="12" t="s">
        <v>76</v>
      </c>
      <c r="I7" s="18" t="s">
        <v>230</v>
      </c>
      <c r="J7" s="12" t="s">
        <v>53</v>
      </c>
      <c r="K7" s="12" t="s">
        <v>53</v>
      </c>
      <c r="L7" s="18" t="s">
        <v>638</v>
      </c>
      <c r="M7" s="18" t="s">
        <v>62</v>
      </c>
      <c r="N7" s="163" t="s">
        <v>3088</v>
      </c>
      <c r="O7" s="18" t="s">
        <v>3089</v>
      </c>
      <c r="P7" s="18" t="s">
        <v>70</v>
      </c>
      <c r="Q7" s="18" t="s">
        <v>57</v>
      </c>
      <c r="R7" s="12" t="s">
        <v>1217</v>
      </c>
      <c r="S7" s="151">
        <v>0.08</v>
      </c>
      <c r="T7" s="18" t="s">
        <v>283</v>
      </c>
      <c r="U7" s="18" t="s">
        <v>325</v>
      </c>
      <c r="V7" s="18" t="s">
        <v>3090</v>
      </c>
      <c r="W7" s="155">
        <v>5.0405999999999999E-2</v>
      </c>
      <c r="X7" s="155">
        <v>4.6100000000000002E-2</v>
      </c>
      <c r="Y7" s="12" t="s">
        <v>620</v>
      </c>
      <c r="Z7" s="12" t="s">
        <v>62</v>
      </c>
      <c r="AA7" s="18" t="s">
        <v>775</v>
      </c>
      <c r="AB7" s="18" t="s">
        <v>3082</v>
      </c>
      <c r="AC7" t="s">
        <v>3083</v>
      </c>
      <c r="AD7" s="163" t="s">
        <v>2313</v>
      </c>
      <c r="AE7" s="18"/>
      <c r="AF7" s="151">
        <v>725000</v>
      </c>
      <c r="AG7" s="156">
        <v>3.3719999999999999</v>
      </c>
      <c r="AH7" s="150">
        <v>101.2</v>
      </c>
      <c r="AI7" s="151">
        <v>2474.0360000000001</v>
      </c>
      <c r="AK7" s="18"/>
      <c r="AL7" s="18" t="s">
        <v>17</v>
      </c>
      <c r="AM7" s="141">
        <v>0.33303919485947597</v>
      </c>
      <c r="AN7" s="141">
        <v>1.29060359163691E-3</v>
      </c>
    </row>
    <row r="8" spans="1:40" x14ac:dyDescent="0.2">
      <c r="A8" s="18">
        <v>559</v>
      </c>
      <c r="B8" s="18">
        <v>7206</v>
      </c>
      <c r="C8" s="18" t="s">
        <v>1545</v>
      </c>
      <c r="D8" s="18" t="s">
        <v>1546</v>
      </c>
      <c r="E8" s="12" t="s">
        <v>1477</v>
      </c>
      <c r="F8" s="18" t="s">
        <v>3078</v>
      </c>
      <c r="G8" s="18" t="s">
        <v>3079</v>
      </c>
      <c r="H8" s="12" t="s">
        <v>76</v>
      </c>
      <c r="I8" s="18" t="s">
        <v>230</v>
      </c>
      <c r="J8" s="12" t="s">
        <v>53</v>
      </c>
      <c r="K8" s="12" t="s">
        <v>53</v>
      </c>
      <c r="L8" s="18" t="s">
        <v>638</v>
      </c>
      <c r="M8" s="18" t="s">
        <v>62</v>
      </c>
      <c r="N8" s="163" t="s">
        <v>3080</v>
      </c>
      <c r="O8" s="18" t="s">
        <v>1577</v>
      </c>
      <c r="P8" s="18" t="s">
        <v>65</v>
      </c>
      <c r="Q8" s="18" t="s">
        <v>57</v>
      </c>
      <c r="R8" s="12" t="s">
        <v>1217</v>
      </c>
      <c r="S8" s="151">
        <v>0.3</v>
      </c>
      <c r="T8" s="18" t="s">
        <v>231</v>
      </c>
      <c r="U8" s="18" t="s">
        <v>325</v>
      </c>
      <c r="V8" s="18" t="s">
        <v>3081</v>
      </c>
      <c r="W8" s="155">
        <v>6.4225000000000004E-2</v>
      </c>
      <c r="X8" s="155">
        <v>4.8399999999999999E-2</v>
      </c>
      <c r="Y8" s="12" t="s">
        <v>620</v>
      </c>
      <c r="Z8" s="12" t="s">
        <v>62</v>
      </c>
      <c r="AA8" s="18" t="s">
        <v>775</v>
      </c>
      <c r="AB8" s="18" t="s">
        <v>3082</v>
      </c>
      <c r="AC8" t="s">
        <v>3083</v>
      </c>
      <c r="AD8" s="163" t="s">
        <v>2313</v>
      </c>
      <c r="AE8" s="18"/>
      <c r="AF8" s="151">
        <v>80000</v>
      </c>
      <c r="AG8" s="156">
        <v>3.3719999999999999</v>
      </c>
      <c r="AH8" s="150">
        <v>100.64</v>
      </c>
      <c r="AI8" s="151">
        <v>271.48599999999999</v>
      </c>
      <c r="AK8" s="18"/>
      <c r="AL8" s="18" t="s">
        <v>17</v>
      </c>
      <c r="AM8" s="141">
        <v>0.63872052803604795</v>
      </c>
      <c r="AN8" s="141">
        <v>3.1100192434816301E-3</v>
      </c>
    </row>
    <row r="9" spans="1:40" x14ac:dyDescent="0.2">
      <c r="A9" s="18">
        <v>559</v>
      </c>
      <c r="B9" s="18">
        <v>7206</v>
      </c>
      <c r="C9" s="18" t="s">
        <v>3084</v>
      </c>
      <c r="D9" s="18" t="s">
        <v>3085</v>
      </c>
      <c r="E9" s="12" t="s">
        <v>1477</v>
      </c>
      <c r="F9" s="18" t="s">
        <v>3086</v>
      </c>
      <c r="G9" s="18" t="s">
        <v>3087</v>
      </c>
      <c r="H9" s="12" t="s">
        <v>76</v>
      </c>
      <c r="I9" s="18" t="s">
        <v>230</v>
      </c>
      <c r="J9" s="12" t="s">
        <v>53</v>
      </c>
      <c r="K9" s="12" t="s">
        <v>53</v>
      </c>
      <c r="L9" s="18" t="s">
        <v>638</v>
      </c>
      <c r="M9" s="18" t="s">
        <v>62</v>
      </c>
      <c r="N9" s="163" t="s">
        <v>3088</v>
      </c>
      <c r="O9" s="18" t="s">
        <v>3089</v>
      </c>
      <c r="P9" s="18" t="s">
        <v>70</v>
      </c>
      <c r="Q9" s="18" t="s">
        <v>57</v>
      </c>
      <c r="R9" s="12" t="s">
        <v>1217</v>
      </c>
      <c r="S9" s="151">
        <v>0.08</v>
      </c>
      <c r="T9" s="18" t="s">
        <v>283</v>
      </c>
      <c r="U9" s="18" t="s">
        <v>325</v>
      </c>
      <c r="V9" s="18" t="s">
        <v>3090</v>
      </c>
      <c r="W9" s="155">
        <v>5.0405999999999999E-2</v>
      </c>
      <c r="X9" s="155">
        <v>4.6100000000000002E-2</v>
      </c>
      <c r="Y9" s="12" t="s">
        <v>620</v>
      </c>
      <c r="Z9" s="12" t="s">
        <v>62</v>
      </c>
      <c r="AA9" s="18" t="s">
        <v>775</v>
      </c>
      <c r="AB9" s="18" t="s">
        <v>3082</v>
      </c>
      <c r="AC9" t="s">
        <v>3083</v>
      </c>
      <c r="AD9" s="163" t="s">
        <v>2313</v>
      </c>
      <c r="AE9" s="18"/>
      <c r="AF9" s="151">
        <v>45000</v>
      </c>
      <c r="AG9" s="156">
        <v>3.3719999999999999</v>
      </c>
      <c r="AH9" s="150">
        <v>101.2</v>
      </c>
      <c r="AI9" s="167">
        <v>153.56100000000001</v>
      </c>
      <c r="AL9" s="18" t="s">
        <v>17</v>
      </c>
      <c r="AM9" s="141">
        <v>0.36127947196395099</v>
      </c>
      <c r="AN9" s="141">
        <v>1.7591200858027799E-3</v>
      </c>
    </row>
    <row r="10" spans="1:40" x14ac:dyDescent="0.2">
      <c r="A10" s="18">
        <v>559</v>
      </c>
      <c r="B10" s="18">
        <v>7207</v>
      </c>
      <c r="C10" s="18" t="s">
        <v>1545</v>
      </c>
      <c r="D10" s="18" t="s">
        <v>1546</v>
      </c>
      <c r="E10" s="12" t="s">
        <v>1477</v>
      </c>
      <c r="F10" s="18" t="s">
        <v>3078</v>
      </c>
      <c r="G10" s="18" t="s">
        <v>3079</v>
      </c>
      <c r="H10" s="12" t="s">
        <v>76</v>
      </c>
      <c r="I10" s="18" t="s">
        <v>230</v>
      </c>
      <c r="J10" s="12" t="s">
        <v>53</v>
      </c>
      <c r="K10" s="12" t="s">
        <v>53</v>
      </c>
      <c r="L10" s="18" t="s">
        <v>638</v>
      </c>
      <c r="M10" s="18" t="s">
        <v>62</v>
      </c>
      <c r="N10" s="163" t="s">
        <v>3080</v>
      </c>
      <c r="O10" s="18" t="s">
        <v>1577</v>
      </c>
      <c r="P10" s="18" t="s">
        <v>65</v>
      </c>
      <c r="Q10" s="18" t="s">
        <v>57</v>
      </c>
      <c r="R10" s="12" t="s">
        <v>1217</v>
      </c>
      <c r="S10" s="151">
        <v>0.3</v>
      </c>
      <c r="T10" s="18" t="s">
        <v>231</v>
      </c>
      <c r="U10" s="18" t="s">
        <v>325</v>
      </c>
      <c r="V10" s="18" t="s">
        <v>3081</v>
      </c>
      <c r="W10" s="155">
        <v>6.4225000000000004E-2</v>
      </c>
      <c r="X10" s="155">
        <v>4.8399999999999999E-2</v>
      </c>
      <c r="Y10" s="12" t="s">
        <v>620</v>
      </c>
      <c r="Z10" s="12" t="s">
        <v>62</v>
      </c>
      <c r="AA10" s="18" t="s">
        <v>775</v>
      </c>
      <c r="AB10" s="18" t="s">
        <v>3082</v>
      </c>
      <c r="AC10" t="s">
        <v>3083</v>
      </c>
      <c r="AD10" s="163" t="s">
        <v>2313</v>
      </c>
      <c r="AE10" s="18"/>
      <c r="AF10" s="151">
        <v>120000</v>
      </c>
      <c r="AG10" s="156">
        <v>3.3719999999999999</v>
      </c>
      <c r="AH10" s="150">
        <v>100.64</v>
      </c>
      <c r="AI10" s="167">
        <v>407.23</v>
      </c>
      <c r="AL10" s="18" t="s">
        <v>17</v>
      </c>
      <c r="AM10" s="141">
        <v>0.66543242528431601</v>
      </c>
      <c r="AN10" s="141">
        <v>3.3506336719266801E-3</v>
      </c>
    </row>
    <row r="11" spans="1:40" x14ac:dyDescent="0.2">
      <c r="A11" s="18">
        <v>559</v>
      </c>
      <c r="B11" s="18">
        <v>7207</v>
      </c>
      <c r="C11" s="18" t="s">
        <v>3084</v>
      </c>
      <c r="D11" s="18" t="s">
        <v>3085</v>
      </c>
      <c r="E11" s="12" t="s">
        <v>1477</v>
      </c>
      <c r="F11" s="18" t="s">
        <v>3086</v>
      </c>
      <c r="G11" s="18" t="s">
        <v>3087</v>
      </c>
      <c r="H11" s="12" t="s">
        <v>76</v>
      </c>
      <c r="I11" s="18" t="s">
        <v>230</v>
      </c>
      <c r="J11" s="12" t="s">
        <v>53</v>
      </c>
      <c r="K11" s="12" t="s">
        <v>53</v>
      </c>
      <c r="L11" s="18" t="s">
        <v>638</v>
      </c>
      <c r="M11" s="18" t="s">
        <v>62</v>
      </c>
      <c r="N11" s="163" t="s">
        <v>3088</v>
      </c>
      <c r="O11" s="18" t="s">
        <v>3089</v>
      </c>
      <c r="P11" s="18" t="s">
        <v>70</v>
      </c>
      <c r="Q11" s="18" t="s">
        <v>57</v>
      </c>
      <c r="R11" s="12" t="s">
        <v>1217</v>
      </c>
      <c r="S11" s="151">
        <v>0.08</v>
      </c>
      <c r="T11" s="18" t="s">
        <v>283</v>
      </c>
      <c r="U11" s="18" t="s">
        <v>325</v>
      </c>
      <c r="V11" s="18" t="s">
        <v>3090</v>
      </c>
      <c r="W11" s="155">
        <v>5.0405999999999999E-2</v>
      </c>
      <c r="X11" s="155">
        <v>4.6100000000000002E-2</v>
      </c>
      <c r="Y11" s="12" t="s">
        <v>620</v>
      </c>
      <c r="Z11" s="12" t="s">
        <v>62</v>
      </c>
      <c r="AA11" s="18" t="s">
        <v>775</v>
      </c>
      <c r="AB11" s="18" t="s">
        <v>3082</v>
      </c>
      <c r="AC11" t="s">
        <v>3083</v>
      </c>
      <c r="AD11" s="163" t="s">
        <v>2313</v>
      </c>
      <c r="AE11" s="18"/>
      <c r="AF11" s="151">
        <v>60000</v>
      </c>
      <c r="AG11" s="156">
        <v>3.3719999999999999</v>
      </c>
      <c r="AH11" s="150">
        <v>101.2</v>
      </c>
      <c r="AI11" s="151">
        <v>204.74799999999999</v>
      </c>
      <c r="AK11" s="18"/>
      <c r="AL11" s="18" t="s">
        <v>17</v>
      </c>
      <c r="AM11" s="141">
        <v>0.33456757471568399</v>
      </c>
      <c r="AN11" s="141">
        <v>1.68463894872307E-3</v>
      </c>
    </row>
    <row r="12" spans="1:40" x14ac:dyDescent="0.2">
      <c r="A12" s="18"/>
      <c r="B12" s="18"/>
      <c r="C12" s="18"/>
      <c r="D12" s="18"/>
      <c r="E12" s="12"/>
      <c r="F12" s="18"/>
      <c r="G12" s="18"/>
      <c r="H12" s="12"/>
      <c r="I12" s="18"/>
      <c r="J12" s="12"/>
      <c r="K12" s="12"/>
      <c r="L12" s="18"/>
      <c r="M12" s="18"/>
      <c r="N12" s="18"/>
      <c r="O12" s="18"/>
      <c r="P12" s="18"/>
      <c r="Q12" s="18"/>
      <c r="R12" s="12"/>
      <c r="S12" s="18"/>
      <c r="T12" s="18"/>
      <c r="U12" s="18"/>
      <c r="V12" s="18"/>
      <c r="W12" s="18"/>
      <c r="X12" s="18"/>
      <c r="Y12" s="12"/>
      <c r="Z12" s="12"/>
      <c r="AA12" s="18"/>
      <c r="AB12" s="18"/>
      <c r="AD12" s="18"/>
      <c r="AE12" s="18"/>
      <c r="AF12" s="18"/>
      <c r="AG12" s="18"/>
      <c r="AH12" s="18"/>
      <c r="AI12" s="18"/>
      <c r="AK12" s="18"/>
      <c r="AL12" s="18"/>
    </row>
    <row r="13" spans="1:40" x14ac:dyDescent="0.2">
      <c r="A13" s="18"/>
      <c r="B13" s="18"/>
      <c r="C13" s="18"/>
      <c r="D13" s="18"/>
      <c r="E13" s="12"/>
      <c r="F13" s="18"/>
      <c r="G13" s="18"/>
      <c r="H13" s="12"/>
      <c r="I13" s="18"/>
      <c r="J13" s="12"/>
      <c r="K13" s="12"/>
      <c r="L13" s="18"/>
      <c r="M13" s="18"/>
      <c r="N13" s="18"/>
      <c r="O13" s="18"/>
      <c r="P13" s="18"/>
      <c r="Q13" s="18"/>
      <c r="R13" s="12"/>
      <c r="S13" s="18"/>
      <c r="T13" s="18"/>
      <c r="U13" s="18"/>
      <c r="V13" s="18"/>
      <c r="W13" s="18"/>
      <c r="X13" s="18"/>
      <c r="Y13" s="12"/>
      <c r="Z13" s="12"/>
      <c r="AA13" s="18"/>
      <c r="AB13" s="18"/>
      <c r="AD13" s="18"/>
      <c r="AE13" s="18"/>
      <c r="AF13" s="18"/>
      <c r="AG13" s="18"/>
      <c r="AH13" s="18"/>
      <c r="AI13" s="18"/>
      <c r="AK13" s="18"/>
      <c r="AL13" s="18"/>
    </row>
    <row r="14" spans="1:40" x14ac:dyDescent="0.2">
      <c r="A14" s="18"/>
      <c r="B14" s="18"/>
      <c r="C14" s="18"/>
      <c r="D14" s="18"/>
      <c r="E14" s="12"/>
      <c r="F14" s="18"/>
      <c r="G14" s="18"/>
      <c r="H14" s="12"/>
      <c r="I14" s="18"/>
      <c r="J14" s="12"/>
      <c r="K14" s="12"/>
      <c r="L14" s="18"/>
      <c r="M14" s="18"/>
      <c r="N14" s="18"/>
      <c r="O14" s="18"/>
      <c r="P14" s="18"/>
      <c r="Q14" s="18"/>
      <c r="R14" s="12"/>
      <c r="S14" s="18"/>
      <c r="T14" s="18"/>
      <c r="U14" s="18"/>
      <c r="V14" s="18"/>
      <c r="W14" s="18"/>
      <c r="X14" s="18"/>
      <c r="Y14" s="12"/>
      <c r="Z14" s="12"/>
      <c r="AA14" s="18"/>
      <c r="AB14" s="18"/>
      <c r="AD14" s="18"/>
      <c r="AE14" s="18"/>
      <c r="AF14" s="18"/>
      <c r="AG14" s="18"/>
      <c r="AH14" s="18"/>
      <c r="AI14" s="18"/>
      <c r="AK14" s="18"/>
      <c r="AL14" s="18"/>
    </row>
    <row r="15" spans="1:40" x14ac:dyDescent="0.2">
      <c r="A15" s="18"/>
      <c r="B15" s="18"/>
      <c r="C15" s="18"/>
      <c r="D15" s="18"/>
      <c r="E15" s="12"/>
      <c r="F15" s="18"/>
      <c r="G15" s="18"/>
      <c r="H15" s="12"/>
      <c r="I15" s="18"/>
      <c r="J15" s="12"/>
      <c r="K15" s="12"/>
      <c r="L15" s="18"/>
      <c r="M15" s="18"/>
      <c r="N15" s="18"/>
      <c r="O15" s="18"/>
      <c r="P15" s="18"/>
      <c r="Q15" s="18"/>
      <c r="R15" s="12"/>
      <c r="S15" s="18"/>
      <c r="T15" s="18"/>
      <c r="U15" s="18"/>
      <c r="V15" s="18"/>
      <c r="W15" s="18"/>
      <c r="X15" s="18"/>
      <c r="Y15" s="12"/>
      <c r="Z15" s="12"/>
      <c r="AA15" s="18"/>
      <c r="AB15" s="18"/>
      <c r="AD15" s="18"/>
      <c r="AE15" s="18"/>
      <c r="AF15" s="18"/>
      <c r="AG15" s="18"/>
      <c r="AH15" s="18"/>
      <c r="AI15" s="18"/>
      <c r="AK15" s="18"/>
      <c r="AL15" s="18"/>
    </row>
    <row r="16" spans="1:40" x14ac:dyDescent="0.2">
      <c r="A16" s="18"/>
      <c r="B16" s="18"/>
      <c r="C16" s="18"/>
      <c r="D16" s="18"/>
      <c r="E16" s="12"/>
      <c r="F16" s="18"/>
      <c r="G16" s="18"/>
      <c r="H16" s="12"/>
      <c r="I16" s="18"/>
      <c r="J16" s="12"/>
      <c r="K16" s="12"/>
      <c r="L16" s="18"/>
      <c r="M16" s="18"/>
      <c r="N16" s="18"/>
      <c r="O16" s="18"/>
      <c r="P16" s="18"/>
      <c r="Q16" s="18"/>
      <c r="R16" s="12"/>
      <c r="S16" s="18"/>
      <c r="T16" s="18"/>
      <c r="U16" s="18"/>
      <c r="V16" s="18"/>
      <c r="W16" s="18"/>
      <c r="X16" s="18"/>
      <c r="Y16" s="12"/>
      <c r="Z16" s="12"/>
      <c r="AA16" s="18"/>
      <c r="AB16" s="18"/>
      <c r="AD16" s="18"/>
      <c r="AE16" s="18"/>
      <c r="AF16" s="18"/>
      <c r="AG16" s="18"/>
      <c r="AH16" s="18"/>
      <c r="AI16" s="18"/>
      <c r="AK16" s="18"/>
      <c r="AL16" s="18"/>
    </row>
    <row r="17" spans="1:38" x14ac:dyDescent="0.2">
      <c r="A17" s="18"/>
      <c r="B17" s="18"/>
      <c r="C17" s="18"/>
      <c r="D17" s="18"/>
      <c r="E17" s="12"/>
      <c r="F17" s="18"/>
      <c r="G17" s="18"/>
      <c r="H17" s="12"/>
      <c r="I17" s="18"/>
      <c r="J17" s="12"/>
      <c r="K17" s="12"/>
      <c r="L17" s="18"/>
      <c r="M17" s="18"/>
      <c r="N17" s="18"/>
      <c r="O17" s="18"/>
      <c r="P17" s="18"/>
      <c r="Q17" s="18"/>
      <c r="R17" s="12"/>
      <c r="S17" s="18"/>
      <c r="T17" s="18"/>
      <c r="U17" s="18"/>
      <c r="V17" s="18"/>
      <c r="W17" s="18"/>
      <c r="X17" s="18"/>
      <c r="Y17" s="12"/>
      <c r="Z17" s="12"/>
      <c r="AA17" s="18"/>
      <c r="AB17" s="18"/>
      <c r="AD17" s="18"/>
      <c r="AE17" s="18"/>
      <c r="AF17" s="18"/>
      <c r="AG17" s="18"/>
      <c r="AH17" s="18"/>
      <c r="AI17" s="18"/>
      <c r="AK17" s="18"/>
      <c r="AL17" s="18"/>
    </row>
    <row r="18" spans="1:38" x14ac:dyDescent="0.2">
      <c r="A18" s="18"/>
      <c r="B18" s="18"/>
      <c r="C18" s="18"/>
      <c r="D18" s="18"/>
      <c r="E18" s="12"/>
      <c r="F18" s="18"/>
      <c r="G18" s="18"/>
      <c r="H18" s="12"/>
      <c r="I18" s="18"/>
      <c r="J18" s="12"/>
      <c r="K18" s="12"/>
      <c r="L18" s="18"/>
      <c r="M18" s="18"/>
      <c r="N18" s="18"/>
      <c r="O18" s="18"/>
      <c r="P18" s="18"/>
      <c r="Q18" s="18"/>
      <c r="R18" s="12"/>
      <c r="S18" s="18"/>
      <c r="T18" s="18"/>
      <c r="U18" s="18"/>
      <c r="V18" s="18"/>
      <c r="W18" s="18"/>
      <c r="X18" s="18"/>
      <c r="Y18" s="12"/>
      <c r="Z18" s="12"/>
      <c r="AA18" s="18"/>
      <c r="AB18" s="18"/>
      <c r="AD18" s="18"/>
      <c r="AE18" s="18"/>
      <c r="AF18" s="18"/>
      <c r="AG18" s="18"/>
      <c r="AH18" s="18"/>
      <c r="AI18" s="18"/>
      <c r="AK18" s="18"/>
      <c r="AL18" s="18"/>
    </row>
    <row r="19" spans="1:38" x14ac:dyDescent="0.2">
      <c r="A19" s="18"/>
      <c r="B19" s="18"/>
      <c r="C19" s="18"/>
      <c r="D19" s="18"/>
      <c r="E19" s="12"/>
      <c r="F19" s="18"/>
      <c r="G19" s="18"/>
      <c r="H19" s="12"/>
      <c r="I19" s="18"/>
      <c r="J19" s="12"/>
      <c r="K19" s="12"/>
      <c r="L19" s="18"/>
      <c r="M19" s="18"/>
      <c r="N19" s="18"/>
      <c r="O19" s="18"/>
      <c r="P19" s="18"/>
      <c r="Q19" s="18"/>
      <c r="R19" s="12"/>
      <c r="S19" s="18"/>
      <c r="T19" s="18"/>
      <c r="U19" s="18"/>
      <c r="V19" s="18"/>
      <c r="W19" s="18"/>
      <c r="X19" s="18"/>
      <c r="Y19" s="12"/>
      <c r="Z19" s="12"/>
      <c r="AA19" s="18"/>
      <c r="AB19" s="18"/>
      <c r="AD19" s="18"/>
      <c r="AE19" s="18"/>
      <c r="AF19" s="18"/>
      <c r="AG19" s="18"/>
      <c r="AH19" s="18"/>
      <c r="AI19" s="18"/>
      <c r="AK19" s="18"/>
      <c r="AL19" s="18"/>
    </row>
    <row r="20" spans="1:38" x14ac:dyDescent="0.2">
      <c r="E20" s="12"/>
      <c r="H20" s="12"/>
      <c r="I20" s="18"/>
      <c r="J20" s="12"/>
      <c r="K20" s="12"/>
      <c r="L20" s="18"/>
      <c r="M20" s="18"/>
      <c r="P20" s="18"/>
      <c r="Q20" s="18"/>
      <c r="T20" s="18"/>
      <c r="U20" s="18"/>
      <c r="Y20" s="12"/>
      <c r="Z20" s="12"/>
      <c r="AA20" s="18"/>
      <c r="AB20" s="18"/>
      <c r="AL20" s="18"/>
    </row>
    <row r="21" spans="1:38" x14ac:dyDescent="0.2">
      <c r="AL21" s="6"/>
    </row>
    <row r="22" spans="1:38" x14ac:dyDescent="0.2">
      <c r="T22" s="6"/>
      <c r="U22" s="6"/>
      <c r="AL22" s="6"/>
    </row>
    <row r="23" spans="1:38" x14ac:dyDescent="0.2">
      <c r="T23" s="6"/>
      <c r="U23" s="6"/>
    </row>
    <row r="24" spans="1:38" x14ac:dyDescent="0.2">
      <c r="T24" s="6"/>
      <c r="U24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75BE3A0C-F6F5-44F5-B07D-63E5BFBF9621}">
      <formula1>israel_abroad</formula1>
    </dataValidation>
    <dataValidation type="list" allowBlank="1" showInputMessage="1" showErrorMessage="1" sqref="Q2:Q20" xr:uid="{5A8D9436-A22E-44AC-A5A4-5356923444F6}">
      <formula1>What_is_rated</formula1>
    </dataValidation>
    <dataValidation type="list" allowBlank="1" showInputMessage="1" showErrorMessage="1" sqref="P2:P20" xr:uid="{B3F5E26A-7792-4DAD-9BD8-353BA2DF8653}">
      <formula1>Rating_Agency</formula1>
    </dataValidation>
    <dataValidation type="list" allowBlank="1" showInputMessage="1" showErrorMessage="1" sqref="M2:M20" xr:uid="{73D363D9-1EEF-44C8-B919-5AAF81F2B719}">
      <formula1>Holding_interest</formula1>
    </dataValidation>
    <dataValidation type="list" allowBlank="1" showInputMessage="1" showErrorMessage="1" sqref="K2:K20" xr:uid="{3B2EAADF-1D37-4457-AD3E-33FFC0E81FB0}">
      <formula1>Country_list</formula1>
    </dataValidation>
    <dataValidation type="list" allowBlank="1" showInputMessage="1" showErrorMessage="1" sqref="AF3 AA2:AA20" xr:uid="{BD13B272-69B1-40FC-B8E5-9B506D3F11FA}">
      <formula1>Valuation</formula1>
    </dataValidation>
    <dataValidation type="list" allowBlank="1" showInputMessage="1" showErrorMessage="1" sqref="AB2:AB20" xr:uid="{7C06614F-9F33-4E5D-A987-6F6A50F0083F}">
      <formula1>Dependence_Independence</formula1>
    </dataValidation>
    <dataValidation type="list" allowBlank="1" showInputMessage="1" showErrorMessage="1" sqref="U2:U20" xr:uid="{5EC86D77-A245-4576-922E-A7C955950144}">
      <formula1>Underlying_Interest_Rates</formula1>
    </dataValidation>
    <dataValidation type="list" allowBlank="1" showInputMessage="1" showErrorMessage="1" sqref="T2:T20" xr:uid="{9F59403B-D794-462B-8829-4300EA7435F2}">
      <formula1>Linked_Type</formula1>
    </dataValidation>
    <dataValidation type="list" allowBlank="1" showInputMessage="1" showErrorMessage="1" sqref="Z2:Z20" xr:uid="{EB143DAD-5005-49EF-A56C-72065BB84A51}">
      <formula1>Yes_No_Bad_Debt</formula1>
    </dataValidation>
    <dataValidation type="list" allowBlank="1" showInputMessage="1" showErrorMessage="1" sqref="E3:E20" xr:uid="{DC55BD8C-650F-4E98-8D92-8B678CE62370}">
      <formula1>Issuer_Number_Type_2</formula1>
    </dataValidation>
    <dataValidation type="list" allowBlank="1" showInputMessage="1" showErrorMessage="1" sqref="H2:H20" xr:uid="{241A0F6D-334C-4373-8D1A-344836447AA7}">
      <formula1>Type_of_Security_ID_Fund</formula1>
    </dataValidation>
    <dataValidation type="list" allowBlank="1" showInputMessage="1" showErrorMessage="1" sqref="E2" xr:uid="{377D9163-A3EE-4F21-ABE8-B125BA15C0BD}">
      <formula1>Issuer_Number_Type_3</formula1>
    </dataValidation>
    <dataValidation type="list" allowBlank="1" showInputMessage="1" showErrorMessage="1" sqref="Y2:Y20" xr:uid="{1F6F348D-54D5-4885-A65C-E5AFF967CDD0}">
      <formula1>Subordination_Risk</formula1>
    </dataValidation>
    <dataValidation type="list" allowBlank="1" showInputMessage="1" showErrorMessage="1" sqref="AL2:AL20" xr:uid="{9274F8A0-5E52-4A40-884E-70675E9F4AAB}">
      <formula1>In_the_books</formula1>
    </dataValidation>
    <dataValidation type="list" allowBlank="1" showInputMessage="1" showErrorMessage="1" sqref="L2:L20" xr:uid="{9C6B17AF-A371-4422-9831-72C0D26B7AF0}">
      <formula1>Industry_Sector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09"/>
  <sheetViews>
    <sheetView rightToLeft="1" workbookViewId="0">
      <selection sqref="A1:XFD1048576"/>
    </sheetView>
  </sheetViews>
  <sheetFormatPr defaultColWidth="9" defaultRowHeight="14.25" x14ac:dyDescent="0.2"/>
  <cols>
    <col min="1" max="4" width="11.625" style="6" customWidth="1"/>
    <col min="5" max="5" width="11.625" style="3" customWidth="1"/>
    <col min="6" max="11" width="11.625" style="6" customWidth="1"/>
    <col min="12" max="12" width="11.625" style="3" customWidth="1"/>
    <col min="13" max="23" width="11.625" style="6" customWidth="1"/>
    <col min="24" max="25" width="11.625" style="3" customWidth="1"/>
    <col min="26" max="38" width="11.625" style="6" customWidth="1"/>
    <col min="39" max="16384" width="9" style="6"/>
  </cols>
  <sheetData>
    <row r="1" spans="1:38" ht="66.75" customHeight="1" x14ac:dyDescent="0.2">
      <c r="A1" s="13" t="s">
        <v>651</v>
      </c>
      <c r="B1" s="13" t="s">
        <v>0</v>
      </c>
      <c r="C1" s="13" t="s">
        <v>724</v>
      </c>
      <c r="D1" s="13" t="s">
        <v>2</v>
      </c>
      <c r="E1" s="13" t="s">
        <v>740</v>
      </c>
      <c r="F1" s="13" t="s">
        <v>1145</v>
      </c>
      <c r="G1" s="13" t="s">
        <v>29</v>
      </c>
      <c r="H1" s="13" t="s">
        <v>28</v>
      </c>
      <c r="I1" s="13" t="s">
        <v>1</v>
      </c>
      <c r="J1" s="13" t="s">
        <v>604</v>
      </c>
      <c r="K1" s="13" t="s">
        <v>605</v>
      </c>
      <c r="L1" s="13" t="s">
        <v>609</v>
      </c>
      <c r="M1" s="13" t="s">
        <v>9</v>
      </c>
      <c r="N1" s="13" t="s">
        <v>606</v>
      </c>
      <c r="O1" s="162" t="s">
        <v>12</v>
      </c>
      <c r="P1" s="13" t="s">
        <v>6</v>
      </c>
      <c r="Q1" s="13" t="s">
        <v>8</v>
      </c>
      <c r="R1" s="13" t="s">
        <v>1146</v>
      </c>
      <c r="S1" s="13" t="s">
        <v>396</v>
      </c>
      <c r="T1" s="13" t="s">
        <v>13</v>
      </c>
      <c r="U1" s="13" t="s">
        <v>421</v>
      </c>
      <c r="V1" s="126" t="s">
        <v>621</v>
      </c>
      <c r="W1" s="126" t="s">
        <v>14</v>
      </c>
      <c r="X1" s="13" t="s">
        <v>925</v>
      </c>
      <c r="Y1" s="13" t="s">
        <v>669</v>
      </c>
      <c r="Z1" s="13" t="s">
        <v>917</v>
      </c>
      <c r="AA1" s="13" t="s">
        <v>372</v>
      </c>
      <c r="AB1" s="162" t="s">
        <v>16</v>
      </c>
      <c r="AC1" s="162" t="s">
        <v>1147</v>
      </c>
      <c r="AD1" s="13" t="s">
        <v>773</v>
      </c>
      <c r="AE1" s="124" t="s">
        <v>11</v>
      </c>
      <c r="AF1" s="136" t="s">
        <v>15</v>
      </c>
      <c r="AG1" s="13" t="s">
        <v>1153</v>
      </c>
      <c r="AH1" s="13" t="s">
        <v>1154</v>
      </c>
      <c r="AI1" s="13" t="s">
        <v>788</v>
      </c>
      <c r="AJ1" s="13" t="s">
        <v>26</v>
      </c>
      <c r="AK1" s="126" t="s">
        <v>19</v>
      </c>
      <c r="AL1" s="126" t="s">
        <v>30</v>
      </c>
    </row>
    <row r="2" spans="1:38" x14ac:dyDescent="0.2">
      <c r="A2" s="6">
        <v>13710</v>
      </c>
      <c r="B2" s="18">
        <v>13711</v>
      </c>
      <c r="C2" s="18" t="s">
        <v>3091</v>
      </c>
      <c r="D2" s="18" t="s">
        <v>3092</v>
      </c>
      <c r="E2" s="12" t="s">
        <v>432</v>
      </c>
      <c r="F2" s="18" t="s">
        <v>3093</v>
      </c>
      <c r="G2" s="18" t="s">
        <v>3094</v>
      </c>
      <c r="H2" s="18" t="s">
        <v>76</v>
      </c>
      <c r="I2" s="18" t="s">
        <v>229</v>
      </c>
      <c r="J2" s="12" t="s">
        <v>53</v>
      </c>
      <c r="K2" s="12" t="s">
        <v>53</v>
      </c>
      <c r="L2" s="18" t="s">
        <v>958</v>
      </c>
      <c r="M2" s="18" t="s">
        <v>258</v>
      </c>
      <c r="N2" s="18" t="s">
        <v>62</v>
      </c>
      <c r="O2" s="163" t="s">
        <v>3095</v>
      </c>
      <c r="P2" s="18" t="s">
        <v>1577</v>
      </c>
      <c r="Q2" s="18" t="s">
        <v>65</v>
      </c>
      <c r="R2" s="18" t="s">
        <v>57</v>
      </c>
      <c r="S2" s="12" t="s">
        <v>1219</v>
      </c>
      <c r="T2" s="151">
        <v>2.5499999999999998</v>
      </c>
      <c r="U2" s="18" t="s">
        <v>1649</v>
      </c>
      <c r="V2" s="155">
        <v>3.2800000000000003E-2</v>
      </c>
      <c r="W2" s="132">
        <v>3.6400000000000002E-2</v>
      </c>
      <c r="X2" s="12" t="s">
        <v>620</v>
      </c>
      <c r="Y2" s="12" t="s">
        <v>62</v>
      </c>
      <c r="Z2" s="18" t="s">
        <v>775</v>
      </c>
      <c r="AA2" s="18" t="s">
        <v>305</v>
      </c>
      <c r="AB2" s="164" t="s">
        <v>2313</v>
      </c>
      <c r="AC2" s="18"/>
      <c r="AD2" s="151">
        <v>4250</v>
      </c>
      <c r="AE2" s="156">
        <v>1</v>
      </c>
      <c r="AF2" s="150">
        <v>106.67</v>
      </c>
      <c r="AG2" s="151">
        <v>4.5330000000000004</v>
      </c>
      <c r="AH2" s="18"/>
      <c r="AI2" s="18"/>
      <c r="AJ2" s="18" t="s">
        <v>17</v>
      </c>
      <c r="AK2" s="132">
        <v>3.7820041927064299E-2</v>
      </c>
      <c r="AL2" s="132">
        <v>6.6462351692789096E-5</v>
      </c>
    </row>
    <row r="3" spans="1:38" x14ac:dyDescent="0.2">
      <c r="A3" s="18">
        <v>13710</v>
      </c>
      <c r="B3" s="18">
        <v>13711</v>
      </c>
      <c r="C3" s="18" t="s">
        <v>3096</v>
      </c>
      <c r="D3" s="18" t="s">
        <v>3097</v>
      </c>
      <c r="E3" s="12" t="s">
        <v>1477</v>
      </c>
      <c r="F3" s="18" t="s">
        <v>3098</v>
      </c>
      <c r="G3" s="18" t="s">
        <v>3099</v>
      </c>
      <c r="H3" s="18" t="s">
        <v>76</v>
      </c>
      <c r="I3" s="18" t="s">
        <v>229</v>
      </c>
      <c r="J3" s="12" t="s">
        <v>53</v>
      </c>
      <c r="K3" s="12" t="s">
        <v>53</v>
      </c>
      <c r="L3" s="18" t="s">
        <v>958</v>
      </c>
      <c r="M3" s="18" t="s">
        <v>635</v>
      </c>
      <c r="N3" s="18" t="s">
        <v>62</v>
      </c>
      <c r="O3" s="163" t="s">
        <v>3100</v>
      </c>
      <c r="P3" s="18" t="s">
        <v>1493</v>
      </c>
      <c r="Q3" s="18" t="s">
        <v>65</v>
      </c>
      <c r="R3" s="18" t="s">
        <v>57</v>
      </c>
      <c r="S3" s="12" t="s">
        <v>1219</v>
      </c>
      <c r="T3" s="151">
        <v>3.16</v>
      </c>
      <c r="U3" s="18" t="s">
        <v>1590</v>
      </c>
      <c r="V3" s="155">
        <v>3.4000000000000002E-2</v>
      </c>
      <c r="W3" s="132">
        <v>3.8399999999999997E-2</v>
      </c>
      <c r="X3" s="12" t="s">
        <v>620</v>
      </c>
      <c r="Y3" s="12" t="s">
        <v>62</v>
      </c>
      <c r="Z3" s="18" t="s">
        <v>775</v>
      </c>
      <c r="AA3" s="18" t="s">
        <v>305</v>
      </c>
      <c r="AB3" s="164" t="s">
        <v>2313</v>
      </c>
      <c r="AC3" s="18"/>
      <c r="AD3" s="151">
        <v>50000</v>
      </c>
      <c r="AE3" s="156">
        <v>1</v>
      </c>
      <c r="AF3" s="150">
        <v>104.58</v>
      </c>
      <c r="AG3" s="151">
        <v>52.29</v>
      </c>
      <c r="AH3" s="18"/>
      <c r="AI3" s="18"/>
      <c r="AJ3" s="18" t="s">
        <v>17</v>
      </c>
      <c r="AK3" s="132">
        <v>0.43622386632024901</v>
      </c>
      <c r="AL3" s="132">
        <v>7.6658994921466198E-4</v>
      </c>
    </row>
    <row r="4" spans="1:38" x14ac:dyDescent="0.2">
      <c r="A4" s="18">
        <v>13710</v>
      </c>
      <c r="B4" s="18">
        <v>13711</v>
      </c>
      <c r="C4" s="18" t="s">
        <v>1970</v>
      </c>
      <c r="D4" s="18" t="s">
        <v>1971</v>
      </c>
      <c r="E4" s="12" t="s">
        <v>1477</v>
      </c>
      <c r="F4" s="18" t="s">
        <v>3101</v>
      </c>
      <c r="G4" s="18" t="s">
        <v>3102</v>
      </c>
      <c r="H4" s="18" t="s">
        <v>76</v>
      </c>
      <c r="I4" s="18" t="s">
        <v>229</v>
      </c>
      <c r="J4" s="12" t="s">
        <v>53</v>
      </c>
      <c r="K4" s="12" t="s">
        <v>53</v>
      </c>
      <c r="L4" s="18" t="s">
        <v>958</v>
      </c>
      <c r="M4" s="18" t="s">
        <v>258</v>
      </c>
      <c r="N4" s="18" t="s">
        <v>62</v>
      </c>
      <c r="O4" s="164" t="s">
        <v>3103</v>
      </c>
      <c r="P4" s="18" t="s">
        <v>1213</v>
      </c>
      <c r="Q4" s="18" t="s">
        <v>65</v>
      </c>
      <c r="R4" s="18" t="s">
        <v>57</v>
      </c>
      <c r="S4" s="18" t="s">
        <v>1219</v>
      </c>
      <c r="T4" s="151">
        <v>8.8800000000000008</v>
      </c>
      <c r="U4" s="18" t="s">
        <v>3104</v>
      </c>
      <c r="V4" s="155">
        <v>3.0800000000000001E-2</v>
      </c>
      <c r="W4" s="132">
        <v>4.1000000000000002E-2</v>
      </c>
      <c r="X4" s="12" t="s">
        <v>620</v>
      </c>
      <c r="Y4" s="12" t="s">
        <v>62</v>
      </c>
      <c r="Z4" s="18" t="s">
        <v>775</v>
      </c>
      <c r="AA4" s="18" t="s">
        <v>3082</v>
      </c>
      <c r="AB4" s="164" t="s">
        <v>2313</v>
      </c>
      <c r="AD4" s="131">
        <v>13846.16</v>
      </c>
      <c r="AE4" s="156">
        <v>1</v>
      </c>
      <c r="AF4" s="150">
        <v>137.31</v>
      </c>
      <c r="AG4" s="151">
        <v>19.012</v>
      </c>
      <c r="AH4" s="18"/>
      <c r="AI4" s="18"/>
      <c r="AJ4" s="18" t="s">
        <v>17</v>
      </c>
      <c r="AK4" s="132">
        <v>0.15860697922870901</v>
      </c>
      <c r="AL4" s="132">
        <v>2.7872504358293301E-4</v>
      </c>
    </row>
    <row r="5" spans="1:38" x14ac:dyDescent="0.2">
      <c r="A5" s="18">
        <v>13710</v>
      </c>
      <c r="B5" s="18">
        <v>13711</v>
      </c>
      <c r="C5" s="18" t="s">
        <v>3105</v>
      </c>
      <c r="D5" s="18" t="s">
        <v>3106</v>
      </c>
      <c r="E5" s="12" t="s">
        <v>767</v>
      </c>
      <c r="F5" s="18" t="s">
        <v>3107</v>
      </c>
      <c r="G5" s="18" t="s">
        <v>3108</v>
      </c>
      <c r="H5" s="18" t="s">
        <v>76</v>
      </c>
      <c r="I5" s="18" t="s">
        <v>228</v>
      </c>
      <c r="J5" s="12" t="s">
        <v>53</v>
      </c>
      <c r="K5" s="12" t="s">
        <v>204</v>
      </c>
      <c r="L5" s="18" t="s">
        <v>958</v>
      </c>
      <c r="M5" s="18" t="s">
        <v>140</v>
      </c>
      <c r="N5" s="18" t="s">
        <v>62</v>
      </c>
      <c r="O5" s="163" t="s">
        <v>3109</v>
      </c>
      <c r="P5" s="18" t="s">
        <v>298</v>
      </c>
      <c r="Q5" s="18" t="s">
        <v>298</v>
      </c>
      <c r="R5" s="18" t="s">
        <v>298</v>
      </c>
      <c r="S5" s="12" t="s">
        <v>1219</v>
      </c>
      <c r="T5" s="151">
        <v>3.28</v>
      </c>
      <c r="U5" s="18" t="s">
        <v>3110</v>
      </c>
      <c r="V5" s="155">
        <v>7.7100000000000002E-2</v>
      </c>
      <c r="W5" s="132">
        <v>9.5000000000000001E-2</v>
      </c>
      <c r="X5" s="12" t="s">
        <v>620</v>
      </c>
      <c r="Y5" s="12" t="s">
        <v>62</v>
      </c>
      <c r="Z5" s="18" t="s">
        <v>775</v>
      </c>
      <c r="AA5" s="18" t="s">
        <v>3082</v>
      </c>
      <c r="AB5" s="164" t="s">
        <v>2313</v>
      </c>
      <c r="AC5" s="18"/>
      <c r="AD5" s="151">
        <v>30000</v>
      </c>
      <c r="AE5" s="156">
        <v>1</v>
      </c>
      <c r="AF5" s="150">
        <v>107.89</v>
      </c>
      <c r="AG5" s="131">
        <v>32.366999999999997</v>
      </c>
      <c r="AJ5" s="18" t="s">
        <v>17</v>
      </c>
      <c r="AK5" s="132">
        <v>0.27001831863047399</v>
      </c>
      <c r="AL5" s="132">
        <v>4.7451170178295998E-4</v>
      </c>
    </row>
    <row r="6" spans="1:38" x14ac:dyDescent="0.2">
      <c r="A6" s="18">
        <v>13710</v>
      </c>
      <c r="B6" s="18">
        <v>13711</v>
      </c>
      <c r="C6" s="18" t="s">
        <v>3111</v>
      </c>
      <c r="D6" s="18" t="s">
        <v>3112</v>
      </c>
      <c r="E6" s="12" t="s">
        <v>1477</v>
      </c>
      <c r="F6" s="18" t="s">
        <v>3113</v>
      </c>
      <c r="G6" s="18" t="s">
        <v>3114</v>
      </c>
      <c r="H6" s="18" t="s">
        <v>76</v>
      </c>
      <c r="I6" s="18" t="s">
        <v>230</v>
      </c>
      <c r="J6" s="12" t="s">
        <v>53</v>
      </c>
      <c r="K6" s="12" t="s">
        <v>53</v>
      </c>
      <c r="L6" s="18" t="s">
        <v>958</v>
      </c>
      <c r="M6" s="18" t="s">
        <v>862</v>
      </c>
      <c r="N6" s="18" t="s">
        <v>62</v>
      </c>
      <c r="O6" s="163" t="s">
        <v>3115</v>
      </c>
      <c r="P6" s="18" t="s">
        <v>2273</v>
      </c>
      <c r="Q6" s="18" t="s">
        <v>96</v>
      </c>
      <c r="R6" s="18" t="s">
        <v>57</v>
      </c>
      <c r="S6" s="12" t="s">
        <v>1217</v>
      </c>
      <c r="T6" s="151">
        <v>4.2640000000000002</v>
      </c>
      <c r="U6" s="18" t="s">
        <v>3116</v>
      </c>
      <c r="V6" s="155">
        <v>8.1589999999999996E-2</v>
      </c>
      <c r="W6" s="132">
        <v>8.5000000000000006E-2</v>
      </c>
      <c r="X6" s="12" t="s">
        <v>620</v>
      </c>
      <c r="Y6" s="12" t="s">
        <v>62</v>
      </c>
      <c r="Z6" s="18" t="s">
        <v>775</v>
      </c>
      <c r="AA6" s="18" t="s">
        <v>305</v>
      </c>
      <c r="AB6" s="164" t="s">
        <v>2313</v>
      </c>
      <c r="AC6" s="18"/>
      <c r="AD6" s="151">
        <v>3000</v>
      </c>
      <c r="AE6" s="156">
        <v>3.3719999999999999</v>
      </c>
      <c r="AF6" s="150">
        <v>115.33199999999999</v>
      </c>
      <c r="AG6" s="131">
        <v>11.667</v>
      </c>
      <c r="AJ6" s="18" t="s">
        <v>17</v>
      </c>
      <c r="AK6" s="132">
        <v>9.7330793893503395E-2</v>
      </c>
      <c r="AL6" s="132">
        <v>1.71042471786877E-4</v>
      </c>
    </row>
    <row r="7" spans="1:38" x14ac:dyDescent="0.2">
      <c r="A7" s="18">
        <v>559</v>
      </c>
      <c r="B7" s="18">
        <v>556</v>
      </c>
      <c r="C7" s="18" t="s">
        <v>3091</v>
      </c>
      <c r="D7" s="18" t="s">
        <v>3092</v>
      </c>
      <c r="E7" s="12" t="s">
        <v>432</v>
      </c>
      <c r="F7" s="18" t="s">
        <v>3093</v>
      </c>
      <c r="G7" s="18" t="s">
        <v>3094</v>
      </c>
      <c r="H7" s="18" t="s">
        <v>76</v>
      </c>
      <c r="I7" s="18" t="s">
        <v>229</v>
      </c>
      <c r="J7" s="12" t="s">
        <v>53</v>
      </c>
      <c r="K7" s="12" t="s">
        <v>53</v>
      </c>
      <c r="L7" s="18" t="s">
        <v>958</v>
      </c>
      <c r="M7" s="18" t="s">
        <v>258</v>
      </c>
      <c r="N7" s="18" t="s">
        <v>62</v>
      </c>
      <c r="O7" s="163" t="s">
        <v>3095</v>
      </c>
      <c r="P7" s="18" t="s">
        <v>1577</v>
      </c>
      <c r="Q7" s="18" t="s">
        <v>65</v>
      </c>
      <c r="R7" s="18" t="s">
        <v>57</v>
      </c>
      <c r="S7" s="12" t="s">
        <v>1219</v>
      </c>
      <c r="T7" s="151">
        <v>2.5499999999999998</v>
      </c>
      <c r="U7" s="18" t="s">
        <v>1649</v>
      </c>
      <c r="V7" s="155">
        <v>3.2800000000000003E-2</v>
      </c>
      <c r="W7" s="132">
        <v>3.6400000000000002E-2</v>
      </c>
      <c r="X7" s="12" t="s">
        <v>620</v>
      </c>
      <c r="Y7" s="12" t="s">
        <v>62</v>
      </c>
      <c r="Z7" s="18" t="s">
        <v>775</v>
      </c>
      <c r="AA7" s="18" t="s">
        <v>305</v>
      </c>
      <c r="AB7" s="164" t="s">
        <v>2313</v>
      </c>
      <c r="AC7" s="18"/>
      <c r="AD7" s="151">
        <v>187000</v>
      </c>
      <c r="AE7" s="156">
        <v>1</v>
      </c>
      <c r="AF7" s="150">
        <v>106.67</v>
      </c>
      <c r="AG7" s="151">
        <v>199.47300000000001</v>
      </c>
      <c r="AH7" s="18"/>
      <c r="AI7" s="18"/>
      <c r="AJ7" s="18" t="s">
        <v>17</v>
      </c>
      <c r="AK7" s="132">
        <v>3.4744463734644002E-2</v>
      </c>
      <c r="AL7" s="132">
        <v>5.9814358128659002E-4</v>
      </c>
    </row>
    <row r="8" spans="1:38" x14ac:dyDescent="0.2">
      <c r="A8" s="18">
        <v>559</v>
      </c>
      <c r="B8" s="18">
        <v>556</v>
      </c>
      <c r="C8" s="18" t="s">
        <v>3117</v>
      </c>
      <c r="D8" s="18" t="s">
        <v>3118</v>
      </c>
      <c r="E8" s="12" t="s">
        <v>78</v>
      </c>
      <c r="F8" s="18" t="s">
        <v>3119</v>
      </c>
      <c r="G8" s="18" t="s">
        <v>3120</v>
      </c>
      <c r="H8" s="18" t="s">
        <v>76</v>
      </c>
      <c r="I8" s="18" t="s">
        <v>228</v>
      </c>
      <c r="J8" s="12" t="s">
        <v>53</v>
      </c>
      <c r="K8" s="12" t="s">
        <v>204</v>
      </c>
      <c r="L8" s="18" t="s">
        <v>958</v>
      </c>
      <c r="M8" s="18" t="s">
        <v>102</v>
      </c>
      <c r="N8" s="18" t="s">
        <v>62</v>
      </c>
      <c r="O8" s="163" t="s">
        <v>3121</v>
      </c>
      <c r="P8" s="18" t="s">
        <v>1753</v>
      </c>
      <c r="Q8" s="18" t="s">
        <v>70</v>
      </c>
      <c r="R8" s="18" t="s">
        <v>57</v>
      </c>
      <c r="S8" s="12" t="s">
        <v>1219</v>
      </c>
      <c r="T8" s="151">
        <v>0</v>
      </c>
      <c r="U8" s="18" t="s">
        <v>3122</v>
      </c>
      <c r="V8" s="155">
        <v>0</v>
      </c>
      <c r="W8" s="132">
        <v>8.1500000000000003E-2</v>
      </c>
      <c r="X8" s="12" t="s">
        <v>620</v>
      </c>
      <c r="Y8" s="12" t="s">
        <v>55</v>
      </c>
      <c r="Z8" s="18" t="s">
        <v>302</v>
      </c>
      <c r="AA8" s="18" t="s">
        <v>304</v>
      </c>
      <c r="AB8" s="164" t="s">
        <v>3123</v>
      </c>
      <c r="AC8" s="18"/>
      <c r="AD8" s="151">
        <v>14100</v>
      </c>
      <c r="AE8" s="156">
        <v>1</v>
      </c>
      <c r="AF8" s="150">
        <v>201</v>
      </c>
      <c r="AG8" s="151">
        <v>28.341000000000001</v>
      </c>
      <c r="AH8" s="18"/>
      <c r="AI8" s="18"/>
      <c r="AJ8" s="18" t="s">
        <v>17</v>
      </c>
      <c r="AK8" s="132">
        <v>4.9364743115658596E-3</v>
      </c>
      <c r="AL8" s="132">
        <v>8.4983911284406303E-5</v>
      </c>
    </row>
    <row r="9" spans="1:38" x14ac:dyDescent="0.2">
      <c r="A9" s="18">
        <v>559</v>
      </c>
      <c r="B9" s="18">
        <v>556</v>
      </c>
      <c r="C9" s="18" t="s">
        <v>3124</v>
      </c>
      <c r="D9" s="18" t="s">
        <v>3125</v>
      </c>
      <c r="E9" s="12" t="s">
        <v>1477</v>
      </c>
      <c r="F9" s="18" t="s">
        <v>3126</v>
      </c>
      <c r="G9" s="18" t="s">
        <v>3127</v>
      </c>
      <c r="H9" s="18" t="s">
        <v>76</v>
      </c>
      <c r="I9" s="18" t="s">
        <v>102</v>
      </c>
      <c r="J9" s="12" t="s">
        <v>53</v>
      </c>
      <c r="K9" s="12" t="s">
        <v>53</v>
      </c>
      <c r="L9" s="18" t="s">
        <v>958</v>
      </c>
      <c r="M9" s="18" t="s">
        <v>102</v>
      </c>
      <c r="N9" s="18" t="s">
        <v>62</v>
      </c>
      <c r="O9" s="163" t="s">
        <v>3128</v>
      </c>
      <c r="P9" s="18" t="s">
        <v>298</v>
      </c>
      <c r="Q9" s="18" t="s">
        <v>298</v>
      </c>
      <c r="R9" s="18" t="s">
        <v>298</v>
      </c>
      <c r="S9" s="12" t="s">
        <v>1219</v>
      </c>
      <c r="T9" s="151">
        <v>0.01</v>
      </c>
      <c r="U9" s="18" t="s">
        <v>3129</v>
      </c>
      <c r="V9" s="155">
        <v>1E-4</v>
      </c>
      <c r="W9" s="132">
        <v>0.06</v>
      </c>
      <c r="X9" s="12" t="s">
        <v>620</v>
      </c>
      <c r="Y9" s="12" t="s">
        <v>55</v>
      </c>
      <c r="Z9" s="18" t="s">
        <v>302</v>
      </c>
      <c r="AA9" s="18" t="s">
        <v>304</v>
      </c>
      <c r="AB9" s="164" t="s">
        <v>3130</v>
      </c>
      <c r="AC9" s="18"/>
      <c r="AD9" s="151">
        <v>230948.22</v>
      </c>
      <c r="AE9" s="156">
        <v>1</v>
      </c>
      <c r="AF9" s="150">
        <v>0</v>
      </c>
      <c r="AG9" s="151">
        <v>0</v>
      </c>
      <c r="AH9" s="18"/>
      <c r="AI9" s="18"/>
      <c r="AJ9" s="18" t="s">
        <v>17</v>
      </c>
      <c r="AK9" s="132">
        <v>4.02268782093738E-10</v>
      </c>
      <c r="AL9" s="132">
        <v>6.9252612962744991E-12</v>
      </c>
    </row>
    <row r="10" spans="1:38" x14ac:dyDescent="0.2">
      <c r="A10" s="18">
        <v>559</v>
      </c>
      <c r="B10" s="18">
        <v>556</v>
      </c>
      <c r="C10" s="18" t="s">
        <v>2314</v>
      </c>
      <c r="D10" s="18" t="s">
        <v>2315</v>
      </c>
      <c r="E10" s="12" t="s">
        <v>1477</v>
      </c>
      <c r="F10" s="18" t="s">
        <v>3131</v>
      </c>
      <c r="G10" s="18" t="s">
        <v>3132</v>
      </c>
      <c r="H10" s="18" t="s">
        <v>76</v>
      </c>
      <c r="I10" s="18" t="s">
        <v>228</v>
      </c>
      <c r="J10" s="12" t="s">
        <v>53</v>
      </c>
      <c r="K10" s="12" t="s">
        <v>314</v>
      </c>
      <c r="L10" s="18" t="s">
        <v>958</v>
      </c>
      <c r="M10" s="18" t="s">
        <v>631</v>
      </c>
      <c r="N10" s="18" t="s">
        <v>62</v>
      </c>
      <c r="O10" s="163" t="s">
        <v>3133</v>
      </c>
      <c r="P10" s="18" t="s">
        <v>1577</v>
      </c>
      <c r="Q10" s="18" t="s">
        <v>65</v>
      </c>
      <c r="R10" s="18" t="s">
        <v>57</v>
      </c>
      <c r="S10" s="12" t="s">
        <v>1219</v>
      </c>
      <c r="T10" s="151">
        <v>3.2</v>
      </c>
      <c r="U10" s="18" t="s">
        <v>3134</v>
      </c>
      <c r="V10" s="155">
        <v>5.1200000000000002E-2</v>
      </c>
      <c r="W10" s="132">
        <v>3.3500000000000002E-2</v>
      </c>
      <c r="X10" s="12" t="s">
        <v>620</v>
      </c>
      <c r="Y10" s="12" t="s">
        <v>62</v>
      </c>
      <c r="Z10" s="18" t="s">
        <v>775</v>
      </c>
      <c r="AA10" s="18" t="s">
        <v>3082</v>
      </c>
      <c r="AB10" s="164" t="s">
        <v>2313</v>
      </c>
      <c r="AC10" s="18"/>
      <c r="AD10" s="151">
        <v>540000</v>
      </c>
      <c r="AE10" s="156">
        <v>1</v>
      </c>
      <c r="AF10" s="150">
        <v>94.87</v>
      </c>
      <c r="AG10" s="151">
        <v>512.298</v>
      </c>
      <c r="AH10" s="18"/>
      <c r="AI10" s="18"/>
      <c r="AJ10" s="18" t="s">
        <v>17</v>
      </c>
      <c r="AK10" s="132">
        <v>8.9232769375341997E-2</v>
      </c>
      <c r="AL10" s="132">
        <v>1.5361874239856999E-3</v>
      </c>
    </row>
    <row r="11" spans="1:38" x14ac:dyDescent="0.2">
      <c r="A11" s="18">
        <v>559</v>
      </c>
      <c r="B11" s="18">
        <v>556</v>
      </c>
      <c r="C11" s="18" t="s">
        <v>3135</v>
      </c>
      <c r="D11" s="18" t="s">
        <v>3136</v>
      </c>
      <c r="E11" s="12" t="s">
        <v>1477</v>
      </c>
      <c r="F11" s="18" t="s">
        <v>3137</v>
      </c>
      <c r="G11" s="18" t="s">
        <v>3138</v>
      </c>
      <c r="H11" s="18" t="s">
        <v>76</v>
      </c>
      <c r="I11" s="18" t="s">
        <v>102</v>
      </c>
      <c r="J11" s="12" t="s">
        <v>53</v>
      </c>
      <c r="K11" s="12" t="s">
        <v>53</v>
      </c>
      <c r="L11" s="18" t="s">
        <v>958</v>
      </c>
      <c r="M11" s="18" t="s">
        <v>102</v>
      </c>
      <c r="N11" s="18" t="s">
        <v>62</v>
      </c>
      <c r="O11" s="163" t="s">
        <v>3121</v>
      </c>
      <c r="P11" s="18" t="s">
        <v>298</v>
      </c>
      <c r="Q11" s="18" t="s">
        <v>298</v>
      </c>
      <c r="R11" s="18" t="s">
        <v>298</v>
      </c>
      <c r="S11" s="12" t="s">
        <v>1219</v>
      </c>
      <c r="T11" s="151">
        <v>0</v>
      </c>
      <c r="U11" s="18" t="s">
        <v>3139</v>
      </c>
      <c r="V11" s="155">
        <v>0</v>
      </c>
      <c r="W11" s="132">
        <v>5.8500000000000003E-2</v>
      </c>
      <c r="X11" s="12" t="s">
        <v>620</v>
      </c>
      <c r="Y11" s="12" t="s">
        <v>62</v>
      </c>
      <c r="Z11" s="18" t="s">
        <v>302</v>
      </c>
      <c r="AA11" s="18" t="s">
        <v>304</v>
      </c>
      <c r="AC11" s="18"/>
      <c r="AD11" s="151">
        <v>496800</v>
      </c>
      <c r="AE11" s="156">
        <v>1</v>
      </c>
      <c r="AF11" s="150">
        <v>0</v>
      </c>
      <c r="AG11" s="151">
        <v>0</v>
      </c>
      <c r="AH11" s="18"/>
      <c r="AI11" s="18"/>
      <c r="AJ11" s="18" t="s">
        <v>17</v>
      </c>
      <c r="AK11" s="132">
        <v>0</v>
      </c>
      <c r="AL11" s="132">
        <v>0</v>
      </c>
    </row>
    <row r="12" spans="1:38" x14ac:dyDescent="0.2">
      <c r="A12" s="18">
        <v>559</v>
      </c>
      <c r="B12" s="18">
        <v>556</v>
      </c>
      <c r="C12" s="18" t="s">
        <v>3140</v>
      </c>
      <c r="D12" s="18" t="s">
        <v>3141</v>
      </c>
      <c r="E12" s="12" t="s">
        <v>1477</v>
      </c>
      <c r="F12" s="18" t="s">
        <v>3142</v>
      </c>
      <c r="G12" s="18" t="s">
        <v>3143</v>
      </c>
      <c r="H12" s="18" t="s">
        <v>76</v>
      </c>
      <c r="I12" s="18" t="s">
        <v>102</v>
      </c>
      <c r="J12" s="12" t="s">
        <v>53</v>
      </c>
      <c r="K12" s="12" t="s">
        <v>53</v>
      </c>
      <c r="L12" s="18" t="s">
        <v>958</v>
      </c>
      <c r="M12" s="18" t="s">
        <v>639</v>
      </c>
      <c r="N12" s="18" t="s">
        <v>62</v>
      </c>
      <c r="O12" s="163" t="s">
        <v>3144</v>
      </c>
      <c r="P12" s="18" t="s">
        <v>1753</v>
      </c>
      <c r="Q12" s="18" t="s">
        <v>70</v>
      </c>
      <c r="R12" s="18" t="s">
        <v>57</v>
      </c>
      <c r="S12" s="12" t="s">
        <v>1219</v>
      </c>
      <c r="T12" s="151">
        <v>0</v>
      </c>
      <c r="U12" s="18" t="s">
        <v>3145</v>
      </c>
      <c r="V12" s="155">
        <v>0</v>
      </c>
      <c r="W12" s="132">
        <v>0.06</v>
      </c>
      <c r="X12" s="12" t="s">
        <v>620</v>
      </c>
      <c r="Y12" s="12" t="s">
        <v>55</v>
      </c>
      <c r="Z12" s="18" t="s">
        <v>302</v>
      </c>
      <c r="AA12" s="18" t="s">
        <v>304</v>
      </c>
      <c r="AC12" s="18"/>
      <c r="AD12" s="151">
        <v>194298.72</v>
      </c>
      <c r="AE12" s="156">
        <v>1</v>
      </c>
      <c r="AF12" s="150">
        <v>0</v>
      </c>
      <c r="AG12" s="151">
        <v>0</v>
      </c>
      <c r="AH12" s="18"/>
      <c r="AI12" s="18"/>
      <c r="AJ12" s="18" t="s">
        <v>17</v>
      </c>
      <c r="AK12" s="132">
        <v>0</v>
      </c>
      <c r="AL12" s="132">
        <v>0</v>
      </c>
    </row>
    <row r="13" spans="1:38" x14ac:dyDescent="0.2">
      <c r="A13" s="18">
        <v>559</v>
      </c>
      <c r="B13" s="18">
        <v>556</v>
      </c>
      <c r="C13" s="18" t="s">
        <v>3146</v>
      </c>
      <c r="D13" s="18" t="s">
        <v>3147</v>
      </c>
      <c r="E13" s="12" t="s">
        <v>1477</v>
      </c>
      <c r="F13" s="18" t="s">
        <v>3148</v>
      </c>
      <c r="G13" s="18" t="s">
        <v>3149</v>
      </c>
      <c r="H13" s="18" t="s">
        <v>76</v>
      </c>
      <c r="I13" s="18" t="s">
        <v>229</v>
      </c>
      <c r="J13" s="12" t="s">
        <v>53</v>
      </c>
      <c r="K13" s="12" t="s">
        <v>53</v>
      </c>
      <c r="L13" s="18" t="s">
        <v>958</v>
      </c>
      <c r="M13" s="18" t="s">
        <v>692</v>
      </c>
      <c r="N13" s="18" t="s">
        <v>62</v>
      </c>
      <c r="O13" s="163" t="s">
        <v>3121</v>
      </c>
      <c r="P13" s="18" t="s">
        <v>1753</v>
      </c>
      <c r="Q13" s="18" t="s">
        <v>65</v>
      </c>
      <c r="R13" s="18" t="s">
        <v>57</v>
      </c>
      <c r="S13" s="12" t="s">
        <v>1219</v>
      </c>
      <c r="T13" s="151">
        <v>0</v>
      </c>
      <c r="U13" s="18" t="s">
        <v>3150</v>
      </c>
      <c r="V13" s="155">
        <v>0</v>
      </c>
      <c r="W13" s="132">
        <v>5.3499999999999999E-2</v>
      </c>
      <c r="X13" s="12" t="s">
        <v>620</v>
      </c>
      <c r="Y13" s="12" t="s">
        <v>55</v>
      </c>
      <c r="Z13" s="18" t="s">
        <v>302</v>
      </c>
      <c r="AA13" s="18" t="s">
        <v>304</v>
      </c>
      <c r="AB13" s="6" t="s">
        <v>2313</v>
      </c>
      <c r="AC13" s="18"/>
      <c r="AD13" s="151">
        <v>276019.92</v>
      </c>
      <c r="AE13" s="156">
        <v>1</v>
      </c>
      <c r="AF13" s="150">
        <v>0</v>
      </c>
      <c r="AG13" s="151">
        <v>0</v>
      </c>
      <c r="AH13" s="18"/>
      <c r="AI13" s="18"/>
      <c r="AJ13" s="18" t="s">
        <v>17</v>
      </c>
      <c r="AK13" s="132">
        <v>4.8077528829627199E-10</v>
      </c>
      <c r="AL13" s="132">
        <v>8.2767906545319302E-12</v>
      </c>
    </row>
    <row r="14" spans="1:38" x14ac:dyDescent="0.2">
      <c r="A14" s="18">
        <v>559</v>
      </c>
      <c r="B14" s="18">
        <v>556</v>
      </c>
      <c r="C14" s="18" t="s">
        <v>3151</v>
      </c>
      <c r="D14" s="18" t="s">
        <v>3152</v>
      </c>
      <c r="E14" s="12" t="s">
        <v>1477</v>
      </c>
      <c r="F14" s="18" t="s">
        <v>3153</v>
      </c>
      <c r="G14" s="18" t="s">
        <v>3154</v>
      </c>
      <c r="H14" s="18" t="s">
        <v>76</v>
      </c>
      <c r="I14" s="18" t="s">
        <v>102</v>
      </c>
      <c r="J14" s="12" t="s">
        <v>53</v>
      </c>
      <c r="K14" s="12" t="s">
        <v>53</v>
      </c>
      <c r="L14" s="18" t="s">
        <v>958</v>
      </c>
      <c r="M14" s="18" t="s">
        <v>102</v>
      </c>
      <c r="N14" s="18" t="s">
        <v>62</v>
      </c>
      <c r="O14" s="163" t="s">
        <v>3155</v>
      </c>
      <c r="P14" s="18" t="s">
        <v>298</v>
      </c>
      <c r="Q14" s="18" t="s">
        <v>298</v>
      </c>
      <c r="R14" s="18" t="s">
        <v>298</v>
      </c>
      <c r="S14" s="12" t="s">
        <v>1219</v>
      </c>
      <c r="T14" s="151">
        <v>0.01</v>
      </c>
      <c r="U14" s="18" t="s">
        <v>3156</v>
      </c>
      <c r="V14" s="155">
        <v>1E-4</v>
      </c>
      <c r="W14" s="132">
        <v>6.4500000000000002E-2</v>
      </c>
      <c r="X14" s="12" t="s">
        <v>620</v>
      </c>
      <c r="Y14" s="12" t="s">
        <v>55</v>
      </c>
      <c r="Z14" s="18" t="s">
        <v>302</v>
      </c>
      <c r="AA14" s="18" t="s">
        <v>304</v>
      </c>
      <c r="AB14" s="6" t="s">
        <v>3157</v>
      </c>
      <c r="AC14" s="18"/>
      <c r="AD14" s="151">
        <v>99201.36</v>
      </c>
      <c r="AE14" s="156">
        <v>1</v>
      </c>
      <c r="AF14" s="150">
        <v>0</v>
      </c>
      <c r="AG14" s="151">
        <v>0</v>
      </c>
      <c r="AH14" s="18"/>
      <c r="AI14" s="18"/>
      <c r="AJ14" s="18" t="s">
        <v>17</v>
      </c>
      <c r="AK14" s="132">
        <v>1.7279029156077701E-10</v>
      </c>
      <c r="AL14" s="132">
        <v>2.9746725865468599E-12</v>
      </c>
    </row>
    <row r="15" spans="1:38" x14ac:dyDescent="0.2">
      <c r="A15" s="18">
        <v>559</v>
      </c>
      <c r="B15" s="18">
        <v>556</v>
      </c>
      <c r="C15" s="18" t="s">
        <v>3151</v>
      </c>
      <c r="D15" s="18" t="s">
        <v>3152</v>
      </c>
      <c r="E15" s="12" t="s">
        <v>1477</v>
      </c>
      <c r="F15" s="18" t="s">
        <v>3158</v>
      </c>
      <c r="G15" s="18" t="s">
        <v>3159</v>
      </c>
      <c r="H15" s="18" t="s">
        <v>76</v>
      </c>
      <c r="I15" s="18" t="s">
        <v>102</v>
      </c>
      <c r="J15" s="12" t="s">
        <v>53</v>
      </c>
      <c r="K15" s="12" t="s">
        <v>53</v>
      </c>
      <c r="L15" s="18" t="s">
        <v>958</v>
      </c>
      <c r="M15" s="18" t="s">
        <v>102</v>
      </c>
      <c r="N15" s="18" t="s">
        <v>62</v>
      </c>
      <c r="O15" s="163" t="s">
        <v>3155</v>
      </c>
      <c r="P15" s="18" t="s">
        <v>1753</v>
      </c>
      <c r="Q15" s="18" t="s">
        <v>70</v>
      </c>
      <c r="R15" s="18" t="s">
        <v>57</v>
      </c>
      <c r="S15" s="12" t="s">
        <v>1219</v>
      </c>
      <c r="T15" s="151">
        <v>0.01</v>
      </c>
      <c r="U15" s="18" t="s">
        <v>3156</v>
      </c>
      <c r="V15" s="155">
        <v>1E-4</v>
      </c>
      <c r="W15" s="132">
        <v>5.7000000000000002E-2</v>
      </c>
      <c r="X15" s="12" t="s">
        <v>620</v>
      </c>
      <c r="Y15" s="12" t="s">
        <v>55</v>
      </c>
      <c r="Z15" s="18" t="s">
        <v>302</v>
      </c>
      <c r="AA15" s="18" t="s">
        <v>304</v>
      </c>
      <c r="AB15" s="6" t="s">
        <v>3157</v>
      </c>
      <c r="AC15" s="18"/>
      <c r="AD15" s="151">
        <v>442000.69</v>
      </c>
      <c r="AE15" s="156">
        <v>1</v>
      </c>
      <c r="AF15" s="150">
        <v>0</v>
      </c>
      <c r="AG15" s="151">
        <v>0</v>
      </c>
      <c r="AH15" s="18"/>
      <c r="AI15" s="18"/>
      <c r="AJ15" s="18" t="s">
        <v>17</v>
      </c>
      <c r="AK15" s="132">
        <v>7.6988287353282698E-10</v>
      </c>
      <c r="AL15" s="132">
        <v>1.3253924500408E-11</v>
      </c>
    </row>
    <row r="16" spans="1:38" x14ac:dyDescent="0.2">
      <c r="A16" s="18">
        <v>559</v>
      </c>
      <c r="B16" s="18">
        <v>556</v>
      </c>
      <c r="C16" s="18" t="s">
        <v>3160</v>
      </c>
      <c r="D16" s="18" t="s">
        <v>3161</v>
      </c>
      <c r="E16" s="12" t="s">
        <v>1477</v>
      </c>
      <c r="F16" s="18" t="s">
        <v>3162</v>
      </c>
      <c r="G16" s="18" t="s">
        <v>3163</v>
      </c>
      <c r="H16" s="18" t="s">
        <v>76</v>
      </c>
      <c r="I16" s="18" t="s">
        <v>229</v>
      </c>
      <c r="J16" s="12" t="s">
        <v>53</v>
      </c>
      <c r="K16" s="12" t="s">
        <v>53</v>
      </c>
      <c r="L16" s="18" t="s">
        <v>958</v>
      </c>
      <c r="M16" s="18" t="s">
        <v>140</v>
      </c>
      <c r="N16" s="18" t="s">
        <v>62</v>
      </c>
      <c r="O16" s="163" t="s">
        <v>3121</v>
      </c>
      <c r="P16" s="18" t="s">
        <v>298</v>
      </c>
      <c r="Q16" s="18" t="s">
        <v>298</v>
      </c>
      <c r="R16" s="18" t="s">
        <v>298</v>
      </c>
      <c r="S16" s="12" t="s">
        <v>1219</v>
      </c>
      <c r="T16" s="151">
        <v>0</v>
      </c>
      <c r="U16" s="18" t="s">
        <v>3129</v>
      </c>
      <c r="V16" s="155">
        <v>0</v>
      </c>
      <c r="W16" s="132">
        <v>7.0999999999999994E-2</v>
      </c>
      <c r="X16" s="12" t="s">
        <v>620</v>
      </c>
      <c r="Y16" s="12" t="s">
        <v>55</v>
      </c>
      <c r="Z16" s="18" t="s">
        <v>302</v>
      </c>
      <c r="AA16" s="18" t="s">
        <v>304</v>
      </c>
      <c r="AB16" s="6" t="s">
        <v>3164</v>
      </c>
      <c r="AC16" s="18"/>
      <c r="AD16" s="151">
        <v>274.97000000000003</v>
      </c>
      <c r="AE16" s="156">
        <v>1</v>
      </c>
      <c r="AF16" s="150">
        <v>0</v>
      </c>
      <c r="AG16" s="151">
        <v>0</v>
      </c>
      <c r="AH16" s="18"/>
      <c r="AI16" s="18"/>
      <c r="AJ16" s="18" t="s">
        <v>17</v>
      </c>
      <c r="AK16" s="132">
        <v>4.7894652321769397E-13</v>
      </c>
      <c r="AL16" s="132">
        <v>8.245307535328E-15</v>
      </c>
    </row>
    <row r="17" spans="1:38" x14ac:dyDescent="0.2">
      <c r="A17" s="18">
        <v>559</v>
      </c>
      <c r="B17" s="18">
        <v>556</v>
      </c>
      <c r="C17" s="18" t="s">
        <v>3160</v>
      </c>
      <c r="D17" s="18" t="s">
        <v>3161</v>
      </c>
      <c r="E17" s="12" t="s">
        <v>1477</v>
      </c>
      <c r="F17" s="18" t="s">
        <v>3165</v>
      </c>
      <c r="G17" s="18" t="s">
        <v>3166</v>
      </c>
      <c r="H17" s="18" t="s">
        <v>78</v>
      </c>
      <c r="I17" s="18" t="s">
        <v>229</v>
      </c>
      <c r="J17" s="12" t="s">
        <v>53</v>
      </c>
      <c r="K17" s="12" t="s">
        <v>61</v>
      </c>
      <c r="L17" s="18" t="s">
        <v>958</v>
      </c>
      <c r="M17" s="18" t="s">
        <v>102</v>
      </c>
      <c r="N17" s="18" t="s">
        <v>62</v>
      </c>
      <c r="O17" s="163" t="s">
        <v>3155</v>
      </c>
      <c r="P17" s="18" t="s">
        <v>298</v>
      </c>
      <c r="Q17" s="18" t="s">
        <v>298</v>
      </c>
      <c r="R17" s="18" t="s">
        <v>298</v>
      </c>
      <c r="S17" s="12" t="s">
        <v>1219</v>
      </c>
      <c r="T17" s="151">
        <v>0</v>
      </c>
      <c r="U17" s="18" t="s">
        <v>3167</v>
      </c>
      <c r="V17" s="155">
        <v>0</v>
      </c>
      <c r="W17" s="132">
        <v>7.0999999999999994E-2</v>
      </c>
      <c r="X17" s="12" t="s">
        <v>620</v>
      </c>
      <c r="Y17" s="12" t="s">
        <v>62</v>
      </c>
      <c r="Z17" s="18" t="s">
        <v>302</v>
      </c>
      <c r="AA17" s="18" t="s">
        <v>304</v>
      </c>
      <c r="AB17" s="6" t="s">
        <v>3164</v>
      </c>
      <c r="AC17" s="18"/>
      <c r="AD17" s="151">
        <v>91.67</v>
      </c>
      <c r="AE17" s="156">
        <v>1</v>
      </c>
      <c r="AF17" s="150">
        <v>0</v>
      </c>
      <c r="AG17" s="151">
        <v>0</v>
      </c>
      <c r="AH17" s="18"/>
      <c r="AI17" s="18"/>
      <c r="AJ17" s="18" t="s">
        <v>17</v>
      </c>
      <c r="AK17" s="132">
        <v>1.5967206525572199E-13</v>
      </c>
      <c r="AL17" s="132">
        <v>2.7488356612122003E-15</v>
      </c>
    </row>
    <row r="18" spans="1:38" x14ac:dyDescent="0.2">
      <c r="A18" s="18">
        <v>559</v>
      </c>
      <c r="B18" s="18">
        <v>556</v>
      </c>
      <c r="C18" s="18" t="s">
        <v>3168</v>
      </c>
      <c r="D18" s="18" t="s">
        <v>3169</v>
      </c>
      <c r="E18" s="12" t="s">
        <v>78</v>
      </c>
      <c r="F18" s="18" t="s">
        <v>3170</v>
      </c>
      <c r="G18" s="18" t="s">
        <v>3171</v>
      </c>
      <c r="H18" s="18" t="s">
        <v>76</v>
      </c>
      <c r="I18" s="18" t="s">
        <v>102</v>
      </c>
      <c r="J18" s="12" t="s">
        <v>53</v>
      </c>
      <c r="K18" s="12" t="s">
        <v>53</v>
      </c>
      <c r="L18" s="18" t="s">
        <v>958</v>
      </c>
      <c r="M18" s="18" t="s">
        <v>140</v>
      </c>
      <c r="N18" s="18" t="s">
        <v>62</v>
      </c>
      <c r="O18" s="163" t="s">
        <v>3172</v>
      </c>
      <c r="P18" s="18" t="s">
        <v>1753</v>
      </c>
      <c r="Q18" s="18" t="s">
        <v>65</v>
      </c>
      <c r="R18" s="18" t="s">
        <v>57</v>
      </c>
      <c r="S18" s="12" t="s">
        <v>1219</v>
      </c>
      <c r="T18" s="151">
        <v>0</v>
      </c>
      <c r="U18" s="18" t="s">
        <v>3173</v>
      </c>
      <c r="V18" s="155">
        <v>0</v>
      </c>
      <c r="W18" s="132">
        <v>8.8499999999999995E-2</v>
      </c>
      <c r="X18" s="12" t="s">
        <v>620</v>
      </c>
      <c r="Y18" s="12" t="s">
        <v>55</v>
      </c>
      <c r="Z18" s="18" t="s">
        <v>302</v>
      </c>
      <c r="AA18" s="18" t="s">
        <v>304</v>
      </c>
      <c r="AB18" s="6" t="s">
        <v>3174</v>
      </c>
      <c r="AC18" s="18"/>
      <c r="AD18" s="151">
        <v>140740</v>
      </c>
      <c r="AE18" s="156">
        <v>1</v>
      </c>
      <c r="AF18" s="150">
        <v>0</v>
      </c>
      <c r="AG18" s="151">
        <v>0</v>
      </c>
      <c r="AH18" s="18"/>
      <c r="AI18" s="18"/>
      <c r="AJ18" s="18" t="s">
        <v>17</v>
      </c>
      <c r="AK18" s="132">
        <v>2.4514286532224701E-10</v>
      </c>
      <c r="AL18" s="132">
        <v>4.2202588737755701E-12</v>
      </c>
    </row>
    <row r="19" spans="1:38" x14ac:dyDescent="0.2">
      <c r="A19" s="18">
        <v>559</v>
      </c>
      <c r="B19" s="18">
        <v>556</v>
      </c>
      <c r="C19" s="18" t="s">
        <v>3096</v>
      </c>
      <c r="D19" s="18" t="s">
        <v>3097</v>
      </c>
      <c r="E19" s="12" t="s">
        <v>1477</v>
      </c>
      <c r="F19" s="18" t="s">
        <v>3098</v>
      </c>
      <c r="G19" s="18" t="s">
        <v>3099</v>
      </c>
      <c r="H19" s="18" t="s">
        <v>76</v>
      </c>
      <c r="I19" s="18" t="s">
        <v>229</v>
      </c>
      <c r="J19" s="12" t="s">
        <v>53</v>
      </c>
      <c r="K19" s="12" t="s">
        <v>53</v>
      </c>
      <c r="L19" s="18" t="s">
        <v>958</v>
      </c>
      <c r="M19" s="18" t="s">
        <v>635</v>
      </c>
      <c r="N19" s="18" t="s">
        <v>62</v>
      </c>
      <c r="O19" s="163" t="s">
        <v>3100</v>
      </c>
      <c r="P19" s="18" t="s">
        <v>1493</v>
      </c>
      <c r="Q19" s="18" t="s">
        <v>65</v>
      </c>
      <c r="R19" s="18" t="s">
        <v>57</v>
      </c>
      <c r="S19" s="12" t="s">
        <v>1219</v>
      </c>
      <c r="T19" s="151">
        <v>3.16</v>
      </c>
      <c r="U19" s="18" t="s">
        <v>1590</v>
      </c>
      <c r="V19" s="155">
        <v>3.4000000000000002E-2</v>
      </c>
      <c r="W19" s="132">
        <v>3.8399999999999997E-2</v>
      </c>
      <c r="X19" s="12" t="s">
        <v>620</v>
      </c>
      <c r="Y19" s="12" t="s">
        <v>62</v>
      </c>
      <c r="Z19" s="18" t="s">
        <v>775</v>
      </c>
      <c r="AA19" s="18" t="s">
        <v>305</v>
      </c>
      <c r="AB19" s="6" t="s">
        <v>2313</v>
      </c>
      <c r="AC19" s="18"/>
      <c r="AD19" s="151">
        <v>270000</v>
      </c>
      <c r="AE19" s="156">
        <v>1</v>
      </c>
      <c r="AF19" s="150">
        <v>104.58</v>
      </c>
      <c r="AG19" s="151">
        <v>282.36599999999999</v>
      </c>
      <c r="AH19" s="18"/>
      <c r="AI19" s="18"/>
      <c r="AJ19" s="18" t="s">
        <v>17</v>
      </c>
      <c r="AK19" s="132">
        <v>4.9182897761533E-2</v>
      </c>
      <c r="AL19" s="132">
        <v>8.4670855275864197E-4</v>
      </c>
    </row>
    <row r="20" spans="1:38" x14ac:dyDescent="0.2">
      <c r="A20" s="6">
        <v>559</v>
      </c>
      <c r="B20" s="6">
        <v>556</v>
      </c>
      <c r="C20" s="6" t="s">
        <v>3175</v>
      </c>
      <c r="D20" s="6" t="s">
        <v>3176</v>
      </c>
      <c r="E20" s="12" t="s">
        <v>1477</v>
      </c>
      <c r="F20" s="6" t="s">
        <v>3177</v>
      </c>
      <c r="G20" s="6" t="s">
        <v>3178</v>
      </c>
      <c r="H20" s="18" t="s">
        <v>76</v>
      </c>
      <c r="I20" s="18" t="s">
        <v>228</v>
      </c>
      <c r="J20" s="12" t="s">
        <v>53</v>
      </c>
      <c r="K20" s="12" t="s">
        <v>53</v>
      </c>
      <c r="L20" s="18" t="s">
        <v>958</v>
      </c>
      <c r="M20" s="18" t="s">
        <v>75</v>
      </c>
      <c r="N20" s="18" t="s">
        <v>62</v>
      </c>
      <c r="O20" s="164" t="s">
        <v>3179</v>
      </c>
      <c r="P20" s="6" t="s">
        <v>1515</v>
      </c>
      <c r="Q20" s="18" t="s">
        <v>96</v>
      </c>
      <c r="R20" s="18" t="s">
        <v>57</v>
      </c>
      <c r="S20" s="6" t="s">
        <v>1219</v>
      </c>
      <c r="T20" s="131">
        <v>0.91</v>
      </c>
      <c r="U20" s="6" t="s">
        <v>1595</v>
      </c>
      <c r="V20" s="132">
        <v>5.28E-2</v>
      </c>
      <c r="W20" s="132">
        <v>4.2999999999999997E-2</v>
      </c>
      <c r="X20" s="12" t="s">
        <v>620</v>
      </c>
      <c r="Y20" s="12" t="s">
        <v>62</v>
      </c>
      <c r="Z20" s="6" t="s">
        <v>775</v>
      </c>
      <c r="AA20" s="18" t="s">
        <v>305</v>
      </c>
      <c r="AB20" s="6" t="s">
        <v>2313</v>
      </c>
      <c r="AD20" s="131">
        <v>210000</v>
      </c>
      <c r="AE20" s="129">
        <v>1</v>
      </c>
      <c r="AF20" s="157">
        <v>99.19</v>
      </c>
      <c r="AG20" s="131">
        <v>208.29900000000001</v>
      </c>
      <c r="AJ20" s="18" t="s">
        <v>17</v>
      </c>
      <c r="AK20" s="132">
        <v>3.6281805956912501E-2</v>
      </c>
      <c r="AL20" s="132">
        <v>6.2460970807771596E-4</v>
      </c>
    </row>
    <row r="21" spans="1:38" x14ac:dyDescent="0.2">
      <c r="A21" s="6">
        <v>559</v>
      </c>
      <c r="B21" s="6">
        <v>556</v>
      </c>
      <c r="C21" s="6" t="s">
        <v>3180</v>
      </c>
      <c r="D21" s="6" t="s">
        <v>3181</v>
      </c>
      <c r="E21" s="3" t="s">
        <v>1477</v>
      </c>
      <c r="F21" s="6" t="s">
        <v>3182</v>
      </c>
      <c r="G21" s="6" t="s">
        <v>3183</v>
      </c>
      <c r="H21" s="6" t="s">
        <v>76</v>
      </c>
      <c r="I21" s="6" t="s">
        <v>229</v>
      </c>
      <c r="J21" s="6" t="s">
        <v>53</v>
      </c>
      <c r="K21" s="6" t="s">
        <v>53</v>
      </c>
      <c r="L21" s="6" t="s">
        <v>958</v>
      </c>
      <c r="M21" s="6" t="s">
        <v>102</v>
      </c>
      <c r="N21" s="6" t="s">
        <v>62</v>
      </c>
      <c r="O21" s="164" t="s">
        <v>3121</v>
      </c>
      <c r="P21" s="6" t="s">
        <v>298</v>
      </c>
      <c r="Q21" s="6" t="s">
        <v>298</v>
      </c>
      <c r="R21" s="6" t="s">
        <v>298</v>
      </c>
      <c r="S21" s="6" t="s">
        <v>1219</v>
      </c>
      <c r="T21" s="131">
        <v>0</v>
      </c>
      <c r="U21" s="6" t="s">
        <v>3109</v>
      </c>
      <c r="V21" s="132">
        <v>0</v>
      </c>
      <c r="W21" s="132">
        <v>4.4999999999999998E-2</v>
      </c>
      <c r="X21" s="3" t="s">
        <v>620</v>
      </c>
      <c r="Y21" s="3" t="s">
        <v>55</v>
      </c>
      <c r="Z21" s="6" t="s">
        <v>302</v>
      </c>
      <c r="AA21" s="6" t="s">
        <v>304</v>
      </c>
      <c r="AB21" s="6" t="s">
        <v>3164</v>
      </c>
      <c r="AD21" s="131">
        <v>223549.34</v>
      </c>
      <c r="AE21" s="129">
        <v>1</v>
      </c>
      <c r="AF21" s="157">
        <v>3.26</v>
      </c>
      <c r="AG21" s="131">
        <v>7.2880000000000003</v>
      </c>
      <c r="AJ21" s="6" t="s">
        <v>17</v>
      </c>
      <c r="AK21" s="132">
        <v>1.26938307474848E-3</v>
      </c>
      <c r="AL21" s="132">
        <v>2.1853074036585601E-5</v>
      </c>
    </row>
    <row r="22" spans="1:38" x14ac:dyDescent="0.2">
      <c r="A22" s="6">
        <v>559</v>
      </c>
      <c r="B22" s="6">
        <v>556</v>
      </c>
      <c r="C22" s="6" t="s">
        <v>3184</v>
      </c>
      <c r="D22" s="6" t="s">
        <v>3185</v>
      </c>
      <c r="E22" s="3" t="s">
        <v>1477</v>
      </c>
      <c r="F22" s="6" t="s">
        <v>3186</v>
      </c>
      <c r="G22" s="6" t="s">
        <v>3187</v>
      </c>
      <c r="H22" s="6" t="s">
        <v>76</v>
      </c>
      <c r="I22" s="6" t="s">
        <v>229</v>
      </c>
      <c r="J22" s="6" t="s">
        <v>53</v>
      </c>
      <c r="K22" s="6" t="s">
        <v>53</v>
      </c>
      <c r="L22" s="6" t="s">
        <v>958</v>
      </c>
      <c r="M22" s="6" t="s">
        <v>102</v>
      </c>
      <c r="N22" s="6" t="s">
        <v>62</v>
      </c>
      <c r="O22" s="164" t="s">
        <v>3121</v>
      </c>
      <c r="P22" s="6" t="s">
        <v>298</v>
      </c>
      <c r="Q22" s="6" t="s">
        <v>298</v>
      </c>
      <c r="R22" s="6" t="s">
        <v>298</v>
      </c>
      <c r="S22" s="6" t="s">
        <v>1219</v>
      </c>
      <c r="T22" s="131">
        <v>0</v>
      </c>
      <c r="U22" s="6" t="s">
        <v>3188</v>
      </c>
      <c r="V22" s="132">
        <v>0</v>
      </c>
      <c r="W22" s="132">
        <v>0.05</v>
      </c>
      <c r="X22" s="3" t="s">
        <v>620</v>
      </c>
      <c r="Y22" s="3" t="s">
        <v>55</v>
      </c>
      <c r="Z22" s="6" t="s">
        <v>302</v>
      </c>
      <c r="AA22" s="6" t="s">
        <v>304</v>
      </c>
      <c r="AB22" s="6" t="s">
        <v>3189</v>
      </c>
      <c r="AD22" s="131">
        <v>12500</v>
      </c>
      <c r="AE22" s="129">
        <v>1</v>
      </c>
      <c r="AF22" s="157">
        <v>1</v>
      </c>
      <c r="AG22" s="131">
        <v>0.125</v>
      </c>
      <c r="AJ22" s="6" t="s">
        <v>17</v>
      </c>
      <c r="AK22" s="132">
        <v>2.1772671710445401E-5</v>
      </c>
      <c r="AL22" s="132">
        <v>3.7482759643452202E-7</v>
      </c>
    </row>
    <row r="23" spans="1:38" x14ac:dyDescent="0.2">
      <c r="A23" s="6">
        <v>559</v>
      </c>
      <c r="B23" s="6">
        <v>556</v>
      </c>
      <c r="C23" s="6" t="s">
        <v>3190</v>
      </c>
      <c r="D23" s="6" t="s">
        <v>3191</v>
      </c>
      <c r="E23" s="3" t="s">
        <v>432</v>
      </c>
      <c r="F23" s="6" t="s">
        <v>3192</v>
      </c>
      <c r="G23" s="6" t="s">
        <v>3193</v>
      </c>
      <c r="H23" s="6" t="s">
        <v>76</v>
      </c>
      <c r="I23" s="6" t="s">
        <v>228</v>
      </c>
      <c r="J23" s="6" t="s">
        <v>53</v>
      </c>
      <c r="K23" s="6" t="s">
        <v>53</v>
      </c>
      <c r="L23" s="6" t="s">
        <v>958</v>
      </c>
      <c r="M23" s="6" t="s">
        <v>692</v>
      </c>
      <c r="N23" s="6" t="s">
        <v>62</v>
      </c>
      <c r="O23" s="164" t="s">
        <v>3194</v>
      </c>
      <c r="P23" s="6" t="s">
        <v>1493</v>
      </c>
      <c r="Q23" s="6" t="s">
        <v>65</v>
      </c>
      <c r="R23" s="6" t="s">
        <v>57</v>
      </c>
      <c r="S23" s="6" t="s">
        <v>1219</v>
      </c>
      <c r="T23" s="131">
        <v>1.91</v>
      </c>
      <c r="U23" s="6" t="s">
        <v>1590</v>
      </c>
      <c r="V23" s="132">
        <v>5.0999999999999997E-2</v>
      </c>
      <c r="W23" s="132">
        <v>2.86E-2</v>
      </c>
      <c r="X23" s="3" t="s">
        <v>620</v>
      </c>
      <c r="Y23" s="3" t="s">
        <v>62</v>
      </c>
      <c r="Z23" s="6" t="s">
        <v>775</v>
      </c>
      <c r="AA23" s="6" t="s">
        <v>305</v>
      </c>
      <c r="AB23" s="6" t="s">
        <v>2313</v>
      </c>
      <c r="AD23" s="131">
        <v>217142.9</v>
      </c>
      <c r="AE23" s="129">
        <v>1</v>
      </c>
      <c r="AF23" s="157">
        <v>97.29</v>
      </c>
      <c r="AG23" s="131">
        <v>211.25800000000001</v>
      </c>
      <c r="AJ23" s="6" t="s">
        <v>17</v>
      </c>
      <c r="AK23" s="132">
        <v>3.6797265670365703E-2</v>
      </c>
      <c r="AL23" s="132">
        <v>6.3348360871894104E-4</v>
      </c>
    </row>
    <row r="24" spans="1:38" x14ac:dyDescent="0.2">
      <c r="A24" s="6">
        <v>559</v>
      </c>
      <c r="B24" s="6">
        <v>556</v>
      </c>
      <c r="C24" s="6" t="s">
        <v>3195</v>
      </c>
      <c r="D24" s="6" t="s">
        <v>3196</v>
      </c>
      <c r="E24" s="3" t="s">
        <v>1477</v>
      </c>
      <c r="F24" s="6" t="s">
        <v>3197</v>
      </c>
      <c r="G24" s="6" t="s">
        <v>3198</v>
      </c>
      <c r="H24" s="6" t="s">
        <v>76</v>
      </c>
      <c r="I24" s="6" t="s">
        <v>228</v>
      </c>
      <c r="J24" s="6" t="s">
        <v>53</v>
      </c>
      <c r="K24" s="6" t="s">
        <v>53</v>
      </c>
      <c r="L24" s="6" t="s">
        <v>958</v>
      </c>
      <c r="M24" s="6" t="s">
        <v>692</v>
      </c>
      <c r="N24" s="6" t="s">
        <v>62</v>
      </c>
      <c r="O24" s="164" t="s">
        <v>3199</v>
      </c>
      <c r="P24" s="6" t="s">
        <v>1628</v>
      </c>
      <c r="Q24" s="6" t="s">
        <v>96</v>
      </c>
      <c r="R24" s="6" t="s">
        <v>57</v>
      </c>
      <c r="S24" s="6" t="s">
        <v>1219</v>
      </c>
      <c r="T24" s="131">
        <v>1.72</v>
      </c>
      <c r="U24" s="6" t="s">
        <v>1644</v>
      </c>
      <c r="V24" s="132">
        <v>5.21E-2</v>
      </c>
      <c r="W24" s="132">
        <v>4.4699999999999997E-2</v>
      </c>
      <c r="X24" s="3" t="s">
        <v>620</v>
      </c>
      <c r="Y24" s="3" t="s">
        <v>62</v>
      </c>
      <c r="Z24" s="6" t="s">
        <v>775</v>
      </c>
      <c r="AA24" s="6" t="s">
        <v>305</v>
      </c>
      <c r="AB24" s="6" t="s">
        <v>2313</v>
      </c>
      <c r="AD24" s="131">
        <v>304515.07</v>
      </c>
      <c r="AE24" s="129">
        <v>1</v>
      </c>
      <c r="AF24" s="157">
        <v>98.87</v>
      </c>
      <c r="AG24" s="131">
        <v>301.07400000000001</v>
      </c>
      <c r="AJ24" s="6" t="s">
        <v>17</v>
      </c>
      <c r="AK24" s="132">
        <v>5.2441491558787003E-2</v>
      </c>
      <c r="AL24" s="132">
        <v>9.0280689920985797E-4</v>
      </c>
    </row>
    <row r="25" spans="1:38" x14ac:dyDescent="0.2">
      <c r="A25" s="6">
        <v>559</v>
      </c>
      <c r="B25" s="6">
        <v>556</v>
      </c>
      <c r="C25" s="6" t="s">
        <v>3200</v>
      </c>
      <c r="D25" s="6" t="s">
        <v>3201</v>
      </c>
      <c r="E25" s="3" t="s">
        <v>1477</v>
      </c>
      <c r="F25" s="6" t="s">
        <v>3202</v>
      </c>
      <c r="G25" s="6" t="s">
        <v>3203</v>
      </c>
      <c r="H25" s="6" t="s">
        <v>76</v>
      </c>
      <c r="I25" s="6" t="s">
        <v>102</v>
      </c>
      <c r="J25" s="6" t="s">
        <v>53</v>
      </c>
      <c r="K25" s="6" t="s">
        <v>53</v>
      </c>
      <c r="L25" s="6" t="s">
        <v>958</v>
      </c>
      <c r="M25" s="6" t="s">
        <v>258</v>
      </c>
      <c r="N25" s="6" t="s">
        <v>62</v>
      </c>
      <c r="O25" s="164" t="s">
        <v>3204</v>
      </c>
      <c r="P25" s="6" t="s">
        <v>298</v>
      </c>
      <c r="Q25" s="6" t="s">
        <v>298</v>
      </c>
      <c r="R25" s="6" t="s">
        <v>298</v>
      </c>
      <c r="S25" s="6" t="s">
        <v>1219</v>
      </c>
      <c r="T25" s="131">
        <v>0.01</v>
      </c>
      <c r="U25" s="6" t="s">
        <v>3205</v>
      </c>
      <c r="V25" s="132">
        <v>1E-4</v>
      </c>
      <c r="W25" s="132">
        <v>7.3999999999999996E-2</v>
      </c>
      <c r="X25" s="3" t="s">
        <v>619</v>
      </c>
      <c r="Y25" s="3" t="s">
        <v>55</v>
      </c>
      <c r="Z25" s="6" t="s">
        <v>302</v>
      </c>
      <c r="AA25" s="6" t="s">
        <v>304</v>
      </c>
      <c r="AB25" s="6" t="s">
        <v>3206</v>
      </c>
      <c r="AD25" s="131">
        <v>94231.81</v>
      </c>
      <c r="AE25" s="129">
        <v>1</v>
      </c>
      <c r="AF25" s="157">
        <v>0</v>
      </c>
      <c r="AG25" s="131">
        <v>0</v>
      </c>
      <c r="AJ25" s="6" t="s">
        <v>17</v>
      </c>
      <c r="AK25" s="132">
        <v>1.6413426110488499E-8</v>
      </c>
      <c r="AL25" s="132">
        <v>2.8256546279979599E-10</v>
      </c>
    </row>
    <row r="26" spans="1:38" x14ac:dyDescent="0.2">
      <c r="A26" s="6">
        <v>559</v>
      </c>
      <c r="B26" s="6">
        <v>556</v>
      </c>
      <c r="C26" s="6" t="s">
        <v>3207</v>
      </c>
      <c r="D26" s="6" t="s">
        <v>3208</v>
      </c>
      <c r="E26" s="3" t="s">
        <v>1477</v>
      </c>
      <c r="F26" s="6" t="s">
        <v>3209</v>
      </c>
      <c r="G26" s="6" t="s">
        <v>3210</v>
      </c>
      <c r="H26" s="6" t="s">
        <v>76</v>
      </c>
      <c r="I26" s="6" t="s">
        <v>306</v>
      </c>
      <c r="J26" s="6" t="s">
        <v>53</v>
      </c>
      <c r="K26" s="6" t="s">
        <v>53</v>
      </c>
      <c r="L26" s="3" t="s">
        <v>958</v>
      </c>
      <c r="M26" s="6" t="s">
        <v>122</v>
      </c>
      <c r="N26" s="6" t="s">
        <v>62</v>
      </c>
      <c r="O26" s="164" t="s">
        <v>3211</v>
      </c>
      <c r="P26" s="6" t="s">
        <v>298</v>
      </c>
      <c r="Q26" s="6" t="s">
        <v>298</v>
      </c>
      <c r="R26" s="6" t="s">
        <v>298</v>
      </c>
      <c r="S26" s="6" t="s">
        <v>1219</v>
      </c>
      <c r="T26" s="131">
        <v>0.01</v>
      </c>
      <c r="U26" s="6" t="s">
        <v>3212</v>
      </c>
      <c r="V26" s="132">
        <v>1E-4</v>
      </c>
      <c r="W26" s="132">
        <v>4.4999999999999998E-2</v>
      </c>
      <c r="X26" s="3" t="s">
        <v>620</v>
      </c>
      <c r="Y26" s="3" t="s">
        <v>55</v>
      </c>
      <c r="Z26" s="6" t="s">
        <v>302</v>
      </c>
      <c r="AA26" s="6" t="s">
        <v>304</v>
      </c>
      <c r="AB26" s="6" t="s">
        <v>3213</v>
      </c>
      <c r="AD26" s="131">
        <v>604981.84</v>
      </c>
      <c r="AE26" s="129">
        <v>1</v>
      </c>
      <c r="AF26" s="157">
        <v>0</v>
      </c>
      <c r="AG26" s="131">
        <v>0</v>
      </c>
      <c r="AJ26" s="6" t="s">
        <v>17</v>
      </c>
      <c r="AK26" s="132">
        <v>1.0537656794481001E-9</v>
      </c>
      <c r="AL26" s="132">
        <v>1.8141111117898799E-11</v>
      </c>
    </row>
    <row r="27" spans="1:38" x14ac:dyDescent="0.2">
      <c r="A27" s="6">
        <v>559</v>
      </c>
      <c r="B27" s="6">
        <v>556</v>
      </c>
      <c r="C27" s="6" t="s">
        <v>1970</v>
      </c>
      <c r="D27" s="6" t="s">
        <v>1971</v>
      </c>
      <c r="E27" s="3" t="s">
        <v>1477</v>
      </c>
      <c r="F27" s="6" t="s">
        <v>3101</v>
      </c>
      <c r="G27" s="6" t="s">
        <v>3102</v>
      </c>
      <c r="H27" s="6" t="s">
        <v>76</v>
      </c>
      <c r="I27" s="6" t="s">
        <v>229</v>
      </c>
      <c r="J27" s="6" t="s">
        <v>53</v>
      </c>
      <c r="K27" s="6" t="s">
        <v>53</v>
      </c>
      <c r="L27" s="3" t="s">
        <v>958</v>
      </c>
      <c r="M27" s="6" t="s">
        <v>258</v>
      </c>
      <c r="N27" s="6" t="s">
        <v>62</v>
      </c>
      <c r="O27" s="164" t="s">
        <v>3214</v>
      </c>
      <c r="P27" s="6" t="s">
        <v>1213</v>
      </c>
      <c r="Q27" s="6" t="s">
        <v>65</v>
      </c>
      <c r="R27" s="6" t="s">
        <v>57</v>
      </c>
      <c r="S27" s="6" t="s">
        <v>1219</v>
      </c>
      <c r="T27" s="131">
        <v>8.8800000000000008</v>
      </c>
      <c r="U27" s="6" t="s">
        <v>3104</v>
      </c>
      <c r="V27" s="132">
        <v>3.0800000000000001E-2</v>
      </c>
      <c r="W27" s="132">
        <v>4.1000000000000002E-2</v>
      </c>
      <c r="X27" s="3" t="s">
        <v>620</v>
      </c>
      <c r="Y27" s="3" t="s">
        <v>62</v>
      </c>
      <c r="Z27" s="6" t="s">
        <v>775</v>
      </c>
      <c r="AA27" s="6" t="s">
        <v>3082</v>
      </c>
      <c r="AB27" s="6" t="s">
        <v>2313</v>
      </c>
      <c r="AD27" s="131">
        <v>1396154.24</v>
      </c>
      <c r="AE27" s="129">
        <v>1</v>
      </c>
      <c r="AF27" s="157">
        <v>137.31</v>
      </c>
      <c r="AG27" s="131">
        <v>1917.059</v>
      </c>
      <c r="AJ27" s="6" t="s">
        <v>17</v>
      </c>
      <c r="AK27" s="132">
        <v>0.333916037450875</v>
      </c>
      <c r="AL27" s="132">
        <v>5.7485340978436598E-3</v>
      </c>
    </row>
    <row r="28" spans="1:38" x14ac:dyDescent="0.2">
      <c r="A28" s="6">
        <v>559</v>
      </c>
      <c r="B28" s="6">
        <v>556</v>
      </c>
      <c r="C28" s="6" t="s">
        <v>2010</v>
      </c>
      <c r="D28" s="6" t="s">
        <v>2011</v>
      </c>
      <c r="E28" s="3" t="s">
        <v>1477</v>
      </c>
      <c r="F28" s="6" t="s">
        <v>3215</v>
      </c>
      <c r="G28" s="6" t="s">
        <v>3216</v>
      </c>
      <c r="H28" s="6" t="s">
        <v>76</v>
      </c>
      <c r="I28" s="6" t="s">
        <v>229</v>
      </c>
      <c r="J28" s="6" t="s">
        <v>53</v>
      </c>
      <c r="K28" s="6" t="s">
        <v>53</v>
      </c>
      <c r="L28" s="3" t="s">
        <v>958</v>
      </c>
      <c r="M28" s="6" t="s">
        <v>258</v>
      </c>
      <c r="N28" s="6" t="s">
        <v>62</v>
      </c>
      <c r="O28" s="164" t="s">
        <v>3217</v>
      </c>
      <c r="P28" s="6" t="s">
        <v>1339</v>
      </c>
      <c r="Q28" s="6" t="s">
        <v>65</v>
      </c>
      <c r="R28" s="6" t="s">
        <v>57</v>
      </c>
      <c r="S28" s="6" t="s">
        <v>1219</v>
      </c>
      <c r="T28" s="131">
        <v>0.83</v>
      </c>
      <c r="U28" s="6" t="s">
        <v>3218</v>
      </c>
      <c r="V28" s="132">
        <v>2.8899999999999999E-2</v>
      </c>
      <c r="W28" s="132">
        <v>5.6000000000000001E-2</v>
      </c>
      <c r="X28" s="3" t="s">
        <v>620</v>
      </c>
      <c r="Y28" s="3" t="s">
        <v>62</v>
      </c>
      <c r="Z28" s="6" t="s">
        <v>775</v>
      </c>
      <c r="AA28" s="6" t="s">
        <v>3082</v>
      </c>
      <c r="AB28" s="6" t="s">
        <v>2313</v>
      </c>
      <c r="AC28" s="6" t="s">
        <v>3219</v>
      </c>
      <c r="AD28" s="131">
        <v>104088.66</v>
      </c>
      <c r="AE28" s="129">
        <v>1</v>
      </c>
      <c r="AF28" s="157">
        <v>144.6</v>
      </c>
      <c r="AG28" s="131">
        <v>150.512</v>
      </c>
      <c r="AJ28" s="6" t="s">
        <v>17</v>
      </c>
      <c r="AK28" s="132">
        <v>2.6216422163203201E-2</v>
      </c>
      <c r="AL28" s="132">
        <v>4.5132901635732201E-4</v>
      </c>
    </row>
    <row r="29" spans="1:38" x14ac:dyDescent="0.2">
      <c r="A29" s="6">
        <v>559</v>
      </c>
      <c r="B29" s="6">
        <v>556</v>
      </c>
      <c r="C29" s="6" t="s">
        <v>3220</v>
      </c>
      <c r="D29" s="6" t="s">
        <v>3221</v>
      </c>
      <c r="E29" s="3" t="s">
        <v>1477</v>
      </c>
      <c r="F29" s="6" t="s">
        <v>3222</v>
      </c>
      <c r="G29" s="6" t="s">
        <v>3223</v>
      </c>
      <c r="H29" s="6" t="s">
        <v>76</v>
      </c>
      <c r="I29" s="6" t="s">
        <v>102</v>
      </c>
      <c r="J29" s="6" t="s">
        <v>53</v>
      </c>
      <c r="K29" s="6" t="s">
        <v>53</v>
      </c>
      <c r="L29" s="3" t="s">
        <v>958</v>
      </c>
      <c r="M29" s="6" t="s">
        <v>71</v>
      </c>
      <c r="N29" s="6" t="s">
        <v>62</v>
      </c>
      <c r="O29" s="164" t="s">
        <v>3224</v>
      </c>
      <c r="P29" s="6" t="s">
        <v>298</v>
      </c>
      <c r="Q29" s="6" t="s">
        <v>298</v>
      </c>
      <c r="R29" s="6" t="s">
        <v>298</v>
      </c>
      <c r="S29" s="6" t="s">
        <v>1219</v>
      </c>
      <c r="T29" s="131">
        <v>0.01</v>
      </c>
      <c r="U29" s="6" t="s">
        <v>3225</v>
      </c>
      <c r="V29" s="132">
        <v>1E-4</v>
      </c>
      <c r="W29" s="132">
        <v>7.0000000000000007E-2</v>
      </c>
      <c r="X29" s="3" t="s">
        <v>620</v>
      </c>
      <c r="Y29" s="3" t="s">
        <v>55</v>
      </c>
      <c r="Z29" s="6" t="s">
        <v>302</v>
      </c>
      <c r="AA29" s="6" t="s">
        <v>304</v>
      </c>
      <c r="AB29" s="6" t="s">
        <v>3226</v>
      </c>
      <c r="AD29" s="131">
        <v>38735</v>
      </c>
      <c r="AE29" s="129">
        <v>1</v>
      </c>
      <c r="AF29" s="157">
        <v>0</v>
      </c>
      <c r="AG29" s="131">
        <v>0</v>
      </c>
      <c r="AJ29" s="6" t="s">
        <v>17</v>
      </c>
      <c r="AK29" s="132">
        <v>6.7469155096328191E-11</v>
      </c>
      <c r="AL29" s="132">
        <v>1.1615157558312999E-12</v>
      </c>
    </row>
    <row r="30" spans="1:38" x14ac:dyDescent="0.2">
      <c r="A30" s="6">
        <v>559</v>
      </c>
      <c r="B30" s="6">
        <v>556</v>
      </c>
      <c r="C30" s="6" t="s">
        <v>3105</v>
      </c>
      <c r="D30" s="6" t="s">
        <v>3106</v>
      </c>
      <c r="E30" s="3" t="s">
        <v>767</v>
      </c>
      <c r="F30" s="6" t="s">
        <v>3107</v>
      </c>
      <c r="G30" s="6" t="s">
        <v>3108</v>
      </c>
      <c r="H30" s="6" t="s">
        <v>76</v>
      </c>
      <c r="I30" s="6" t="s">
        <v>228</v>
      </c>
      <c r="J30" s="6" t="s">
        <v>53</v>
      </c>
      <c r="K30" s="6" t="s">
        <v>204</v>
      </c>
      <c r="L30" s="3" t="s">
        <v>958</v>
      </c>
      <c r="M30" s="6" t="s">
        <v>140</v>
      </c>
      <c r="N30" s="6" t="s">
        <v>62</v>
      </c>
      <c r="O30" s="164" t="s">
        <v>3109</v>
      </c>
      <c r="P30" s="6" t="s">
        <v>298</v>
      </c>
      <c r="Q30" s="6" t="s">
        <v>298</v>
      </c>
      <c r="R30" s="6" t="s">
        <v>298</v>
      </c>
      <c r="S30" s="6" t="s">
        <v>1219</v>
      </c>
      <c r="T30" s="131">
        <v>3.28</v>
      </c>
      <c r="U30" s="6" t="s">
        <v>3110</v>
      </c>
      <c r="V30" s="132">
        <v>7.7100000000000002E-2</v>
      </c>
      <c r="W30" s="132">
        <v>9.5000000000000001E-2</v>
      </c>
      <c r="X30" s="3" t="s">
        <v>620</v>
      </c>
      <c r="Y30" s="3" t="s">
        <v>62</v>
      </c>
      <c r="Z30" s="6" t="s">
        <v>775</v>
      </c>
      <c r="AA30" s="6" t="s">
        <v>3082</v>
      </c>
      <c r="AB30" s="6" t="s">
        <v>2313</v>
      </c>
      <c r="AD30" s="131">
        <v>220000</v>
      </c>
      <c r="AE30" s="129">
        <v>1</v>
      </c>
      <c r="AF30" s="157">
        <v>107.89</v>
      </c>
      <c r="AG30" s="131">
        <v>237.358</v>
      </c>
      <c r="AJ30" s="6" t="s">
        <v>17</v>
      </c>
      <c r="AK30" s="132">
        <v>4.1343342494783199E-2</v>
      </c>
      <c r="AL30" s="132">
        <v>7.1174662907604199E-4</v>
      </c>
    </row>
    <row r="31" spans="1:38" x14ac:dyDescent="0.2">
      <c r="A31" s="6">
        <v>559</v>
      </c>
      <c r="B31" s="6">
        <v>556</v>
      </c>
      <c r="C31" s="6" t="s">
        <v>3200</v>
      </c>
      <c r="D31" s="6" t="s">
        <v>3201</v>
      </c>
      <c r="E31" s="3" t="s">
        <v>1477</v>
      </c>
      <c r="F31" s="6" t="s">
        <v>3227</v>
      </c>
      <c r="G31" s="6" t="s">
        <v>3203</v>
      </c>
      <c r="H31" s="6" t="s">
        <v>76</v>
      </c>
      <c r="I31" s="6" t="s">
        <v>102</v>
      </c>
      <c r="J31" s="6" t="s">
        <v>53</v>
      </c>
      <c r="K31" s="6" t="s">
        <v>53</v>
      </c>
      <c r="L31" s="3" t="s">
        <v>958</v>
      </c>
      <c r="M31" s="6" t="s">
        <v>258</v>
      </c>
      <c r="N31" s="6" t="s">
        <v>62</v>
      </c>
      <c r="O31" s="164" t="s">
        <v>3144</v>
      </c>
      <c r="P31" s="6" t="s">
        <v>3228</v>
      </c>
      <c r="Q31" s="6" t="s">
        <v>65</v>
      </c>
      <c r="R31" s="6" t="s">
        <v>57</v>
      </c>
      <c r="S31" s="6" t="s">
        <v>1219</v>
      </c>
      <c r="T31" s="131">
        <v>0</v>
      </c>
      <c r="U31" s="6" t="s">
        <v>3205</v>
      </c>
      <c r="V31" s="132">
        <v>0</v>
      </c>
      <c r="W31" s="132">
        <v>7.3999999999999996E-2</v>
      </c>
      <c r="X31" s="3" t="s">
        <v>620</v>
      </c>
      <c r="Y31" s="3" t="s">
        <v>55</v>
      </c>
      <c r="Z31" s="6" t="s">
        <v>302</v>
      </c>
      <c r="AA31" s="6" t="s">
        <v>304</v>
      </c>
      <c r="AD31" s="131">
        <v>33104</v>
      </c>
      <c r="AE31" s="129">
        <v>1</v>
      </c>
      <c r="AF31" s="157">
        <v>0</v>
      </c>
      <c r="AG31" s="131">
        <v>0</v>
      </c>
      <c r="AJ31" s="6" t="s">
        <v>17</v>
      </c>
      <c r="AK31" s="132">
        <v>0</v>
      </c>
      <c r="AL31" s="132">
        <v>0</v>
      </c>
    </row>
    <row r="32" spans="1:38" x14ac:dyDescent="0.2">
      <c r="A32" s="6">
        <v>559</v>
      </c>
      <c r="B32" s="6">
        <v>556</v>
      </c>
      <c r="C32" s="6" t="s">
        <v>3229</v>
      </c>
      <c r="D32" s="6" t="s">
        <v>3230</v>
      </c>
      <c r="E32" s="3" t="s">
        <v>1477</v>
      </c>
      <c r="F32" s="6" t="s">
        <v>3231</v>
      </c>
      <c r="G32" s="6" t="s">
        <v>3232</v>
      </c>
      <c r="H32" s="6" t="s">
        <v>76</v>
      </c>
      <c r="I32" s="6" t="s">
        <v>229</v>
      </c>
      <c r="J32" s="6" t="s">
        <v>53</v>
      </c>
      <c r="K32" s="6" t="s">
        <v>53</v>
      </c>
      <c r="L32" s="3" t="s">
        <v>958</v>
      </c>
      <c r="M32" s="6" t="s">
        <v>102</v>
      </c>
      <c r="N32" s="6" t="s">
        <v>62</v>
      </c>
      <c r="O32" s="164" t="s">
        <v>3172</v>
      </c>
      <c r="P32" s="6" t="s">
        <v>3228</v>
      </c>
      <c r="Q32" s="6" t="s">
        <v>65</v>
      </c>
      <c r="R32" s="6" t="s">
        <v>57</v>
      </c>
      <c r="S32" s="6" t="s">
        <v>1219</v>
      </c>
      <c r="T32" s="131">
        <v>0</v>
      </c>
      <c r="U32" s="6" t="s">
        <v>3225</v>
      </c>
      <c r="V32" s="132">
        <v>0</v>
      </c>
      <c r="W32" s="132">
        <v>5.5E-2</v>
      </c>
      <c r="X32" s="3" t="s">
        <v>620</v>
      </c>
      <c r="Y32" s="3" t="s">
        <v>62</v>
      </c>
      <c r="Z32" s="6" t="s">
        <v>302</v>
      </c>
      <c r="AA32" s="6" t="s">
        <v>304</v>
      </c>
      <c r="AB32" s="6" t="s">
        <v>3174</v>
      </c>
      <c r="AD32" s="131">
        <v>1261.8</v>
      </c>
      <c r="AE32" s="129">
        <v>1</v>
      </c>
      <c r="AF32" s="157">
        <v>251.18</v>
      </c>
      <c r="AG32" s="131">
        <v>3.169</v>
      </c>
      <c r="AJ32" s="6" t="s">
        <v>17</v>
      </c>
      <c r="AK32" s="132">
        <v>5.5204857156110397E-4</v>
      </c>
      <c r="AL32" s="132">
        <v>9.5037964079570894E-6</v>
      </c>
    </row>
    <row r="33" spans="1:38" x14ac:dyDescent="0.2">
      <c r="A33" s="6">
        <v>559</v>
      </c>
      <c r="B33" s="6">
        <v>556</v>
      </c>
      <c r="C33" s="6" t="s">
        <v>3084</v>
      </c>
      <c r="D33" s="6" t="s">
        <v>3085</v>
      </c>
      <c r="E33" s="3" t="s">
        <v>1477</v>
      </c>
      <c r="F33" s="6" t="s">
        <v>3233</v>
      </c>
      <c r="G33" s="6" t="s">
        <v>3234</v>
      </c>
      <c r="H33" s="6" t="s">
        <v>76</v>
      </c>
      <c r="I33" s="6" t="s">
        <v>228</v>
      </c>
      <c r="J33" s="6" t="s">
        <v>53</v>
      </c>
      <c r="K33" s="6" t="s">
        <v>53</v>
      </c>
      <c r="L33" s="3" t="s">
        <v>958</v>
      </c>
      <c r="M33" s="6" t="s">
        <v>638</v>
      </c>
      <c r="N33" s="6" t="s">
        <v>62</v>
      </c>
      <c r="O33" s="164" t="s">
        <v>3235</v>
      </c>
      <c r="P33" s="6" t="s">
        <v>1213</v>
      </c>
      <c r="Q33" s="6" t="s">
        <v>65</v>
      </c>
      <c r="R33" s="6" t="s">
        <v>57</v>
      </c>
      <c r="S33" s="6" t="s">
        <v>1219</v>
      </c>
      <c r="T33" s="131">
        <v>0.7</v>
      </c>
      <c r="U33" s="6" t="s">
        <v>3236</v>
      </c>
      <c r="V33" s="132">
        <v>4.7199999999999999E-2</v>
      </c>
      <c r="W33" s="132">
        <v>2.5000000000000001E-2</v>
      </c>
      <c r="X33" s="3" t="s">
        <v>620</v>
      </c>
      <c r="Y33" s="3" t="s">
        <v>62</v>
      </c>
      <c r="Z33" s="6" t="s">
        <v>775</v>
      </c>
      <c r="AA33" s="6" t="s">
        <v>3082</v>
      </c>
      <c r="AB33" s="6" t="s">
        <v>2313</v>
      </c>
      <c r="AD33" s="131">
        <v>89848.78</v>
      </c>
      <c r="AE33" s="129">
        <v>1</v>
      </c>
      <c r="AF33" s="157">
        <v>99.24</v>
      </c>
      <c r="AG33" s="131">
        <v>89.165999999999997</v>
      </c>
      <c r="AJ33" s="6" t="s">
        <v>17</v>
      </c>
      <c r="AK33" s="132">
        <v>1.5531044046368399E-2</v>
      </c>
      <c r="AL33" s="132">
        <v>2.6737480762299497E-4</v>
      </c>
    </row>
    <row r="34" spans="1:38" x14ac:dyDescent="0.2">
      <c r="A34" s="6">
        <v>559</v>
      </c>
      <c r="B34" s="6">
        <v>556</v>
      </c>
      <c r="C34" s="6" t="s">
        <v>3084</v>
      </c>
      <c r="D34" s="6" t="s">
        <v>3085</v>
      </c>
      <c r="E34" s="3" t="s">
        <v>1477</v>
      </c>
      <c r="F34" s="6" t="s">
        <v>3237</v>
      </c>
      <c r="G34" s="6" t="s">
        <v>3238</v>
      </c>
      <c r="H34" s="6" t="s">
        <v>76</v>
      </c>
      <c r="I34" s="6" t="s">
        <v>228</v>
      </c>
      <c r="J34" s="6" t="s">
        <v>53</v>
      </c>
      <c r="K34" s="6" t="s">
        <v>53</v>
      </c>
      <c r="L34" s="3" t="s">
        <v>958</v>
      </c>
      <c r="M34" s="6" t="s">
        <v>638</v>
      </c>
      <c r="N34" s="6" t="s">
        <v>62</v>
      </c>
      <c r="O34" s="164" t="s">
        <v>3235</v>
      </c>
      <c r="P34" s="6" t="s">
        <v>1213</v>
      </c>
      <c r="Q34" s="6" t="s">
        <v>65</v>
      </c>
      <c r="R34" s="6" t="s">
        <v>57</v>
      </c>
      <c r="S34" s="6" t="s">
        <v>1219</v>
      </c>
      <c r="T34" s="131">
        <v>4.13</v>
      </c>
      <c r="U34" s="6" t="s">
        <v>3239</v>
      </c>
      <c r="V34" s="132">
        <v>4.65E-2</v>
      </c>
      <c r="W34" s="132">
        <v>3.7400000000000003E-2</v>
      </c>
      <c r="X34" s="3" t="s">
        <v>620</v>
      </c>
      <c r="Y34" s="3" t="s">
        <v>62</v>
      </c>
      <c r="Z34" s="6" t="s">
        <v>775</v>
      </c>
      <c r="AA34" s="6" t="s">
        <v>3082</v>
      </c>
      <c r="AB34" s="6" t="s">
        <v>2313</v>
      </c>
      <c r="AD34" s="131">
        <v>321566.32</v>
      </c>
      <c r="AE34" s="129">
        <v>1</v>
      </c>
      <c r="AF34" s="157">
        <v>97.6</v>
      </c>
      <c r="AG34" s="131">
        <v>313.84899999999999</v>
      </c>
      <c r="AJ34" s="6" t="s">
        <v>17</v>
      </c>
      <c r="AK34" s="132">
        <v>5.4666602627617002E-2</v>
      </c>
      <c r="AL34" s="132">
        <v>9.4111331584173605E-4</v>
      </c>
    </row>
    <row r="35" spans="1:38" x14ac:dyDescent="0.2">
      <c r="A35" s="6">
        <v>559</v>
      </c>
      <c r="B35" s="6">
        <v>556</v>
      </c>
      <c r="C35" s="6" t="s">
        <v>3240</v>
      </c>
      <c r="D35" s="6" t="s">
        <v>3241</v>
      </c>
      <c r="E35" s="3" t="s">
        <v>1477</v>
      </c>
      <c r="F35" s="6" t="s">
        <v>3242</v>
      </c>
      <c r="G35" s="6" t="s">
        <v>3243</v>
      </c>
      <c r="H35" s="6" t="s">
        <v>76</v>
      </c>
      <c r="I35" s="6" t="s">
        <v>229</v>
      </c>
      <c r="J35" s="6" t="s">
        <v>53</v>
      </c>
      <c r="K35" s="6" t="s">
        <v>53</v>
      </c>
      <c r="L35" s="3" t="s">
        <v>958</v>
      </c>
      <c r="M35" s="6" t="s">
        <v>258</v>
      </c>
      <c r="N35" s="6" t="s">
        <v>62</v>
      </c>
      <c r="O35" s="164" t="s">
        <v>3121</v>
      </c>
      <c r="P35" s="6" t="s">
        <v>1926</v>
      </c>
      <c r="Q35" s="6" t="s">
        <v>70</v>
      </c>
      <c r="R35" s="6" t="s">
        <v>57</v>
      </c>
      <c r="S35" s="6" t="s">
        <v>1219</v>
      </c>
      <c r="T35" s="131">
        <v>3.51</v>
      </c>
      <c r="U35" s="6" t="s">
        <v>2006</v>
      </c>
      <c r="V35" s="132">
        <v>2.8299999999999999E-2</v>
      </c>
      <c r="W35" s="132">
        <v>1.55E-2</v>
      </c>
      <c r="X35" s="3" t="s">
        <v>620</v>
      </c>
      <c r="Y35" s="3" t="s">
        <v>62</v>
      </c>
      <c r="Z35" s="6" t="s">
        <v>775</v>
      </c>
      <c r="AA35" s="6" t="s">
        <v>305</v>
      </c>
      <c r="AB35" s="6" t="s">
        <v>2313</v>
      </c>
      <c r="AD35" s="131">
        <v>623690.38</v>
      </c>
      <c r="AE35" s="129">
        <v>1</v>
      </c>
      <c r="AF35" s="157">
        <v>106.05</v>
      </c>
      <c r="AG35" s="131">
        <v>661.42399999999998</v>
      </c>
      <c r="AJ35" s="6" t="s">
        <v>17</v>
      </c>
      <c r="AK35" s="132">
        <v>0.11520767959369201</v>
      </c>
      <c r="AL35" s="132">
        <v>1.9833586896083602E-3</v>
      </c>
    </row>
    <row r="36" spans="1:38" x14ac:dyDescent="0.2">
      <c r="A36" s="6">
        <v>559</v>
      </c>
      <c r="B36" s="6">
        <v>556</v>
      </c>
      <c r="C36" s="6" t="s">
        <v>3240</v>
      </c>
      <c r="D36" s="6" t="s">
        <v>3241</v>
      </c>
      <c r="E36" s="3" t="s">
        <v>1477</v>
      </c>
      <c r="F36" s="6" t="s">
        <v>3244</v>
      </c>
      <c r="G36" s="6" t="s">
        <v>3245</v>
      </c>
      <c r="H36" s="6" t="s">
        <v>76</v>
      </c>
      <c r="I36" s="6" t="s">
        <v>229</v>
      </c>
      <c r="J36" s="6" t="s">
        <v>53</v>
      </c>
      <c r="K36" s="6" t="s">
        <v>53</v>
      </c>
      <c r="L36" s="3" t="s">
        <v>958</v>
      </c>
      <c r="M36" s="6" t="s">
        <v>258</v>
      </c>
      <c r="N36" s="6" t="s">
        <v>62</v>
      </c>
      <c r="O36" s="164" t="s">
        <v>3121</v>
      </c>
      <c r="P36" s="6" t="s">
        <v>1926</v>
      </c>
      <c r="Q36" s="6" t="s">
        <v>70</v>
      </c>
      <c r="R36" s="6" t="s">
        <v>57</v>
      </c>
      <c r="S36" s="6" t="s">
        <v>1219</v>
      </c>
      <c r="T36" s="131">
        <v>6.42</v>
      </c>
      <c r="U36" s="6" t="s">
        <v>3246</v>
      </c>
      <c r="V36" s="132">
        <v>2.81E-2</v>
      </c>
      <c r="W36" s="132">
        <v>1.7500000000000002E-2</v>
      </c>
      <c r="X36" s="3" t="s">
        <v>620</v>
      </c>
      <c r="Y36" s="3" t="s">
        <v>62</v>
      </c>
      <c r="Z36" s="6" t="s">
        <v>775</v>
      </c>
      <c r="AA36" s="6" t="s">
        <v>305</v>
      </c>
      <c r="AB36" s="6" t="s">
        <v>2313</v>
      </c>
      <c r="AD36" s="131">
        <v>207000</v>
      </c>
      <c r="AE36" s="129">
        <v>1</v>
      </c>
      <c r="AF36" s="157">
        <v>103.68</v>
      </c>
      <c r="AG36" s="131">
        <v>214.61799999999999</v>
      </c>
      <c r="AJ36" s="6" t="s">
        <v>17</v>
      </c>
      <c r="AK36" s="132">
        <v>3.73823883846695E-2</v>
      </c>
      <c r="AL36" s="132">
        <v>6.4355679328436603E-4</v>
      </c>
    </row>
    <row r="37" spans="1:38" x14ac:dyDescent="0.2">
      <c r="A37" s="6">
        <v>559</v>
      </c>
      <c r="B37" s="6">
        <v>556</v>
      </c>
      <c r="C37" s="6" t="s">
        <v>3247</v>
      </c>
      <c r="D37" s="6" t="s">
        <v>3248</v>
      </c>
      <c r="E37" s="3" t="s">
        <v>1477</v>
      </c>
      <c r="F37" s="6" t="s">
        <v>3249</v>
      </c>
      <c r="G37" s="6" t="s">
        <v>3250</v>
      </c>
      <c r="H37" s="6" t="s">
        <v>76</v>
      </c>
      <c r="I37" s="6" t="s">
        <v>229</v>
      </c>
      <c r="J37" s="6" t="s">
        <v>53</v>
      </c>
      <c r="K37" s="6" t="s">
        <v>53</v>
      </c>
      <c r="L37" s="3" t="s">
        <v>958</v>
      </c>
      <c r="M37" s="6" t="s">
        <v>156</v>
      </c>
      <c r="N37" s="6" t="s">
        <v>62</v>
      </c>
      <c r="O37" s="164" t="s">
        <v>3251</v>
      </c>
      <c r="P37" s="6" t="s">
        <v>1213</v>
      </c>
      <c r="Q37" s="6" t="s">
        <v>96</v>
      </c>
      <c r="R37" s="6" t="s">
        <v>57</v>
      </c>
      <c r="S37" s="6" t="s">
        <v>1219</v>
      </c>
      <c r="T37" s="131">
        <v>7.33</v>
      </c>
      <c r="U37" s="6" t="s">
        <v>3252</v>
      </c>
      <c r="V37" s="132">
        <v>2.64E-2</v>
      </c>
      <c r="W37" s="132">
        <v>8.3000000000000001E-3</v>
      </c>
      <c r="X37" s="3" t="s">
        <v>620</v>
      </c>
      <c r="Y37" s="3" t="s">
        <v>62</v>
      </c>
      <c r="Z37" s="6" t="s">
        <v>775</v>
      </c>
      <c r="AA37" s="6" t="s">
        <v>305</v>
      </c>
      <c r="AB37" s="6" t="s">
        <v>2313</v>
      </c>
      <c r="AD37" s="131">
        <v>260473.43</v>
      </c>
      <c r="AE37" s="129">
        <v>1</v>
      </c>
      <c r="AF37" s="157">
        <v>102.64</v>
      </c>
      <c r="AG37" s="131">
        <v>267.35000000000002</v>
      </c>
      <c r="AJ37" s="6" t="s">
        <v>17</v>
      </c>
      <c r="AK37" s="132">
        <v>4.6567377809389798E-2</v>
      </c>
      <c r="AL37" s="132">
        <v>8.0168104900869895E-4</v>
      </c>
    </row>
    <row r="38" spans="1:38" x14ac:dyDescent="0.2">
      <c r="A38" s="6">
        <v>559</v>
      </c>
      <c r="B38" s="6">
        <v>556</v>
      </c>
      <c r="C38" s="6" t="s">
        <v>3111</v>
      </c>
      <c r="D38" s="6" t="s">
        <v>3112</v>
      </c>
      <c r="E38" s="3" t="s">
        <v>1477</v>
      </c>
      <c r="F38" s="6" t="s">
        <v>3113</v>
      </c>
      <c r="G38" s="6" t="s">
        <v>3114</v>
      </c>
      <c r="H38" s="6" t="s">
        <v>76</v>
      </c>
      <c r="I38" s="6" t="s">
        <v>230</v>
      </c>
      <c r="J38" s="6" t="s">
        <v>53</v>
      </c>
      <c r="K38" s="6" t="s">
        <v>53</v>
      </c>
      <c r="L38" s="3" t="s">
        <v>958</v>
      </c>
      <c r="M38" s="6" t="s">
        <v>862</v>
      </c>
      <c r="N38" s="6" t="s">
        <v>62</v>
      </c>
      <c r="O38" s="164" t="s">
        <v>3115</v>
      </c>
      <c r="P38" s="6" t="s">
        <v>2273</v>
      </c>
      <c r="Q38" s="6" t="s">
        <v>96</v>
      </c>
      <c r="R38" s="6" t="s">
        <v>57</v>
      </c>
      <c r="S38" s="6" t="s">
        <v>1217</v>
      </c>
      <c r="T38" s="131">
        <v>4.2640000000000002</v>
      </c>
      <c r="U38" s="6" t="s">
        <v>3116</v>
      </c>
      <c r="V38" s="132">
        <v>8.1589999999999996E-2</v>
      </c>
      <c r="W38" s="132">
        <v>8.5000000000000006E-2</v>
      </c>
      <c r="X38" s="3" t="s">
        <v>620</v>
      </c>
      <c r="Y38" s="3" t="s">
        <v>62</v>
      </c>
      <c r="Z38" s="6" t="s">
        <v>775</v>
      </c>
      <c r="AA38" s="6" t="s">
        <v>305</v>
      </c>
      <c r="AB38" s="6" t="s">
        <v>2313</v>
      </c>
      <c r="AD38" s="131">
        <v>35000</v>
      </c>
      <c r="AE38" s="129">
        <v>3.3719999999999999</v>
      </c>
      <c r="AF38" s="157">
        <v>115.33199999999999</v>
      </c>
      <c r="AG38" s="131">
        <v>136.11500000000001</v>
      </c>
      <c r="AJ38" s="6" t="s">
        <v>17</v>
      </c>
      <c r="AK38" s="132">
        <v>2.3708713136072E-2</v>
      </c>
      <c r="AL38" s="132">
        <v>4.0815753241188501E-4</v>
      </c>
    </row>
    <row r="39" spans="1:38" x14ac:dyDescent="0.2">
      <c r="A39" s="6">
        <v>559</v>
      </c>
      <c r="B39" s="6">
        <v>7205</v>
      </c>
      <c r="C39" s="6" t="s">
        <v>3091</v>
      </c>
      <c r="D39" s="6" t="s">
        <v>3092</v>
      </c>
      <c r="E39" s="3" t="s">
        <v>432</v>
      </c>
      <c r="F39" s="6" t="s">
        <v>3093</v>
      </c>
      <c r="G39" s="6" t="s">
        <v>3094</v>
      </c>
      <c r="H39" s="6" t="s">
        <v>76</v>
      </c>
      <c r="I39" s="6" t="s">
        <v>229</v>
      </c>
      <c r="J39" s="6" t="s">
        <v>53</v>
      </c>
      <c r="K39" s="6" t="s">
        <v>53</v>
      </c>
      <c r="L39" s="3" t="s">
        <v>958</v>
      </c>
      <c r="M39" s="6" t="s">
        <v>258</v>
      </c>
      <c r="N39" s="6" t="s">
        <v>62</v>
      </c>
      <c r="O39" s="164" t="s">
        <v>3095</v>
      </c>
      <c r="P39" s="6" t="s">
        <v>1577</v>
      </c>
      <c r="Q39" s="6" t="s">
        <v>65</v>
      </c>
      <c r="R39" s="6" t="s">
        <v>57</v>
      </c>
      <c r="S39" s="6" t="s">
        <v>1219</v>
      </c>
      <c r="T39" s="131">
        <v>2.5499999999999998</v>
      </c>
      <c r="U39" s="6" t="s">
        <v>1649</v>
      </c>
      <c r="V39" s="132">
        <v>3.2800000000000003E-2</v>
      </c>
      <c r="W39" s="132">
        <v>3.6400000000000002E-2</v>
      </c>
      <c r="X39" s="3" t="s">
        <v>620</v>
      </c>
      <c r="Y39" s="3" t="s">
        <v>62</v>
      </c>
      <c r="Z39" s="6" t="s">
        <v>775</v>
      </c>
      <c r="AA39" s="6" t="s">
        <v>305</v>
      </c>
      <c r="AB39" s="6" t="s">
        <v>2313</v>
      </c>
      <c r="AD39" s="131">
        <v>1423750</v>
      </c>
      <c r="AE39" s="129">
        <v>1</v>
      </c>
      <c r="AF39" s="157">
        <v>106.67</v>
      </c>
      <c r="AG39" s="131">
        <v>1518.7139999999999</v>
      </c>
      <c r="AJ39" s="6" t="s">
        <v>17</v>
      </c>
      <c r="AK39" s="132">
        <v>5.0315658316605102E-2</v>
      </c>
      <c r="AL39" s="132">
        <v>7.9225103737144101E-4</v>
      </c>
    </row>
    <row r="40" spans="1:38" x14ac:dyDescent="0.2">
      <c r="A40" s="6">
        <v>559</v>
      </c>
      <c r="B40" s="6">
        <v>7205</v>
      </c>
      <c r="C40" s="6" t="s">
        <v>3117</v>
      </c>
      <c r="D40" s="6" t="s">
        <v>3118</v>
      </c>
      <c r="E40" s="3" t="s">
        <v>78</v>
      </c>
      <c r="F40" s="6" t="s">
        <v>3119</v>
      </c>
      <c r="G40" s="6" t="s">
        <v>3120</v>
      </c>
      <c r="H40" s="6" t="s">
        <v>76</v>
      </c>
      <c r="I40" s="6" t="s">
        <v>228</v>
      </c>
      <c r="J40" s="6" t="s">
        <v>53</v>
      </c>
      <c r="K40" s="6" t="s">
        <v>204</v>
      </c>
      <c r="L40" s="3" t="s">
        <v>958</v>
      </c>
      <c r="M40" s="6" t="s">
        <v>102</v>
      </c>
      <c r="N40" s="6" t="s">
        <v>62</v>
      </c>
      <c r="O40" s="164" t="s">
        <v>3121</v>
      </c>
      <c r="P40" s="6" t="s">
        <v>1753</v>
      </c>
      <c r="Q40" s="6" t="s">
        <v>70</v>
      </c>
      <c r="R40" s="6" t="s">
        <v>57</v>
      </c>
      <c r="S40" s="6" t="s">
        <v>1219</v>
      </c>
      <c r="T40" s="131">
        <v>0</v>
      </c>
      <c r="U40" s="6" t="s">
        <v>3122</v>
      </c>
      <c r="V40" s="132">
        <v>0</v>
      </c>
      <c r="W40" s="132">
        <v>8.1500000000000003E-2</v>
      </c>
      <c r="X40" s="3" t="s">
        <v>620</v>
      </c>
      <c r="Y40" s="3" t="s">
        <v>55</v>
      </c>
      <c r="Z40" s="6" t="s">
        <v>302</v>
      </c>
      <c r="AA40" s="6" t="s">
        <v>304</v>
      </c>
      <c r="AB40" s="6" t="s">
        <v>3123</v>
      </c>
      <c r="AD40" s="131">
        <v>82975.73</v>
      </c>
      <c r="AE40" s="129">
        <v>1</v>
      </c>
      <c r="AF40" s="157">
        <v>201</v>
      </c>
      <c r="AG40" s="131">
        <v>166.78100000000001</v>
      </c>
      <c r="AJ40" s="6" t="s">
        <v>17</v>
      </c>
      <c r="AK40" s="132">
        <v>5.5255341378314202E-3</v>
      </c>
      <c r="AL40" s="132">
        <v>8.7002939029092594E-5</v>
      </c>
    </row>
    <row r="41" spans="1:38" x14ac:dyDescent="0.2">
      <c r="A41" s="6">
        <v>559</v>
      </c>
      <c r="B41" s="6">
        <v>7205</v>
      </c>
      <c r="C41" s="6" t="s">
        <v>3124</v>
      </c>
      <c r="D41" s="6" t="s">
        <v>3125</v>
      </c>
      <c r="E41" s="3" t="s">
        <v>1477</v>
      </c>
      <c r="F41" s="6" t="s">
        <v>3126</v>
      </c>
      <c r="G41" s="6" t="s">
        <v>3127</v>
      </c>
      <c r="H41" s="6" t="s">
        <v>76</v>
      </c>
      <c r="I41" s="6" t="s">
        <v>102</v>
      </c>
      <c r="J41" s="6" t="s">
        <v>53</v>
      </c>
      <c r="K41" s="6" t="s">
        <v>53</v>
      </c>
      <c r="L41" s="3" t="s">
        <v>958</v>
      </c>
      <c r="M41" s="6" t="s">
        <v>102</v>
      </c>
      <c r="N41" s="6" t="s">
        <v>62</v>
      </c>
      <c r="O41" s="164" t="s">
        <v>3128</v>
      </c>
      <c r="P41" s="6" t="s">
        <v>298</v>
      </c>
      <c r="Q41" s="6" t="s">
        <v>298</v>
      </c>
      <c r="R41" s="6" t="s">
        <v>298</v>
      </c>
      <c r="S41" s="6" t="s">
        <v>1219</v>
      </c>
      <c r="T41" s="131">
        <v>0.01</v>
      </c>
      <c r="U41" s="6" t="s">
        <v>3129</v>
      </c>
      <c r="V41" s="132">
        <v>1E-4</v>
      </c>
      <c r="W41" s="132">
        <v>0.06</v>
      </c>
      <c r="X41" s="3" t="s">
        <v>620</v>
      </c>
      <c r="Y41" s="3" t="s">
        <v>55</v>
      </c>
      <c r="Z41" s="6" t="s">
        <v>302</v>
      </c>
      <c r="AA41" s="6" t="s">
        <v>304</v>
      </c>
      <c r="AB41" s="6" t="s">
        <v>3130</v>
      </c>
      <c r="AD41" s="131">
        <v>992106.45</v>
      </c>
      <c r="AE41" s="129">
        <v>1</v>
      </c>
      <c r="AF41" s="157">
        <v>0</v>
      </c>
      <c r="AG41" s="131">
        <v>0</v>
      </c>
      <c r="AJ41" s="6" t="s">
        <v>17</v>
      </c>
      <c r="AK41" s="132">
        <v>3.2868917415185101E-10</v>
      </c>
      <c r="AL41" s="132">
        <v>5.1754135373923495E-12</v>
      </c>
    </row>
    <row r="42" spans="1:38" x14ac:dyDescent="0.2">
      <c r="A42" s="6">
        <v>559</v>
      </c>
      <c r="B42" s="6">
        <v>7205</v>
      </c>
      <c r="C42" s="6" t="s">
        <v>2314</v>
      </c>
      <c r="D42" s="6" t="s">
        <v>2315</v>
      </c>
      <c r="E42" s="3" t="s">
        <v>1477</v>
      </c>
      <c r="F42" s="6" t="s">
        <v>3131</v>
      </c>
      <c r="G42" s="6" t="s">
        <v>3132</v>
      </c>
      <c r="H42" s="6" t="s">
        <v>76</v>
      </c>
      <c r="I42" s="6" t="s">
        <v>228</v>
      </c>
      <c r="J42" s="6" t="s">
        <v>53</v>
      </c>
      <c r="K42" s="6" t="s">
        <v>314</v>
      </c>
      <c r="L42" s="3" t="s">
        <v>958</v>
      </c>
      <c r="M42" s="6" t="s">
        <v>631</v>
      </c>
      <c r="N42" s="6" t="s">
        <v>62</v>
      </c>
      <c r="O42" s="164" t="s">
        <v>3133</v>
      </c>
      <c r="P42" s="6" t="s">
        <v>1577</v>
      </c>
      <c r="Q42" s="6" t="s">
        <v>65</v>
      </c>
      <c r="R42" s="6" t="s">
        <v>57</v>
      </c>
      <c r="S42" s="6" t="s">
        <v>1219</v>
      </c>
      <c r="T42" s="131">
        <v>3.2</v>
      </c>
      <c r="U42" s="6" t="s">
        <v>3134</v>
      </c>
      <c r="V42" s="132">
        <v>5.1200000000000002E-2</v>
      </c>
      <c r="W42" s="132">
        <v>3.3500000000000002E-2</v>
      </c>
      <c r="X42" s="3" t="s">
        <v>620</v>
      </c>
      <c r="Y42" s="3" t="s">
        <v>62</v>
      </c>
      <c r="Z42" s="6" t="s">
        <v>775</v>
      </c>
      <c r="AA42" s="6" t="s">
        <v>3082</v>
      </c>
      <c r="AB42" s="6" t="s">
        <v>2313</v>
      </c>
      <c r="AD42" s="131">
        <v>2925000</v>
      </c>
      <c r="AE42" s="129">
        <v>1</v>
      </c>
      <c r="AF42" s="157">
        <v>94.87</v>
      </c>
      <c r="AG42" s="131">
        <v>2774.9479999999999</v>
      </c>
      <c r="AJ42" s="6" t="s">
        <v>17</v>
      </c>
      <c r="AK42" s="132">
        <v>9.1935215428721698E-2</v>
      </c>
      <c r="AL42" s="132">
        <v>1.4475766040078701E-3</v>
      </c>
    </row>
    <row r="43" spans="1:38" x14ac:dyDescent="0.2">
      <c r="A43" s="6">
        <v>559</v>
      </c>
      <c r="B43" s="6">
        <v>7205</v>
      </c>
      <c r="C43" s="6" t="s">
        <v>3135</v>
      </c>
      <c r="D43" s="6" t="s">
        <v>3136</v>
      </c>
      <c r="E43" s="3" t="s">
        <v>1477</v>
      </c>
      <c r="F43" s="6" t="s">
        <v>3137</v>
      </c>
      <c r="G43" s="6" t="s">
        <v>3138</v>
      </c>
      <c r="H43" s="6" t="s">
        <v>76</v>
      </c>
      <c r="I43" s="6" t="s">
        <v>102</v>
      </c>
      <c r="J43" s="6" t="s">
        <v>53</v>
      </c>
      <c r="K43" s="6" t="s">
        <v>53</v>
      </c>
      <c r="L43" s="3" t="s">
        <v>958</v>
      </c>
      <c r="M43" s="6" t="s">
        <v>102</v>
      </c>
      <c r="N43" s="6" t="s">
        <v>62</v>
      </c>
      <c r="O43" s="164" t="s">
        <v>3121</v>
      </c>
      <c r="P43" s="6" t="s">
        <v>298</v>
      </c>
      <c r="Q43" s="6" t="s">
        <v>298</v>
      </c>
      <c r="R43" s="6" t="s">
        <v>298</v>
      </c>
      <c r="S43" s="6" t="s">
        <v>1219</v>
      </c>
      <c r="T43" s="131">
        <v>0</v>
      </c>
      <c r="U43" s="6" t="s">
        <v>3139</v>
      </c>
      <c r="V43" s="132">
        <v>0</v>
      </c>
      <c r="W43" s="132">
        <v>5.8500000000000003E-2</v>
      </c>
      <c r="X43" s="3" t="s">
        <v>620</v>
      </c>
      <c r="Y43" s="3" t="s">
        <v>62</v>
      </c>
      <c r="Z43" s="6" t="s">
        <v>302</v>
      </c>
      <c r="AA43" s="6" t="s">
        <v>304</v>
      </c>
      <c r="AD43" s="131">
        <v>2815200</v>
      </c>
      <c r="AE43" s="129">
        <v>1</v>
      </c>
      <c r="AF43" s="157">
        <v>0</v>
      </c>
      <c r="AG43" s="131">
        <v>0</v>
      </c>
      <c r="AJ43" s="6" t="s">
        <v>17</v>
      </c>
      <c r="AK43" s="132">
        <v>0</v>
      </c>
      <c r="AL43" s="132">
        <v>0</v>
      </c>
    </row>
    <row r="44" spans="1:38" x14ac:dyDescent="0.2">
      <c r="A44" s="6">
        <v>559</v>
      </c>
      <c r="B44" s="6">
        <v>7205</v>
      </c>
      <c r="C44" s="6" t="s">
        <v>3140</v>
      </c>
      <c r="D44" s="6" t="s">
        <v>3141</v>
      </c>
      <c r="E44" s="3" t="s">
        <v>1477</v>
      </c>
      <c r="F44" s="6" t="s">
        <v>3142</v>
      </c>
      <c r="G44" s="6" t="s">
        <v>3143</v>
      </c>
      <c r="H44" s="6" t="s">
        <v>76</v>
      </c>
      <c r="I44" s="6" t="s">
        <v>102</v>
      </c>
      <c r="J44" s="6" t="s">
        <v>53</v>
      </c>
      <c r="K44" s="6" t="s">
        <v>53</v>
      </c>
      <c r="L44" s="3" t="s">
        <v>958</v>
      </c>
      <c r="M44" s="6" t="s">
        <v>639</v>
      </c>
      <c r="N44" s="6" t="s">
        <v>62</v>
      </c>
      <c r="O44" s="164" t="s">
        <v>3121</v>
      </c>
      <c r="P44" s="6" t="s">
        <v>1753</v>
      </c>
      <c r="Q44" s="6" t="s">
        <v>70</v>
      </c>
      <c r="R44" s="6" t="s">
        <v>57</v>
      </c>
      <c r="S44" s="6" t="s">
        <v>1219</v>
      </c>
      <c r="T44" s="131">
        <v>0</v>
      </c>
      <c r="U44" s="6" t="s">
        <v>3145</v>
      </c>
      <c r="V44" s="132">
        <v>0</v>
      </c>
      <c r="W44" s="132">
        <v>0.06</v>
      </c>
      <c r="X44" s="3" t="s">
        <v>620</v>
      </c>
      <c r="Y44" s="3" t="s">
        <v>55</v>
      </c>
      <c r="Z44" s="6" t="s">
        <v>302</v>
      </c>
      <c r="AA44" s="6" t="s">
        <v>304</v>
      </c>
      <c r="AD44" s="131">
        <v>1211726.25</v>
      </c>
      <c r="AE44" s="129">
        <v>1</v>
      </c>
      <c r="AF44" s="157">
        <v>0</v>
      </c>
      <c r="AG44" s="131">
        <v>0</v>
      </c>
      <c r="AJ44" s="6" t="s">
        <v>17</v>
      </c>
      <c r="AK44" s="132">
        <v>0</v>
      </c>
      <c r="AL44" s="132">
        <v>0</v>
      </c>
    </row>
    <row r="45" spans="1:38" x14ac:dyDescent="0.2">
      <c r="A45" s="6">
        <v>559</v>
      </c>
      <c r="B45" s="6">
        <v>7205</v>
      </c>
      <c r="C45" s="6" t="s">
        <v>3146</v>
      </c>
      <c r="D45" s="6" t="s">
        <v>3147</v>
      </c>
      <c r="E45" s="3" t="s">
        <v>1477</v>
      </c>
      <c r="F45" s="6" t="s">
        <v>3148</v>
      </c>
      <c r="G45" s="6" t="s">
        <v>3149</v>
      </c>
      <c r="H45" s="6" t="s">
        <v>76</v>
      </c>
      <c r="I45" s="6" t="s">
        <v>229</v>
      </c>
      <c r="J45" s="6" t="s">
        <v>53</v>
      </c>
      <c r="K45" s="6" t="s">
        <v>53</v>
      </c>
      <c r="L45" s="3" t="s">
        <v>958</v>
      </c>
      <c r="M45" s="6" t="s">
        <v>692</v>
      </c>
      <c r="N45" s="6" t="s">
        <v>62</v>
      </c>
      <c r="O45" s="164" t="s">
        <v>3121</v>
      </c>
      <c r="P45" s="6" t="s">
        <v>1753</v>
      </c>
      <c r="Q45" s="6" t="s">
        <v>65</v>
      </c>
      <c r="R45" s="6" t="s">
        <v>57</v>
      </c>
      <c r="S45" s="6" t="s">
        <v>1219</v>
      </c>
      <c r="T45" s="131">
        <v>0</v>
      </c>
      <c r="U45" s="6" t="s">
        <v>3150</v>
      </c>
      <c r="V45" s="132">
        <v>0</v>
      </c>
      <c r="W45" s="132">
        <v>5.3499999999999999E-2</v>
      </c>
      <c r="X45" s="3" t="s">
        <v>620</v>
      </c>
      <c r="Y45" s="3" t="s">
        <v>55</v>
      </c>
      <c r="Z45" s="6" t="s">
        <v>302</v>
      </c>
      <c r="AA45" s="6" t="s">
        <v>304</v>
      </c>
      <c r="AB45" s="6" t="s">
        <v>2313</v>
      </c>
      <c r="AD45" s="131">
        <v>1104077.6599999999</v>
      </c>
      <c r="AE45" s="129">
        <v>1</v>
      </c>
      <c r="AF45" s="157">
        <v>0</v>
      </c>
      <c r="AG45" s="131">
        <v>0</v>
      </c>
      <c r="AJ45" s="6" t="s">
        <v>17</v>
      </c>
      <c r="AK45" s="132">
        <v>3.6578572215200099E-10</v>
      </c>
      <c r="AL45" s="132">
        <v>5.7595215391417598E-12</v>
      </c>
    </row>
    <row r="46" spans="1:38" x14ac:dyDescent="0.2">
      <c r="A46" s="6">
        <v>559</v>
      </c>
      <c r="B46" s="6">
        <v>7205</v>
      </c>
      <c r="C46" s="6" t="s">
        <v>3151</v>
      </c>
      <c r="D46" s="6" t="s">
        <v>3152</v>
      </c>
      <c r="E46" s="3" t="s">
        <v>1477</v>
      </c>
      <c r="F46" s="6" t="s">
        <v>3153</v>
      </c>
      <c r="G46" s="6" t="s">
        <v>3154</v>
      </c>
      <c r="H46" s="6" t="s">
        <v>76</v>
      </c>
      <c r="I46" s="6" t="s">
        <v>102</v>
      </c>
      <c r="J46" s="6" t="s">
        <v>53</v>
      </c>
      <c r="K46" s="6" t="s">
        <v>53</v>
      </c>
      <c r="L46" s="3" t="s">
        <v>958</v>
      </c>
      <c r="M46" s="6" t="s">
        <v>102</v>
      </c>
      <c r="N46" s="6" t="s">
        <v>62</v>
      </c>
      <c r="O46" s="164" t="s">
        <v>3155</v>
      </c>
      <c r="P46" s="6" t="s">
        <v>298</v>
      </c>
      <c r="Q46" s="6" t="s">
        <v>298</v>
      </c>
      <c r="R46" s="6" t="s">
        <v>298</v>
      </c>
      <c r="S46" s="6" t="s">
        <v>1219</v>
      </c>
      <c r="T46" s="131">
        <v>0.01</v>
      </c>
      <c r="U46" s="6" t="s">
        <v>3156</v>
      </c>
      <c r="V46" s="132">
        <v>1E-4</v>
      </c>
      <c r="W46" s="132">
        <v>6.4500000000000002E-2</v>
      </c>
      <c r="X46" s="3" t="s">
        <v>620</v>
      </c>
      <c r="Y46" s="3" t="s">
        <v>55</v>
      </c>
      <c r="Z46" s="6" t="s">
        <v>302</v>
      </c>
      <c r="AA46" s="6" t="s">
        <v>304</v>
      </c>
      <c r="AB46" s="6" t="s">
        <v>3157</v>
      </c>
      <c r="AD46" s="131">
        <v>527995.82999999996</v>
      </c>
      <c r="AE46" s="129">
        <v>1</v>
      </c>
      <c r="AF46" s="157">
        <v>0</v>
      </c>
      <c r="AG46" s="131">
        <v>0</v>
      </c>
      <c r="AJ46" s="6" t="s">
        <v>17</v>
      </c>
      <c r="AK46" s="132">
        <v>1.7492731079242599E-10</v>
      </c>
      <c r="AL46" s="132">
        <v>2.75433827314469E-12</v>
      </c>
    </row>
    <row r="47" spans="1:38" x14ac:dyDescent="0.2">
      <c r="A47" s="6">
        <v>559</v>
      </c>
      <c r="B47" s="6">
        <v>7205</v>
      </c>
      <c r="C47" s="6" t="s">
        <v>3151</v>
      </c>
      <c r="D47" s="6" t="s">
        <v>3152</v>
      </c>
      <c r="E47" s="3" t="s">
        <v>1477</v>
      </c>
      <c r="F47" s="6" t="s">
        <v>3158</v>
      </c>
      <c r="G47" s="6" t="s">
        <v>3159</v>
      </c>
      <c r="H47" s="6" t="s">
        <v>76</v>
      </c>
      <c r="I47" s="6" t="s">
        <v>102</v>
      </c>
      <c r="J47" s="6" t="s">
        <v>53</v>
      </c>
      <c r="K47" s="6" t="s">
        <v>53</v>
      </c>
      <c r="L47" s="3" t="s">
        <v>958</v>
      </c>
      <c r="M47" s="6" t="s">
        <v>102</v>
      </c>
      <c r="N47" s="6" t="s">
        <v>62</v>
      </c>
      <c r="O47" s="164" t="s">
        <v>3155</v>
      </c>
      <c r="P47" s="6" t="s">
        <v>1753</v>
      </c>
      <c r="Q47" s="6" t="s">
        <v>70</v>
      </c>
      <c r="R47" s="6" t="s">
        <v>57</v>
      </c>
      <c r="S47" s="6" t="s">
        <v>1219</v>
      </c>
      <c r="T47" s="131">
        <v>0.01</v>
      </c>
      <c r="U47" s="6" t="s">
        <v>3156</v>
      </c>
      <c r="V47" s="132">
        <v>1E-4</v>
      </c>
      <c r="W47" s="132">
        <v>5.7000000000000002E-2</v>
      </c>
      <c r="X47" s="3" t="s">
        <v>620</v>
      </c>
      <c r="Y47" s="3" t="s">
        <v>55</v>
      </c>
      <c r="Z47" s="6" t="s">
        <v>302</v>
      </c>
      <c r="AA47" s="6" t="s">
        <v>304</v>
      </c>
      <c r="AB47" s="6" t="s">
        <v>3157</v>
      </c>
      <c r="AD47" s="131">
        <v>2183500.92</v>
      </c>
      <c r="AE47" s="129">
        <v>1</v>
      </c>
      <c r="AF47" s="157">
        <v>0</v>
      </c>
      <c r="AG47" s="131">
        <v>0</v>
      </c>
      <c r="AJ47" s="6" t="s">
        <v>17</v>
      </c>
      <c r="AK47" s="132">
        <v>7.2340333454601203E-10</v>
      </c>
      <c r="AL47" s="132">
        <v>1.1390431158145001E-11</v>
      </c>
    </row>
    <row r="48" spans="1:38" x14ac:dyDescent="0.2">
      <c r="A48" s="6">
        <v>559</v>
      </c>
      <c r="B48" s="6">
        <v>7205</v>
      </c>
      <c r="C48" s="6" t="s">
        <v>3160</v>
      </c>
      <c r="D48" s="6" t="s">
        <v>3161</v>
      </c>
      <c r="E48" s="3" t="s">
        <v>1477</v>
      </c>
      <c r="F48" s="6" t="s">
        <v>3162</v>
      </c>
      <c r="G48" s="6" t="s">
        <v>3163</v>
      </c>
      <c r="H48" s="6" t="s">
        <v>76</v>
      </c>
      <c r="I48" s="6" t="s">
        <v>229</v>
      </c>
      <c r="J48" s="6" t="s">
        <v>53</v>
      </c>
      <c r="K48" s="6" t="s">
        <v>53</v>
      </c>
      <c r="L48" s="3" t="s">
        <v>958</v>
      </c>
      <c r="M48" s="6" t="s">
        <v>140</v>
      </c>
      <c r="N48" s="6" t="s">
        <v>62</v>
      </c>
      <c r="O48" s="164" t="s">
        <v>3121</v>
      </c>
      <c r="P48" s="6" t="s">
        <v>298</v>
      </c>
      <c r="Q48" s="6" t="s">
        <v>298</v>
      </c>
      <c r="R48" s="6" t="s">
        <v>298</v>
      </c>
      <c r="S48" s="6" t="s">
        <v>1219</v>
      </c>
      <c r="T48" s="131">
        <v>0</v>
      </c>
      <c r="U48" s="6" t="s">
        <v>3129</v>
      </c>
      <c r="V48" s="132">
        <v>0</v>
      </c>
      <c r="W48" s="132">
        <v>7.0999999999999994E-2</v>
      </c>
      <c r="X48" s="3" t="s">
        <v>620</v>
      </c>
      <c r="Y48" s="3" t="s">
        <v>55</v>
      </c>
      <c r="Z48" s="6" t="s">
        <v>302</v>
      </c>
      <c r="AA48" s="6" t="s">
        <v>304</v>
      </c>
      <c r="AB48" s="6" t="s">
        <v>3164</v>
      </c>
      <c r="AD48" s="131">
        <v>1131.25</v>
      </c>
      <c r="AE48" s="129">
        <v>1</v>
      </c>
      <c r="AF48" s="157">
        <v>0</v>
      </c>
      <c r="AG48" s="131">
        <v>0</v>
      </c>
      <c r="AJ48" s="6" t="s">
        <v>17</v>
      </c>
      <c r="AK48" s="132">
        <v>3.7478803636372E-13</v>
      </c>
      <c r="AL48" s="132">
        <v>5.9012685223195004E-15</v>
      </c>
    </row>
    <row r="49" spans="1:38" x14ac:dyDescent="0.2">
      <c r="A49" s="6">
        <v>559</v>
      </c>
      <c r="B49" s="6">
        <v>7205</v>
      </c>
      <c r="C49" s="6" t="s">
        <v>3160</v>
      </c>
      <c r="D49" s="6" t="s">
        <v>3161</v>
      </c>
      <c r="E49" s="3" t="s">
        <v>1477</v>
      </c>
      <c r="F49" s="6" t="s">
        <v>3165</v>
      </c>
      <c r="G49" s="6" t="s">
        <v>3166</v>
      </c>
      <c r="H49" s="6" t="s">
        <v>78</v>
      </c>
      <c r="I49" s="6" t="s">
        <v>229</v>
      </c>
      <c r="J49" s="6" t="s">
        <v>53</v>
      </c>
      <c r="K49" s="6" t="s">
        <v>61</v>
      </c>
      <c r="L49" s="3" t="s">
        <v>958</v>
      </c>
      <c r="M49" s="6" t="s">
        <v>102</v>
      </c>
      <c r="N49" s="6" t="s">
        <v>62</v>
      </c>
      <c r="O49" s="164" t="s">
        <v>3155</v>
      </c>
      <c r="P49" s="6" t="s">
        <v>298</v>
      </c>
      <c r="Q49" s="6" t="s">
        <v>298</v>
      </c>
      <c r="R49" s="6" t="s">
        <v>298</v>
      </c>
      <c r="S49" s="6" t="s">
        <v>1219</v>
      </c>
      <c r="T49" s="131">
        <v>0</v>
      </c>
      <c r="U49" s="6" t="s">
        <v>3167</v>
      </c>
      <c r="V49" s="132">
        <v>0</v>
      </c>
      <c r="W49" s="132">
        <v>7.0999999999999994E-2</v>
      </c>
      <c r="X49" s="3" t="s">
        <v>620</v>
      </c>
      <c r="Y49" s="3" t="s">
        <v>62</v>
      </c>
      <c r="Z49" s="6" t="s">
        <v>302</v>
      </c>
      <c r="AA49" s="6" t="s">
        <v>304</v>
      </c>
      <c r="AB49" s="6" t="s">
        <v>3164</v>
      </c>
      <c r="AD49" s="131">
        <v>377.08</v>
      </c>
      <c r="AE49" s="129">
        <v>1</v>
      </c>
      <c r="AF49" s="157">
        <v>0</v>
      </c>
      <c r="AG49" s="131">
        <v>0</v>
      </c>
      <c r="AJ49" s="6" t="s">
        <v>17</v>
      </c>
      <c r="AK49" s="132">
        <v>1.2492824110676801E-13</v>
      </c>
      <c r="AL49" s="132">
        <v>1.9670721188033002E-15</v>
      </c>
    </row>
    <row r="50" spans="1:38" x14ac:dyDescent="0.2">
      <c r="A50" s="6">
        <v>559</v>
      </c>
      <c r="B50" s="6">
        <v>7205</v>
      </c>
      <c r="C50" s="6" t="s">
        <v>3168</v>
      </c>
      <c r="D50" s="6" t="s">
        <v>3169</v>
      </c>
      <c r="E50" s="3" t="s">
        <v>78</v>
      </c>
      <c r="F50" s="6" t="s">
        <v>3170</v>
      </c>
      <c r="G50" s="6" t="s">
        <v>3171</v>
      </c>
      <c r="H50" s="6" t="s">
        <v>76</v>
      </c>
      <c r="I50" s="6" t="s">
        <v>102</v>
      </c>
      <c r="J50" s="6" t="s">
        <v>53</v>
      </c>
      <c r="K50" s="6" t="s">
        <v>53</v>
      </c>
      <c r="L50" s="3" t="s">
        <v>958</v>
      </c>
      <c r="M50" s="6" t="s">
        <v>140</v>
      </c>
      <c r="N50" s="6" t="s">
        <v>62</v>
      </c>
      <c r="O50" s="164" t="s">
        <v>3172</v>
      </c>
      <c r="P50" s="6" t="s">
        <v>1753</v>
      </c>
      <c r="Q50" s="6" t="s">
        <v>65</v>
      </c>
      <c r="R50" s="6" t="s">
        <v>57</v>
      </c>
      <c r="S50" s="6" t="s">
        <v>1219</v>
      </c>
      <c r="T50" s="131">
        <v>0</v>
      </c>
      <c r="U50" s="6" t="s">
        <v>3173</v>
      </c>
      <c r="V50" s="132">
        <v>0</v>
      </c>
      <c r="W50" s="132">
        <v>8.8499999999999995E-2</v>
      </c>
      <c r="X50" s="3" t="s">
        <v>620</v>
      </c>
      <c r="Y50" s="3" t="s">
        <v>55</v>
      </c>
      <c r="Z50" s="6" t="s">
        <v>302</v>
      </c>
      <c r="AA50" s="6" t="s">
        <v>304</v>
      </c>
      <c r="AB50" s="6" t="s">
        <v>3174</v>
      </c>
      <c r="AD50" s="131">
        <v>822184.72</v>
      </c>
      <c r="AE50" s="129">
        <v>1</v>
      </c>
      <c r="AF50" s="157">
        <v>0</v>
      </c>
      <c r="AG50" s="131">
        <v>0</v>
      </c>
      <c r="AJ50" s="6" t="s">
        <v>17</v>
      </c>
      <c r="AK50" s="132">
        <v>2.7239336728137501E-10</v>
      </c>
      <c r="AL50" s="132">
        <v>4.28900137694412E-12</v>
      </c>
    </row>
    <row r="51" spans="1:38" x14ac:dyDescent="0.2">
      <c r="A51" s="6">
        <v>559</v>
      </c>
      <c r="B51" s="6">
        <v>7205</v>
      </c>
      <c r="C51" s="6" t="s">
        <v>3096</v>
      </c>
      <c r="D51" s="6" t="s">
        <v>3097</v>
      </c>
      <c r="E51" s="3" t="s">
        <v>1477</v>
      </c>
      <c r="F51" s="6" t="s">
        <v>3098</v>
      </c>
      <c r="G51" s="6" t="s">
        <v>3099</v>
      </c>
      <c r="H51" s="6" t="s">
        <v>76</v>
      </c>
      <c r="I51" s="6" t="s">
        <v>229</v>
      </c>
      <c r="J51" s="6" t="s">
        <v>53</v>
      </c>
      <c r="K51" s="6" t="s">
        <v>53</v>
      </c>
      <c r="L51" s="3" t="s">
        <v>958</v>
      </c>
      <c r="M51" s="6" t="s">
        <v>635</v>
      </c>
      <c r="N51" s="6" t="s">
        <v>62</v>
      </c>
      <c r="O51" s="164" t="s">
        <v>3100</v>
      </c>
      <c r="P51" s="6" t="s">
        <v>1493</v>
      </c>
      <c r="Q51" s="6" t="s">
        <v>65</v>
      </c>
      <c r="R51" s="6" t="s">
        <v>57</v>
      </c>
      <c r="S51" s="6" t="s">
        <v>1219</v>
      </c>
      <c r="T51" s="131">
        <v>3.16</v>
      </c>
      <c r="U51" s="6" t="s">
        <v>1590</v>
      </c>
      <c r="V51" s="132">
        <v>3.4000000000000002E-2</v>
      </c>
      <c r="W51" s="132">
        <v>3.8399999999999997E-2</v>
      </c>
      <c r="X51" s="3" t="s">
        <v>620</v>
      </c>
      <c r="Y51" s="3" t="s">
        <v>62</v>
      </c>
      <c r="Z51" s="6" t="s">
        <v>775</v>
      </c>
      <c r="AA51" s="6" t="s">
        <v>305</v>
      </c>
      <c r="AB51" s="6" t="s">
        <v>2313</v>
      </c>
      <c r="AD51" s="131">
        <v>1460000</v>
      </c>
      <c r="AE51" s="129">
        <v>1</v>
      </c>
      <c r="AF51" s="157">
        <v>104.58</v>
      </c>
      <c r="AG51" s="131">
        <v>1526.8679999999999</v>
      </c>
      <c r="AJ51" s="6" t="s">
        <v>17</v>
      </c>
      <c r="AK51" s="132">
        <v>5.0585799735390097E-2</v>
      </c>
      <c r="AL51" s="132">
        <v>7.9650458043198803E-4</v>
      </c>
    </row>
    <row r="52" spans="1:38" x14ac:dyDescent="0.2">
      <c r="A52" s="6">
        <v>559</v>
      </c>
      <c r="B52" s="6">
        <v>7205</v>
      </c>
      <c r="C52" s="6" t="s">
        <v>3175</v>
      </c>
      <c r="D52" s="6" t="s">
        <v>3176</v>
      </c>
      <c r="E52" s="3" t="s">
        <v>1477</v>
      </c>
      <c r="F52" s="6" t="s">
        <v>3177</v>
      </c>
      <c r="G52" s="6" t="s">
        <v>3178</v>
      </c>
      <c r="H52" s="6" t="s">
        <v>76</v>
      </c>
      <c r="I52" s="6" t="s">
        <v>228</v>
      </c>
      <c r="J52" s="6" t="s">
        <v>53</v>
      </c>
      <c r="K52" s="6" t="s">
        <v>53</v>
      </c>
      <c r="L52" s="3" t="s">
        <v>958</v>
      </c>
      <c r="M52" s="6" t="s">
        <v>75</v>
      </c>
      <c r="N52" s="6" t="s">
        <v>62</v>
      </c>
      <c r="O52" s="164" t="s">
        <v>3179</v>
      </c>
      <c r="P52" s="6" t="s">
        <v>1515</v>
      </c>
      <c r="Q52" s="6" t="s">
        <v>96</v>
      </c>
      <c r="R52" s="6" t="s">
        <v>57</v>
      </c>
      <c r="S52" s="6" t="s">
        <v>1219</v>
      </c>
      <c r="T52" s="131">
        <v>0.91</v>
      </c>
      <c r="U52" s="6" t="s">
        <v>1595</v>
      </c>
      <c r="V52" s="132">
        <v>5.28E-2</v>
      </c>
      <c r="W52" s="132">
        <v>4.2999999999999997E-2</v>
      </c>
      <c r="X52" s="3" t="s">
        <v>620</v>
      </c>
      <c r="Y52" s="3" t="s">
        <v>62</v>
      </c>
      <c r="Z52" s="6" t="s">
        <v>775</v>
      </c>
      <c r="AA52" s="6" t="s">
        <v>305</v>
      </c>
      <c r="AB52" s="6" t="s">
        <v>2313</v>
      </c>
      <c r="AD52" s="131">
        <v>1500000</v>
      </c>
      <c r="AE52" s="129">
        <v>1</v>
      </c>
      <c r="AF52" s="157">
        <v>99.19</v>
      </c>
      <c r="AG52" s="131">
        <v>1487.85</v>
      </c>
      <c r="AJ52" s="6" t="s">
        <v>17</v>
      </c>
      <c r="AK52" s="132">
        <v>4.9293116455581099E-2</v>
      </c>
      <c r="AL52" s="132">
        <v>7.7615048582833099E-4</v>
      </c>
    </row>
    <row r="53" spans="1:38" x14ac:dyDescent="0.2">
      <c r="A53" s="6">
        <v>559</v>
      </c>
      <c r="B53" s="6">
        <v>7205</v>
      </c>
      <c r="C53" s="6" t="s">
        <v>3180</v>
      </c>
      <c r="D53" s="6" t="s">
        <v>3181</v>
      </c>
      <c r="E53" s="3" t="s">
        <v>1477</v>
      </c>
      <c r="F53" s="6" t="s">
        <v>3182</v>
      </c>
      <c r="G53" s="6" t="s">
        <v>3183</v>
      </c>
      <c r="H53" s="6" t="s">
        <v>76</v>
      </c>
      <c r="I53" s="6" t="s">
        <v>229</v>
      </c>
      <c r="J53" s="6" t="s">
        <v>53</v>
      </c>
      <c r="K53" s="6" t="s">
        <v>53</v>
      </c>
      <c r="L53" s="3" t="s">
        <v>958</v>
      </c>
      <c r="M53" s="6" t="s">
        <v>102</v>
      </c>
      <c r="N53" s="6" t="s">
        <v>62</v>
      </c>
      <c r="O53" s="164" t="s">
        <v>3121</v>
      </c>
      <c r="P53" s="6" t="s">
        <v>298</v>
      </c>
      <c r="Q53" s="6" t="s">
        <v>298</v>
      </c>
      <c r="R53" s="6" t="s">
        <v>298</v>
      </c>
      <c r="S53" s="6" t="s">
        <v>1219</v>
      </c>
      <c r="T53" s="131">
        <v>0</v>
      </c>
      <c r="U53" s="6" t="s">
        <v>3109</v>
      </c>
      <c r="V53" s="132">
        <v>0</v>
      </c>
      <c r="W53" s="132">
        <v>4.4999999999999998E-2</v>
      </c>
      <c r="X53" s="3" t="s">
        <v>620</v>
      </c>
      <c r="Y53" s="3" t="s">
        <v>55</v>
      </c>
      <c r="Z53" s="6" t="s">
        <v>302</v>
      </c>
      <c r="AA53" s="6" t="s">
        <v>304</v>
      </c>
      <c r="AB53" s="6" t="s">
        <v>3164</v>
      </c>
      <c r="AD53" s="131">
        <v>936329.55</v>
      </c>
      <c r="AE53" s="129">
        <v>1</v>
      </c>
      <c r="AF53" s="157">
        <v>3.26</v>
      </c>
      <c r="AG53" s="131">
        <v>30.524000000000001</v>
      </c>
      <c r="AJ53" s="6" t="s">
        <v>17</v>
      </c>
      <c r="AK53" s="132">
        <v>1.01128474677947E-3</v>
      </c>
      <c r="AL53" s="132">
        <v>1.5923301344336E-5</v>
      </c>
    </row>
    <row r="54" spans="1:38" x14ac:dyDescent="0.2">
      <c r="A54" s="6">
        <v>559</v>
      </c>
      <c r="B54" s="6">
        <v>7205</v>
      </c>
      <c r="C54" s="6" t="s">
        <v>3184</v>
      </c>
      <c r="D54" s="6" t="s">
        <v>3185</v>
      </c>
      <c r="E54" s="3" t="s">
        <v>1477</v>
      </c>
      <c r="F54" s="6" t="s">
        <v>3186</v>
      </c>
      <c r="G54" s="6" t="s">
        <v>3187</v>
      </c>
      <c r="H54" s="6" t="s">
        <v>76</v>
      </c>
      <c r="I54" s="6" t="s">
        <v>229</v>
      </c>
      <c r="J54" s="6" t="s">
        <v>53</v>
      </c>
      <c r="K54" s="6" t="s">
        <v>53</v>
      </c>
      <c r="L54" s="3" t="s">
        <v>958</v>
      </c>
      <c r="M54" s="6" t="s">
        <v>102</v>
      </c>
      <c r="N54" s="6" t="s">
        <v>62</v>
      </c>
      <c r="O54" s="164" t="s">
        <v>3121</v>
      </c>
      <c r="P54" s="6" t="s">
        <v>298</v>
      </c>
      <c r="Q54" s="6" t="s">
        <v>298</v>
      </c>
      <c r="R54" s="6" t="s">
        <v>298</v>
      </c>
      <c r="S54" s="6" t="s">
        <v>1219</v>
      </c>
      <c r="T54" s="131">
        <v>0</v>
      </c>
      <c r="U54" s="6" t="s">
        <v>3188</v>
      </c>
      <c r="V54" s="132">
        <v>0</v>
      </c>
      <c r="W54" s="132">
        <v>0.05</v>
      </c>
      <c r="X54" s="3" t="s">
        <v>620</v>
      </c>
      <c r="Y54" s="3" t="s">
        <v>55</v>
      </c>
      <c r="Z54" s="6" t="s">
        <v>302</v>
      </c>
      <c r="AA54" s="6" t="s">
        <v>304</v>
      </c>
      <c r="AB54" s="6" t="s">
        <v>3189</v>
      </c>
      <c r="AD54" s="131">
        <v>79027.45</v>
      </c>
      <c r="AE54" s="129">
        <v>1</v>
      </c>
      <c r="AF54" s="157">
        <v>1</v>
      </c>
      <c r="AG54" s="131">
        <v>0.79</v>
      </c>
      <c r="AJ54" s="6" t="s">
        <v>17</v>
      </c>
      <c r="AK54" s="132">
        <v>2.6182137285597401E-5</v>
      </c>
      <c r="AL54" s="132">
        <v>4.1225388117938098E-7</v>
      </c>
    </row>
    <row r="55" spans="1:38" x14ac:dyDescent="0.2">
      <c r="A55" s="6">
        <v>559</v>
      </c>
      <c r="B55" s="6">
        <v>7205</v>
      </c>
      <c r="C55" s="6" t="s">
        <v>3190</v>
      </c>
      <c r="D55" s="6" t="s">
        <v>3191</v>
      </c>
      <c r="E55" s="3" t="s">
        <v>432</v>
      </c>
      <c r="F55" s="6" t="s">
        <v>3192</v>
      </c>
      <c r="G55" s="6" t="s">
        <v>3193</v>
      </c>
      <c r="H55" s="6" t="s">
        <v>76</v>
      </c>
      <c r="I55" s="6" t="s">
        <v>228</v>
      </c>
      <c r="J55" s="6" t="s">
        <v>53</v>
      </c>
      <c r="K55" s="6" t="s">
        <v>53</v>
      </c>
      <c r="L55" s="3" t="s">
        <v>958</v>
      </c>
      <c r="M55" s="6" t="s">
        <v>692</v>
      </c>
      <c r="N55" s="6" t="s">
        <v>62</v>
      </c>
      <c r="O55" s="164" t="s">
        <v>3194</v>
      </c>
      <c r="P55" s="6" t="s">
        <v>1493</v>
      </c>
      <c r="Q55" s="6" t="s">
        <v>65</v>
      </c>
      <c r="R55" s="6" t="s">
        <v>57</v>
      </c>
      <c r="S55" s="6" t="s">
        <v>1219</v>
      </c>
      <c r="T55" s="131">
        <v>1.91</v>
      </c>
      <c r="U55" s="6" t="s">
        <v>1590</v>
      </c>
      <c r="V55" s="132">
        <v>5.0999999999999997E-2</v>
      </c>
      <c r="W55" s="132">
        <v>2.86E-2</v>
      </c>
      <c r="X55" s="3" t="s">
        <v>620</v>
      </c>
      <c r="Y55" s="3" t="s">
        <v>62</v>
      </c>
      <c r="Z55" s="6" t="s">
        <v>775</v>
      </c>
      <c r="AA55" s="6" t="s">
        <v>305</v>
      </c>
      <c r="AB55" s="6" t="s">
        <v>2313</v>
      </c>
      <c r="AD55" s="131">
        <v>1154285.98</v>
      </c>
      <c r="AE55" s="129">
        <v>1</v>
      </c>
      <c r="AF55" s="157">
        <v>97.29</v>
      </c>
      <c r="AG55" s="131">
        <v>1123.0050000000001</v>
      </c>
      <c r="AJ55" s="6" t="s">
        <v>17</v>
      </c>
      <c r="AK55" s="132">
        <v>3.7205637572679397E-2</v>
      </c>
      <c r="AL55" s="132">
        <v>5.8582568427398296E-4</v>
      </c>
    </row>
    <row r="56" spans="1:38" x14ac:dyDescent="0.2">
      <c r="A56" s="6">
        <v>559</v>
      </c>
      <c r="B56" s="6">
        <v>7205</v>
      </c>
      <c r="C56" s="6" t="s">
        <v>3195</v>
      </c>
      <c r="D56" s="6" t="s">
        <v>3196</v>
      </c>
      <c r="E56" s="3" t="s">
        <v>1477</v>
      </c>
      <c r="F56" s="6" t="s">
        <v>3197</v>
      </c>
      <c r="G56" s="6" t="s">
        <v>3198</v>
      </c>
      <c r="H56" s="6" t="s">
        <v>76</v>
      </c>
      <c r="I56" s="6" t="s">
        <v>228</v>
      </c>
      <c r="J56" s="6" t="s">
        <v>53</v>
      </c>
      <c r="K56" s="6" t="s">
        <v>53</v>
      </c>
      <c r="L56" s="3" t="s">
        <v>958</v>
      </c>
      <c r="M56" s="6" t="s">
        <v>692</v>
      </c>
      <c r="N56" s="6" t="s">
        <v>62</v>
      </c>
      <c r="O56" s="164" t="s">
        <v>3199</v>
      </c>
      <c r="P56" s="6" t="s">
        <v>1628</v>
      </c>
      <c r="Q56" s="6" t="s">
        <v>96</v>
      </c>
      <c r="R56" s="6" t="s">
        <v>57</v>
      </c>
      <c r="S56" s="6" t="s">
        <v>1219</v>
      </c>
      <c r="T56" s="131">
        <v>1.72</v>
      </c>
      <c r="U56" s="6" t="s">
        <v>1644</v>
      </c>
      <c r="V56" s="132">
        <v>5.21E-2</v>
      </c>
      <c r="W56" s="132">
        <v>4.4699999999999997E-2</v>
      </c>
      <c r="X56" s="3" t="s">
        <v>620</v>
      </c>
      <c r="Y56" s="3" t="s">
        <v>62</v>
      </c>
      <c r="Z56" s="6" t="s">
        <v>775</v>
      </c>
      <c r="AA56" s="6" t="s">
        <v>305</v>
      </c>
      <c r="AB56" s="6" t="s">
        <v>2313</v>
      </c>
      <c r="AD56" s="131">
        <v>1647396.27</v>
      </c>
      <c r="AE56" s="129">
        <v>1</v>
      </c>
      <c r="AF56" s="157">
        <v>98.87</v>
      </c>
      <c r="AG56" s="131">
        <v>1628.7809999999999</v>
      </c>
      <c r="AJ56" s="6" t="s">
        <v>17</v>
      </c>
      <c r="AK56" s="132">
        <v>5.3962211472058701E-2</v>
      </c>
      <c r="AL56" s="132">
        <v>8.4966826327872601E-4</v>
      </c>
    </row>
    <row r="57" spans="1:38" x14ac:dyDescent="0.2">
      <c r="A57" s="6">
        <v>559</v>
      </c>
      <c r="B57" s="6">
        <v>7205</v>
      </c>
      <c r="C57" s="6" t="s">
        <v>3200</v>
      </c>
      <c r="D57" s="6" t="s">
        <v>3201</v>
      </c>
      <c r="E57" s="3" t="s">
        <v>1477</v>
      </c>
      <c r="F57" s="6" t="s">
        <v>3202</v>
      </c>
      <c r="G57" s="6" t="s">
        <v>3203</v>
      </c>
      <c r="H57" s="6" t="s">
        <v>76</v>
      </c>
      <c r="I57" s="6" t="s">
        <v>102</v>
      </c>
      <c r="J57" s="6" t="s">
        <v>53</v>
      </c>
      <c r="K57" s="6" t="s">
        <v>53</v>
      </c>
      <c r="L57" s="3" t="s">
        <v>958</v>
      </c>
      <c r="M57" s="6" t="s">
        <v>258</v>
      </c>
      <c r="N57" s="6" t="s">
        <v>62</v>
      </c>
      <c r="O57" s="164" t="s">
        <v>3204</v>
      </c>
      <c r="P57" s="6" t="s">
        <v>298</v>
      </c>
      <c r="Q57" s="6" t="s">
        <v>298</v>
      </c>
      <c r="R57" s="6" t="s">
        <v>298</v>
      </c>
      <c r="S57" s="6" t="s">
        <v>1219</v>
      </c>
      <c r="T57" s="131">
        <v>0.01</v>
      </c>
      <c r="U57" s="6" t="s">
        <v>3205</v>
      </c>
      <c r="V57" s="132">
        <v>1E-4</v>
      </c>
      <c r="W57" s="132">
        <v>7.3999999999999996E-2</v>
      </c>
      <c r="X57" s="3" t="s">
        <v>619</v>
      </c>
      <c r="Y57" s="3" t="s">
        <v>55</v>
      </c>
      <c r="Z57" s="6" t="s">
        <v>302</v>
      </c>
      <c r="AA57" s="6" t="s">
        <v>304</v>
      </c>
      <c r="AB57" s="6" t="s">
        <v>3206</v>
      </c>
      <c r="AD57" s="131">
        <v>188463.71</v>
      </c>
      <c r="AE57" s="129">
        <v>1</v>
      </c>
      <c r="AF57" s="157">
        <v>0</v>
      </c>
      <c r="AG57" s="131">
        <v>0</v>
      </c>
      <c r="AJ57" s="6" t="s">
        <v>17</v>
      </c>
      <c r="AK57" s="132">
        <v>6.2438845345168208E-9</v>
      </c>
      <c r="AL57" s="132">
        <v>9.8313808567738485E-11</v>
      </c>
    </row>
    <row r="58" spans="1:38" x14ac:dyDescent="0.2">
      <c r="A58" s="6">
        <v>559</v>
      </c>
      <c r="B58" s="6">
        <v>7205</v>
      </c>
      <c r="C58" s="6" t="s">
        <v>3207</v>
      </c>
      <c r="D58" s="6" t="s">
        <v>3208</v>
      </c>
      <c r="E58" s="3" t="s">
        <v>1477</v>
      </c>
      <c r="F58" s="6" t="s">
        <v>3209</v>
      </c>
      <c r="G58" s="6" t="s">
        <v>3210</v>
      </c>
      <c r="H58" s="6" t="s">
        <v>76</v>
      </c>
      <c r="I58" s="6" t="s">
        <v>306</v>
      </c>
      <c r="J58" s="6" t="s">
        <v>53</v>
      </c>
      <c r="K58" s="6" t="s">
        <v>53</v>
      </c>
      <c r="L58" s="3" t="s">
        <v>958</v>
      </c>
      <c r="M58" s="6" t="s">
        <v>122</v>
      </c>
      <c r="N58" s="6" t="s">
        <v>62</v>
      </c>
      <c r="O58" s="164" t="s">
        <v>3211</v>
      </c>
      <c r="P58" s="6" t="s">
        <v>298</v>
      </c>
      <c r="Q58" s="6" t="s">
        <v>298</v>
      </c>
      <c r="R58" s="6" t="s">
        <v>298</v>
      </c>
      <c r="S58" s="6" t="s">
        <v>1219</v>
      </c>
      <c r="T58" s="131">
        <v>0.01</v>
      </c>
      <c r="U58" s="6" t="s">
        <v>3212</v>
      </c>
      <c r="V58" s="132">
        <v>1E-4</v>
      </c>
      <c r="W58" s="132">
        <v>4.4999999999999998E-2</v>
      </c>
      <c r="X58" s="3" t="s">
        <v>620</v>
      </c>
      <c r="Y58" s="3" t="s">
        <v>55</v>
      </c>
      <c r="Z58" s="6" t="s">
        <v>302</v>
      </c>
      <c r="AA58" s="6" t="s">
        <v>304</v>
      </c>
      <c r="AB58" s="6" t="s">
        <v>3213</v>
      </c>
      <c r="AD58" s="131">
        <v>1014167.04</v>
      </c>
      <c r="AE58" s="129">
        <v>1</v>
      </c>
      <c r="AF58" s="157">
        <v>0</v>
      </c>
      <c r="AG58" s="131">
        <v>0</v>
      </c>
      <c r="AJ58" s="6" t="s">
        <v>17</v>
      </c>
      <c r="AK58" s="132">
        <v>3.3599794339571802E-10</v>
      </c>
      <c r="AL58" s="132">
        <v>5.2904946117355997E-12</v>
      </c>
    </row>
    <row r="59" spans="1:38" x14ac:dyDescent="0.2">
      <c r="A59" s="6">
        <v>559</v>
      </c>
      <c r="B59" s="6">
        <v>7205</v>
      </c>
      <c r="C59" s="6" t="s">
        <v>1970</v>
      </c>
      <c r="D59" s="6" t="s">
        <v>1971</v>
      </c>
      <c r="E59" s="3" t="s">
        <v>1477</v>
      </c>
      <c r="F59" s="6" t="s">
        <v>3101</v>
      </c>
      <c r="G59" s="6" t="s">
        <v>3102</v>
      </c>
      <c r="H59" s="6" t="s">
        <v>76</v>
      </c>
      <c r="I59" s="6" t="s">
        <v>229</v>
      </c>
      <c r="J59" s="6" t="s">
        <v>53</v>
      </c>
      <c r="K59" s="6" t="s">
        <v>53</v>
      </c>
      <c r="L59" s="3" t="s">
        <v>958</v>
      </c>
      <c r="M59" s="6" t="s">
        <v>258</v>
      </c>
      <c r="N59" s="6" t="s">
        <v>62</v>
      </c>
      <c r="O59" s="164" t="s">
        <v>3214</v>
      </c>
      <c r="P59" s="6" t="s">
        <v>1213</v>
      </c>
      <c r="Q59" s="6" t="s">
        <v>65</v>
      </c>
      <c r="R59" s="6" t="s">
        <v>57</v>
      </c>
      <c r="S59" s="6" t="s">
        <v>1219</v>
      </c>
      <c r="T59" s="131">
        <v>8.8800000000000008</v>
      </c>
      <c r="U59" s="6" t="s">
        <v>3104</v>
      </c>
      <c r="V59" s="132">
        <v>3.0800000000000001E-2</v>
      </c>
      <c r="W59" s="132">
        <v>4.1000000000000002E-2</v>
      </c>
      <c r="X59" s="3" t="s">
        <v>620</v>
      </c>
      <c r="Y59" s="3" t="s">
        <v>62</v>
      </c>
      <c r="Z59" s="6" t="s">
        <v>775</v>
      </c>
      <c r="AA59" s="6" t="s">
        <v>3082</v>
      </c>
      <c r="AB59" s="6" t="s">
        <v>2313</v>
      </c>
      <c r="AD59" s="131">
        <v>6688848.0199999996</v>
      </c>
      <c r="AE59" s="129">
        <v>1</v>
      </c>
      <c r="AF59" s="157">
        <v>137.31</v>
      </c>
      <c r="AG59" s="131">
        <v>9184.4570000000003</v>
      </c>
      <c r="AJ59" s="6" t="s">
        <v>17</v>
      </c>
      <c r="AK59" s="132">
        <v>0.30428505504083397</v>
      </c>
      <c r="AL59" s="132">
        <v>4.7911556477274403E-3</v>
      </c>
    </row>
    <row r="60" spans="1:38" x14ac:dyDescent="0.2">
      <c r="A60" s="6">
        <v>559</v>
      </c>
      <c r="B60" s="6">
        <v>7205</v>
      </c>
      <c r="C60" s="6" t="s">
        <v>2010</v>
      </c>
      <c r="D60" s="6" t="s">
        <v>2011</v>
      </c>
      <c r="E60" s="3" t="s">
        <v>1477</v>
      </c>
      <c r="F60" s="6" t="s">
        <v>3215</v>
      </c>
      <c r="G60" s="6" t="s">
        <v>3216</v>
      </c>
      <c r="H60" s="6" t="s">
        <v>76</v>
      </c>
      <c r="I60" s="6" t="s">
        <v>229</v>
      </c>
      <c r="J60" s="6" t="s">
        <v>53</v>
      </c>
      <c r="K60" s="6" t="s">
        <v>53</v>
      </c>
      <c r="L60" s="3" t="s">
        <v>958</v>
      </c>
      <c r="M60" s="6" t="s">
        <v>258</v>
      </c>
      <c r="N60" s="6" t="s">
        <v>62</v>
      </c>
      <c r="O60" s="164" t="s">
        <v>3217</v>
      </c>
      <c r="P60" s="6" t="s">
        <v>1339</v>
      </c>
      <c r="Q60" s="6" t="s">
        <v>65</v>
      </c>
      <c r="R60" s="6" t="s">
        <v>57</v>
      </c>
      <c r="S60" s="6" t="s">
        <v>1219</v>
      </c>
      <c r="T60" s="131">
        <v>0.83</v>
      </c>
      <c r="U60" s="6" t="s">
        <v>3218</v>
      </c>
      <c r="V60" s="132">
        <v>2.8899999999999999E-2</v>
      </c>
      <c r="W60" s="132">
        <v>5.6000000000000001E-2</v>
      </c>
      <c r="X60" s="3" t="s">
        <v>620</v>
      </c>
      <c r="Y60" s="3" t="s">
        <v>62</v>
      </c>
      <c r="Z60" s="6" t="s">
        <v>775</v>
      </c>
      <c r="AA60" s="6" t="s">
        <v>3082</v>
      </c>
      <c r="AB60" s="6" t="s">
        <v>2313</v>
      </c>
      <c r="AC60" s="6" t="s">
        <v>3219</v>
      </c>
      <c r="AD60" s="131">
        <v>416354.64</v>
      </c>
      <c r="AE60" s="129">
        <v>1</v>
      </c>
      <c r="AF60" s="157">
        <v>144.6</v>
      </c>
      <c r="AG60" s="131">
        <v>602.04899999999998</v>
      </c>
      <c r="AJ60" s="6" t="s">
        <v>17</v>
      </c>
      <c r="AK60" s="132">
        <v>1.9946138438464801E-2</v>
      </c>
      <c r="AL60" s="132">
        <v>3.1406423761751802E-4</v>
      </c>
    </row>
    <row r="61" spans="1:38" x14ac:dyDescent="0.2">
      <c r="A61" s="6">
        <v>559</v>
      </c>
      <c r="B61" s="6">
        <v>7205</v>
      </c>
      <c r="C61" s="6" t="s">
        <v>3220</v>
      </c>
      <c r="D61" s="6" t="s">
        <v>3221</v>
      </c>
      <c r="E61" s="3" t="s">
        <v>1477</v>
      </c>
      <c r="F61" s="6" t="s">
        <v>3222</v>
      </c>
      <c r="G61" s="6" t="s">
        <v>3223</v>
      </c>
      <c r="H61" s="6" t="s">
        <v>76</v>
      </c>
      <c r="I61" s="6" t="s">
        <v>102</v>
      </c>
      <c r="J61" s="6" t="s">
        <v>53</v>
      </c>
      <c r="K61" s="6" t="s">
        <v>53</v>
      </c>
      <c r="L61" s="3" t="s">
        <v>958</v>
      </c>
      <c r="M61" s="6" t="s">
        <v>71</v>
      </c>
      <c r="N61" s="6" t="s">
        <v>62</v>
      </c>
      <c r="O61" s="164" t="s">
        <v>3224</v>
      </c>
      <c r="P61" s="6" t="s">
        <v>298</v>
      </c>
      <c r="Q61" s="6" t="s">
        <v>298</v>
      </c>
      <c r="R61" s="6" t="s">
        <v>298</v>
      </c>
      <c r="S61" s="6" t="s">
        <v>1219</v>
      </c>
      <c r="T61" s="131">
        <v>0.01</v>
      </c>
      <c r="U61" s="6" t="s">
        <v>3225</v>
      </c>
      <c r="V61" s="132">
        <v>1E-4</v>
      </c>
      <c r="W61" s="132">
        <v>7.0000000000000007E-2</v>
      </c>
      <c r="X61" s="3" t="s">
        <v>620</v>
      </c>
      <c r="Y61" s="3" t="s">
        <v>55</v>
      </c>
      <c r="Z61" s="6" t="s">
        <v>302</v>
      </c>
      <c r="AA61" s="6" t="s">
        <v>304</v>
      </c>
      <c r="AB61" s="6" t="s">
        <v>3226</v>
      </c>
      <c r="AD61" s="131">
        <v>116243.8</v>
      </c>
      <c r="AE61" s="129">
        <v>1</v>
      </c>
      <c r="AF61" s="157">
        <v>0</v>
      </c>
      <c r="AG61" s="131">
        <v>0</v>
      </c>
      <c r="AJ61" s="6" t="s">
        <v>17</v>
      </c>
      <c r="AK61" s="132">
        <v>3.8512075616757594E-11</v>
      </c>
      <c r="AL61" s="132">
        <v>6.0639635611473894E-13</v>
      </c>
    </row>
    <row r="62" spans="1:38" x14ac:dyDescent="0.2">
      <c r="A62" s="6">
        <v>559</v>
      </c>
      <c r="B62" s="6">
        <v>7205</v>
      </c>
      <c r="C62" s="6" t="s">
        <v>3105</v>
      </c>
      <c r="D62" s="6" t="s">
        <v>3106</v>
      </c>
      <c r="E62" s="3" t="s">
        <v>767</v>
      </c>
      <c r="F62" s="6" t="s">
        <v>3107</v>
      </c>
      <c r="G62" s="6" t="s">
        <v>3108</v>
      </c>
      <c r="H62" s="6" t="s">
        <v>76</v>
      </c>
      <c r="I62" s="6" t="s">
        <v>228</v>
      </c>
      <c r="J62" s="6" t="s">
        <v>53</v>
      </c>
      <c r="K62" s="6" t="s">
        <v>204</v>
      </c>
      <c r="L62" s="3" t="s">
        <v>958</v>
      </c>
      <c r="M62" s="6" t="s">
        <v>140</v>
      </c>
      <c r="N62" s="6" t="s">
        <v>62</v>
      </c>
      <c r="O62" s="164" t="s">
        <v>3109</v>
      </c>
      <c r="P62" s="6" t="s">
        <v>298</v>
      </c>
      <c r="Q62" s="6" t="s">
        <v>298</v>
      </c>
      <c r="R62" s="6" t="s">
        <v>298</v>
      </c>
      <c r="S62" s="6" t="s">
        <v>1219</v>
      </c>
      <c r="T62" s="131">
        <v>3.28</v>
      </c>
      <c r="U62" s="6" t="s">
        <v>3110</v>
      </c>
      <c r="V62" s="132">
        <v>7.7100000000000002E-2</v>
      </c>
      <c r="W62" s="132">
        <v>9.5000000000000001E-2</v>
      </c>
      <c r="X62" s="3" t="s">
        <v>620</v>
      </c>
      <c r="Y62" s="3" t="s">
        <v>62</v>
      </c>
      <c r="Z62" s="6" t="s">
        <v>775</v>
      </c>
      <c r="AA62" s="6" t="s">
        <v>3082</v>
      </c>
      <c r="AB62" s="6" t="s">
        <v>2313</v>
      </c>
      <c r="AD62" s="131">
        <v>1130000</v>
      </c>
      <c r="AE62" s="129">
        <v>1</v>
      </c>
      <c r="AF62" s="157">
        <v>107.89</v>
      </c>
      <c r="AG62" s="131">
        <v>1219.1569999999999</v>
      </c>
      <c r="AJ62" s="6" t="s">
        <v>17</v>
      </c>
      <c r="AK62" s="132">
        <v>4.0391200711521198E-2</v>
      </c>
      <c r="AL62" s="132">
        <v>6.3598433837484401E-4</v>
      </c>
    </row>
    <row r="63" spans="1:38" x14ac:dyDescent="0.2">
      <c r="A63" s="6">
        <v>559</v>
      </c>
      <c r="B63" s="6">
        <v>7205</v>
      </c>
      <c r="C63" s="6" t="s">
        <v>3200</v>
      </c>
      <c r="D63" s="6" t="s">
        <v>3201</v>
      </c>
      <c r="E63" s="3" t="s">
        <v>1477</v>
      </c>
      <c r="F63" s="6" t="s">
        <v>3227</v>
      </c>
      <c r="G63" s="6" t="s">
        <v>3203</v>
      </c>
      <c r="H63" s="6" t="s">
        <v>76</v>
      </c>
      <c r="I63" s="6" t="s">
        <v>102</v>
      </c>
      <c r="J63" s="6" t="s">
        <v>53</v>
      </c>
      <c r="K63" s="6" t="s">
        <v>53</v>
      </c>
      <c r="L63" s="3" t="s">
        <v>958</v>
      </c>
      <c r="M63" s="6" t="s">
        <v>258</v>
      </c>
      <c r="N63" s="6" t="s">
        <v>62</v>
      </c>
      <c r="O63" s="164" t="s">
        <v>3121</v>
      </c>
      <c r="P63" s="6" t="s">
        <v>3228</v>
      </c>
      <c r="Q63" s="6" t="s">
        <v>65</v>
      </c>
      <c r="R63" s="6" t="s">
        <v>57</v>
      </c>
      <c r="S63" s="6" t="s">
        <v>1219</v>
      </c>
      <c r="T63" s="131">
        <v>0</v>
      </c>
      <c r="U63" s="6" t="s">
        <v>3205</v>
      </c>
      <c r="V63" s="132">
        <v>0</v>
      </c>
      <c r="W63" s="132">
        <v>7.3999999999999996E-2</v>
      </c>
      <c r="X63" s="3" t="s">
        <v>620</v>
      </c>
      <c r="Y63" s="3" t="s">
        <v>55</v>
      </c>
      <c r="Z63" s="6" t="s">
        <v>302</v>
      </c>
      <c r="AA63" s="6" t="s">
        <v>304</v>
      </c>
      <c r="AD63" s="131">
        <v>66209</v>
      </c>
      <c r="AE63" s="129">
        <v>1</v>
      </c>
      <c r="AF63" s="157">
        <v>0</v>
      </c>
      <c r="AG63" s="131">
        <v>0</v>
      </c>
      <c r="AJ63" s="6" t="s">
        <v>17</v>
      </c>
      <c r="AK63" s="132">
        <v>0</v>
      </c>
      <c r="AL63" s="132">
        <v>0</v>
      </c>
    </row>
    <row r="64" spans="1:38" x14ac:dyDescent="0.2">
      <c r="A64" s="6">
        <v>559</v>
      </c>
      <c r="B64" s="6">
        <v>7205</v>
      </c>
      <c r="C64" s="6" t="s">
        <v>3229</v>
      </c>
      <c r="D64" s="6" t="s">
        <v>3230</v>
      </c>
      <c r="E64" s="3" t="s">
        <v>1477</v>
      </c>
      <c r="F64" s="6" t="s">
        <v>3231</v>
      </c>
      <c r="G64" s="6" t="s">
        <v>3232</v>
      </c>
      <c r="H64" s="6" t="s">
        <v>76</v>
      </c>
      <c r="I64" s="6" t="s">
        <v>229</v>
      </c>
      <c r="J64" s="6" t="s">
        <v>53</v>
      </c>
      <c r="K64" s="6" t="s">
        <v>53</v>
      </c>
      <c r="L64" s="3" t="s">
        <v>958</v>
      </c>
      <c r="M64" s="6" t="s">
        <v>102</v>
      </c>
      <c r="N64" s="6" t="s">
        <v>62</v>
      </c>
      <c r="O64" s="164" t="s">
        <v>3172</v>
      </c>
      <c r="P64" s="6" t="s">
        <v>3228</v>
      </c>
      <c r="Q64" s="6" t="s">
        <v>65</v>
      </c>
      <c r="R64" s="6" t="s">
        <v>57</v>
      </c>
      <c r="S64" s="6" t="s">
        <v>1219</v>
      </c>
      <c r="T64" s="131">
        <v>0</v>
      </c>
      <c r="U64" s="6" t="s">
        <v>3225</v>
      </c>
      <c r="V64" s="132">
        <v>0</v>
      </c>
      <c r="W64" s="132">
        <v>5.5E-2</v>
      </c>
      <c r="X64" s="3" t="s">
        <v>620</v>
      </c>
      <c r="Y64" s="3" t="s">
        <v>62</v>
      </c>
      <c r="Z64" s="6" t="s">
        <v>302</v>
      </c>
      <c r="AA64" s="6" t="s">
        <v>304</v>
      </c>
      <c r="AB64" s="6" t="s">
        <v>3174</v>
      </c>
      <c r="AD64" s="131">
        <v>3734.39</v>
      </c>
      <c r="AE64" s="129">
        <v>1</v>
      </c>
      <c r="AF64" s="157">
        <v>251.18</v>
      </c>
      <c r="AG64" s="131">
        <v>9.3800000000000008</v>
      </c>
      <c r="AJ64" s="6" t="s">
        <v>17</v>
      </c>
      <c r="AK64" s="132">
        <v>3.1076482414967097E-4</v>
      </c>
      <c r="AL64" s="132">
        <v>4.8931836042355601E-6</v>
      </c>
    </row>
    <row r="65" spans="1:38" x14ac:dyDescent="0.2">
      <c r="A65" s="6">
        <v>559</v>
      </c>
      <c r="B65" s="6">
        <v>7205</v>
      </c>
      <c r="C65" s="6" t="s">
        <v>3229</v>
      </c>
      <c r="D65" s="6" t="s">
        <v>3230</v>
      </c>
      <c r="E65" s="3" t="s">
        <v>1477</v>
      </c>
      <c r="F65" s="6" t="s">
        <v>3253</v>
      </c>
      <c r="G65" s="6" t="s">
        <v>3254</v>
      </c>
      <c r="H65" s="6" t="s">
        <v>76</v>
      </c>
      <c r="I65" s="6" t="s">
        <v>102</v>
      </c>
      <c r="J65" s="6" t="s">
        <v>53</v>
      </c>
      <c r="K65" s="6" t="s">
        <v>53</v>
      </c>
      <c r="L65" s="3" t="s">
        <v>958</v>
      </c>
      <c r="M65" s="6" t="s">
        <v>102</v>
      </c>
      <c r="N65" s="6" t="s">
        <v>62</v>
      </c>
      <c r="O65" s="164" t="s">
        <v>3121</v>
      </c>
      <c r="P65" s="6" t="s">
        <v>298</v>
      </c>
      <c r="Q65" s="6" t="s">
        <v>298</v>
      </c>
      <c r="R65" s="6" t="s">
        <v>298</v>
      </c>
      <c r="S65" s="6" t="s">
        <v>1219</v>
      </c>
      <c r="T65" s="131">
        <v>0</v>
      </c>
      <c r="U65" s="6" t="s">
        <v>3129</v>
      </c>
      <c r="V65" s="132">
        <v>0</v>
      </c>
      <c r="W65" s="132">
        <v>8.5000000000000006E-2</v>
      </c>
      <c r="X65" s="3" t="s">
        <v>620</v>
      </c>
      <c r="Y65" s="3" t="s">
        <v>55</v>
      </c>
      <c r="Z65" s="6" t="s">
        <v>302</v>
      </c>
      <c r="AA65" s="6" t="s">
        <v>304</v>
      </c>
      <c r="AB65" s="6" t="s">
        <v>3174</v>
      </c>
      <c r="AD65" s="131">
        <v>899.92</v>
      </c>
      <c r="AE65" s="129">
        <v>1</v>
      </c>
      <c r="AF65" s="157">
        <v>219.86</v>
      </c>
      <c r="AG65" s="131">
        <v>1.9790000000000001</v>
      </c>
      <c r="AJ65" s="6" t="s">
        <v>17</v>
      </c>
      <c r="AK65" s="132">
        <v>6.5550688031487897E-5</v>
      </c>
      <c r="AL65" s="132">
        <v>1.0321359658374801E-6</v>
      </c>
    </row>
    <row r="66" spans="1:38" x14ac:dyDescent="0.2">
      <c r="A66" s="6">
        <v>559</v>
      </c>
      <c r="B66" s="6">
        <v>7205</v>
      </c>
      <c r="C66" s="6" t="s">
        <v>3229</v>
      </c>
      <c r="D66" s="6" t="s">
        <v>3230</v>
      </c>
      <c r="E66" s="3" t="s">
        <v>1477</v>
      </c>
      <c r="F66" s="6" t="s">
        <v>3255</v>
      </c>
      <c r="G66" s="6" t="s">
        <v>3256</v>
      </c>
      <c r="H66" s="6" t="s">
        <v>78</v>
      </c>
      <c r="I66" s="6" t="s">
        <v>228</v>
      </c>
      <c r="J66" s="6" t="s">
        <v>53</v>
      </c>
      <c r="K66" s="6" t="s">
        <v>53</v>
      </c>
      <c r="L66" s="3" t="s">
        <v>958</v>
      </c>
      <c r="M66" s="6" t="s">
        <v>692</v>
      </c>
      <c r="N66" s="6" t="s">
        <v>62</v>
      </c>
      <c r="O66" s="164" t="s">
        <v>3189</v>
      </c>
      <c r="P66" s="6" t="s">
        <v>298</v>
      </c>
      <c r="Q66" s="6" t="s">
        <v>298</v>
      </c>
      <c r="R66" s="6" t="s">
        <v>298</v>
      </c>
      <c r="S66" s="6" t="s">
        <v>1219</v>
      </c>
      <c r="T66" s="131">
        <v>0</v>
      </c>
      <c r="U66" s="6" t="s">
        <v>3257</v>
      </c>
      <c r="V66" s="132">
        <v>0</v>
      </c>
      <c r="W66" s="132">
        <v>8.5000000000000006E-2</v>
      </c>
      <c r="X66" s="3" t="s">
        <v>620</v>
      </c>
      <c r="Y66" s="3" t="s">
        <v>55</v>
      </c>
      <c r="Z66" s="6" t="s">
        <v>302</v>
      </c>
      <c r="AA66" s="6" t="s">
        <v>304</v>
      </c>
      <c r="AB66" s="6" t="s">
        <v>3174</v>
      </c>
      <c r="AD66" s="131">
        <v>449.95</v>
      </c>
      <c r="AE66" s="129">
        <v>1</v>
      </c>
      <c r="AF66" s="157">
        <v>219.86</v>
      </c>
      <c r="AG66" s="131">
        <v>0.98899999999999999</v>
      </c>
      <c r="AJ66" s="6" t="s">
        <v>17</v>
      </c>
      <c r="AK66" s="132">
        <v>3.2774615610018699E-5</v>
      </c>
      <c r="AL66" s="132">
        <v>5.1605651372186004E-7</v>
      </c>
    </row>
    <row r="67" spans="1:38" x14ac:dyDescent="0.2">
      <c r="A67" s="6">
        <v>559</v>
      </c>
      <c r="B67" s="6">
        <v>7205</v>
      </c>
      <c r="C67" s="6" t="s">
        <v>3084</v>
      </c>
      <c r="D67" s="6" t="s">
        <v>3085</v>
      </c>
      <c r="E67" s="3" t="s">
        <v>1477</v>
      </c>
      <c r="F67" s="6" t="s">
        <v>3233</v>
      </c>
      <c r="G67" s="6" t="s">
        <v>3234</v>
      </c>
      <c r="H67" s="6" t="s">
        <v>76</v>
      </c>
      <c r="I67" s="6" t="s">
        <v>228</v>
      </c>
      <c r="J67" s="6" t="s">
        <v>53</v>
      </c>
      <c r="K67" s="6" t="s">
        <v>53</v>
      </c>
      <c r="L67" s="3" t="s">
        <v>958</v>
      </c>
      <c r="M67" s="6" t="s">
        <v>638</v>
      </c>
      <c r="N67" s="6" t="s">
        <v>62</v>
      </c>
      <c r="O67" s="164" t="s">
        <v>3235</v>
      </c>
      <c r="P67" s="6" t="s">
        <v>1213</v>
      </c>
      <c r="Q67" s="6" t="s">
        <v>65</v>
      </c>
      <c r="R67" s="6" t="s">
        <v>57</v>
      </c>
      <c r="S67" s="6" t="s">
        <v>1219</v>
      </c>
      <c r="T67" s="131">
        <v>0.7</v>
      </c>
      <c r="U67" s="6" t="s">
        <v>3236</v>
      </c>
      <c r="V67" s="132">
        <v>4.7199999999999999E-2</v>
      </c>
      <c r="W67" s="132">
        <v>2.5000000000000001E-2</v>
      </c>
      <c r="X67" s="3" t="s">
        <v>620</v>
      </c>
      <c r="Y67" s="3" t="s">
        <v>62</v>
      </c>
      <c r="Z67" s="6" t="s">
        <v>775</v>
      </c>
      <c r="AA67" s="6" t="s">
        <v>3082</v>
      </c>
      <c r="AB67" s="6" t="s">
        <v>2313</v>
      </c>
      <c r="AD67" s="131">
        <v>473203.59</v>
      </c>
      <c r="AE67" s="129">
        <v>1</v>
      </c>
      <c r="AF67" s="157">
        <v>99.24</v>
      </c>
      <c r="AG67" s="131">
        <v>469.60700000000003</v>
      </c>
      <c r="AJ67" s="6" t="s">
        <v>17</v>
      </c>
      <c r="AK67" s="132">
        <v>1.5558291832902599E-2</v>
      </c>
      <c r="AL67" s="132">
        <v>2.4497488966127397E-4</v>
      </c>
    </row>
    <row r="68" spans="1:38" x14ac:dyDescent="0.2">
      <c r="A68" s="6">
        <v>559</v>
      </c>
      <c r="B68" s="6">
        <v>7205</v>
      </c>
      <c r="C68" s="6" t="s">
        <v>3084</v>
      </c>
      <c r="D68" s="6" t="s">
        <v>3085</v>
      </c>
      <c r="E68" s="3" t="s">
        <v>1477</v>
      </c>
      <c r="F68" s="6" t="s">
        <v>3237</v>
      </c>
      <c r="G68" s="6" t="s">
        <v>3238</v>
      </c>
      <c r="H68" s="6" t="s">
        <v>76</v>
      </c>
      <c r="I68" s="6" t="s">
        <v>228</v>
      </c>
      <c r="J68" s="6" t="s">
        <v>53</v>
      </c>
      <c r="K68" s="6" t="s">
        <v>53</v>
      </c>
      <c r="L68" s="3" t="s">
        <v>958</v>
      </c>
      <c r="M68" s="6" t="s">
        <v>638</v>
      </c>
      <c r="N68" s="6" t="s">
        <v>62</v>
      </c>
      <c r="O68" s="164" t="s">
        <v>3235</v>
      </c>
      <c r="P68" s="6" t="s">
        <v>1213</v>
      </c>
      <c r="Q68" s="6" t="s">
        <v>65</v>
      </c>
      <c r="R68" s="6" t="s">
        <v>57</v>
      </c>
      <c r="S68" s="6" t="s">
        <v>1219</v>
      </c>
      <c r="T68" s="131">
        <v>4.13</v>
      </c>
      <c r="U68" s="6" t="s">
        <v>3239</v>
      </c>
      <c r="V68" s="132">
        <v>4.65E-2</v>
      </c>
      <c r="W68" s="132">
        <v>3.7400000000000003E-2</v>
      </c>
      <c r="X68" s="3" t="s">
        <v>620</v>
      </c>
      <c r="Y68" s="3" t="s">
        <v>62</v>
      </c>
      <c r="Z68" s="6" t="s">
        <v>775</v>
      </c>
      <c r="AA68" s="6" t="s">
        <v>3082</v>
      </c>
      <c r="AB68" s="6" t="s">
        <v>2313</v>
      </c>
      <c r="AD68" s="131">
        <v>1693582.6</v>
      </c>
      <c r="AE68" s="129">
        <v>1</v>
      </c>
      <c r="AF68" s="157">
        <v>97.6</v>
      </c>
      <c r="AG68" s="131">
        <v>1652.9369999999999</v>
      </c>
      <c r="AJ68" s="6" t="s">
        <v>17</v>
      </c>
      <c r="AK68" s="132">
        <v>5.4762507769634802E-2</v>
      </c>
      <c r="AL68" s="132">
        <v>8.6226942151001703E-4</v>
      </c>
    </row>
    <row r="69" spans="1:38" x14ac:dyDescent="0.2">
      <c r="A69" s="6">
        <v>559</v>
      </c>
      <c r="B69" s="6">
        <v>7205</v>
      </c>
      <c r="C69" s="6" t="s">
        <v>3240</v>
      </c>
      <c r="D69" s="6" t="s">
        <v>3241</v>
      </c>
      <c r="E69" s="3" t="s">
        <v>1477</v>
      </c>
      <c r="F69" s="6" t="s">
        <v>3242</v>
      </c>
      <c r="G69" s="6" t="s">
        <v>3243</v>
      </c>
      <c r="H69" s="6" t="s">
        <v>76</v>
      </c>
      <c r="I69" s="6" t="s">
        <v>229</v>
      </c>
      <c r="J69" s="6" t="s">
        <v>53</v>
      </c>
      <c r="K69" s="6" t="s">
        <v>53</v>
      </c>
      <c r="L69" s="3" t="s">
        <v>958</v>
      </c>
      <c r="M69" s="6" t="s">
        <v>258</v>
      </c>
      <c r="N69" s="6" t="s">
        <v>62</v>
      </c>
      <c r="O69" s="164" t="s">
        <v>3121</v>
      </c>
      <c r="P69" s="6" t="s">
        <v>1926</v>
      </c>
      <c r="Q69" s="6" t="s">
        <v>70</v>
      </c>
      <c r="R69" s="6" t="s">
        <v>57</v>
      </c>
      <c r="S69" s="6" t="s">
        <v>1219</v>
      </c>
      <c r="T69" s="131">
        <v>3.51</v>
      </c>
      <c r="U69" s="6" t="s">
        <v>2006</v>
      </c>
      <c r="V69" s="132">
        <v>2.8299999999999999E-2</v>
      </c>
      <c r="W69" s="132">
        <v>1.55E-2</v>
      </c>
      <c r="X69" s="3" t="s">
        <v>620</v>
      </c>
      <c r="Y69" s="3" t="s">
        <v>62</v>
      </c>
      <c r="Z69" s="6" t="s">
        <v>775</v>
      </c>
      <c r="AA69" s="6" t="s">
        <v>305</v>
      </c>
      <c r="AB69" s="6" t="s">
        <v>2313</v>
      </c>
      <c r="AD69" s="131">
        <v>3372991.13</v>
      </c>
      <c r="AE69" s="129">
        <v>1</v>
      </c>
      <c r="AF69" s="157">
        <v>106.05</v>
      </c>
      <c r="AG69" s="131">
        <v>3577.0569999999998</v>
      </c>
      <c r="AJ69" s="6" t="s">
        <v>17</v>
      </c>
      <c r="AK69" s="132">
        <v>0.118509454495751</v>
      </c>
      <c r="AL69" s="132">
        <v>1.8660043692918799E-3</v>
      </c>
    </row>
    <row r="70" spans="1:38" x14ac:dyDescent="0.2">
      <c r="A70" s="6">
        <v>559</v>
      </c>
      <c r="B70" s="6">
        <v>7205</v>
      </c>
      <c r="C70" s="6" t="s">
        <v>3240</v>
      </c>
      <c r="D70" s="6" t="s">
        <v>3241</v>
      </c>
      <c r="E70" s="3" t="s">
        <v>1477</v>
      </c>
      <c r="F70" s="6" t="s">
        <v>3244</v>
      </c>
      <c r="G70" s="6" t="s">
        <v>3245</v>
      </c>
      <c r="H70" s="6" t="s">
        <v>76</v>
      </c>
      <c r="I70" s="6" t="s">
        <v>229</v>
      </c>
      <c r="J70" s="6" t="s">
        <v>53</v>
      </c>
      <c r="K70" s="6" t="s">
        <v>53</v>
      </c>
      <c r="L70" s="3" t="s">
        <v>958</v>
      </c>
      <c r="M70" s="6" t="s">
        <v>258</v>
      </c>
      <c r="N70" s="6" t="s">
        <v>62</v>
      </c>
      <c r="O70" s="164" t="s">
        <v>3121</v>
      </c>
      <c r="P70" s="6" t="s">
        <v>1926</v>
      </c>
      <c r="Q70" s="6" t="s">
        <v>70</v>
      </c>
      <c r="R70" s="6" t="s">
        <v>57</v>
      </c>
      <c r="S70" s="6" t="s">
        <v>1219</v>
      </c>
      <c r="T70" s="131">
        <v>6.42</v>
      </c>
      <c r="U70" s="6" t="s">
        <v>3246</v>
      </c>
      <c r="V70" s="132">
        <v>2.81E-2</v>
      </c>
      <c r="W70" s="132">
        <v>1.7500000000000002E-2</v>
      </c>
      <c r="X70" s="3" t="s">
        <v>620</v>
      </c>
      <c r="Y70" s="3" t="s">
        <v>62</v>
      </c>
      <c r="Z70" s="6" t="s">
        <v>775</v>
      </c>
      <c r="AA70" s="6" t="s">
        <v>305</v>
      </c>
      <c r="AB70" s="6" t="s">
        <v>2313</v>
      </c>
      <c r="AD70" s="131">
        <v>1062000</v>
      </c>
      <c r="AE70" s="129">
        <v>1</v>
      </c>
      <c r="AF70" s="157">
        <v>103.68</v>
      </c>
      <c r="AG70" s="131">
        <v>1101.0820000000001</v>
      </c>
      <c r="AJ70" s="6" t="s">
        <v>17</v>
      </c>
      <c r="AK70" s="132">
        <v>3.6479311446649502E-2</v>
      </c>
      <c r="AL70" s="132">
        <v>5.7438923196332704E-4</v>
      </c>
    </row>
    <row r="71" spans="1:38" x14ac:dyDescent="0.2">
      <c r="A71" s="6">
        <v>559</v>
      </c>
      <c r="B71" s="6">
        <v>7205</v>
      </c>
      <c r="C71" s="6" t="s">
        <v>3247</v>
      </c>
      <c r="D71" s="6" t="s">
        <v>3248</v>
      </c>
      <c r="E71" s="3" t="s">
        <v>1477</v>
      </c>
      <c r="F71" s="6" t="s">
        <v>3249</v>
      </c>
      <c r="G71" s="6" t="s">
        <v>3250</v>
      </c>
      <c r="H71" s="6" t="s">
        <v>76</v>
      </c>
      <c r="I71" s="6" t="s">
        <v>229</v>
      </c>
      <c r="J71" s="6" t="s">
        <v>53</v>
      </c>
      <c r="K71" s="6" t="s">
        <v>53</v>
      </c>
      <c r="L71" s="3" t="s">
        <v>958</v>
      </c>
      <c r="M71" s="6" t="s">
        <v>156</v>
      </c>
      <c r="N71" s="6" t="s">
        <v>62</v>
      </c>
      <c r="O71" s="164" t="s">
        <v>3251</v>
      </c>
      <c r="P71" s="6" t="s">
        <v>1213</v>
      </c>
      <c r="Q71" s="6" t="s">
        <v>96</v>
      </c>
      <c r="R71" s="6" t="s">
        <v>57</v>
      </c>
      <c r="S71" s="6" t="s">
        <v>1219</v>
      </c>
      <c r="T71" s="131">
        <v>7.33</v>
      </c>
      <c r="U71" s="6" t="s">
        <v>3252</v>
      </c>
      <c r="V71" s="132">
        <v>2.64E-2</v>
      </c>
      <c r="W71" s="132">
        <v>8.3000000000000001E-3</v>
      </c>
      <c r="X71" s="3" t="s">
        <v>620</v>
      </c>
      <c r="Y71" s="3" t="s">
        <v>62</v>
      </c>
      <c r="Z71" s="6" t="s">
        <v>775</v>
      </c>
      <c r="AA71" s="6" t="s">
        <v>305</v>
      </c>
      <c r="AB71" s="6" t="s">
        <v>2313</v>
      </c>
      <c r="AD71" s="131">
        <v>1302367.9099999999</v>
      </c>
      <c r="AE71" s="129">
        <v>1</v>
      </c>
      <c r="AF71" s="157">
        <v>102.64</v>
      </c>
      <c r="AG71" s="131">
        <v>1336.75</v>
      </c>
      <c r="AJ71" s="6" t="s">
        <v>17</v>
      </c>
      <c r="AK71" s="132">
        <v>4.4287121863299798E-2</v>
      </c>
      <c r="AL71" s="132">
        <v>6.97328017008485E-4</v>
      </c>
    </row>
    <row r="72" spans="1:38" x14ac:dyDescent="0.2">
      <c r="A72" s="6">
        <v>559</v>
      </c>
      <c r="B72" s="6">
        <v>7205</v>
      </c>
      <c r="C72" s="6" t="s">
        <v>3111</v>
      </c>
      <c r="D72" s="6" t="s">
        <v>3112</v>
      </c>
      <c r="E72" s="3" t="s">
        <v>1477</v>
      </c>
      <c r="F72" s="6" t="s">
        <v>3113</v>
      </c>
      <c r="G72" s="6" t="s">
        <v>3114</v>
      </c>
      <c r="H72" s="6" t="s">
        <v>76</v>
      </c>
      <c r="I72" s="6" t="s">
        <v>230</v>
      </c>
      <c r="J72" s="6" t="s">
        <v>53</v>
      </c>
      <c r="K72" s="6" t="s">
        <v>53</v>
      </c>
      <c r="L72" s="3" t="s">
        <v>958</v>
      </c>
      <c r="M72" s="6" t="s">
        <v>862</v>
      </c>
      <c r="N72" s="6" t="s">
        <v>62</v>
      </c>
      <c r="O72" s="164" t="s">
        <v>3115</v>
      </c>
      <c r="P72" s="6" t="s">
        <v>2273</v>
      </c>
      <c r="Q72" s="6" t="s">
        <v>96</v>
      </c>
      <c r="R72" s="6" t="s">
        <v>57</v>
      </c>
      <c r="S72" s="6" t="s">
        <v>1217</v>
      </c>
      <c r="T72" s="131">
        <v>4.2640000000000002</v>
      </c>
      <c r="U72" s="6" t="s">
        <v>3116</v>
      </c>
      <c r="V72" s="132">
        <v>8.1589999999999996E-2</v>
      </c>
      <c r="W72" s="132">
        <v>8.5000000000000006E-2</v>
      </c>
      <c r="X72" s="3" t="s">
        <v>620</v>
      </c>
      <c r="Y72" s="3" t="s">
        <v>62</v>
      </c>
      <c r="Z72" s="6" t="s">
        <v>775</v>
      </c>
      <c r="AA72" s="6" t="s">
        <v>305</v>
      </c>
      <c r="AB72" s="6" t="s">
        <v>2313</v>
      </c>
      <c r="AD72" s="131">
        <v>198000</v>
      </c>
      <c r="AE72" s="129">
        <v>3.3719999999999999</v>
      </c>
      <c r="AF72" s="157">
        <v>115.33199999999999</v>
      </c>
      <c r="AG72" s="131">
        <v>770.02300000000002</v>
      </c>
      <c r="AJ72" s="6" t="s">
        <v>17</v>
      </c>
      <c r="AK72" s="132">
        <v>2.5511179786125399E-2</v>
      </c>
      <c r="AL72" s="132">
        <v>4.0168924200395702E-4</v>
      </c>
    </row>
    <row r="73" spans="1:38" x14ac:dyDescent="0.2">
      <c r="A73" s="6">
        <v>559</v>
      </c>
      <c r="B73" s="6">
        <v>7206</v>
      </c>
      <c r="C73" s="6" t="s">
        <v>3091</v>
      </c>
      <c r="D73" s="6" t="s">
        <v>3092</v>
      </c>
      <c r="E73" s="3" t="s">
        <v>432</v>
      </c>
      <c r="F73" s="6" t="s">
        <v>3093</v>
      </c>
      <c r="G73" s="6" t="s">
        <v>3094</v>
      </c>
      <c r="H73" s="6" t="s">
        <v>76</v>
      </c>
      <c r="I73" s="6" t="s">
        <v>229</v>
      </c>
      <c r="J73" s="6" t="s">
        <v>53</v>
      </c>
      <c r="K73" s="6" t="s">
        <v>53</v>
      </c>
      <c r="L73" s="3" t="s">
        <v>958</v>
      </c>
      <c r="M73" s="6" t="s">
        <v>258</v>
      </c>
      <c r="N73" s="6" t="s">
        <v>62</v>
      </c>
      <c r="O73" s="164" t="s">
        <v>3095</v>
      </c>
      <c r="P73" s="6" t="s">
        <v>1577</v>
      </c>
      <c r="Q73" s="6" t="s">
        <v>65</v>
      </c>
      <c r="R73" s="6" t="s">
        <v>57</v>
      </c>
      <c r="S73" s="6" t="s">
        <v>1219</v>
      </c>
      <c r="T73" s="131">
        <v>2.5499999999999998</v>
      </c>
      <c r="U73" s="6" t="s">
        <v>1649</v>
      </c>
      <c r="V73" s="132">
        <v>3.2800000000000003E-2</v>
      </c>
      <c r="W73" s="132">
        <v>3.6400000000000002E-2</v>
      </c>
      <c r="X73" s="3" t="s">
        <v>620</v>
      </c>
      <c r="Y73" s="3" t="s">
        <v>62</v>
      </c>
      <c r="Z73" s="6" t="s">
        <v>775</v>
      </c>
      <c r="AA73" s="6" t="s">
        <v>305</v>
      </c>
      <c r="AB73" s="6" t="s">
        <v>2313</v>
      </c>
      <c r="AD73" s="131">
        <v>34000</v>
      </c>
      <c r="AE73" s="129">
        <v>1</v>
      </c>
      <c r="AF73" s="157">
        <v>106.67</v>
      </c>
      <c r="AG73" s="131">
        <v>36.268000000000001</v>
      </c>
      <c r="AJ73" s="6" t="s">
        <v>17</v>
      </c>
      <c r="AK73" s="132">
        <v>5.06191160440198E-2</v>
      </c>
      <c r="AL73" s="132">
        <v>4.1546659180305602E-4</v>
      </c>
    </row>
    <row r="74" spans="1:38" x14ac:dyDescent="0.2">
      <c r="A74" s="6">
        <v>559</v>
      </c>
      <c r="B74" s="6">
        <v>7206</v>
      </c>
      <c r="C74" s="6" t="s">
        <v>3117</v>
      </c>
      <c r="D74" s="6" t="s">
        <v>3118</v>
      </c>
      <c r="E74" s="3" t="s">
        <v>78</v>
      </c>
      <c r="F74" s="6" t="s">
        <v>3119</v>
      </c>
      <c r="G74" s="6" t="s">
        <v>3120</v>
      </c>
      <c r="H74" s="6" t="s">
        <v>76</v>
      </c>
      <c r="I74" s="6" t="s">
        <v>228</v>
      </c>
      <c r="J74" s="6" t="s">
        <v>53</v>
      </c>
      <c r="K74" s="6" t="s">
        <v>204</v>
      </c>
      <c r="L74" s="3" t="s">
        <v>958</v>
      </c>
      <c r="M74" s="6" t="s">
        <v>102</v>
      </c>
      <c r="N74" s="6" t="s">
        <v>62</v>
      </c>
      <c r="O74" s="164" t="s">
        <v>3121</v>
      </c>
      <c r="P74" s="6" t="s">
        <v>1753</v>
      </c>
      <c r="Q74" s="6" t="s">
        <v>70</v>
      </c>
      <c r="R74" s="6" t="s">
        <v>57</v>
      </c>
      <c r="S74" s="6" t="s">
        <v>1219</v>
      </c>
      <c r="T74" s="131">
        <v>0</v>
      </c>
      <c r="U74" s="6" t="s">
        <v>3122</v>
      </c>
      <c r="V74" s="132">
        <v>0</v>
      </c>
      <c r="W74" s="132">
        <v>8.1500000000000003E-2</v>
      </c>
      <c r="X74" s="3" t="s">
        <v>620</v>
      </c>
      <c r="Y74" s="3" t="s">
        <v>55</v>
      </c>
      <c r="Z74" s="6" t="s">
        <v>302</v>
      </c>
      <c r="AA74" s="6" t="s">
        <v>304</v>
      </c>
      <c r="AB74" s="6" t="s">
        <v>3123</v>
      </c>
      <c r="AD74" s="131">
        <v>210</v>
      </c>
      <c r="AE74" s="129">
        <v>1</v>
      </c>
      <c r="AF74" s="157">
        <v>201</v>
      </c>
      <c r="AG74" s="131">
        <v>0.42199999999999999</v>
      </c>
      <c r="AJ74" s="6" t="s">
        <v>17</v>
      </c>
      <c r="AK74" s="132">
        <v>5.8912668764526E-4</v>
      </c>
      <c r="AL74" s="132">
        <v>4.83537596435598E-6</v>
      </c>
    </row>
    <row r="75" spans="1:38" x14ac:dyDescent="0.2">
      <c r="A75" s="6">
        <v>559</v>
      </c>
      <c r="B75" s="6">
        <v>7206</v>
      </c>
      <c r="C75" s="6" t="s">
        <v>2314</v>
      </c>
      <c r="D75" s="6" t="s">
        <v>2315</v>
      </c>
      <c r="E75" s="3" t="s">
        <v>1477</v>
      </c>
      <c r="F75" s="6" t="s">
        <v>3131</v>
      </c>
      <c r="G75" s="6" t="s">
        <v>3132</v>
      </c>
      <c r="H75" s="6" t="s">
        <v>76</v>
      </c>
      <c r="I75" s="6" t="s">
        <v>228</v>
      </c>
      <c r="J75" s="6" t="s">
        <v>53</v>
      </c>
      <c r="K75" s="6" t="s">
        <v>314</v>
      </c>
      <c r="L75" s="3" t="s">
        <v>958</v>
      </c>
      <c r="M75" s="6" t="s">
        <v>631</v>
      </c>
      <c r="N75" s="6" t="s">
        <v>62</v>
      </c>
      <c r="O75" s="164" t="s">
        <v>3133</v>
      </c>
      <c r="P75" s="6" t="s">
        <v>1577</v>
      </c>
      <c r="Q75" s="6" t="s">
        <v>65</v>
      </c>
      <c r="R75" s="6" t="s">
        <v>57</v>
      </c>
      <c r="S75" s="6" t="s">
        <v>1219</v>
      </c>
      <c r="T75" s="131">
        <v>3.2</v>
      </c>
      <c r="U75" s="6" t="s">
        <v>3134</v>
      </c>
      <c r="V75" s="132">
        <v>5.1200000000000002E-2</v>
      </c>
      <c r="W75" s="132">
        <v>3.3500000000000002E-2</v>
      </c>
      <c r="X75" s="3" t="s">
        <v>620</v>
      </c>
      <c r="Y75" s="3" t="s">
        <v>62</v>
      </c>
      <c r="Z75" s="6" t="s">
        <v>775</v>
      </c>
      <c r="AA75" s="6" t="s">
        <v>3082</v>
      </c>
      <c r="AB75" s="6" t="s">
        <v>2313</v>
      </c>
      <c r="AD75" s="131">
        <v>45000</v>
      </c>
      <c r="AE75" s="129">
        <v>1</v>
      </c>
      <c r="AF75" s="157">
        <v>94.87</v>
      </c>
      <c r="AG75" s="131">
        <v>42.691000000000003</v>
      </c>
      <c r="AJ75" s="6" t="s">
        <v>17</v>
      </c>
      <c r="AK75" s="132">
        <v>5.95847002738868E-2</v>
      </c>
      <c r="AL75" s="132">
        <v>4.8905343042478905E-4</v>
      </c>
    </row>
    <row r="76" spans="1:38" x14ac:dyDescent="0.2">
      <c r="A76" s="6">
        <v>559</v>
      </c>
      <c r="B76" s="6">
        <v>7206</v>
      </c>
      <c r="C76" s="6" t="s">
        <v>3140</v>
      </c>
      <c r="D76" s="6" t="s">
        <v>3141</v>
      </c>
      <c r="E76" s="3" t="s">
        <v>1477</v>
      </c>
      <c r="F76" s="6" t="s">
        <v>3142</v>
      </c>
      <c r="G76" s="6" t="s">
        <v>3143</v>
      </c>
      <c r="H76" s="6" t="s">
        <v>76</v>
      </c>
      <c r="I76" s="6" t="s">
        <v>102</v>
      </c>
      <c r="J76" s="6" t="s">
        <v>53</v>
      </c>
      <c r="K76" s="6" t="s">
        <v>53</v>
      </c>
      <c r="L76" s="3" t="s">
        <v>958</v>
      </c>
      <c r="M76" s="6" t="s">
        <v>639</v>
      </c>
      <c r="N76" s="6" t="s">
        <v>62</v>
      </c>
      <c r="O76" s="164" t="s">
        <v>3121</v>
      </c>
      <c r="P76" s="6" t="s">
        <v>1753</v>
      </c>
      <c r="Q76" s="6" t="s">
        <v>70</v>
      </c>
      <c r="R76" s="6" t="s">
        <v>57</v>
      </c>
      <c r="S76" s="6" t="s">
        <v>1219</v>
      </c>
      <c r="T76" s="131">
        <v>0</v>
      </c>
      <c r="U76" s="6" t="s">
        <v>3145</v>
      </c>
      <c r="V76" s="132">
        <v>0</v>
      </c>
      <c r="W76" s="132">
        <v>0.06</v>
      </c>
      <c r="X76" s="3" t="s">
        <v>620</v>
      </c>
      <c r="Y76" s="3" t="s">
        <v>55</v>
      </c>
      <c r="Z76" s="6" t="s">
        <v>302</v>
      </c>
      <c r="AA76" s="6" t="s">
        <v>304</v>
      </c>
      <c r="AD76" s="131">
        <v>68302.960000000006</v>
      </c>
      <c r="AE76" s="129">
        <v>1</v>
      </c>
      <c r="AF76" s="157">
        <v>0</v>
      </c>
      <c r="AG76" s="131">
        <v>0</v>
      </c>
      <c r="AJ76" s="6" t="s">
        <v>17</v>
      </c>
      <c r="AK76" s="132">
        <v>0</v>
      </c>
      <c r="AL76" s="132">
        <v>0</v>
      </c>
    </row>
    <row r="77" spans="1:38" x14ac:dyDescent="0.2">
      <c r="A77" s="6">
        <v>559</v>
      </c>
      <c r="B77" s="6">
        <v>7206</v>
      </c>
      <c r="C77" s="6" t="s">
        <v>3151</v>
      </c>
      <c r="D77" s="6" t="s">
        <v>3152</v>
      </c>
      <c r="E77" s="3" t="s">
        <v>1477</v>
      </c>
      <c r="F77" s="6" t="s">
        <v>3153</v>
      </c>
      <c r="G77" s="6" t="s">
        <v>3154</v>
      </c>
      <c r="H77" s="6" t="s">
        <v>76</v>
      </c>
      <c r="I77" s="6" t="s">
        <v>102</v>
      </c>
      <c r="J77" s="6" t="s">
        <v>53</v>
      </c>
      <c r="K77" s="6" t="s">
        <v>53</v>
      </c>
      <c r="L77" s="3" t="s">
        <v>958</v>
      </c>
      <c r="M77" s="6" t="s">
        <v>102</v>
      </c>
      <c r="N77" s="6" t="s">
        <v>62</v>
      </c>
      <c r="O77" s="164" t="s">
        <v>3155</v>
      </c>
      <c r="P77" s="6" t="s">
        <v>298</v>
      </c>
      <c r="Q77" s="6" t="s">
        <v>298</v>
      </c>
      <c r="R77" s="6" t="s">
        <v>298</v>
      </c>
      <c r="S77" s="6" t="s">
        <v>1219</v>
      </c>
      <c r="T77" s="131">
        <v>0.01</v>
      </c>
      <c r="U77" s="6" t="s">
        <v>3156</v>
      </c>
      <c r="V77" s="132">
        <v>1E-4</v>
      </c>
      <c r="W77" s="132">
        <v>6.4500000000000002E-2</v>
      </c>
      <c r="X77" s="3" t="s">
        <v>620</v>
      </c>
      <c r="Y77" s="3" t="s">
        <v>55</v>
      </c>
      <c r="Z77" s="6" t="s">
        <v>302</v>
      </c>
      <c r="AA77" s="6" t="s">
        <v>304</v>
      </c>
      <c r="AB77" s="6" t="s">
        <v>3157</v>
      </c>
      <c r="AD77" s="131">
        <v>10392.48</v>
      </c>
      <c r="AE77" s="129">
        <v>1</v>
      </c>
      <c r="AF77" s="157">
        <v>0</v>
      </c>
      <c r="AG77" s="131">
        <v>0</v>
      </c>
      <c r="AJ77" s="6" t="s">
        <v>17</v>
      </c>
      <c r="AK77" s="132">
        <v>1.4504826625964501E-10</v>
      </c>
      <c r="AL77" s="132">
        <v>1.1905128642987499E-12</v>
      </c>
    </row>
    <row r="78" spans="1:38" x14ac:dyDescent="0.2">
      <c r="A78" s="6">
        <v>559</v>
      </c>
      <c r="B78" s="6">
        <v>7206</v>
      </c>
      <c r="C78" s="6" t="s">
        <v>3151</v>
      </c>
      <c r="D78" s="6" t="s">
        <v>3152</v>
      </c>
      <c r="E78" s="3" t="s">
        <v>1477</v>
      </c>
      <c r="F78" s="6" t="s">
        <v>3158</v>
      </c>
      <c r="G78" s="6" t="s">
        <v>3159</v>
      </c>
      <c r="H78" s="6" t="s">
        <v>76</v>
      </c>
      <c r="I78" s="6" t="s">
        <v>102</v>
      </c>
      <c r="J78" s="6" t="s">
        <v>53</v>
      </c>
      <c r="K78" s="6" t="s">
        <v>53</v>
      </c>
      <c r="L78" s="3" t="s">
        <v>958</v>
      </c>
      <c r="M78" s="6" t="s">
        <v>102</v>
      </c>
      <c r="N78" s="6" t="s">
        <v>62</v>
      </c>
      <c r="O78" s="164" t="s">
        <v>3155</v>
      </c>
      <c r="P78" s="6" t="s">
        <v>1753</v>
      </c>
      <c r="Q78" s="6" t="s">
        <v>70</v>
      </c>
      <c r="R78" s="6" t="s">
        <v>57</v>
      </c>
      <c r="S78" s="6" t="s">
        <v>1219</v>
      </c>
      <c r="T78" s="131">
        <v>0.01</v>
      </c>
      <c r="U78" s="6" t="s">
        <v>3156</v>
      </c>
      <c r="V78" s="132">
        <v>1E-4</v>
      </c>
      <c r="W78" s="132">
        <v>5.7000000000000002E-2</v>
      </c>
      <c r="X78" s="3" t="s">
        <v>620</v>
      </c>
      <c r="Y78" s="3" t="s">
        <v>55</v>
      </c>
      <c r="Z78" s="6" t="s">
        <v>302</v>
      </c>
      <c r="AA78" s="6" t="s">
        <v>304</v>
      </c>
      <c r="AB78" s="6" t="s">
        <v>3157</v>
      </c>
      <c r="AD78" s="131">
        <v>7000</v>
      </c>
      <c r="AE78" s="129">
        <v>1</v>
      </c>
      <c r="AF78" s="157">
        <v>0</v>
      </c>
      <c r="AG78" s="131">
        <v>0</v>
      </c>
      <c r="AJ78" s="6" t="s">
        <v>17</v>
      </c>
      <c r="AK78" s="132">
        <v>9.7699284849960194E-11</v>
      </c>
      <c r="AL78" s="132">
        <v>8.0188656125306497E-13</v>
      </c>
    </row>
    <row r="79" spans="1:38" x14ac:dyDescent="0.2">
      <c r="A79" s="6">
        <v>559</v>
      </c>
      <c r="B79" s="6">
        <v>7206</v>
      </c>
      <c r="C79" s="6" t="s">
        <v>3168</v>
      </c>
      <c r="D79" s="6" t="s">
        <v>3169</v>
      </c>
      <c r="E79" s="3" t="s">
        <v>78</v>
      </c>
      <c r="F79" s="6" t="s">
        <v>3170</v>
      </c>
      <c r="G79" s="6" t="s">
        <v>3171</v>
      </c>
      <c r="H79" s="6" t="s">
        <v>76</v>
      </c>
      <c r="I79" s="6" t="s">
        <v>102</v>
      </c>
      <c r="J79" s="6" t="s">
        <v>53</v>
      </c>
      <c r="K79" s="6" t="s">
        <v>53</v>
      </c>
      <c r="L79" s="3" t="s">
        <v>958</v>
      </c>
      <c r="M79" s="6" t="s">
        <v>140</v>
      </c>
      <c r="N79" s="6" t="s">
        <v>62</v>
      </c>
      <c r="O79" s="164" t="s">
        <v>3172</v>
      </c>
      <c r="P79" s="6" t="s">
        <v>1753</v>
      </c>
      <c r="Q79" s="6" t="s">
        <v>65</v>
      </c>
      <c r="R79" s="6" t="s">
        <v>57</v>
      </c>
      <c r="S79" s="6" t="s">
        <v>1219</v>
      </c>
      <c r="T79" s="131">
        <v>0</v>
      </c>
      <c r="U79" s="6" t="s">
        <v>3173</v>
      </c>
      <c r="V79" s="132">
        <v>0</v>
      </c>
      <c r="W79" s="132">
        <v>8.8499999999999995E-2</v>
      </c>
      <c r="X79" s="3" t="s">
        <v>620</v>
      </c>
      <c r="Y79" s="3" t="s">
        <v>55</v>
      </c>
      <c r="Z79" s="6" t="s">
        <v>302</v>
      </c>
      <c r="AA79" s="6" t="s">
        <v>304</v>
      </c>
      <c r="AB79" s="6" t="s">
        <v>3174</v>
      </c>
      <c r="AD79" s="131">
        <v>26350</v>
      </c>
      <c r="AE79" s="129">
        <v>1</v>
      </c>
      <c r="AF79" s="157">
        <v>0</v>
      </c>
      <c r="AG79" s="131">
        <v>0</v>
      </c>
      <c r="AJ79" s="6" t="s">
        <v>17</v>
      </c>
      <c r="AK79" s="132">
        <v>3.6776802225663601E-10</v>
      </c>
      <c r="AL79" s="132">
        <v>3.0185301270026101E-12</v>
      </c>
    </row>
    <row r="80" spans="1:38" x14ac:dyDescent="0.2">
      <c r="A80" s="6">
        <v>559</v>
      </c>
      <c r="B80" s="6">
        <v>7206</v>
      </c>
      <c r="C80" s="6" t="s">
        <v>3096</v>
      </c>
      <c r="D80" s="6" t="s">
        <v>3097</v>
      </c>
      <c r="E80" s="3" t="s">
        <v>1477</v>
      </c>
      <c r="F80" s="6" t="s">
        <v>3098</v>
      </c>
      <c r="G80" s="6" t="s">
        <v>3099</v>
      </c>
      <c r="H80" s="6" t="s">
        <v>76</v>
      </c>
      <c r="I80" s="6" t="s">
        <v>229</v>
      </c>
      <c r="J80" s="6" t="s">
        <v>53</v>
      </c>
      <c r="K80" s="6" t="s">
        <v>53</v>
      </c>
      <c r="L80" s="3" t="s">
        <v>958</v>
      </c>
      <c r="M80" s="6" t="s">
        <v>635</v>
      </c>
      <c r="N80" s="6" t="s">
        <v>62</v>
      </c>
      <c r="O80" s="164" t="s">
        <v>3100</v>
      </c>
      <c r="P80" s="6" t="s">
        <v>1493</v>
      </c>
      <c r="Q80" s="6" t="s">
        <v>65</v>
      </c>
      <c r="R80" s="6" t="s">
        <v>57</v>
      </c>
      <c r="S80" s="6" t="s">
        <v>1219</v>
      </c>
      <c r="T80" s="131">
        <v>3.16</v>
      </c>
      <c r="U80" s="6" t="s">
        <v>1590</v>
      </c>
      <c r="V80" s="132">
        <v>3.4000000000000002E-2</v>
      </c>
      <c r="W80" s="132">
        <v>3.8399999999999997E-2</v>
      </c>
      <c r="X80" s="3" t="s">
        <v>620</v>
      </c>
      <c r="Y80" s="3" t="s">
        <v>62</v>
      </c>
      <c r="Z80" s="6" t="s">
        <v>775</v>
      </c>
      <c r="AA80" s="6" t="s">
        <v>305</v>
      </c>
      <c r="AB80" s="6" t="s">
        <v>2313</v>
      </c>
      <c r="AD80" s="131">
        <v>90000</v>
      </c>
      <c r="AE80" s="129">
        <v>1</v>
      </c>
      <c r="AF80" s="157">
        <v>104.58</v>
      </c>
      <c r="AG80" s="131">
        <v>94.122</v>
      </c>
      <c r="AJ80" s="6" t="s">
        <v>17</v>
      </c>
      <c r="AK80" s="132">
        <v>0.13136645840925701</v>
      </c>
      <c r="AL80" s="132">
        <v>1.0782166702608699E-3</v>
      </c>
    </row>
    <row r="81" spans="1:38" x14ac:dyDescent="0.2">
      <c r="A81" s="6">
        <v>559</v>
      </c>
      <c r="B81" s="6">
        <v>7206</v>
      </c>
      <c r="C81" s="6" t="s">
        <v>3175</v>
      </c>
      <c r="D81" s="6" t="s">
        <v>3176</v>
      </c>
      <c r="E81" s="3" t="s">
        <v>1477</v>
      </c>
      <c r="F81" s="6" t="s">
        <v>3177</v>
      </c>
      <c r="G81" s="6" t="s">
        <v>3178</v>
      </c>
      <c r="H81" s="6" t="s">
        <v>76</v>
      </c>
      <c r="I81" s="6" t="s">
        <v>228</v>
      </c>
      <c r="J81" s="6" t="s">
        <v>53</v>
      </c>
      <c r="K81" s="6" t="s">
        <v>53</v>
      </c>
      <c r="L81" s="3" t="s">
        <v>958</v>
      </c>
      <c r="M81" s="6" t="s">
        <v>75</v>
      </c>
      <c r="N81" s="6" t="s">
        <v>62</v>
      </c>
      <c r="O81" s="164" t="s">
        <v>3179</v>
      </c>
      <c r="P81" s="6" t="s">
        <v>1515</v>
      </c>
      <c r="Q81" s="6" t="s">
        <v>96</v>
      </c>
      <c r="R81" s="6" t="s">
        <v>57</v>
      </c>
      <c r="S81" s="6" t="s">
        <v>1219</v>
      </c>
      <c r="T81" s="131">
        <v>0.91</v>
      </c>
      <c r="U81" s="6" t="s">
        <v>1595</v>
      </c>
      <c r="V81" s="132">
        <v>5.28E-2</v>
      </c>
      <c r="W81" s="132">
        <v>4.2999999999999997E-2</v>
      </c>
      <c r="X81" s="3" t="s">
        <v>620</v>
      </c>
      <c r="Y81" s="3" t="s">
        <v>62</v>
      </c>
      <c r="Z81" s="6" t="s">
        <v>775</v>
      </c>
      <c r="AA81" s="6" t="s">
        <v>305</v>
      </c>
      <c r="AB81" s="6" t="s">
        <v>2313</v>
      </c>
      <c r="AD81" s="131">
        <v>30000</v>
      </c>
      <c r="AE81" s="129">
        <v>1</v>
      </c>
      <c r="AF81" s="157">
        <v>99.19</v>
      </c>
      <c r="AG81" s="131">
        <v>29.757000000000001</v>
      </c>
      <c r="AJ81" s="6" t="s">
        <v>17</v>
      </c>
      <c r="AK81" s="132">
        <v>4.1531965989718103E-2</v>
      </c>
      <c r="AL81" s="132">
        <v>3.4088197718867798E-4</v>
      </c>
    </row>
    <row r="82" spans="1:38" x14ac:dyDescent="0.2">
      <c r="A82" s="6">
        <v>559</v>
      </c>
      <c r="B82" s="6">
        <v>7206</v>
      </c>
      <c r="C82" s="6" t="s">
        <v>3190</v>
      </c>
      <c r="D82" s="6" t="s">
        <v>3191</v>
      </c>
      <c r="E82" s="3" t="s">
        <v>432</v>
      </c>
      <c r="F82" s="6" t="s">
        <v>3192</v>
      </c>
      <c r="G82" s="6" t="s">
        <v>3193</v>
      </c>
      <c r="H82" s="6" t="s">
        <v>76</v>
      </c>
      <c r="I82" s="6" t="s">
        <v>228</v>
      </c>
      <c r="J82" s="6" t="s">
        <v>53</v>
      </c>
      <c r="K82" s="6" t="s">
        <v>53</v>
      </c>
      <c r="L82" s="3" t="s">
        <v>958</v>
      </c>
      <c r="M82" s="6" t="s">
        <v>692</v>
      </c>
      <c r="N82" s="6" t="s">
        <v>62</v>
      </c>
      <c r="O82" s="164" t="s">
        <v>3194</v>
      </c>
      <c r="P82" s="6" t="s">
        <v>1493</v>
      </c>
      <c r="Q82" s="6" t="s">
        <v>65</v>
      </c>
      <c r="R82" s="6" t="s">
        <v>57</v>
      </c>
      <c r="S82" s="6" t="s">
        <v>1219</v>
      </c>
      <c r="T82" s="131">
        <v>1.91</v>
      </c>
      <c r="U82" s="6" t="s">
        <v>1590</v>
      </c>
      <c r="V82" s="132">
        <v>5.0999999999999997E-2</v>
      </c>
      <c r="W82" s="132">
        <v>2.86E-2</v>
      </c>
      <c r="X82" s="3" t="s">
        <v>620</v>
      </c>
      <c r="Y82" s="3" t="s">
        <v>62</v>
      </c>
      <c r="Z82" s="6" t="s">
        <v>775</v>
      </c>
      <c r="AA82" s="6" t="s">
        <v>305</v>
      </c>
      <c r="AB82" s="6" t="s">
        <v>2313</v>
      </c>
      <c r="AD82" s="131">
        <v>22857.15</v>
      </c>
      <c r="AE82" s="129">
        <v>1</v>
      </c>
      <c r="AF82" s="157">
        <v>97.29</v>
      </c>
      <c r="AG82" s="131">
        <v>22.238</v>
      </c>
      <c r="AJ82" s="6" t="s">
        <v>17</v>
      </c>
      <c r="AK82" s="132">
        <v>3.1037278019318201E-2</v>
      </c>
      <c r="AL82" s="132">
        <v>2.5474471158911998E-4</v>
      </c>
    </row>
    <row r="83" spans="1:38" x14ac:dyDescent="0.2">
      <c r="A83" s="6">
        <v>559</v>
      </c>
      <c r="B83" s="6">
        <v>7206</v>
      </c>
      <c r="C83" s="6" t="s">
        <v>3195</v>
      </c>
      <c r="D83" s="6" t="s">
        <v>3196</v>
      </c>
      <c r="E83" s="3" t="s">
        <v>1477</v>
      </c>
      <c r="F83" s="6" t="s">
        <v>3197</v>
      </c>
      <c r="G83" s="6" t="s">
        <v>3198</v>
      </c>
      <c r="H83" s="6" t="s">
        <v>76</v>
      </c>
      <c r="I83" s="6" t="s">
        <v>228</v>
      </c>
      <c r="J83" s="6" t="s">
        <v>53</v>
      </c>
      <c r="K83" s="6" t="s">
        <v>53</v>
      </c>
      <c r="L83" s="3" t="s">
        <v>958</v>
      </c>
      <c r="M83" s="6" t="s">
        <v>692</v>
      </c>
      <c r="N83" s="6" t="s">
        <v>62</v>
      </c>
      <c r="O83" s="164" t="s">
        <v>3199</v>
      </c>
      <c r="P83" s="6" t="s">
        <v>1628</v>
      </c>
      <c r="Q83" s="6" t="s">
        <v>96</v>
      </c>
      <c r="R83" s="6" t="s">
        <v>57</v>
      </c>
      <c r="S83" s="6" t="s">
        <v>1219</v>
      </c>
      <c r="T83" s="131">
        <v>1.72</v>
      </c>
      <c r="U83" s="6" t="s">
        <v>1644</v>
      </c>
      <c r="V83" s="132">
        <v>5.21E-2</v>
      </c>
      <c r="W83" s="132">
        <v>4.4699999999999997E-2</v>
      </c>
      <c r="X83" s="3" t="s">
        <v>620</v>
      </c>
      <c r="Y83" s="3" t="s">
        <v>62</v>
      </c>
      <c r="Z83" s="6" t="s">
        <v>775</v>
      </c>
      <c r="AA83" s="6" t="s">
        <v>305</v>
      </c>
      <c r="AB83" s="6" t="s">
        <v>2313</v>
      </c>
      <c r="AD83" s="131">
        <v>25326.03</v>
      </c>
      <c r="AE83" s="129">
        <v>1</v>
      </c>
      <c r="AF83" s="157">
        <v>98.87</v>
      </c>
      <c r="AG83" s="131">
        <v>25.04</v>
      </c>
      <c r="AJ83" s="6" t="s">
        <v>17</v>
      </c>
      <c r="AK83" s="132">
        <v>3.4948214762470502E-2</v>
      </c>
      <c r="AL83" s="132">
        <v>2.8684451273977302E-4</v>
      </c>
    </row>
    <row r="84" spans="1:38" x14ac:dyDescent="0.2">
      <c r="A84" s="6">
        <v>559</v>
      </c>
      <c r="B84" s="6">
        <v>7206</v>
      </c>
      <c r="C84" s="6" t="s">
        <v>1970</v>
      </c>
      <c r="D84" s="6" t="s">
        <v>1971</v>
      </c>
      <c r="E84" s="3" t="s">
        <v>1477</v>
      </c>
      <c r="F84" s="6" t="s">
        <v>3101</v>
      </c>
      <c r="G84" s="6" t="s">
        <v>3102</v>
      </c>
      <c r="H84" s="6" t="s">
        <v>76</v>
      </c>
      <c r="I84" s="6" t="s">
        <v>229</v>
      </c>
      <c r="J84" s="6" t="s">
        <v>53</v>
      </c>
      <c r="K84" s="6" t="s">
        <v>53</v>
      </c>
      <c r="L84" s="3" t="s">
        <v>958</v>
      </c>
      <c r="M84" s="6" t="s">
        <v>258</v>
      </c>
      <c r="N84" s="6" t="s">
        <v>62</v>
      </c>
      <c r="O84" s="164" t="s">
        <v>3214</v>
      </c>
      <c r="P84" s="6" t="s">
        <v>1213</v>
      </c>
      <c r="Q84" s="6" t="s">
        <v>65</v>
      </c>
      <c r="R84" s="6" t="s">
        <v>57</v>
      </c>
      <c r="S84" s="6" t="s">
        <v>1219</v>
      </c>
      <c r="T84" s="131">
        <v>8.8800000000000008</v>
      </c>
      <c r="U84" s="6" t="s">
        <v>3104</v>
      </c>
      <c r="V84" s="132">
        <v>3.0800000000000001E-2</v>
      </c>
      <c r="W84" s="132">
        <v>4.1000000000000002E-2</v>
      </c>
      <c r="X84" s="3" t="s">
        <v>620</v>
      </c>
      <c r="Y84" s="3" t="s">
        <v>62</v>
      </c>
      <c r="Z84" s="6" t="s">
        <v>775</v>
      </c>
      <c r="AA84" s="6" t="s">
        <v>3082</v>
      </c>
      <c r="AB84" s="6" t="s">
        <v>2313</v>
      </c>
      <c r="AD84" s="131">
        <v>81538.490000000005</v>
      </c>
      <c r="AE84" s="129">
        <v>1</v>
      </c>
      <c r="AF84" s="157">
        <v>137.31</v>
      </c>
      <c r="AG84" s="131">
        <v>111.961</v>
      </c>
      <c r="AJ84" s="6" t="s">
        <v>17</v>
      </c>
      <c r="AK84" s="132">
        <v>0.15626372631314001</v>
      </c>
      <c r="AL84" s="132">
        <v>1.28256601196488E-3</v>
      </c>
    </row>
    <row r="85" spans="1:38" x14ac:dyDescent="0.2">
      <c r="A85" s="6">
        <v>559</v>
      </c>
      <c r="B85" s="6">
        <v>7206</v>
      </c>
      <c r="C85" s="6" t="s">
        <v>3105</v>
      </c>
      <c r="D85" s="6" t="s">
        <v>3106</v>
      </c>
      <c r="E85" s="3" t="s">
        <v>767</v>
      </c>
      <c r="F85" s="6" t="s">
        <v>3107</v>
      </c>
      <c r="G85" s="6" t="s">
        <v>3108</v>
      </c>
      <c r="H85" s="6" t="s">
        <v>76</v>
      </c>
      <c r="I85" s="6" t="s">
        <v>228</v>
      </c>
      <c r="J85" s="6" t="s">
        <v>53</v>
      </c>
      <c r="K85" s="6" t="s">
        <v>204</v>
      </c>
      <c r="L85" s="3" t="s">
        <v>958</v>
      </c>
      <c r="M85" s="6" t="s">
        <v>140</v>
      </c>
      <c r="N85" s="6" t="s">
        <v>62</v>
      </c>
      <c r="O85" s="164" t="s">
        <v>3109</v>
      </c>
      <c r="P85" s="6" t="s">
        <v>298</v>
      </c>
      <c r="Q85" s="6" t="s">
        <v>298</v>
      </c>
      <c r="R85" s="6" t="s">
        <v>298</v>
      </c>
      <c r="S85" s="6" t="s">
        <v>1219</v>
      </c>
      <c r="T85" s="131">
        <v>3.28</v>
      </c>
      <c r="U85" s="6" t="s">
        <v>3110</v>
      </c>
      <c r="V85" s="132">
        <v>7.7100000000000002E-2</v>
      </c>
      <c r="W85" s="132">
        <v>9.5000000000000001E-2</v>
      </c>
      <c r="X85" s="3" t="s">
        <v>620</v>
      </c>
      <c r="Y85" s="3" t="s">
        <v>62</v>
      </c>
      <c r="Z85" s="6" t="s">
        <v>775</v>
      </c>
      <c r="AA85" s="6" t="s">
        <v>3082</v>
      </c>
      <c r="AB85" s="6" t="s">
        <v>2313</v>
      </c>
      <c r="AD85" s="131">
        <v>50000</v>
      </c>
      <c r="AE85" s="129">
        <v>1</v>
      </c>
      <c r="AF85" s="157">
        <v>107.89</v>
      </c>
      <c r="AG85" s="131">
        <v>53.945</v>
      </c>
      <c r="AJ85" s="6" t="s">
        <v>17</v>
      </c>
      <c r="AK85" s="132">
        <v>7.5291256017587196E-2</v>
      </c>
      <c r="AL85" s="132">
        <v>6.17968150668523E-4</v>
      </c>
    </row>
    <row r="86" spans="1:38" x14ac:dyDescent="0.2">
      <c r="A86" s="6">
        <v>559</v>
      </c>
      <c r="B86" s="6">
        <v>7206</v>
      </c>
      <c r="C86" s="6" t="s">
        <v>3084</v>
      </c>
      <c r="D86" s="6" t="s">
        <v>3085</v>
      </c>
      <c r="E86" s="3" t="s">
        <v>1477</v>
      </c>
      <c r="F86" s="6" t="s">
        <v>3233</v>
      </c>
      <c r="G86" s="6" t="s">
        <v>3234</v>
      </c>
      <c r="H86" s="6" t="s">
        <v>76</v>
      </c>
      <c r="I86" s="6" t="s">
        <v>228</v>
      </c>
      <c r="J86" s="6" t="s">
        <v>53</v>
      </c>
      <c r="K86" s="6" t="s">
        <v>53</v>
      </c>
      <c r="L86" s="3" t="s">
        <v>958</v>
      </c>
      <c r="M86" s="6" t="s">
        <v>638</v>
      </c>
      <c r="N86" s="6" t="s">
        <v>62</v>
      </c>
      <c r="O86" s="164" t="s">
        <v>3235</v>
      </c>
      <c r="P86" s="6" t="s">
        <v>1213</v>
      </c>
      <c r="Q86" s="6" t="s">
        <v>65</v>
      </c>
      <c r="R86" s="6" t="s">
        <v>57</v>
      </c>
      <c r="S86" s="6" t="s">
        <v>1219</v>
      </c>
      <c r="T86" s="131">
        <v>0.7</v>
      </c>
      <c r="U86" s="6" t="s">
        <v>3236</v>
      </c>
      <c r="V86" s="132">
        <v>4.7199999999999999E-2</v>
      </c>
      <c r="W86" s="132">
        <v>2.5000000000000001E-2</v>
      </c>
      <c r="X86" s="3" t="s">
        <v>620</v>
      </c>
      <c r="Y86" s="3" t="s">
        <v>62</v>
      </c>
      <c r="Z86" s="6" t="s">
        <v>775</v>
      </c>
      <c r="AA86" s="6" t="s">
        <v>3082</v>
      </c>
      <c r="AB86" s="6" t="s">
        <v>2313</v>
      </c>
      <c r="AD86" s="131">
        <v>11979.84</v>
      </c>
      <c r="AE86" s="129">
        <v>1</v>
      </c>
      <c r="AF86" s="157">
        <v>99.24</v>
      </c>
      <c r="AG86" s="131">
        <v>11.888999999999999</v>
      </c>
      <c r="AJ86" s="6" t="s">
        <v>17</v>
      </c>
      <c r="AK86" s="132">
        <v>1.6593237070460801E-2</v>
      </c>
      <c r="AL86" s="132">
        <v>1.36192335848957E-4</v>
      </c>
    </row>
    <row r="87" spans="1:38" x14ac:dyDescent="0.2">
      <c r="A87" s="6">
        <v>559</v>
      </c>
      <c r="B87" s="6">
        <v>7206</v>
      </c>
      <c r="C87" s="6" t="s">
        <v>3084</v>
      </c>
      <c r="D87" s="6" t="s">
        <v>3085</v>
      </c>
      <c r="E87" s="3" t="s">
        <v>1477</v>
      </c>
      <c r="F87" s="6" t="s">
        <v>3237</v>
      </c>
      <c r="G87" s="6" t="s">
        <v>3238</v>
      </c>
      <c r="H87" s="6" t="s">
        <v>76</v>
      </c>
      <c r="I87" s="6" t="s">
        <v>228</v>
      </c>
      <c r="J87" s="6" t="s">
        <v>53</v>
      </c>
      <c r="K87" s="6" t="s">
        <v>53</v>
      </c>
      <c r="L87" s="3" t="s">
        <v>958</v>
      </c>
      <c r="M87" s="6" t="s">
        <v>638</v>
      </c>
      <c r="N87" s="6" t="s">
        <v>62</v>
      </c>
      <c r="O87" s="164" t="s">
        <v>3235</v>
      </c>
      <c r="P87" s="6" t="s">
        <v>1213</v>
      </c>
      <c r="Q87" s="6" t="s">
        <v>65</v>
      </c>
      <c r="R87" s="6" t="s">
        <v>57</v>
      </c>
      <c r="S87" s="6" t="s">
        <v>1219</v>
      </c>
      <c r="T87" s="131">
        <v>4.13</v>
      </c>
      <c r="U87" s="6" t="s">
        <v>3239</v>
      </c>
      <c r="V87" s="132">
        <v>4.65E-2</v>
      </c>
      <c r="W87" s="132">
        <v>3.7400000000000003E-2</v>
      </c>
      <c r="X87" s="3" t="s">
        <v>620</v>
      </c>
      <c r="Y87" s="3" t="s">
        <v>62</v>
      </c>
      <c r="Z87" s="6" t="s">
        <v>775</v>
      </c>
      <c r="AA87" s="6" t="s">
        <v>3082</v>
      </c>
      <c r="AB87" s="6" t="s">
        <v>2313</v>
      </c>
      <c r="AD87" s="131">
        <v>42875.519999999997</v>
      </c>
      <c r="AE87" s="129">
        <v>1</v>
      </c>
      <c r="AF87" s="157">
        <v>97.6</v>
      </c>
      <c r="AG87" s="131">
        <v>41.847000000000001</v>
      </c>
      <c r="AJ87" s="6" t="s">
        <v>17</v>
      </c>
      <c r="AK87" s="132">
        <v>5.84053408310354E-2</v>
      </c>
      <c r="AL87" s="132">
        <v>4.7937360022376198E-4</v>
      </c>
    </row>
    <row r="88" spans="1:38" x14ac:dyDescent="0.2">
      <c r="A88" s="6">
        <v>559</v>
      </c>
      <c r="B88" s="6">
        <v>7206</v>
      </c>
      <c r="C88" s="6" t="s">
        <v>3240</v>
      </c>
      <c r="D88" s="6" t="s">
        <v>3241</v>
      </c>
      <c r="E88" s="3" t="s">
        <v>1477</v>
      </c>
      <c r="F88" s="6" t="s">
        <v>3242</v>
      </c>
      <c r="G88" s="6" t="s">
        <v>3243</v>
      </c>
      <c r="H88" s="6" t="s">
        <v>76</v>
      </c>
      <c r="I88" s="6" t="s">
        <v>229</v>
      </c>
      <c r="J88" s="6" t="s">
        <v>53</v>
      </c>
      <c r="K88" s="6" t="s">
        <v>53</v>
      </c>
      <c r="L88" s="3" t="s">
        <v>958</v>
      </c>
      <c r="M88" s="6" t="s">
        <v>258</v>
      </c>
      <c r="N88" s="6" t="s">
        <v>62</v>
      </c>
      <c r="O88" s="164" t="s">
        <v>3121</v>
      </c>
      <c r="P88" s="6" t="s">
        <v>1926</v>
      </c>
      <c r="Q88" s="6" t="s">
        <v>70</v>
      </c>
      <c r="R88" s="6" t="s">
        <v>57</v>
      </c>
      <c r="S88" s="6" t="s">
        <v>1219</v>
      </c>
      <c r="T88" s="131">
        <v>3.51</v>
      </c>
      <c r="U88" s="6" t="s">
        <v>2006</v>
      </c>
      <c r="V88" s="132">
        <v>2.8299999999999999E-2</v>
      </c>
      <c r="W88" s="132">
        <v>1.55E-2</v>
      </c>
      <c r="X88" s="3" t="s">
        <v>620</v>
      </c>
      <c r="Y88" s="3" t="s">
        <v>62</v>
      </c>
      <c r="Z88" s="6" t="s">
        <v>775</v>
      </c>
      <c r="AA88" s="6" t="s">
        <v>305</v>
      </c>
      <c r="AB88" s="6" t="s">
        <v>2313</v>
      </c>
      <c r="AD88" s="131">
        <v>112961.63</v>
      </c>
      <c r="AE88" s="129">
        <v>1</v>
      </c>
      <c r="AF88" s="157">
        <v>106.05</v>
      </c>
      <c r="AG88" s="131">
        <v>119.79600000000001</v>
      </c>
      <c r="AJ88" s="6" t="s">
        <v>17</v>
      </c>
      <c r="AK88" s="132">
        <v>0.16719949756725999</v>
      </c>
      <c r="AL88" s="132">
        <v>1.3723235574687499E-3</v>
      </c>
    </row>
    <row r="89" spans="1:38" x14ac:dyDescent="0.2">
      <c r="A89" s="6">
        <v>559</v>
      </c>
      <c r="B89" s="6">
        <v>7206</v>
      </c>
      <c r="C89" s="6" t="s">
        <v>3240</v>
      </c>
      <c r="D89" s="6" t="s">
        <v>3241</v>
      </c>
      <c r="E89" s="3" t="s">
        <v>1477</v>
      </c>
      <c r="F89" s="6" t="s">
        <v>3244</v>
      </c>
      <c r="G89" s="6" t="s">
        <v>3245</v>
      </c>
      <c r="H89" s="6" t="s">
        <v>76</v>
      </c>
      <c r="I89" s="6" t="s">
        <v>229</v>
      </c>
      <c r="J89" s="6" t="s">
        <v>53</v>
      </c>
      <c r="K89" s="6" t="s">
        <v>53</v>
      </c>
      <c r="L89" s="3" t="s">
        <v>958</v>
      </c>
      <c r="M89" s="6" t="s">
        <v>258</v>
      </c>
      <c r="N89" s="6" t="s">
        <v>62</v>
      </c>
      <c r="O89" s="164" t="s">
        <v>3121</v>
      </c>
      <c r="P89" s="6" t="s">
        <v>1926</v>
      </c>
      <c r="Q89" s="6" t="s">
        <v>70</v>
      </c>
      <c r="R89" s="6" t="s">
        <v>57</v>
      </c>
      <c r="S89" s="6" t="s">
        <v>1219</v>
      </c>
      <c r="T89" s="131">
        <v>6.42</v>
      </c>
      <c r="U89" s="6" t="s">
        <v>3246</v>
      </c>
      <c r="V89" s="132">
        <v>2.81E-2</v>
      </c>
      <c r="W89" s="132">
        <v>1.7500000000000002E-2</v>
      </c>
      <c r="X89" s="3" t="s">
        <v>620</v>
      </c>
      <c r="Y89" s="3" t="s">
        <v>62</v>
      </c>
      <c r="Z89" s="6" t="s">
        <v>775</v>
      </c>
      <c r="AA89" s="6" t="s">
        <v>305</v>
      </c>
      <c r="AB89" s="6" t="s">
        <v>2313</v>
      </c>
      <c r="AD89" s="131">
        <v>27000</v>
      </c>
      <c r="AE89" s="129">
        <v>1</v>
      </c>
      <c r="AF89" s="157">
        <v>103.68</v>
      </c>
      <c r="AG89" s="131">
        <v>27.994</v>
      </c>
      <c r="AJ89" s="6" t="s">
        <v>17</v>
      </c>
      <c r="AK89" s="132">
        <v>3.9070781433940702E-2</v>
      </c>
      <c r="AL89" s="132">
        <v>3.2068130915848301E-4</v>
      </c>
    </row>
    <row r="90" spans="1:38" x14ac:dyDescent="0.2">
      <c r="A90" s="6">
        <v>559</v>
      </c>
      <c r="B90" s="6">
        <v>7206</v>
      </c>
      <c r="C90" s="6" t="s">
        <v>3247</v>
      </c>
      <c r="D90" s="6" t="s">
        <v>3248</v>
      </c>
      <c r="E90" s="3" t="s">
        <v>1477</v>
      </c>
      <c r="F90" s="6" t="s">
        <v>3249</v>
      </c>
      <c r="G90" s="6" t="s">
        <v>3250</v>
      </c>
      <c r="H90" s="6" t="s">
        <v>76</v>
      </c>
      <c r="I90" s="6" t="s">
        <v>229</v>
      </c>
      <c r="J90" s="6" t="s">
        <v>53</v>
      </c>
      <c r="K90" s="6" t="s">
        <v>53</v>
      </c>
      <c r="L90" s="3" t="s">
        <v>958</v>
      </c>
      <c r="M90" s="6" t="s">
        <v>156</v>
      </c>
      <c r="N90" s="6" t="s">
        <v>62</v>
      </c>
      <c r="O90" s="164" t="s">
        <v>3251</v>
      </c>
      <c r="P90" s="6" t="s">
        <v>1213</v>
      </c>
      <c r="Q90" s="6" t="s">
        <v>96</v>
      </c>
      <c r="R90" s="6" t="s">
        <v>57</v>
      </c>
      <c r="S90" s="6" t="s">
        <v>1219</v>
      </c>
      <c r="T90" s="131">
        <v>7.33</v>
      </c>
      <c r="U90" s="6" t="s">
        <v>3252</v>
      </c>
      <c r="V90" s="132">
        <v>2.64E-2</v>
      </c>
      <c r="W90" s="132">
        <v>8.3000000000000001E-3</v>
      </c>
      <c r="X90" s="3" t="s">
        <v>620</v>
      </c>
      <c r="Y90" s="3" t="s">
        <v>62</v>
      </c>
      <c r="Z90" s="6" t="s">
        <v>775</v>
      </c>
      <c r="AA90" s="6" t="s">
        <v>305</v>
      </c>
      <c r="AB90" s="6" t="s">
        <v>2313</v>
      </c>
      <c r="AD90" s="131">
        <v>69459.34</v>
      </c>
      <c r="AE90" s="129">
        <v>1</v>
      </c>
      <c r="AF90" s="157">
        <v>102.64</v>
      </c>
      <c r="AG90" s="131">
        <v>71.293000000000006</v>
      </c>
      <c r="AJ90" s="6" t="s">
        <v>17</v>
      </c>
      <c r="AK90" s="132">
        <v>9.9504023131939998E-2</v>
      </c>
      <c r="AL90" s="132">
        <v>8.1669931425449303E-4</v>
      </c>
    </row>
    <row r="91" spans="1:38" x14ac:dyDescent="0.2">
      <c r="A91" s="6">
        <v>559</v>
      </c>
      <c r="B91" s="6">
        <v>7206</v>
      </c>
      <c r="C91" s="6" t="s">
        <v>3111</v>
      </c>
      <c r="D91" s="6" t="s">
        <v>3112</v>
      </c>
      <c r="E91" s="3" t="s">
        <v>1477</v>
      </c>
      <c r="F91" s="6" t="s">
        <v>3113</v>
      </c>
      <c r="G91" s="6" t="s">
        <v>3114</v>
      </c>
      <c r="H91" s="6" t="s">
        <v>76</v>
      </c>
      <c r="I91" s="6" t="s">
        <v>230</v>
      </c>
      <c r="J91" s="6" t="s">
        <v>53</v>
      </c>
      <c r="K91" s="6" t="s">
        <v>53</v>
      </c>
      <c r="L91" s="3" t="s">
        <v>958</v>
      </c>
      <c r="M91" s="6" t="s">
        <v>862</v>
      </c>
      <c r="N91" s="6" t="s">
        <v>62</v>
      </c>
      <c r="O91" s="164" t="s">
        <v>3115</v>
      </c>
      <c r="P91" s="6" t="s">
        <v>2273</v>
      </c>
      <c r="Q91" s="6" t="s">
        <v>96</v>
      </c>
      <c r="R91" s="6" t="s">
        <v>57</v>
      </c>
      <c r="S91" s="6" t="s">
        <v>1217</v>
      </c>
      <c r="T91" s="131">
        <v>4.2640000000000002</v>
      </c>
      <c r="U91" s="6" t="s">
        <v>3116</v>
      </c>
      <c r="V91" s="132">
        <v>8.1589999999999996E-2</v>
      </c>
      <c r="W91" s="132">
        <v>8.5000000000000006E-2</v>
      </c>
      <c r="X91" s="3" t="s">
        <v>620</v>
      </c>
      <c r="Y91" s="3" t="s">
        <v>62</v>
      </c>
      <c r="Z91" s="6" t="s">
        <v>775</v>
      </c>
      <c r="AA91" s="6" t="s">
        <v>305</v>
      </c>
      <c r="AB91" s="6" t="s">
        <v>2313</v>
      </c>
      <c r="AD91" s="131">
        <v>7000</v>
      </c>
      <c r="AE91" s="129">
        <v>3.3719999999999999</v>
      </c>
      <c r="AF91" s="157">
        <v>115.33199999999999</v>
      </c>
      <c r="AG91" s="131">
        <v>27.222999999999999</v>
      </c>
      <c r="AJ91" s="6" t="s">
        <v>17</v>
      </c>
      <c r="AK91" s="132">
        <v>3.7995276837804501E-2</v>
      </c>
      <c r="AL91" s="132">
        <v>3.11853888532714E-4</v>
      </c>
    </row>
    <row r="92" spans="1:38" x14ac:dyDescent="0.2">
      <c r="A92" s="6">
        <v>559</v>
      </c>
      <c r="B92" s="6">
        <v>7207</v>
      </c>
      <c r="C92" s="6" t="s">
        <v>3091</v>
      </c>
      <c r="D92" s="6" t="s">
        <v>3092</v>
      </c>
      <c r="E92" s="3" t="s">
        <v>432</v>
      </c>
      <c r="F92" s="6" t="s">
        <v>3093</v>
      </c>
      <c r="G92" s="6" t="s">
        <v>3094</v>
      </c>
      <c r="H92" s="6" t="s">
        <v>76</v>
      </c>
      <c r="I92" s="6" t="s">
        <v>229</v>
      </c>
      <c r="J92" s="6" t="s">
        <v>53</v>
      </c>
      <c r="K92" s="6" t="s">
        <v>53</v>
      </c>
      <c r="L92" s="3" t="s">
        <v>958</v>
      </c>
      <c r="M92" s="6" t="s">
        <v>258</v>
      </c>
      <c r="N92" s="6" t="s">
        <v>62</v>
      </c>
      <c r="O92" s="164" t="s">
        <v>3095</v>
      </c>
      <c r="P92" s="6" t="s">
        <v>1577</v>
      </c>
      <c r="Q92" s="6" t="s">
        <v>65</v>
      </c>
      <c r="R92" s="6" t="s">
        <v>57</v>
      </c>
      <c r="S92" s="6" t="s">
        <v>1219</v>
      </c>
      <c r="T92" s="131">
        <v>2.5499999999999998</v>
      </c>
      <c r="U92" s="6" t="s">
        <v>1649</v>
      </c>
      <c r="V92" s="132">
        <v>3.2800000000000003E-2</v>
      </c>
      <c r="W92" s="132">
        <v>3.6400000000000002E-2</v>
      </c>
      <c r="X92" s="3" t="s">
        <v>620</v>
      </c>
      <c r="Y92" s="3" t="s">
        <v>62</v>
      </c>
      <c r="Z92" s="6" t="s">
        <v>775</v>
      </c>
      <c r="AA92" s="6" t="s">
        <v>305</v>
      </c>
      <c r="AB92" s="6" t="s">
        <v>2313</v>
      </c>
      <c r="AD92" s="131">
        <v>51000</v>
      </c>
      <c r="AE92" s="129">
        <v>1</v>
      </c>
      <c r="AF92" s="157">
        <v>106.67</v>
      </c>
      <c r="AG92" s="131">
        <v>54.402000000000001</v>
      </c>
      <c r="AJ92" s="6" t="s">
        <v>17</v>
      </c>
      <c r="AK92" s="132">
        <v>4.2062006318026403E-2</v>
      </c>
      <c r="AL92" s="132">
        <v>4.4761020529812603E-4</v>
      </c>
    </row>
    <row r="93" spans="1:38" x14ac:dyDescent="0.2">
      <c r="A93" s="6">
        <v>559</v>
      </c>
      <c r="B93" s="6">
        <v>7207</v>
      </c>
      <c r="C93" s="6" t="s">
        <v>2314</v>
      </c>
      <c r="D93" s="6" t="s">
        <v>2315</v>
      </c>
      <c r="E93" s="3" t="s">
        <v>1477</v>
      </c>
      <c r="F93" s="6" t="s">
        <v>3131</v>
      </c>
      <c r="G93" s="6" t="s">
        <v>3132</v>
      </c>
      <c r="H93" s="6" t="s">
        <v>76</v>
      </c>
      <c r="I93" s="6" t="s">
        <v>228</v>
      </c>
      <c r="J93" s="6" t="s">
        <v>53</v>
      </c>
      <c r="K93" s="6" t="s">
        <v>314</v>
      </c>
      <c r="L93" s="3" t="s">
        <v>958</v>
      </c>
      <c r="M93" s="6" t="s">
        <v>631</v>
      </c>
      <c r="N93" s="6" t="s">
        <v>62</v>
      </c>
      <c r="O93" s="164" t="s">
        <v>3133</v>
      </c>
      <c r="P93" s="6" t="s">
        <v>1577</v>
      </c>
      <c r="Q93" s="6" t="s">
        <v>65</v>
      </c>
      <c r="R93" s="6" t="s">
        <v>57</v>
      </c>
      <c r="S93" s="6" t="s">
        <v>1219</v>
      </c>
      <c r="T93" s="131">
        <v>3.2</v>
      </c>
      <c r="U93" s="6" t="s">
        <v>3134</v>
      </c>
      <c r="V93" s="132">
        <v>5.1200000000000002E-2</v>
      </c>
      <c r="W93" s="132">
        <v>3.3500000000000002E-2</v>
      </c>
      <c r="X93" s="3" t="s">
        <v>620</v>
      </c>
      <c r="Y93" s="3" t="s">
        <v>62</v>
      </c>
      <c r="Z93" s="6" t="s">
        <v>775</v>
      </c>
      <c r="AA93" s="6" t="s">
        <v>3082</v>
      </c>
      <c r="AB93" s="6" t="s">
        <v>2313</v>
      </c>
      <c r="AD93" s="131">
        <v>90000</v>
      </c>
      <c r="AE93" s="129">
        <v>1</v>
      </c>
      <c r="AF93" s="157">
        <v>94.87</v>
      </c>
      <c r="AG93" s="131">
        <v>85.382999999999996</v>
      </c>
      <c r="AJ93" s="6" t="s">
        <v>17</v>
      </c>
      <c r="AK93" s="132">
        <v>6.6015956954507807E-2</v>
      </c>
      <c r="AL93" s="132">
        <v>7.0252036533729502E-4</v>
      </c>
    </row>
    <row r="94" spans="1:38" x14ac:dyDescent="0.2">
      <c r="A94" s="6">
        <v>559</v>
      </c>
      <c r="B94" s="6">
        <v>7207</v>
      </c>
      <c r="C94" s="6" t="s">
        <v>3140</v>
      </c>
      <c r="D94" s="6" t="s">
        <v>3141</v>
      </c>
      <c r="E94" s="3" t="s">
        <v>1477</v>
      </c>
      <c r="F94" s="6" t="s">
        <v>3142</v>
      </c>
      <c r="G94" s="6" t="s">
        <v>3143</v>
      </c>
      <c r="H94" s="6" t="s">
        <v>76</v>
      </c>
      <c r="I94" s="6" t="s">
        <v>102</v>
      </c>
      <c r="J94" s="6" t="s">
        <v>53</v>
      </c>
      <c r="K94" s="6" t="s">
        <v>53</v>
      </c>
      <c r="L94" s="3" t="s">
        <v>958</v>
      </c>
      <c r="M94" s="6" t="s">
        <v>639</v>
      </c>
      <c r="N94" s="6" t="s">
        <v>62</v>
      </c>
      <c r="O94" s="164" t="s">
        <v>3121</v>
      </c>
      <c r="P94" s="6" t="s">
        <v>1753</v>
      </c>
      <c r="Q94" s="6" t="s">
        <v>70</v>
      </c>
      <c r="R94" s="6" t="s">
        <v>57</v>
      </c>
      <c r="S94" s="6" t="s">
        <v>1219</v>
      </c>
      <c r="T94" s="131">
        <v>0</v>
      </c>
      <c r="U94" s="6" t="s">
        <v>3145</v>
      </c>
      <c r="V94" s="132">
        <v>0</v>
      </c>
      <c r="W94" s="132">
        <v>0.06</v>
      </c>
      <c r="X94" s="3" t="s">
        <v>620</v>
      </c>
      <c r="Y94" s="3" t="s">
        <v>55</v>
      </c>
      <c r="Z94" s="6" t="s">
        <v>302</v>
      </c>
      <c r="AA94" s="6" t="s">
        <v>304</v>
      </c>
      <c r="AD94" s="131">
        <v>115385.59</v>
      </c>
      <c r="AE94" s="129">
        <v>1</v>
      </c>
      <c r="AF94" s="157">
        <v>0</v>
      </c>
      <c r="AG94" s="131">
        <v>0</v>
      </c>
      <c r="AJ94" s="6" t="s">
        <v>17</v>
      </c>
      <c r="AK94" s="132">
        <v>0</v>
      </c>
      <c r="AL94" s="132">
        <v>0</v>
      </c>
    </row>
    <row r="95" spans="1:38" x14ac:dyDescent="0.2">
      <c r="A95" s="6">
        <v>559</v>
      </c>
      <c r="B95" s="6">
        <v>7207</v>
      </c>
      <c r="C95" s="6" t="s">
        <v>3151</v>
      </c>
      <c r="D95" s="6" t="s">
        <v>3152</v>
      </c>
      <c r="E95" s="3" t="s">
        <v>1477</v>
      </c>
      <c r="F95" s="6" t="s">
        <v>3153</v>
      </c>
      <c r="G95" s="6" t="s">
        <v>3154</v>
      </c>
      <c r="H95" s="6" t="s">
        <v>76</v>
      </c>
      <c r="I95" s="6" t="s">
        <v>102</v>
      </c>
      <c r="J95" s="6" t="s">
        <v>53</v>
      </c>
      <c r="K95" s="6" t="s">
        <v>53</v>
      </c>
      <c r="L95" s="3" t="s">
        <v>958</v>
      </c>
      <c r="M95" s="6" t="s">
        <v>102</v>
      </c>
      <c r="N95" s="6" t="s">
        <v>62</v>
      </c>
      <c r="O95" s="164" t="s">
        <v>3155</v>
      </c>
      <c r="P95" s="6" t="s">
        <v>298</v>
      </c>
      <c r="Q95" s="6" t="s">
        <v>298</v>
      </c>
      <c r="R95" s="6" t="s">
        <v>298</v>
      </c>
      <c r="S95" s="6" t="s">
        <v>1219</v>
      </c>
      <c r="T95" s="131">
        <v>0.01</v>
      </c>
      <c r="U95" s="6" t="s">
        <v>3156</v>
      </c>
      <c r="V95" s="132">
        <v>1E-4</v>
      </c>
      <c r="W95" s="132">
        <v>6.4500000000000002E-2</v>
      </c>
      <c r="X95" s="3" t="s">
        <v>620</v>
      </c>
      <c r="Y95" s="3" t="s">
        <v>55</v>
      </c>
      <c r="Z95" s="6" t="s">
        <v>302</v>
      </c>
      <c r="AA95" s="6" t="s">
        <v>304</v>
      </c>
      <c r="AB95" s="6" t="s">
        <v>3157</v>
      </c>
      <c r="AD95" s="131">
        <v>42515.040000000001</v>
      </c>
      <c r="AE95" s="129">
        <v>1</v>
      </c>
      <c r="AF95" s="157">
        <v>0</v>
      </c>
      <c r="AG95" s="131">
        <v>0</v>
      </c>
      <c r="AJ95" s="6" t="s">
        <v>17</v>
      </c>
      <c r="AK95" s="132">
        <v>3.2871544107833801E-10</v>
      </c>
      <c r="AL95" s="132">
        <v>3.49808292436782E-12</v>
      </c>
    </row>
    <row r="96" spans="1:38" x14ac:dyDescent="0.2">
      <c r="A96" s="6">
        <v>559</v>
      </c>
      <c r="B96" s="6">
        <v>7207</v>
      </c>
      <c r="C96" s="6" t="s">
        <v>3151</v>
      </c>
      <c r="D96" s="6" t="s">
        <v>3152</v>
      </c>
      <c r="E96" s="3" t="s">
        <v>1477</v>
      </c>
      <c r="F96" s="6" t="s">
        <v>3158</v>
      </c>
      <c r="G96" s="6" t="s">
        <v>3159</v>
      </c>
      <c r="H96" s="6" t="s">
        <v>76</v>
      </c>
      <c r="I96" s="6" t="s">
        <v>102</v>
      </c>
      <c r="J96" s="6" t="s">
        <v>53</v>
      </c>
      <c r="K96" s="6" t="s">
        <v>53</v>
      </c>
      <c r="L96" s="3" t="s">
        <v>958</v>
      </c>
      <c r="M96" s="6" t="s">
        <v>102</v>
      </c>
      <c r="N96" s="6" t="s">
        <v>62</v>
      </c>
      <c r="O96" s="164" t="s">
        <v>3155</v>
      </c>
      <c r="P96" s="6" t="s">
        <v>1753</v>
      </c>
      <c r="Q96" s="6" t="s">
        <v>70</v>
      </c>
      <c r="R96" s="6" t="s">
        <v>57</v>
      </c>
      <c r="S96" s="6" t="s">
        <v>1219</v>
      </c>
      <c r="T96" s="131">
        <v>0.01</v>
      </c>
      <c r="U96" s="6" t="s">
        <v>3156</v>
      </c>
      <c r="V96" s="132">
        <v>1E-4</v>
      </c>
      <c r="W96" s="132">
        <v>5.7000000000000002E-2</v>
      </c>
      <c r="X96" s="3" t="s">
        <v>620</v>
      </c>
      <c r="Y96" s="3" t="s">
        <v>55</v>
      </c>
      <c r="Z96" s="6" t="s">
        <v>302</v>
      </c>
      <c r="AA96" s="6" t="s">
        <v>304</v>
      </c>
      <c r="AB96" s="6" t="s">
        <v>3157</v>
      </c>
      <c r="AD96" s="131">
        <v>9000</v>
      </c>
      <c r="AE96" s="129">
        <v>1</v>
      </c>
      <c r="AF96" s="157">
        <v>0</v>
      </c>
      <c r="AG96" s="131">
        <v>0</v>
      </c>
      <c r="AJ96" s="6" t="s">
        <v>17</v>
      </c>
      <c r="AK96" s="132">
        <v>6.9585703546440188E-11</v>
      </c>
      <c r="AL96" s="132">
        <v>7.4050844875861198E-13</v>
      </c>
    </row>
    <row r="97" spans="1:38" x14ac:dyDescent="0.2">
      <c r="A97" s="6">
        <v>559</v>
      </c>
      <c r="B97" s="6">
        <v>7207</v>
      </c>
      <c r="C97" s="6" t="s">
        <v>3168</v>
      </c>
      <c r="D97" s="6" t="s">
        <v>3169</v>
      </c>
      <c r="E97" s="3" t="s">
        <v>78</v>
      </c>
      <c r="F97" s="6" t="s">
        <v>3170</v>
      </c>
      <c r="G97" s="6" t="s">
        <v>3171</v>
      </c>
      <c r="H97" s="6" t="s">
        <v>76</v>
      </c>
      <c r="I97" s="6" t="s">
        <v>102</v>
      </c>
      <c r="J97" s="6" t="s">
        <v>53</v>
      </c>
      <c r="K97" s="6" t="s">
        <v>53</v>
      </c>
      <c r="L97" s="3" t="s">
        <v>958</v>
      </c>
      <c r="M97" s="6" t="s">
        <v>140</v>
      </c>
      <c r="N97" s="6" t="s">
        <v>62</v>
      </c>
      <c r="O97" s="164" t="s">
        <v>3172</v>
      </c>
      <c r="P97" s="6" t="s">
        <v>1753</v>
      </c>
      <c r="Q97" s="6" t="s">
        <v>65</v>
      </c>
      <c r="R97" s="6" t="s">
        <v>57</v>
      </c>
      <c r="S97" s="6" t="s">
        <v>1219</v>
      </c>
      <c r="T97" s="131">
        <v>0</v>
      </c>
      <c r="U97" s="6" t="s">
        <v>3173</v>
      </c>
      <c r="V97" s="132">
        <v>0</v>
      </c>
      <c r="W97" s="132">
        <v>8.8499999999999995E-2</v>
      </c>
      <c r="X97" s="3" t="s">
        <v>620</v>
      </c>
      <c r="Y97" s="3" t="s">
        <v>55</v>
      </c>
      <c r="Z97" s="6" t="s">
        <v>302</v>
      </c>
      <c r="AA97" s="6" t="s">
        <v>304</v>
      </c>
      <c r="AB97" s="6" t="s">
        <v>3174</v>
      </c>
      <c r="AD97" s="131">
        <v>40300</v>
      </c>
      <c r="AE97" s="129">
        <v>1</v>
      </c>
      <c r="AF97" s="157">
        <v>0</v>
      </c>
      <c r="AG97" s="131">
        <v>0</v>
      </c>
      <c r="AJ97" s="6" t="s">
        <v>17</v>
      </c>
      <c r="AK97" s="132">
        <v>3.1158931699128203E-10</v>
      </c>
      <c r="AL97" s="132">
        <v>3.3158322761080098E-12</v>
      </c>
    </row>
    <row r="98" spans="1:38" x14ac:dyDescent="0.2">
      <c r="A98" s="6">
        <v>559</v>
      </c>
      <c r="B98" s="6">
        <v>7207</v>
      </c>
      <c r="C98" s="6" t="s">
        <v>3096</v>
      </c>
      <c r="D98" s="6" t="s">
        <v>3097</v>
      </c>
      <c r="E98" s="3" t="s">
        <v>1477</v>
      </c>
      <c r="F98" s="6" t="s">
        <v>3098</v>
      </c>
      <c r="G98" s="6" t="s">
        <v>3099</v>
      </c>
      <c r="H98" s="6" t="s">
        <v>76</v>
      </c>
      <c r="I98" s="6" t="s">
        <v>229</v>
      </c>
      <c r="J98" s="6" t="s">
        <v>53</v>
      </c>
      <c r="K98" s="6" t="s">
        <v>53</v>
      </c>
      <c r="L98" s="3" t="s">
        <v>958</v>
      </c>
      <c r="M98" s="6" t="s">
        <v>635</v>
      </c>
      <c r="N98" s="6" t="s">
        <v>62</v>
      </c>
      <c r="O98" s="164" t="s">
        <v>3100</v>
      </c>
      <c r="P98" s="6" t="s">
        <v>1493</v>
      </c>
      <c r="Q98" s="6" t="s">
        <v>65</v>
      </c>
      <c r="R98" s="6" t="s">
        <v>57</v>
      </c>
      <c r="S98" s="6" t="s">
        <v>1219</v>
      </c>
      <c r="T98" s="131">
        <v>3.16</v>
      </c>
      <c r="U98" s="6" t="s">
        <v>1590</v>
      </c>
      <c r="V98" s="132">
        <v>3.4000000000000002E-2</v>
      </c>
      <c r="W98" s="132">
        <v>3.8399999999999997E-2</v>
      </c>
      <c r="X98" s="3" t="s">
        <v>620</v>
      </c>
      <c r="Y98" s="3" t="s">
        <v>62</v>
      </c>
      <c r="Z98" s="6" t="s">
        <v>775</v>
      </c>
      <c r="AA98" s="6" t="s">
        <v>305</v>
      </c>
      <c r="AB98" s="6" t="s">
        <v>2313</v>
      </c>
      <c r="AD98" s="131">
        <v>130000</v>
      </c>
      <c r="AE98" s="129">
        <v>1</v>
      </c>
      <c r="AF98" s="157">
        <v>104.58</v>
      </c>
      <c r="AG98" s="131">
        <v>135.95400000000001</v>
      </c>
      <c r="AJ98" s="6" t="s">
        <v>17</v>
      </c>
      <c r="AK98" s="132">
        <v>0.105116163777253</v>
      </c>
      <c r="AL98" s="132">
        <v>1.1186120626947599E-3</v>
      </c>
    </row>
    <row r="99" spans="1:38" x14ac:dyDescent="0.2">
      <c r="A99" s="6">
        <v>559</v>
      </c>
      <c r="B99" s="6">
        <v>7207</v>
      </c>
      <c r="C99" s="6" t="s">
        <v>3175</v>
      </c>
      <c r="D99" s="6" t="s">
        <v>3176</v>
      </c>
      <c r="E99" s="3" t="s">
        <v>1477</v>
      </c>
      <c r="F99" s="6" t="s">
        <v>3177</v>
      </c>
      <c r="G99" s="6" t="s">
        <v>3178</v>
      </c>
      <c r="H99" s="6" t="s">
        <v>76</v>
      </c>
      <c r="I99" s="6" t="s">
        <v>228</v>
      </c>
      <c r="J99" s="6" t="s">
        <v>53</v>
      </c>
      <c r="K99" s="6" t="s">
        <v>53</v>
      </c>
      <c r="L99" s="3" t="s">
        <v>958</v>
      </c>
      <c r="M99" s="6" t="s">
        <v>75</v>
      </c>
      <c r="N99" s="6" t="s">
        <v>62</v>
      </c>
      <c r="O99" s="164" t="s">
        <v>3179</v>
      </c>
      <c r="P99" s="6" t="s">
        <v>1515</v>
      </c>
      <c r="Q99" s="6" t="s">
        <v>96</v>
      </c>
      <c r="R99" s="6" t="s">
        <v>57</v>
      </c>
      <c r="S99" s="6" t="s">
        <v>1219</v>
      </c>
      <c r="T99" s="131">
        <v>0.91</v>
      </c>
      <c r="U99" s="6" t="s">
        <v>1595</v>
      </c>
      <c r="V99" s="132">
        <v>5.28E-2</v>
      </c>
      <c r="W99" s="132">
        <v>4.2999999999999997E-2</v>
      </c>
      <c r="X99" s="3" t="s">
        <v>620</v>
      </c>
      <c r="Y99" s="3" t="s">
        <v>62</v>
      </c>
      <c r="Z99" s="6" t="s">
        <v>775</v>
      </c>
      <c r="AA99" s="6" t="s">
        <v>305</v>
      </c>
      <c r="AB99" s="6" t="s">
        <v>2313</v>
      </c>
      <c r="AD99" s="131">
        <v>60000</v>
      </c>
      <c r="AE99" s="129">
        <v>1</v>
      </c>
      <c r="AF99" s="157">
        <v>99.19</v>
      </c>
      <c r="AG99" s="131">
        <v>59.514000000000003</v>
      </c>
      <c r="AJ99" s="6" t="s">
        <v>17</v>
      </c>
      <c r="AK99" s="132">
        <v>4.6014706231809401E-2</v>
      </c>
      <c r="AL99" s="132">
        <v>4.8967355354911099E-4</v>
      </c>
    </row>
    <row r="100" spans="1:38" x14ac:dyDescent="0.2">
      <c r="A100" s="6">
        <v>559</v>
      </c>
      <c r="B100" s="6">
        <v>7207</v>
      </c>
      <c r="C100" s="6" t="s">
        <v>3190</v>
      </c>
      <c r="D100" s="6" t="s">
        <v>3191</v>
      </c>
      <c r="E100" s="3" t="s">
        <v>432</v>
      </c>
      <c r="F100" s="6" t="s">
        <v>3192</v>
      </c>
      <c r="G100" s="6" t="s">
        <v>3193</v>
      </c>
      <c r="H100" s="6" t="s">
        <v>76</v>
      </c>
      <c r="I100" s="6" t="s">
        <v>228</v>
      </c>
      <c r="J100" s="6" t="s">
        <v>53</v>
      </c>
      <c r="K100" s="6" t="s">
        <v>53</v>
      </c>
      <c r="L100" s="3" t="s">
        <v>958</v>
      </c>
      <c r="M100" s="6" t="s">
        <v>692</v>
      </c>
      <c r="N100" s="6" t="s">
        <v>62</v>
      </c>
      <c r="O100" s="164" t="s">
        <v>3194</v>
      </c>
      <c r="P100" s="6" t="s">
        <v>1493</v>
      </c>
      <c r="Q100" s="6" t="s">
        <v>65</v>
      </c>
      <c r="R100" s="6" t="s">
        <v>57</v>
      </c>
      <c r="S100" s="6" t="s">
        <v>1219</v>
      </c>
      <c r="T100" s="131">
        <v>1.91</v>
      </c>
      <c r="U100" s="6" t="s">
        <v>1590</v>
      </c>
      <c r="V100" s="132">
        <v>5.0999999999999997E-2</v>
      </c>
      <c r="W100" s="132">
        <v>2.86E-2</v>
      </c>
      <c r="X100" s="3" t="s">
        <v>620</v>
      </c>
      <c r="Y100" s="3" t="s">
        <v>62</v>
      </c>
      <c r="Z100" s="6" t="s">
        <v>775</v>
      </c>
      <c r="AA100" s="6" t="s">
        <v>305</v>
      </c>
      <c r="AB100" s="6" t="s">
        <v>2313</v>
      </c>
      <c r="AD100" s="131">
        <v>34285.72</v>
      </c>
      <c r="AE100" s="129">
        <v>1</v>
      </c>
      <c r="AF100" s="157">
        <v>97.29</v>
      </c>
      <c r="AG100" s="131">
        <v>33.356999999999999</v>
      </c>
      <c r="AJ100" s="6" t="s">
        <v>17</v>
      </c>
      <c r="AK100" s="132">
        <v>2.5790454195677499E-2</v>
      </c>
      <c r="AL100" s="132">
        <v>2.74453634236457E-4</v>
      </c>
    </row>
    <row r="101" spans="1:38" x14ac:dyDescent="0.2">
      <c r="A101" s="6">
        <v>559</v>
      </c>
      <c r="B101" s="6">
        <v>7207</v>
      </c>
      <c r="C101" s="6" t="s">
        <v>3195</v>
      </c>
      <c r="D101" s="6" t="s">
        <v>3196</v>
      </c>
      <c r="E101" s="3" t="s">
        <v>1477</v>
      </c>
      <c r="F101" s="6" t="s">
        <v>3197</v>
      </c>
      <c r="G101" s="6" t="s">
        <v>3198</v>
      </c>
      <c r="H101" s="6" t="s">
        <v>76</v>
      </c>
      <c r="I101" s="6" t="s">
        <v>228</v>
      </c>
      <c r="J101" s="6" t="s">
        <v>53</v>
      </c>
      <c r="K101" s="6" t="s">
        <v>53</v>
      </c>
      <c r="L101" s="3" t="s">
        <v>958</v>
      </c>
      <c r="M101" s="6" t="s">
        <v>692</v>
      </c>
      <c r="N101" s="6" t="s">
        <v>62</v>
      </c>
      <c r="O101" s="164" t="s">
        <v>3199</v>
      </c>
      <c r="P101" s="6" t="s">
        <v>1628</v>
      </c>
      <c r="Q101" s="6" t="s">
        <v>96</v>
      </c>
      <c r="R101" s="6" t="s">
        <v>57</v>
      </c>
      <c r="S101" s="6" t="s">
        <v>1219</v>
      </c>
      <c r="T101" s="131">
        <v>1.72</v>
      </c>
      <c r="U101" s="6" t="s">
        <v>1644</v>
      </c>
      <c r="V101" s="132">
        <v>5.21E-2</v>
      </c>
      <c r="W101" s="132">
        <v>4.4699999999999997E-2</v>
      </c>
      <c r="X101" s="3" t="s">
        <v>620</v>
      </c>
      <c r="Y101" s="3" t="s">
        <v>62</v>
      </c>
      <c r="Z101" s="6" t="s">
        <v>775</v>
      </c>
      <c r="AA101" s="6" t="s">
        <v>305</v>
      </c>
      <c r="AB101" s="6" t="s">
        <v>2313</v>
      </c>
      <c r="AD101" s="131">
        <v>50651.99</v>
      </c>
      <c r="AE101" s="129">
        <v>1</v>
      </c>
      <c r="AF101" s="157">
        <v>98.87</v>
      </c>
      <c r="AG101" s="131">
        <v>50.08</v>
      </c>
      <c r="AJ101" s="6" t="s">
        <v>17</v>
      </c>
      <c r="AK101" s="132">
        <v>3.8720286287858299E-2</v>
      </c>
      <c r="AL101" s="132">
        <v>4.1204870646131602E-4</v>
      </c>
    </row>
    <row r="102" spans="1:38" x14ac:dyDescent="0.2">
      <c r="A102" s="6">
        <v>559</v>
      </c>
      <c r="B102" s="6">
        <v>7207</v>
      </c>
      <c r="C102" s="6" t="s">
        <v>1970</v>
      </c>
      <c r="D102" s="6" t="s">
        <v>1971</v>
      </c>
      <c r="E102" s="3" t="s">
        <v>1477</v>
      </c>
      <c r="F102" s="6" t="s">
        <v>3101</v>
      </c>
      <c r="G102" s="6" t="s">
        <v>3102</v>
      </c>
      <c r="H102" s="6" t="s">
        <v>76</v>
      </c>
      <c r="I102" s="6" t="s">
        <v>229</v>
      </c>
      <c r="J102" s="6" t="s">
        <v>53</v>
      </c>
      <c r="K102" s="6" t="s">
        <v>53</v>
      </c>
      <c r="L102" s="3" t="s">
        <v>958</v>
      </c>
      <c r="M102" s="6" t="s">
        <v>258</v>
      </c>
      <c r="N102" s="6" t="s">
        <v>62</v>
      </c>
      <c r="O102" s="164" t="s">
        <v>3214</v>
      </c>
      <c r="P102" s="6" t="s">
        <v>1213</v>
      </c>
      <c r="Q102" s="6" t="s">
        <v>65</v>
      </c>
      <c r="R102" s="6" t="s">
        <v>57</v>
      </c>
      <c r="S102" s="6" t="s">
        <v>1219</v>
      </c>
      <c r="T102" s="131">
        <v>8.8800000000000008</v>
      </c>
      <c r="U102" s="6" t="s">
        <v>3104</v>
      </c>
      <c r="V102" s="132">
        <v>3.0800000000000001E-2</v>
      </c>
      <c r="W102" s="132">
        <v>4.1000000000000002E-2</v>
      </c>
      <c r="X102" s="3" t="s">
        <v>620</v>
      </c>
      <c r="Y102" s="3" t="s">
        <v>62</v>
      </c>
      <c r="Z102" s="6" t="s">
        <v>775</v>
      </c>
      <c r="AA102" s="6" t="s">
        <v>3082</v>
      </c>
      <c r="AB102" s="6" t="s">
        <v>2313</v>
      </c>
      <c r="AD102" s="131">
        <v>190769.26</v>
      </c>
      <c r="AE102" s="129">
        <v>1</v>
      </c>
      <c r="AF102" s="157">
        <v>137.31</v>
      </c>
      <c r="AG102" s="131">
        <v>261.94499999999999</v>
      </c>
      <c r="AJ102" s="6" t="s">
        <v>17</v>
      </c>
      <c r="AK102" s="132">
        <v>0.20252939962952099</v>
      </c>
      <c r="AL102" s="132">
        <v>2.15525206909174E-3</v>
      </c>
    </row>
    <row r="103" spans="1:38" x14ac:dyDescent="0.2">
      <c r="A103" s="6">
        <v>559</v>
      </c>
      <c r="B103" s="6">
        <v>7207</v>
      </c>
      <c r="C103" s="6" t="s">
        <v>3105</v>
      </c>
      <c r="D103" s="6" t="s">
        <v>3106</v>
      </c>
      <c r="E103" s="3" t="s">
        <v>767</v>
      </c>
      <c r="F103" s="6" t="s">
        <v>3107</v>
      </c>
      <c r="G103" s="6" t="s">
        <v>3108</v>
      </c>
      <c r="H103" s="6" t="s">
        <v>76</v>
      </c>
      <c r="I103" s="6" t="s">
        <v>228</v>
      </c>
      <c r="J103" s="6" t="s">
        <v>53</v>
      </c>
      <c r="K103" s="6" t="s">
        <v>204</v>
      </c>
      <c r="L103" s="3" t="s">
        <v>958</v>
      </c>
      <c r="M103" s="6" t="s">
        <v>140</v>
      </c>
      <c r="N103" s="6" t="s">
        <v>62</v>
      </c>
      <c r="O103" s="164" t="s">
        <v>3109</v>
      </c>
      <c r="P103" s="6" t="s">
        <v>298</v>
      </c>
      <c r="Q103" s="6" t="s">
        <v>298</v>
      </c>
      <c r="R103" s="6" t="s">
        <v>298</v>
      </c>
      <c r="S103" s="6" t="s">
        <v>1219</v>
      </c>
      <c r="T103" s="131">
        <v>3.28</v>
      </c>
      <c r="U103" s="6" t="s">
        <v>3110</v>
      </c>
      <c r="V103" s="132">
        <v>7.7100000000000002E-2</v>
      </c>
      <c r="W103" s="132">
        <v>9.5000000000000001E-2</v>
      </c>
      <c r="X103" s="3" t="s">
        <v>620</v>
      </c>
      <c r="Y103" s="3" t="s">
        <v>62</v>
      </c>
      <c r="Z103" s="6" t="s">
        <v>775</v>
      </c>
      <c r="AA103" s="6" t="s">
        <v>3082</v>
      </c>
      <c r="AB103" s="6" t="s">
        <v>2313</v>
      </c>
      <c r="AD103" s="131">
        <v>70000</v>
      </c>
      <c r="AE103" s="129">
        <v>1</v>
      </c>
      <c r="AF103" s="157">
        <v>107.89</v>
      </c>
      <c r="AG103" s="131">
        <v>75.522999999999996</v>
      </c>
      <c r="AJ103" s="6" t="s">
        <v>17</v>
      </c>
      <c r="AK103" s="132">
        <v>5.8392456543753399E-2</v>
      </c>
      <c r="AL103" s="132">
        <v>6.2139355083996298E-4</v>
      </c>
    </row>
    <row r="104" spans="1:38" x14ac:dyDescent="0.2">
      <c r="A104" s="6">
        <v>559</v>
      </c>
      <c r="B104" s="6">
        <v>7207</v>
      </c>
      <c r="C104" s="6" t="s">
        <v>3084</v>
      </c>
      <c r="D104" s="6" t="s">
        <v>3085</v>
      </c>
      <c r="E104" s="3" t="s">
        <v>1477</v>
      </c>
      <c r="F104" s="6" t="s">
        <v>3233</v>
      </c>
      <c r="G104" s="6" t="s">
        <v>3234</v>
      </c>
      <c r="H104" s="6" t="s">
        <v>76</v>
      </c>
      <c r="I104" s="6" t="s">
        <v>228</v>
      </c>
      <c r="J104" s="6" t="s">
        <v>53</v>
      </c>
      <c r="K104" s="6" t="s">
        <v>53</v>
      </c>
      <c r="L104" s="3" t="s">
        <v>958</v>
      </c>
      <c r="M104" s="6" t="s">
        <v>638</v>
      </c>
      <c r="N104" s="6" t="s">
        <v>62</v>
      </c>
      <c r="O104" s="164" t="s">
        <v>3235</v>
      </c>
      <c r="P104" s="6" t="s">
        <v>1213</v>
      </c>
      <c r="Q104" s="6" t="s">
        <v>65</v>
      </c>
      <c r="R104" s="6" t="s">
        <v>57</v>
      </c>
      <c r="S104" s="6" t="s">
        <v>1219</v>
      </c>
      <c r="T104" s="131">
        <v>0.7</v>
      </c>
      <c r="U104" s="6" t="s">
        <v>3236</v>
      </c>
      <c r="V104" s="132">
        <v>4.7199999999999999E-2</v>
      </c>
      <c r="W104" s="132">
        <v>2.5000000000000001E-2</v>
      </c>
      <c r="X104" s="3" t="s">
        <v>620</v>
      </c>
      <c r="Y104" s="3" t="s">
        <v>62</v>
      </c>
      <c r="Z104" s="6" t="s">
        <v>775</v>
      </c>
      <c r="AA104" s="6" t="s">
        <v>3082</v>
      </c>
      <c r="AB104" s="6" t="s">
        <v>2313</v>
      </c>
      <c r="AD104" s="131">
        <v>23959.68</v>
      </c>
      <c r="AE104" s="129">
        <v>1</v>
      </c>
      <c r="AF104" s="157">
        <v>99.24</v>
      </c>
      <c r="AG104" s="131">
        <v>23.777999999999999</v>
      </c>
      <c r="AJ104" s="6" t="s">
        <v>17</v>
      </c>
      <c r="AK104" s="132">
        <v>1.8384223116744602E-2</v>
      </c>
      <c r="AL104" s="132">
        <v>1.9563892937760199E-4</v>
      </c>
    </row>
    <row r="105" spans="1:38" x14ac:dyDescent="0.2">
      <c r="A105" s="6">
        <v>559</v>
      </c>
      <c r="B105" s="6">
        <v>7207</v>
      </c>
      <c r="C105" s="6" t="s">
        <v>3084</v>
      </c>
      <c r="D105" s="6" t="s">
        <v>3085</v>
      </c>
      <c r="E105" s="3" t="s">
        <v>1477</v>
      </c>
      <c r="F105" s="6" t="s">
        <v>3237</v>
      </c>
      <c r="G105" s="6" t="s">
        <v>3238</v>
      </c>
      <c r="H105" s="6" t="s">
        <v>76</v>
      </c>
      <c r="I105" s="6" t="s">
        <v>228</v>
      </c>
      <c r="J105" s="6" t="s">
        <v>53</v>
      </c>
      <c r="K105" s="6" t="s">
        <v>53</v>
      </c>
      <c r="L105" s="3" t="s">
        <v>958</v>
      </c>
      <c r="M105" s="6" t="s">
        <v>638</v>
      </c>
      <c r="N105" s="6" t="s">
        <v>62</v>
      </c>
      <c r="O105" s="164" t="s">
        <v>3235</v>
      </c>
      <c r="P105" s="6" t="s">
        <v>1213</v>
      </c>
      <c r="Q105" s="6" t="s">
        <v>65</v>
      </c>
      <c r="R105" s="6" t="s">
        <v>57</v>
      </c>
      <c r="S105" s="6" t="s">
        <v>1219</v>
      </c>
      <c r="T105" s="131">
        <v>4.13</v>
      </c>
      <c r="U105" s="6" t="s">
        <v>3239</v>
      </c>
      <c r="V105" s="132">
        <v>4.65E-2</v>
      </c>
      <c r="W105" s="132">
        <v>3.7400000000000003E-2</v>
      </c>
      <c r="X105" s="3" t="s">
        <v>620</v>
      </c>
      <c r="Y105" s="3" t="s">
        <v>62</v>
      </c>
      <c r="Z105" s="6" t="s">
        <v>775</v>
      </c>
      <c r="AA105" s="6" t="s">
        <v>3082</v>
      </c>
      <c r="AB105" s="6" t="s">
        <v>2313</v>
      </c>
      <c r="AD105" s="131">
        <v>85751.01</v>
      </c>
      <c r="AE105" s="129">
        <v>1</v>
      </c>
      <c r="AF105" s="157">
        <v>97.6</v>
      </c>
      <c r="AG105" s="131">
        <v>83.692999999999998</v>
      </c>
      <c r="AJ105" s="6" t="s">
        <v>17</v>
      </c>
      <c r="AK105" s="132">
        <v>6.4709281066797797E-2</v>
      </c>
      <c r="AL105" s="132">
        <v>6.8861514507904704E-4</v>
      </c>
    </row>
    <row r="106" spans="1:38" x14ac:dyDescent="0.2">
      <c r="A106" s="6">
        <v>559</v>
      </c>
      <c r="B106" s="6">
        <v>7207</v>
      </c>
      <c r="C106" s="6" t="s">
        <v>3240</v>
      </c>
      <c r="D106" s="6" t="s">
        <v>3241</v>
      </c>
      <c r="E106" s="3" t="s">
        <v>1477</v>
      </c>
      <c r="F106" s="6" t="s">
        <v>3242</v>
      </c>
      <c r="G106" s="6" t="s">
        <v>3243</v>
      </c>
      <c r="H106" s="6" t="s">
        <v>76</v>
      </c>
      <c r="I106" s="6" t="s">
        <v>229</v>
      </c>
      <c r="J106" s="6" t="s">
        <v>53</v>
      </c>
      <c r="K106" s="6" t="s">
        <v>53</v>
      </c>
      <c r="L106" s="3" t="s">
        <v>958</v>
      </c>
      <c r="M106" s="6" t="s">
        <v>258</v>
      </c>
      <c r="N106" s="6" t="s">
        <v>62</v>
      </c>
      <c r="O106" s="164" t="s">
        <v>3121</v>
      </c>
      <c r="P106" s="6" t="s">
        <v>1926</v>
      </c>
      <c r="Q106" s="6" t="s">
        <v>70</v>
      </c>
      <c r="R106" s="6" t="s">
        <v>57</v>
      </c>
      <c r="S106" s="6" t="s">
        <v>1219</v>
      </c>
      <c r="T106" s="131">
        <v>3.51</v>
      </c>
      <c r="U106" s="6" t="s">
        <v>2006</v>
      </c>
      <c r="V106" s="132">
        <v>2.8299999999999999E-2</v>
      </c>
      <c r="W106" s="132">
        <v>1.55E-2</v>
      </c>
      <c r="X106" s="3" t="s">
        <v>620</v>
      </c>
      <c r="Y106" s="3" t="s">
        <v>62</v>
      </c>
      <c r="Z106" s="6" t="s">
        <v>775</v>
      </c>
      <c r="AA106" s="6" t="s">
        <v>305</v>
      </c>
      <c r="AB106" s="6" t="s">
        <v>2313</v>
      </c>
      <c r="AD106" s="131">
        <v>225922.38</v>
      </c>
      <c r="AE106" s="129">
        <v>1</v>
      </c>
      <c r="AF106" s="157">
        <v>106.05</v>
      </c>
      <c r="AG106" s="131">
        <v>239.59100000000001</v>
      </c>
      <c r="AJ106" s="6" t="s">
        <v>17</v>
      </c>
      <c r="AK106" s="132">
        <v>0.185245403429078</v>
      </c>
      <c r="AL106" s="132">
        <v>1.9713213970938902E-3</v>
      </c>
    </row>
    <row r="107" spans="1:38" x14ac:dyDescent="0.2">
      <c r="A107" s="6">
        <v>559</v>
      </c>
      <c r="B107" s="6">
        <v>7207</v>
      </c>
      <c r="C107" s="6" t="s">
        <v>3240</v>
      </c>
      <c r="D107" s="6" t="s">
        <v>3241</v>
      </c>
      <c r="E107" s="3" t="s">
        <v>1477</v>
      </c>
      <c r="F107" s="6" t="s">
        <v>3244</v>
      </c>
      <c r="G107" s="6" t="s">
        <v>3245</v>
      </c>
      <c r="H107" s="6" t="s">
        <v>76</v>
      </c>
      <c r="I107" s="6" t="s">
        <v>229</v>
      </c>
      <c r="J107" s="6" t="s">
        <v>53</v>
      </c>
      <c r="K107" s="6" t="s">
        <v>53</v>
      </c>
      <c r="L107" s="3" t="s">
        <v>958</v>
      </c>
      <c r="M107" s="6" t="s">
        <v>258</v>
      </c>
      <c r="N107" s="6" t="s">
        <v>62</v>
      </c>
      <c r="O107" s="164" t="s">
        <v>3121</v>
      </c>
      <c r="P107" s="6" t="s">
        <v>1926</v>
      </c>
      <c r="Q107" s="6" t="s">
        <v>70</v>
      </c>
      <c r="R107" s="6" t="s">
        <v>57</v>
      </c>
      <c r="S107" s="6" t="s">
        <v>1219</v>
      </c>
      <c r="T107" s="131">
        <v>6.42</v>
      </c>
      <c r="U107" s="6" t="s">
        <v>3246</v>
      </c>
      <c r="V107" s="132">
        <v>2.81E-2</v>
      </c>
      <c r="W107" s="132">
        <v>1.7500000000000002E-2</v>
      </c>
      <c r="X107" s="3" t="s">
        <v>620</v>
      </c>
      <c r="Y107" s="3" t="s">
        <v>62</v>
      </c>
      <c r="Z107" s="6" t="s">
        <v>775</v>
      </c>
      <c r="AA107" s="6" t="s">
        <v>305</v>
      </c>
      <c r="AB107" s="6" t="s">
        <v>2313</v>
      </c>
      <c r="AD107" s="131">
        <v>54000</v>
      </c>
      <c r="AE107" s="129">
        <v>1</v>
      </c>
      <c r="AF107" s="157">
        <v>103.68</v>
      </c>
      <c r="AG107" s="131">
        <v>55.987000000000002</v>
      </c>
      <c r="AJ107" s="6" t="s">
        <v>17</v>
      </c>
      <c r="AK107" s="132">
        <v>4.3287874462169501E-2</v>
      </c>
      <c r="AL107" s="132">
        <v>4.6065549580375702E-4</v>
      </c>
    </row>
    <row r="108" spans="1:38" x14ac:dyDescent="0.2">
      <c r="A108" s="6">
        <v>559</v>
      </c>
      <c r="B108" s="6">
        <v>7207</v>
      </c>
      <c r="C108" s="6" t="s">
        <v>3247</v>
      </c>
      <c r="D108" s="6" t="s">
        <v>3248</v>
      </c>
      <c r="E108" s="3" t="s">
        <v>1477</v>
      </c>
      <c r="F108" s="6" t="s">
        <v>3249</v>
      </c>
      <c r="G108" s="6" t="s">
        <v>3250</v>
      </c>
      <c r="H108" s="6" t="s">
        <v>76</v>
      </c>
      <c r="I108" s="6" t="s">
        <v>229</v>
      </c>
      <c r="J108" s="6" t="s">
        <v>53</v>
      </c>
      <c r="K108" s="6" t="s">
        <v>53</v>
      </c>
      <c r="L108" s="3" t="s">
        <v>958</v>
      </c>
      <c r="M108" s="6" t="s">
        <v>156</v>
      </c>
      <c r="N108" s="6" t="s">
        <v>62</v>
      </c>
      <c r="O108" s="164" t="s">
        <v>3251</v>
      </c>
      <c r="P108" s="6" t="s">
        <v>1213</v>
      </c>
      <c r="Q108" s="6" t="s">
        <v>96</v>
      </c>
      <c r="R108" s="6" t="s">
        <v>57</v>
      </c>
      <c r="S108" s="6" t="s">
        <v>1219</v>
      </c>
      <c r="T108" s="131">
        <v>7.33</v>
      </c>
      <c r="U108" s="6" t="s">
        <v>3252</v>
      </c>
      <c r="V108" s="132">
        <v>2.64E-2</v>
      </c>
      <c r="W108" s="132">
        <v>8.3000000000000001E-3</v>
      </c>
      <c r="X108" s="3" t="s">
        <v>620</v>
      </c>
      <c r="Y108" s="3" t="s">
        <v>62</v>
      </c>
      <c r="Z108" s="6" t="s">
        <v>775</v>
      </c>
      <c r="AA108" s="6" t="s">
        <v>305</v>
      </c>
      <c r="AB108" s="6" t="s">
        <v>2313</v>
      </c>
      <c r="AD108" s="131">
        <v>104189.86</v>
      </c>
      <c r="AE108" s="129">
        <v>1</v>
      </c>
      <c r="AF108" s="157">
        <v>102.64</v>
      </c>
      <c r="AG108" s="131">
        <v>106.94</v>
      </c>
      <c r="AJ108" s="6" t="s">
        <v>17</v>
      </c>
      <c r="AK108" s="132">
        <v>8.2683644476249402E-2</v>
      </c>
      <c r="AL108" s="132">
        <v>8.7989248061498201E-4</v>
      </c>
    </row>
    <row r="109" spans="1:38" x14ac:dyDescent="0.2">
      <c r="A109" s="6">
        <v>559</v>
      </c>
      <c r="B109" s="6">
        <v>7207</v>
      </c>
      <c r="C109" s="6" t="s">
        <v>3111</v>
      </c>
      <c r="D109" s="6" t="s">
        <v>3112</v>
      </c>
      <c r="E109" s="3" t="s">
        <v>1477</v>
      </c>
      <c r="F109" s="6" t="s">
        <v>3113</v>
      </c>
      <c r="G109" s="6" t="s">
        <v>3114</v>
      </c>
      <c r="H109" s="6" t="s">
        <v>76</v>
      </c>
      <c r="I109" s="6" t="s">
        <v>230</v>
      </c>
      <c r="J109" s="6" t="s">
        <v>53</v>
      </c>
      <c r="K109" s="6" t="s">
        <v>53</v>
      </c>
      <c r="L109" s="3" t="s">
        <v>958</v>
      </c>
      <c r="M109" s="6" t="s">
        <v>862</v>
      </c>
      <c r="N109" s="6" t="s">
        <v>62</v>
      </c>
      <c r="O109" s="164" t="s">
        <v>3115</v>
      </c>
      <c r="P109" s="6" t="s">
        <v>2273</v>
      </c>
      <c r="Q109" s="6" t="s">
        <v>96</v>
      </c>
      <c r="R109" s="6" t="s">
        <v>57</v>
      </c>
      <c r="S109" s="6" t="s">
        <v>1217</v>
      </c>
      <c r="T109" s="131">
        <v>4.2640000000000002</v>
      </c>
      <c r="U109" s="6" t="s">
        <v>3116</v>
      </c>
      <c r="V109" s="132">
        <v>8.1589999999999996E-2</v>
      </c>
      <c r="W109" s="132">
        <v>8.5000000000000006E-2</v>
      </c>
      <c r="X109" s="3" t="s">
        <v>620</v>
      </c>
      <c r="Y109" s="3" t="s">
        <v>62</v>
      </c>
      <c r="Z109" s="6" t="s">
        <v>775</v>
      </c>
      <c r="AA109" s="6" t="s">
        <v>305</v>
      </c>
      <c r="AB109" s="6" t="s">
        <v>2313</v>
      </c>
      <c r="AD109" s="131">
        <v>7000</v>
      </c>
      <c r="AE109" s="129">
        <v>3.3719999999999999</v>
      </c>
      <c r="AF109" s="157">
        <v>115.33199999999999</v>
      </c>
      <c r="AG109" s="131">
        <v>27.222999999999999</v>
      </c>
      <c r="AJ109" s="6" t="s">
        <v>17</v>
      </c>
      <c r="AK109" s="132">
        <v>2.1048142800664402E-2</v>
      </c>
      <c r="AL109" s="132">
        <v>2.2398749714684901E-4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3B16EF1-2173-4617-8BBA-930C446B0333}">
      <formula1>israel_abroad</formula1>
    </dataValidation>
    <dataValidation type="list" allowBlank="1" showInputMessage="1" showErrorMessage="1" sqref="N2:N20" xr:uid="{3A1FEF87-5CF8-4486-92EF-C45620E10DE9}">
      <formula1>Holding_interest</formula1>
    </dataValidation>
    <dataValidation type="list" allowBlank="1" showInputMessage="1" showErrorMessage="1" sqref="K2:K20" xr:uid="{A0DBAF76-6A4D-4E89-B156-73B255EB8795}">
      <formula1>Country_list</formula1>
    </dataValidation>
    <dataValidation type="list" allowBlank="1" showInputMessage="1" showErrorMessage="1" sqref="E3:E20" xr:uid="{D144F522-3739-4094-8B91-E2BDD05A459E}">
      <formula1>Issuer_Number_Type_2</formula1>
    </dataValidation>
    <dataValidation type="list" allowBlank="1" showInputMessage="1" showErrorMessage="1" sqref="Q2:Q20" xr:uid="{1AA8E71C-8D71-40A9-88A0-A0CC27D17F68}">
      <formula1>Rating_Agency</formula1>
    </dataValidation>
    <dataValidation type="list" allowBlank="1" showInputMessage="1" showErrorMessage="1" sqref="P4 R2:R20" xr:uid="{93C31225-521B-4839-A52D-13A55831B4B2}">
      <formula1>What_is_rated</formula1>
    </dataValidation>
    <dataValidation type="list" allowBlank="1" showInputMessage="1" showErrorMessage="1" sqref="V4 X2:X20" xr:uid="{96508D81-B5DE-44B3-82CD-F3444D836765}">
      <formula1>Subordination_Risk</formula1>
    </dataValidation>
    <dataValidation type="list" allowBlank="1" showInputMessage="1" showErrorMessage="1" sqref="Z2:Z19" xr:uid="{B83E0B81-0231-4D3E-A1B7-5C2116988835}">
      <formula1>Valuation</formula1>
    </dataValidation>
    <dataValidation type="list" allowBlank="1" showInputMessage="1" showErrorMessage="1" sqref="AA2:AA20" xr:uid="{22D0BADE-06DE-4BC7-9FB1-92C521D81389}">
      <formula1>Dependence_Independence</formula1>
    </dataValidation>
    <dataValidation type="list" allowBlank="1" showInputMessage="1" showErrorMessage="1" sqref="AE4" xr:uid="{CE5369C6-BBB1-4484-B3B3-1AEA09EC76A9}">
      <formula1>Info_Provider</formula1>
    </dataValidation>
    <dataValidation type="list" allowBlank="1" showInputMessage="1" showErrorMessage="1" sqref="Y2:Y20" xr:uid="{A6D118EB-164B-4C71-8817-8BB8AB943B47}">
      <formula1>Yes_No_Bad_Debt</formula1>
    </dataValidation>
    <dataValidation type="list" allowBlank="1" showInputMessage="1" showErrorMessage="1" sqref="H2:H20" xr:uid="{750E4234-3900-4DC7-B7D6-5DE9A2189CAA}">
      <formula1>Type_of_Security_ID_Fund</formula1>
    </dataValidation>
    <dataValidation type="list" allowBlank="1" showInputMessage="1" showErrorMessage="1" sqref="E2" xr:uid="{4F5153F0-9A23-4CE0-ABF5-6DE4581BFDC4}">
      <formula1>Issuer_Number_Type_3</formula1>
    </dataValidation>
    <dataValidation type="list" allowBlank="1" showInputMessage="1" showErrorMessage="1" sqref="AJ2:AJ20" xr:uid="{5ADC855D-CA93-4CD1-8F4F-ECEC52489C35}">
      <formula1>In_the_books</formula1>
    </dataValidation>
    <dataValidation type="list" allowBlank="1" showInputMessage="1" showErrorMessage="1" sqref="M2:M20" xr:uid="{2047D709-6A16-4B52-BB72-C91A1DC1B683}">
      <formula1>Industry_Sector</formula1>
    </dataValidation>
    <dataValidation type="list" allowBlank="1" showInputMessage="1" showErrorMessage="1" sqref="L2:L20" xr:uid="{ED21FF10-8887-4C47-B1C4-BFEAE65F1F2A}">
      <formula1>tradeable_status_bonds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1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3" customWidth="1"/>
    <col min="6" max="11" width="11.625" style="2" customWidth="1"/>
    <col min="12" max="12" width="11.625" style="3" customWidth="1"/>
    <col min="13" max="26" width="11.625" style="2" customWidth="1"/>
    <col min="27" max="16384" width="9" style="2" hidden="1"/>
  </cols>
  <sheetData>
    <row r="1" spans="1:26" ht="51" x14ac:dyDescent="0.2">
      <c r="A1" s="13" t="s">
        <v>651</v>
      </c>
      <c r="B1" s="13" t="s">
        <v>0</v>
      </c>
      <c r="C1" s="13" t="s">
        <v>724</v>
      </c>
      <c r="D1" s="13" t="s">
        <v>2</v>
      </c>
      <c r="E1" s="13" t="s">
        <v>740</v>
      </c>
      <c r="F1" s="13" t="s">
        <v>1145</v>
      </c>
      <c r="G1" s="13" t="s">
        <v>29</v>
      </c>
      <c r="H1" s="13" t="s">
        <v>28</v>
      </c>
      <c r="I1" s="13" t="s">
        <v>1</v>
      </c>
      <c r="J1" s="13" t="s">
        <v>604</v>
      </c>
      <c r="K1" s="13" t="s">
        <v>605</v>
      </c>
      <c r="L1" s="13" t="s">
        <v>609</v>
      </c>
      <c r="M1" s="13" t="s">
        <v>9</v>
      </c>
      <c r="N1" s="13" t="s">
        <v>606</v>
      </c>
      <c r="O1" s="13" t="s">
        <v>12</v>
      </c>
      <c r="P1" s="13" t="s">
        <v>396</v>
      </c>
      <c r="Q1" s="13" t="s">
        <v>917</v>
      </c>
      <c r="R1" s="13" t="s">
        <v>372</v>
      </c>
      <c r="S1" s="13" t="s">
        <v>16</v>
      </c>
      <c r="T1" s="13" t="s">
        <v>1147</v>
      </c>
      <c r="U1" s="13" t="s">
        <v>773</v>
      </c>
      <c r="V1" s="13" t="s">
        <v>11</v>
      </c>
      <c r="W1" s="13" t="s">
        <v>15</v>
      </c>
      <c r="X1" s="13" t="s">
        <v>1153</v>
      </c>
      <c r="Y1" s="13" t="s">
        <v>19</v>
      </c>
      <c r="Z1" s="13" t="s">
        <v>30</v>
      </c>
    </row>
    <row r="2" spans="1:26" x14ac:dyDescent="0.2">
      <c r="A2" s="14"/>
      <c r="B2" s="14"/>
      <c r="C2" s="14"/>
      <c r="D2" s="14"/>
      <c r="E2" s="12"/>
      <c r="F2" s="14"/>
      <c r="G2" s="14"/>
      <c r="H2" s="12"/>
      <c r="I2" s="14"/>
      <c r="J2" s="12"/>
      <c r="K2" s="12"/>
      <c r="L2" s="14"/>
      <c r="M2" s="14"/>
      <c r="N2" s="14"/>
      <c r="O2" s="14"/>
      <c r="P2" s="12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x14ac:dyDescent="0.2">
      <c r="A3" s="14"/>
      <c r="B3" s="14"/>
      <c r="C3" s="14"/>
      <c r="D3" s="14"/>
      <c r="E3" s="12"/>
      <c r="F3" s="14"/>
      <c r="G3" s="14"/>
      <c r="H3" s="12"/>
      <c r="I3" s="14"/>
      <c r="J3" s="12"/>
      <c r="K3" s="12"/>
      <c r="L3" s="14"/>
      <c r="M3" s="14"/>
      <c r="N3" s="14"/>
      <c r="O3" s="14"/>
      <c r="P3" s="12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x14ac:dyDescent="0.2">
      <c r="A4" s="14"/>
      <c r="B4" s="14"/>
      <c r="C4" s="14"/>
      <c r="D4" s="14"/>
      <c r="E4" s="12"/>
      <c r="F4" s="14"/>
      <c r="G4" s="14"/>
      <c r="H4" s="12"/>
      <c r="I4" s="14"/>
      <c r="J4" s="12"/>
      <c r="K4" s="12"/>
      <c r="L4" s="14"/>
      <c r="M4" s="14"/>
      <c r="N4" s="14"/>
      <c r="P4" s="12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x14ac:dyDescent="0.2">
      <c r="A5" s="14"/>
      <c r="B5" s="14"/>
      <c r="C5" s="14"/>
      <c r="D5" s="14"/>
      <c r="E5" s="12"/>
      <c r="F5" s="14"/>
      <c r="G5" s="14"/>
      <c r="H5" s="12"/>
      <c r="I5" s="14"/>
      <c r="J5" s="12"/>
      <c r="K5" s="12"/>
      <c r="L5" s="14"/>
      <c r="M5" s="14"/>
      <c r="N5" s="14"/>
      <c r="O5" s="14"/>
      <c r="P5" s="12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x14ac:dyDescent="0.2">
      <c r="A6" s="14"/>
      <c r="B6" s="14"/>
      <c r="C6" s="14"/>
      <c r="D6" s="14"/>
      <c r="E6" s="12"/>
      <c r="F6" s="14"/>
      <c r="G6" s="14"/>
      <c r="H6" s="12"/>
      <c r="I6" s="14"/>
      <c r="J6" s="12"/>
      <c r="K6" s="12"/>
      <c r="L6" s="14"/>
      <c r="M6" s="14"/>
      <c r="N6" s="14"/>
      <c r="O6" s="14"/>
      <c r="P6" s="12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x14ac:dyDescent="0.2">
      <c r="A7" s="14"/>
      <c r="B7" s="14"/>
      <c r="C7" s="14"/>
      <c r="D7" s="14"/>
      <c r="E7" s="12"/>
      <c r="F7" s="14"/>
      <c r="G7" s="14"/>
      <c r="H7" s="12"/>
      <c r="I7" s="14"/>
      <c r="J7" s="12"/>
      <c r="K7" s="12"/>
      <c r="L7" s="14"/>
      <c r="M7" s="14"/>
      <c r="N7" s="14"/>
      <c r="O7" s="14"/>
      <c r="P7" s="12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x14ac:dyDescent="0.2">
      <c r="A8" s="14"/>
      <c r="B8" s="14"/>
      <c r="C8" s="14"/>
      <c r="D8" s="14"/>
      <c r="E8" s="12"/>
      <c r="F8" s="14"/>
      <c r="G8" s="14"/>
      <c r="H8" s="12"/>
      <c r="I8" s="14"/>
      <c r="J8" s="12"/>
      <c r="K8" s="12"/>
      <c r="L8" s="14"/>
      <c r="M8" s="14"/>
      <c r="N8" s="14"/>
      <c r="O8" s="14"/>
      <c r="P8" s="12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x14ac:dyDescent="0.2">
      <c r="A9" s="14"/>
      <c r="B9" s="14"/>
      <c r="C9" s="14"/>
      <c r="D9" s="14"/>
      <c r="E9" s="12"/>
      <c r="F9" s="14"/>
      <c r="G9" s="14"/>
      <c r="H9" s="12"/>
      <c r="I9" s="14"/>
      <c r="J9" s="12"/>
      <c r="K9" s="12"/>
      <c r="L9" s="14"/>
      <c r="M9" s="14"/>
      <c r="N9" s="14"/>
      <c r="O9" s="14"/>
      <c r="P9" s="12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x14ac:dyDescent="0.2">
      <c r="A10" s="14"/>
      <c r="B10" s="14"/>
      <c r="C10" s="14"/>
      <c r="D10" s="14"/>
      <c r="E10" s="12"/>
      <c r="F10" s="14"/>
      <c r="G10" s="14"/>
      <c r="H10" s="12"/>
      <c r="I10" s="14"/>
      <c r="J10" s="12"/>
      <c r="K10" s="12"/>
      <c r="L10" s="14"/>
      <c r="M10" s="14"/>
      <c r="N10" s="14"/>
      <c r="O10" s="14"/>
      <c r="P10" s="12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x14ac:dyDescent="0.2">
      <c r="A11" s="14"/>
      <c r="B11" s="14"/>
      <c r="C11" s="14"/>
      <c r="D11" s="14"/>
      <c r="E11" s="12"/>
      <c r="F11" s="14"/>
      <c r="G11" s="14"/>
      <c r="H11" s="12"/>
      <c r="I11" s="14"/>
      <c r="J11" s="12"/>
      <c r="K11" s="12"/>
      <c r="L11" s="14"/>
      <c r="M11" s="14"/>
      <c r="N11" s="14"/>
      <c r="O11" s="14"/>
      <c r="P11" s="12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x14ac:dyDescent="0.2">
      <c r="A12" s="14"/>
      <c r="B12" s="14"/>
      <c r="C12" s="14"/>
      <c r="D12" s="14"/>
      <c r="E12" s="12"/>
      <c r="F12" s="14"/>
      <c r="G12" s="14"/>
      <c r="H12" s="12"/>
      <c r="I12" s="14"/>
      <c r="J12" s="12"/>
      <c r="K12" s="12"/>
      <c r="L12" s="14"/>
      <c r="M12" s="14"/>
      <c r="N12" s="14"/>
      <c r="O12" s="14"/>
      <c r="P12" s="12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x14ac:dyDescent="0.2">
      <c r="A13" s="14"/>
      <c r="B13" s="14"/>
      <c r="C13" s="14"/>
      <c r="D13" s="14"/>
      <c r="E13" s="12"/>
      <c r="F13" s="14"/>
      <c r="G13" s="14"/>
      <c r="H13" s="12"/>
      <c r="I13" s="14"/>
      <c r="J13" s="12"/>
      <c r="K13" s="12"/>
      <c r="L13" s="14"/>
      <c r="M13" s="14"/>
      <c r="N13" s="14"/>
      <c r="O13" s="14"/>
      <c r="P13" s="12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x14ac:dyDescent="0.2">
      <c r="A14" s="14"/>
      <c r="B14" s="14"/>
      <c r="C14" s="14"/>
      <c r="D14" s="14"/>
      <c r="E14" s="12"/>
      <c r="F14" s="14"/>
      <c r="G14" s="14"/>
      <c r="H14" s="12"/>
      <c r="I14" s="14"/>
      <c r="J14" s="12"/>
      <c r="K14" s="12"/>
      <c r="L14" s="14"/>
      <c r="M14" s="14"/>
      <c r="N14" s="14"/>
      <c r="O14" s="14"/>
      <c r="P14" s="12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x14ac:dyDescent="0.2">
      <c r="A15" s="14"/>
      <c r="B15" s="14"/>
      <c r="C15" s="14"/>
      <c r="D15" s="14"/>
      <c r="E15" s="12"/>
      <c r="F15" s="14"/>
      <c r="G15" s="14"/>
      <c r="H15" s="12"/>
      <c r="I15" s="14"/>
      <c r="J15" s="12"/>
      <c r="K15" s="12"/>
      <c r="L15" s="14"/>
      <c r="M15" s="14"/>
      <c r="N15" s="14"/>
      <c r="O15" s="14"/>
      <c r="P15" s="12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x14ac:dyDescent="0.2">
      <c r="A16" s="14"/>
      <c r="B16" s="14"/>
      <c r="C16" s="14"/>
      <c r="D16" s="14"/>
      <c r="E16" s="12"/>
      <c r="F16" s="14"/>
      <c r="G16" s="14"/>
      <c r="H16" s="12"/>
      <c r="I16" s="14"/>
      <c r="J16" s="12"/>
      <c r="K16" s="12"/>
      <c r="L16" s="14"/>
      <c r="M16" s="14"/>
      <c r="N16" s="14"/>
      <c r="O16" s="14"/>
      <c r="P16" s="12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x14ac:dyDescent="0.2">
      <c r="A17" s="14"/>
      <c r="B17" s="14"/>
      <c r="C17" s="14"/>
      <c r="D17" s="14"/>
      <c r="E17" s="12"/>
      <c r="F17" s="14"/>
      <c r="G17" s="14"/>
      <c r="H17" s="12"/>
      <c r="I17" s="14"/>
      <c r="J17" s="12"/>
      <c r="K17" s="12"/>
      <c r="L17" s="14"/>
      <c r="M17" s="14"/>
      <c r="N17" s="14"/>
      <c r="O17" s="14"/>
      <c r="P17" s="12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x14ac:dyDescent="0.2">
      <c r="A18" s="14"/>
      <c r="B18" s="14"/>
      <c r="C18" s="14"/>
      <c r="D18" s="14"/>
      <c r="E18" s="12"/>
      <c r="F18" s="14"/>
      <c r="G18" s="14"/>
      <c r="H18" s="12"/>
      <c r="I18" s="14"/>
      <c r="J18" s="12"/>
      <c r="K18" s="12"/>
      <c r="L18" s="14"/>
      <c r="M18" s="14"/>
      <c r="N18" s="14"/>
      <c r="O18" s="14"/>
      <c r="P18" s="12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x14ac:dyDescent="0.2">
      <c r="A19" s="3"/>
      <c r="B19" s="14"/>
      <c r="C19" s="14"/>
      <c r="D19" s="14"/>
      <c r="E19" s="12"/>
      <c r="F19" s="14"/>
      <c r="G19" s="14"/>
      <c r="H19" s="12"/>
      <c r="I19" s="14"/>
      <c r="J19" s="12"/>
      <c r="K19" s="12"/>
      <c r="L19" s="14"/>
      <c r="M19" s="14"/>
      <c r="N19" s="14"/>
      <c r="O19" s="14"/>
      <c r="P19" s="12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x14ac:dyDescent="0.2">
      <c r="E20" s="12"/>
      <c r="H20" s="3"/>
      <c r="I20" s="14"/>
      <c r="J20" s="12"/>
      <c r="K20" s="12"/>
      <c r="L20" s="14"/>
      <c r="M20" s="14"/>
      <c r="N20" s="14"/>
      <c r="R20" s="14"/>
    </row>
    <row r="21" spans="1:26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048574"/>
  <sheetViews>
    <sheetView rightToLeft="1" workbookViewId="0">
      <selection sqref="A1:XFD1048576"/>
    </sheetView>
  </sheetViews>
  <sheetFormatPr defaultColWidth="9" defaultRowHeight="14.25" x14ac:dyDescent="0.2"/>
  <cols>
    <col min="1" max="15" width="11.625" style="6" customWidth="1"/>
    <col min="16" max="16" width="11.625" customWidth="1"/>
    <col min="17" max="26" width="11.625" style="6" customWidth="1"/>
    <col min="27" max="16384" width="9" style="6"/>
  </cols>
  <sheetData>
    <row r="1" spans="1:26" ht="66.75" customHeight="1" x14ac:dyDescent="0.2">
      <c r="A1" s="13" t="s">
        <v>651</v>
      </c>
      <c r="B1" s="13" t="s">
        <v>0</v>
      </c>
      <c r="C1" s="13" t="s">
        <v>780</v>
      </c>
      <c r="D1" s="13" t="s">
        <v>793</v>
      </c>
      <c r="E1" s="13" t="s">
        <v>781</v>
      </c>
      <c r="F1" s="13" t="s">
        <v>747</v>
      </c>
      <c r="G1" s="13" t="s">
        <v>746</v>
      </c>
      <c r="H1" s="13" t="s">
        <v>751</v>
      </c>
      <c r="I1" s="13" t="s">
        <v>1</v>
      </c>
      <c r="J1" s="13" t="s">
        <v>289</v>
      </c>
      <c r="K1" s="13" t="s">
        <v>604</v>
      </c>
      <c r="L1" s="13" t="s">
        <v>739</v>
      </c>
      <c r="M1" s="13" t="s">
        <v>754</v>
      </c>
      <c r="N1" s="13" t="s">
        <v>605</v>
      </c>
      <c r="O1" s="13" t="s">
        <v>606</v>
      </c>
      <c r="P1" s="168" t="s">
        <v>12</v>
      </c>
      <c r="Q1" s="13" t="s">
        <v>396</v>
      </c>
      <c r="R1" s="13" t="s">
        <v>917</v>
      </c>
      <c r="S1" s="13" t="s">
        <v>372</v>
      </c>
      <c r="T1" s="162" t="s">
        <v>16</v>
      </c>
      <c r="U1" s="124" t="s">
        <v>11</v>
      </c>
      <c r="V1" s="94" t="s">
        <v>3258</v>
      </c>
      <c r="W1" s="13" t="s">
        <v>1153</v>
      </c>
      <c r="X1" s="126" t="s">
        <v>736</v>
      </c>
      <c r="Y1" s="126" t="s">
        <v>19</v>
      </c>
      <c r="Z1" s="126" t="s">
        <v>30</v>
      </c>
    </row>
    <row r="2" spans="1:26" x14ac:dyDescent="0.2">
      <c r="A2" s="18">
        <v>559</v>
      </c>
      <c r="B2" s="18">
        <v>556</v>
      </c>
      <c r="C2" s="18" t="s">
        <v>3259</v>
      </c>
      <c r="D2" s="18" t="s">
        <v>3260</v>
      </c>
      <c r="E2" s="18" t="s">
        <v>1477</v>
      </c>
      <c r="F2" s="18" t="s">
        <v>3261</v>
      </c>
      <c r="G2" s="18">
        <v>666105929</v>
      </c>
      <c r="H2" s="18" t="s">
        <v>78</v>
      </c>
      <c r="I2" s="6" t="s">
        <v>749</v>
      </c>
      <c r="J2" s="18" t="s">
        <v>277</v>
      </c>
      <c r="K2" s="12" t="s">
        <v>53</v>
      </c>
      <c r="L2" s="18" t="s">
        <v>53</v>
      </c>
      <c r="M2" s="18" t="s">
        <v>53</v>
      </c>
      <c r="N2" s="12" t="s">
        <v>53</v>
      </c>
      <c r="O2" s="18" t="s">
        <v>62</v>
      </c>
      <c r="P2" s="166" t="s">
        <v>3262</v>
      </c>
      <c r="Q2" s="12" t="s">
        <v>1219</v>
      </c>
      <c r="R2" s="18" t="s">
        <v>303</v>
      </c>
      <c r="S2" s="18" t="s">
        <v>305</v>
      </c>
      <c r="T2" s="163" t="s">
        <v>2313</v>
      </c>
      <c r="U2" s="156">
        <v>1</v>
      </c>
      <c r="V2" s="151">
        <v>2011.624</v>
      </c>
      <c r="W2" s="151">
        <v>2011.624</v>
      </c>
      <c r="X2" s="155">
        <v>0</v>
      </c>
      <c r="Y2" s="155">
        <v>0.101636583303297</v>
      </c>
      <c r="Z2" s="155">
        <v>6.03209643173294E-3</v>
      </c>
    </row>
    <row r="3" spans="1:26" x14ac:dyDescent="0.2">
      <c r="A3" s="18">
        <v>559</v>
      </c>
      <c r="B3" s="18">
        <v>556</v>
      </c>
      <c r="C3" s="18" t="s">
        <v>3263</v>
      </c>
      <c r="D3" s="6" t="s">
        <v>3264</v>
      </c>
      <c r="E3" s="18" t="s">
        <v>767</v>
      </c>
      <c r="F3" s="18" t="s">
        <v>3265</v>
      </c>
      <c r="G3" s="18">
        <v>666107420</v>
      </c>
      <c r="H3" s="18" t="s">
        <v>78</v>
      </c>
      <c r="I3" s="6" t="s">
        <v>749</v>
      </c>
      <c r="J3" s="18" t="s">
        <v>390</v>
      </c>
      <c r="K3" s="12" t="s">
        <v>53</v>
      </c>
      <c r="L3" s="18" t="s">
        <v>53</v>
      </c>
      <c r="M3" s="18" t="s">
        <v>53</v>
      </c>
      <c r="N3" s="12" t="s">
        <v>314</v>
      </c>
      <c r="O3" s="18" t="s">
        <v>62</v>
      </c>
      <c r="P3" s="166" t="s">
        <v>3266</v>
      </c>
      <c r="Q3" s="12" t="s">
        <v>1217</v>
      </c>
      <c r="R3" s="18" t="s">
        <v>303</v>
      </c>
      <c r="S3" s="18" t="s">
        <v>305</v>
      </c>
      <c r="T3" s="163" t="s">
        <v>3267</v>
      </c>
      <c r="U3" s="156">
        <v>3.3719999999999999</v>
      </c>
      <c r="V3" s="151">
        <v>267.22699999999998</v>
      </c>
      <c r="W3" s="151">
        <v>901.09</v>
      </c>
      <c r="X3" s="155">
        <v>0</v>
      </c>
      <c r="Y3" s="155">
        <v>4.5527247136575397E-2</v>
      </c>
      <c r="Z3" s="155">
        <v>2.7020265348712399E-3</v>
      </c>
    </row>
    <row r="4" spans="1:26" x14ac:dyDescent="0.2">
      <c r="A4" s="18">
        <v>559</v>
      </c>
      <c r="B4" s="18">
        <v>556</v>
      </c>
      <c r="C4" s="18" t="s">
        <v>3268</v>
      </c>
      <c r="D4" s="6" t="s">
        <v>3269</v>
      </c>
      <c r="E4" s="18" t="s">
        <v>432</v>
      </c>
      <c r="F4" s="18" t="s">
        <v>3270</v>
      </c>
      <c r="G4" s="18">
        <v>666103635</v>
      </c>
      <c r="H4" s="18" t="s">
        <v>78</v>
      </c>
      <c r="I4" s="6" t="s">
        <v>241</v>
      </c>
      <c r="J4" s="18" t="s">
        <v>389</v>
      </c>
      <c r="K4" s="12" t="s">
        <v>53</v>
      </c>
      <c r="L4" s="18" t="s">
        <v>53</v>
      </c>
      <c r="M4" s="18" t="s">
        <v>53</v>
      </c>
      <c r="N4" s="12" t="s">
        <v>53</v>
      </c>
      <c r="O4" s="18" t="s">
        <v>62</v>
      </c>
      <c r="P4" s="166" t="s">
        <v>3271</v>
      </c>
      <c r="Q4" s="12" t="s">
        <v>1219</v>
      </c>
      <c r="R4" s="18" t="s">
        <v>303</v>
      </c>
      <c r="S4" s="18" t="s">
        <v>305</v>
      </c>
      <c r="T4" s="163" t="s">
        <v>3272</v>
      </c>
      <c r="U4" s="156">
        <v>1</v>
      </c>
      <c r="V4" s="151">
        <v>28.08</v>
      </c>
      <c r="W4" s="151">
        <v>28.08</v>
      </c>
      <c r="X4" s="155">
        <v>0</v>
      </c>
      <c r="Y4" s="155">
        <v>1.4187159161558899E-3</v>
      </c>
      <c r="Z4" s="155">
        <v>8.4200304037661299E-5</v>
      </c>
    </row>
    <row r="5" spans="1:26" x14ac:dyDescent="0.2">
      <c r="A5" s="18">
        <v>559</v>
      </c>
      <c r="B5" s="18">
        <v>556</v>
      </c>
      <c r="C5" s="18" t="s">
        <v>3268</v>
      </c>
      <c r="D5" s="6" t="s">
        <v>3269</v>
      </c>
      <c r="E5" s="18" t="s">
        <v>432</v>
      </c>
      <c r="F5" s="18" t="s">
        <v>3273</v>
      </c>
      <c r="G5" s="18">
        <v>666103007</v>
      </c>
      <c r="H5" s="18" t="s">
        <v>78</v>
      </c>
      <c r="I5" s="6" t="s">
        <v>241</v>
      </c>
      <c r="J5" s="18" t="s">
        <v>389</v>
      </c>
      <c r="K5" s="12" t="s">
        <v>53</v>
      </c>
      <c r="L5" s="18" t="s">
        <v>53</v>
      </c>
      <c r="M5" s="18" t="s">
        <v>53</v>
      </c>
      <c r="N5" s="12" t="s">
        <v>53</v>
      </c>
      <c r="O5" s="18" t="s">
        <v>62</v>
      </c>
      <c r="P5" s="166" t="s">
        <v>3274</v>
      </c>
      <c r="Q5" s="12" t="s">
        <v>1219</v>
      </c>
      <c r="R5" s="18" t="s">
        <v>303</v>
      </c>
      <c r="S5" s="18" t="s">
        <v>305</v>
      </c>
      <c r="T5" s="163" t="s">
        <v>3272</v>
      </c>
      <c r="U5" s="156">
        <v>1</v>
      </c>
      <c r="V5" s="151">
        <v>9.9030000000000005</v>
      </c>
      <c r="W5" s="151">
        <v>9.9030000000000005</v>
      </c>
      <c r="X5" s="155">
        <v>0</v>
      </c>
      <c r="Y5" s="155">
        <v>5.0034952602052497E-4</v>
      </c>
      <c r="Z5" s="155">
        <v>2.9695573113876699E-5</v>
      </c>
    </row>
    <row r="6" spans="1:26" x14ac:dyDescent="0.2">
      <c r="A6" s="18">
        <v>559</v>
      </c>
      <c r="B6" s="18">
        <v>556</v>
      </c>
      <c r="C6" s="18" t="s">
        <v>3275</v>
      </c>
      <c r="D6" s="6" t="s">
        <v>3276</v>
      </c>
      <c r="E6" s="18" t="s">
        <v>1477</v>
      </c>
      <c r="F6" s="18" t="s">
        <v>3277</v>
      </c>
      <c r="G6" s="18">
        <v>666106026</v>
      </c>
      <c r="H6" s="18" t="s">
        <v>78</v>
      </c>
      <c r="I6" s="6" t="s">
        <v>241</v>
      </c>
      <c r="J6" s="18" t="s">
        <v>390</v>
      </c>
      <c r="K6" s="12" t="s">
        <v>53</v>
      </c>
      <c r="L6" s="18" t="s">
        <v>53</v>
      </c>
      <c r="M6" s="18" t="s">
        <v>53</v>
      </c>
      <c r="N6" s="12" t="s">
        <v>53</v>
      </c>
      <c r="O6" s="18" t="s">
        <v>62</v>
      </c>
      <c r="P6" s="166" t="s">
        <v>3262</v>
      </c>
      <c r="Q6" s="12" t="s">
        <v>1217</v>
      </c>
      <c r="R6" s="18" t="s">
        <v>303</v>
      </c>
      <c r="S6" s="18" t="s">
        <v>305</v>
      </c>
      <c r="T6" s="163" t="s">
        <v>3278</v>
      </c>
      <c r="U6" s="156">
        <v>3.3719999999999999</v>
      </c>
      <c r="V6" s="151">
        <v>458.15800000000002</v>
      </c>
      <c r="W6" s="151">
        <v>1544.9090000000001</v>
      </c>
      <c r="X6" s="155">
        <v>0</v>
      </c>
      <c r="Y6" s="155">
        <v>7.8056010098523698E-2</v>
      </c>
      <c r="Z6" s="155">
        <v>4.6325974829905699E-3</v>
      </c>
    </row>
    <row r="7" spans="1:26" x14ac:dyDescent="0.2">
      <c r="A7" s="18">
        <v>559</v>
      </c>
      <c r="B7" s="18">
        <v>556</v>
      </c>
      <c r="C7" s="18" t="s">
        <v>3275</v>
      </c>
      <c r="D7" s="6" t="s">
        <v>3276</v>
      </c>
      <c r="E7" s="18" t="s">
        <v>1477</v>
      </c>
      <c r="F7" s="18" t="s">
        <v>3279</v>
      </c>
      <c r="G7" s="18">
        <v>666107438</v>
      </c>
      <c r="H7" s="18" t="s">
        <v>78</v>
      </c>
      <c r="I7" s="6" t="s">
        <v>241</v>
      </c>
      <c r="J7" s="18" t="s">
        <v>390</v>
      </c>
      <c r="K7" s="12" t="s">
        <v>61</v>
      </c>
      <c r="L7" s="18" t="s">
        <v>314</v>
      </c>
      <c r="M7" s="18" t="s">
        <v>314</v>
      </c>
      <c r="N7" s="12" t="s">
        <v>314</v>
      </c>
      <c r="O7" s="18" t="s">
        <v>62</v>
      </c>
      <c r="P7" s="166" t="s">
        <v>3266</v>
      </c>
      <c r="Q7" s="12" t="s">
        <v>1217</v>
      </c>
      <c r="R7" s="18" t="s">
        <v>303</v>
      </c>
      <c r="S7" s="18" t="s">
        <v>305</v>
      </c>
      <c r="T7" s="163" t="s">
        <v>3278</v>
      </c>
      <c r="U7" s="156">
        <v>3.3719999999999999</v>
      </c>
      <c r="V7" s="151">
        <v>357.84699999999998</v>
      </c>
      <c r="W7" s="151">
        <v>1206.6590000000001</v>
      </c>
      <c r="X7" s="155">
        <v>0</v>
      </c>
      <c r="Y7" s="155">
        <v>6.0966016029878597E-2</v>
      </c>
      <c r="Z7" s="155">
        <v>3.61831218443639E-3</v>
      </c>
    </row>
    <row r="8" spans="1:26" x14ac:dyDescent="0.2">
      <c r="A8" s="18">
        <v>559</v>
      </c>
      <c r="B8" s="18">
        <v>556</v>
      </c>
      <c r="C8" s="18" t="s">
        <v>3280</v>
      </c>
      <c r="D8" s="6" t="s">
        <v>3281</v>
      </c>
      <c r="E8" s="18" t="s">
        <v>432</v>
      </c>
      <c r="F8" s="18" t="s">
        <v>3282</v>
      </c>
      <c r="G8" s="18">
        <v>666103072</v>
      </c>
      <c r="H8" s="18" t="s">
        <v>78</v>
      </c>
      <c r="I8" s="6" t="s">
        <v>749</v>
      </c>
      <c r="J8" s="18" t="s">
        <v>389</v>
      </c>
      <c r="K8" s="12" t="s">
        <v>53</v>
      </c>
      <c r="L8" s="18" t="s">
        <v>53</v>
      </c>
      <c r="M8" s="18" t="s">
        <v>53</v>
      </c>
      <c r="N8" s="12" t="s">
        <v>53</v>
      </c>
      <c r="O8" s="18" t="s">
        <v>62</v>
      </c>
      <c r="P8" s="166" t="s">
        <v>3283</v>
      </c>
      <c r="Q8" s="12" t="s">
        <v>1219</v>
      </c>
      <c r="R8" s="18" t="s">
        <v>303</v>
      </c>
      <c r="S8" s="18" t="s">
        <v>305</v>
      </c>
      <c r="T8" s="163" t="s">
        <v>3284</v>
      </c>
      <c r="U8" s="156">
        <v>1</v>
      </c>
      <c r="V8" s="151">
        <v>371.36700000000002</v>
      </c>
      <c r="W8" s="151">
        <v>371.36700000000002</v>
      </c>
      <c r="X8" s="155">
        <v>0</v>
      </c>
      <c r="Y8" s="155">
        <v>1.8763194354407001E-2</v>
      </c>
      <c r="Z8" s="155">
        <v>1.1135891628251801E-3</v>
      </c>
    </row>
    <row r="9" spans="1:26" x14ac:dyDescent="0.2">
      <c r="A9" s="18">
        <v>559</v>
      </c>
      <c r="B9" s="18">
        <v>556</v>
      </c>
      <c r="C9" s="18" t="s">
        <v>3285</v>
      </c>
      <c r="D9" s="6" t="s">
        <v>3286</v>
      </c>
      <c r="E9" s="18" t="s">
        <v>78</v>
      </c>
      <c r="F9" s="18" t="s">
        <v>3287</v>
      </c>
      <c r="G9" s="18">
        <v>666103494</v>
      </c>
      <c r="H9" s="18" t="s">
        <v>78</v>
      </c>
      <c r="I9" s="6" t="s">
        <v>241</v>
      </c>
      <c r="J9" s="18" t="s">
        <v>389</v>
      </c>
      <c r="K9" s="12" t="s">
        <v>53</v>
      </c>
      <c r="L9" s="18" t="s">
        <v>53</v>
      </c>
      <c r="M9" s="18" t="s">
        <v>53</v>
      </c>
      <c r="N9" s="12" t="s">
        <v>53</v>
      </c>
      <c r="O9" s="18" t="s">
        <v>62</v>
      </c>
      <c r="P9" s="166" t="s">
        <v>3288</v>
      </c>
      <c r="Q9" s="12" t="s">
        <v>1219</v>
      </c>
      <c r="R9" s="18" t="s">
        <v>303</v>
      </c>
      <c r="S9" s="18" t="s">
        <v>305</v>
      </c>
      <c r="T9" s="163" t="s">
        <v>3272</v>
      </c>
      <c r="U9" s="156">
        <v>1</v>
      </c>
      <c r="V9" s="151">
        <v>242.953</v>
      </c>
      <c r="W9" s="151">
        <v>242.953</v>
      </c>
      <c r="X9" s="155">
        <v>0</v>
      </c>
      <c r="Y9" s="155">
        <v>1.22751009068664E-2</v>
      </c>
      <c r="Z9" s="155">
        <v>7.2852303740388003E-4</v>
      </c>
    </row>
    <row r="10" spans="1:26" x14ac:dyDescent="0.2">
      <c r="A10" s="18">
        <v>559</v>
      </c>
      <c r="B10" s="18">
        <v>556</v>
      </c>
      <c r="C10" s="18" t="s">
        <v>3285</v>
      </c>
      <c r="D10" s="6" t="s">
        <v>3286</v>
      </c>
      <c r="E10" s="18" t="s">
        <v>78</v>
      </c>
      <c r="F10" s="18" t="s">
        <v>3289</v>
      </c>
      <c r="G10" s="18">
        <v>666103965</v>
      </c>
      <c r="H10" s="18" t="s">
        <v>78</v>
      </c>
      <c r="I10" s="6" t="s">
        <v>241</v>
      </c>
      <c r="J10" s="18" t="s">
        <v>389</v>
      </c>
      <c r="K10" s="12" t="s">
        <v>53</v>
      </c>
      <c r="L10" s="18" t="s">
        <v>53</v>
      </c>
      <c r="M10" s="18" t="s">
        <v>53</v>
      </c>
      <c r="N10" s="12" t="s">
        <v>53</v>
      </c>
      <c r="O10" s="18" t="s">
        <v>62</v>
      </c>
      <c r="P10" s="166" t="s">
        <v>3290</v>
      </c>
      <c r="Q10" s="12" t="s">
        <v>1219</v>
      </c>
      <c r="R10" s="18" t="s">
        <v>303</v>
      </c>
      <c r="S10" s="18" t="s">
        <v>305</v>
      </c>
      <c r="T10" s="163" t="s">
        <v>3272</v>
      </c>
      <c r="U10" s="156">
        <v>1</v>
      </c>
      <c r="V10" s="151">
        <v>118.66800000000001</v>
      </c>
      <c r="W10" s="151">
        <v>118.66800000000001</v>
      </c>
      <c r="X10" s="155">
        <v>0</v>
      </c>
      <c r="Y10" s="155">
        <v>5.99563600558322E-3</v>
      </c>
      <c r="Z10" s="155">
        <v>3.5583894479533201E-4</v>
      </c>
    </row>
    <row r="11" spans="1:26" x14ac:dyDescent="0.2">
      <c r="A11" s="18">
        <v>559</v>
      </c>
      <c r="B11" s="18">
        <v>556</v>
      </c>
      <c r="C11" s="18" t="s">
        <v>3291</v>
      </c>
      <c r="D11" s="6" t="s">
        <v>3292</v>
      </c>
      <c r="E11" s="18" t="s">
        <v>1477</v>
      </c>
      <c r="F11" s="18" t="s">
        <v>3293</v>
      </c>
      <c r="G11" s="18">
        <v>666107446</v>
      </c>
      <c r="H11" s="18" t="s">
        <v>78</v>
      </c>
      <c r="I11" s="6" t="s">
        <v>749</v>
      </c>
      <c r="J11" s="18" t="s">
        <v>390</v>
      </c>
      <c r="K11" s="12" t="s">
        <v>61</v>
      </c>
      <c r="L11" s="18" t="s">
        <v>314</v>
      </c>
      <c r="M11" s="18" t="s">
        <v>53</v>
      </c>
      <c r="N11" s="12" t="s">
        <v>314</v>
      </c>
      <c r="O11" s="18" t="s">
        <v>62</v>
      </c>
      <c r="P11" s="166" t="s">
        <v>3294</v>
      </c>
      <c r="Q11" s="12" t="s">
        <v>1219</v>
      </c>
      <c r="R11" s="18" t="s">
        <v>303</v>
      </c>
      <c r="S11" s="18" t="s">
        <v>305</v>
      </c>
      <c r="T11" s="163" t="s">
        <v>3272</v>
      </c>
      <c r="U11" s="156">
        <v>1</v>
      </c>
      <c r="V11" s="151">
        <v>3817.654</v>
      </c>
      <c r="W11" s="151">
        <v>3817.654</v>
      </c>
      <c r="X11" s="155">
        <v>0</v>
      </c>
      <c r="Y11" s="155">
        <v>0.192885618067036</v>
      </c>
      <c r="Z11" s="155">
        <v>1.1447695413006199E-2</v>
      </c>
    </row>
    <row r="12" spans="1:26" x14ac:dyDescent="0.2">
      <c r="A12" s="18">
        <v>559</v>
      </c>
      <c r="B12" s="18">
        <v>556</v>
      </c>
      <c r="C12" s="18" t="s">
        <v>3295</v>
      </c>
      <c r="D12" s="6" t="s">
        <v>3296</v>
      </c>
      <c r="E12" s="18" t="s">
        <v>767</v>
      </c>
      <c r="F12" s="18" t="s">
        <v>3297</v>
      </c>
      <c r="G12" s="18">
        <v>666103163</v>
      </c>
      <c r="H12" s="18" t="s">
        <v>78</v>
      </c>
      <c r="I12" s="6" t="s">
        <v>749</v>
      </c>
      <c r="J12" s="18" t="s">
        <v>277</v>
      </c>
      <c r="K12" s="12" t="s">
        <v>53</v>
      </c>
      <c r="L12" s="18" t="s">
        <v>53</v>
      </c>
      <c r="M12" s="18" t="s">
        <v>53</v>
      </c>
      <c r="N12" s="12" t="s">
        <v>53</v>
      </c>
      <c r="O12" s="18" t="s">
        <v>62</v>
      </c>
      <c r="P12" s="166" t="s">
        <v>3298</v>
      </c>
      <c r="Q12" s="12" t="s">
        <v>1217</v>
      </c>
      <c r="R12" s="18" t="s">
        <v>303</v>
      </c>
      <c r="S12" s="18" t="s">
        <v>305</v>
      </c>
      <c r="T12" s="163" t="s">
        <v>3299</v>
      </c>
      <c r="U12" s="156">
        <v>3.3719999999999999</v>
      </c>
      <c r="V12" s="151">
        <v>96.87</v>
      </c>
      <c r="W12" s="151">
        <v>326.64699999999999</v>
      </c>
      <c r="X12" s="155">
        <v>0</v>
      </c>
      <c r="Y12" s="155">
        <v>1.6503700750542898E-2</v>
      </c>
      <c r="Z12" s="155">
        <v>9.7948899079637391E-4</v>
      </c>
    </row>
    <row r="13" spans="1:26" x14ac:dyDescent="0.2">
      <c r="A13" s="18">
        <v>559</v>
      </c>
      <c r="B13" s="18">
        <v>556</v>
      </c>
      <c r="C13" s="18" t="s">
        <v>3300</v>
      </c>
      <c r="D13" s="6" t="s">
        <v>3301</v>
      </c>
      <c r="E13" s="18" t="s">
        <v>1477</v>
      </c>
      <c r="F13" s="18" t="s">
        <v>3302</v>
      </c>
      <c r="G13" s="18">
        <v>666109921</v>
      </c>
      <c r="H13" s="18" t="s">
        <v>78</v>
      </c>
      <c r="I13" s="6" t="s">
        <v>241</v>
      </c>
      <c r="J13" s="18" t="s">
        <v>390</v>
      </c>
      <c r="K13" s="12" t="s">
        <v>53</v>
      </c>
      <c r="L13" s="18" t="s">
        <v>53</v>
      </c>
      <c r="M13" s="18" t="s">
        <v>53</v>
      </c>
      <c r="N13" s="12" t="s">
        <v>53</v>
      </c>
      <c r="O13" s="18" t="s">
        <v>62</v>
      </c>
      <c r="P13" s="166" t="s">
        <v>3121</v>
      </c>
      <c r="Q13" s="12" t="s">
        <v>1219</v>
      </c>
      <c r="R13" s="18" t="s">
        <v>303</v>
      </c>
      <c r="S13" s="18" t="s">
        <v>305</v>
      </c>
      <c r="T13" s="163" t="s">
        <v>3272</v>
      </c>
      <c r="U13" s="156">
        <v>1</v>
      </c>
      <c r="V13" s="151">
        <v>479.52499999999998</v>
      </c>
      <c r="W13" s="151">
        <v>479.52499999999998</v>
      </c>
      <c r="X13" s="155">
        <v>0</v>
      </c>
      <c r="Y13" s="155">
        <v>2.4227828592332398E-2</v>
      </c>
      <c r="Z13" s="155">
        <v>1.4379133344568501E-3</v>
      </c>
    </row>
    <row r="14" spans="1:26" x14ac:dyDescent="0.2">
      <c r="A14" s="18">
        <v>559</v>
      </c>
      <c r="B14" s="18">
        <v>556</v>
      </c>
      <c r="C14" s="18" t="s">
        <v>3303</v>
      </c>
      <c r="D14" s="6" t="s">
        <v>3304</v>
      </c>
      <c r="E14" s="18" t="s">
        <v>1477</v>
      </c>
      <c r="F14" s="18" t="s">
        <v>3305</v>
      </c>
      <c r="G14" s="18">
        <v>666106133</v>
      </c>
      <c r="H14" s="18" t="s">
        <v>78</v>
      </c>
      <c r="I14" s="6" t="s">
        <v>749</v>
      </c>
      <c r="J14" s="18" t="s">
        <v>277</v>
      </c>
      <c r="K14" s="12" t="s">
        <v>53</v>
      </c>
      <c r="L14" s="18" t="s">
        <v>53</v>
      </c>
      <c r="M14" s="18" t="s">
        <v>53</v>
      </c>
      <c r="N14" s="12" t="s">
        <v>53</v>
      </c>
      <c r="O14" s="18" t="s">
        <v>62</v>
      </c>
      <c r="P14" s="166" t="s">
        <v>3306</v>
      </c>
      <c r="Q14" s="12" t="s">
        <v>1217</v>
      </c>
      <c r="R14" s="18" t="s">
        <v>303</v>
      </c>
      <c r="S14" s="18" t="s">
        <v>305</v>
      </c>
      <c r="T14" s="163" t="s">
        <v>3307</v>
      </c>
      <c r="U14" s="156">
        <v>3.3719999999999999</v>
      </c>
      <c r="V14" s="151">
        <v>397.50799999999998</v>
      </c>
      <c r="W14" s="151">
        <v>1340.3979999999999</v>
      </c>
      <c r="X14" s="155">
        <v>0</v>
      </c>
      <c r="Y14" s="155">
        <v>6.7723158150580595E-2</v>
      </c>
      <c r="Z14" s="155">
        <v>4.0193462565220996E-3</v>
      </c>
    </row>
    <row r="15" spans="1:26" x14ac:dyDescent="0.2">
      <c r="A15" s="18">
        <v>559</v>
      </c>
      <c r="B15" s="18">
        <v>556</v>
      </c>
      <c r="C15" s="18" t="s">
        <v>3308</v>
      </c>
      <c r="D15" s="6" t="s">
        <v>3309</v>
      </c>
      <c r="E15" s="18" t="s">
        <v>767</v>
      </c>
      <c r="F15" s="18" t="s">
        <v>3310</v>
      </c>
      <c r="G15" s="18">
        <v>666109723</v>
      </c>
      <c r="H15" s="18" t="s">
        <v>78</v>
      </c>
      <c r="I15" s="6" t="s">
        <v>280</v>
      </c>
      <c r="J15" s="18" t="s">
        <v>392</v>
      </c>
      <c r="K15" s="12" t="s">
        <v>61</v>
      </c>
      <c r="L15" s="18" t="s">
        <v>314</v>
      </c>
      <c r="M15" s="18" t="s">
        <v>53</v>
      </c>
      <c r="N15" s="12" t="s">
        <v>313</v>
      </c>
      <c r="O15" s="18" t="s">
        <v>62</v>
      </c>
      <c r="P15" s="166" t="s">
        <v>3311</v>
      </c>
      <c r="Q15" s="12" t="s">
        <v>1215</v>
      </c>
      <c r="R15" s="18" t="s">
        <v>303</v>
      </c>
      <c r="S15" s="18" t="s">
        <v>305</v>
      </c>
      <c r="T15" s="163" t="s">
        <v>3312</v>
      </c>
      <c r="U15" s="156">
        <v>3.9552</v>
      </c>
      <c r="V15" s="151">
        <v>180.41399999999999</v>
      </c>
      <c r="W15" s="151">
        <v>713.57299999999998</v>
      </c>
      <c r="X15" s="155">
        <v>0</v>
      </c>
      <c r="Y15" s="155">
        <v>3.6053019399842103E-2</v>
      </c>
      <c r="Z15" s="155">
        <v>2.1397343614553699E-3</v>
      </c>
    </row>
    <row r="16" spans="1:26" x14ac:dyDescent="0.2">
      <c r="A16" s="18">
        <v>559</v>
      </c>
      <c r="B16" s="18">
        <v>556</v>
      </c>
      <c r="C16" s="18" t="s">
        <v>3313</v>
      </c>
      <c r="D16" s="6" t="s">
        <v>3314</v>
      </c>
      <c r="E16" s="18" t="s">
        <v>767</v>
      </c>
      <c r="F16" s="18" t="s">
        <v>3315</v>
      </c>
      <c r="G16" s="18">
        <v>666110408</v>
      </c>
      <c r="H16" s="18" t="s">
        <v>78</v>
      </c>
      <c r="I16" s="6" t="s">
        <v>280</v>
      </c>
      <c r="J16" s="18" t="s">
        <v>275</v>
      </c>
      <c r="K16" s="12" t="s">
        <v>61</v>
      </c>
      <c r="L16" s="18" t="s">
        <v>317</v>
      </c>
      <c r="M16" s="18" t="s">
        <v>314</v>
      </c>
      <c r="N16" s="12" t="s">
        <v>317</v>
      </c>
      <c r="O16" s="18" t="s">
        <v>62</v>
      </c>
      <c r="P16" s="166" t="s">
        <v>3121</v>
      </c>
      <c r="Q16" s="12" t="s">
        <v>1217</v>
      </c>
      <c r="R16" s="18" t="s">
        <v>303</v>
      </c>
      <c r="S16" s="18" t="s">
        <v>305</v>
      </c>
      <c r="T16" s="163" t="s">
        <v>3299</v>
      </c>
      <c r="U16" s="156">
        <v>3.3719999999999999</v>
      </c>
      <c r="V16" s="151">
        <v>149.95099999999999</v>
      </c>
      <c r="W16" s="151">
        <v>505.63400000000001</v>
      </c>
      <c r="X16" s="155">
        <v>0</v>
      </c>
      <c r="Y16" s="155">
        <v>2.5546986688780301E-2</v>
      </c>
      <c r="Z16" s="155">
        <v>1.5162049159706599E-3</v>
      </c>
    </row>
    <row r="17" spans="1:26" x14ac:dyDescent="0.2">
      <c r="A17" s="18">
        <v>559</v>
      </c>
      <c r="B17" s="18">
        <v>556</v>
      </c>
      <c r="C17" s="18" t="s">
        <v>3316</v>
      </c>
      <c r="D17" s="6" t="s">
        <v>3317</v>
      </c>
      <c r="E17" s="18" t="s">
        <v>767</v>
      </c>
      <c r="F17" s="18" t="s">
        <v>3318</v>
      </c>
      <c r="G17" s="18">
        <v>666110800</v>
      </c>
      <c r="H17" s="18" t="s">
        <v>78</v>
      </c>
      <c r="I17" s="6" t="s">
        <v>749</v>
      </c>
      <c r="J17" s="18" t="s">
        <v>278</v>
      </c>
      <c r="K17" s="12" t="s">
        <v>61</v>
      </c>
      <c r="L17" s="18" t="s">
        <v>314</v>
      </c>
      <c r="M17" s="18" t="s">
        <v>314</v>
      </c>
      <c r="N17" s="12" t="s">
        <v>314</v>
      </c>
      <c r="O17" s="18" t="s">
        <v>62</v>
      </c>
      <c r="P17" s="166" t="s">
        <v>3319</v>
      </c>
      <c r="Q17" s="12" t="s">
        <v>1217</v>
      </c>
      <c r="R17" s="18" t="s">
        <v>303</v>
      </c>
      <c r="S17" s="18" t="s">
        <v>305</v>
      </c>
      <c r="T17" s="163" t="s">
        <v>3320</v>
      </c>
      <c r="U17" s="156">
        <v>3.3719999999999999</v>
      </c>
      <c r="V17" s="151">
        <v>61.121000000000002</v>
      </c>
      <c r="W17" s="151">
        <v>206.101</v>
      </c>
      <c r="X17" s="155">
        <v>0</v>
      </c>
      <c r="Y17" s="155">
        <v>1.04131653178768E-2</v>
      </c>
      <c r="Z17" s="155">
        <v>6.1801779748505098E-4</v>
      </c>
    </row>
    <row r="18" spans="1:26" x14ac:dyDescent="0.2">
      <c r="A18" s="18">
        <v>559</v>
      </c>
      <c r="B18" s="18">
        <v>556</v>
      </c>
      <c r="C18" s="18" t="s">
        <v>3321</v>
      </c>
      <c r="D18" s="6" t="s">
        <v>3264</v>
      </c>
      <c r="E18" s="18" t="s">
        <v>78</v>
      </c>
      <c r="F18" s="18" t="s">
        <v>3322</v>
      </c>
      <c r="G18" s="18">
        <v>66611034</v>
      </c>
      <c r="H18" s="18" t="s">
        <v>78</v>
      </c>
      <c r="I18" s="6" t="s">
        <v>280</v>
      </c>
      <c r="J18" s="18" t="s">
        <v>390</v>
      </c>
      <c r="K18" s="12" t="s">
        <v>61</v>
      </c>
      <c r="L18" s="18" t="s">
        <v>53</v>
      </c>
      <c r="M18" s="18" t="s">
        <v>53</v>
      </c>
      <c r="N18" s="12" t="s">
        <v>314</v>
      </c>
      <c r="O18" s="18" t="s">
        <v>62</v>
      </c>
      <c r="P18" s="166" t="s">
        <v>3121</v>
      </c>
      <c r="Q18" s="12" t="s">
        <v>1217</v>
      </c>
      <c r="R18" s="18" t="s">
        <v>303</v>
      </c>
      <c r="S18" s="18" t="s">
        <v>305</v>
      </c>
      <c r="T18" s="163" t="s">
        <v>3323</v>
      </c>
      <c r="U18" s="156">
        <v>3.3719999999999999</v>
      </c>
      <c r="V18" s="151">
        <v>307.38900000000001</v>
      </c>
      <c r="W18" s="151">
        <v>1036.5170000000001</v>
      </c>
      <c r="X18" s="155">
        <v>0</v>
      </c>
      <c r="Y18" s="155">
        <v>5.2369673281535703E-2</v>
      </c>
      <c r="Z18" s="155">
        <v>3.1081221846063802E-3</v>
      </c>
    </row>
    <row r="19" spans="1:26" x14ac:dyDescent="0.2">
      <c r="A19" s="18">
        <v>559</v>
      </c>
      <c r="B19" s="18">
        <v>556</v>
      </c>
      <c r="C19" s="18" t="s">
        <v>3324</v>
      </c>
      <c r="D19" s="6" t="s">
        <v>3325</v>
      </c>
      <c r="E19" s="18" t="s">
        <v>430</v>
      </c>
      <c r="F19" s="18" t="s">
        <v>3326</v>
      </c>
      <c r="G19" s="18">
        <v>666109798</v>
      </c>
      <c r="H19" s="18" t="s">
        <v>78</v>
      </c>
      <c r="I19" s="6" t="s">
        <v>280</v>
      </c>
      <c r="J19" s="18" t="s">
        <v>277</v>
      </c>
      <c r="K19" s="12" t="s">
        <v>53</v>
      </c>
      <c r="L19" s="18" t="s">
        <v>53</v>
      </c>
      <c r="M19" s="18" t="s">
        <v>53</v>
      </c>
      <c r="N19" s="12" t="s">
        <v>317</v>
      </c>
      <c r="O19" s="18" t="s">
        <v>62</v>
      </c>
      <c r="P19" s="166" t="s">
        <v>3144</v>
      </c>
      <c r="Q19" s="12" t="s">
        <v>1217</v>
      </c>
      <c r="R19" s="18" t="s">
        <v>303</v>
      </c>
      <c r="S19" s="18" t="s">
        <v>305</v>
      </c>
      <c r="T19" s="163" t="s">
        <v>3327</v>
      </c>
      <c r="U19" s="156">
        <v>3.3719999999999999</v>
      </c>
      <c r="V19" s="151">
        <v>103.021</v>
      </c>
      <c r="W19" s="151">
        <v>347.387</v>
      </c>
      <c r="X19" s="155">
        <v>0</v>
      </c>
      <c r="Y19" s="155">
        <v>1.7551618942620601E-2</v>
      </c>
      <c r="Z19" s="155">
        <v>1.0416825768235301E-3</v>
      </c>
    </row>
    <row r="20" spans="1:26" x14ac:dyDescent="0.2">
      <c r="A20" s="6">
        <v>559</v>
      </c>
      <c r="B20" s="6">
        <v>556</v>
      </c>
      <c r="C20" s="6" t="s">
        <v>3275</v>
      </c>
      <c r="D20" s="6" t="s">
        <v>3276</v>
      </c>
      <c r="E20" s="18" t="s">
        <v>1477</v>
      </c>
      <c r="F20" s="6" t="s">
        <v>3328</v>
      </c>
      <c r="G20" s="6">
        <v>666110671</v>
      </c>
      <c r="H20" s="18" t="s">
        <v>78</v>
      </c>
      <c r="I20" s="6" t="s">
        <v>280</v>
      </c>
      <c r="J20" s="18" t="s">
        <v>390</v>
      </c>
      <c r="K20" s="12" t="s">
        <v>61</v>
      </c>
      <c r="L20" s="18" t="s">
        <v>314</v>
      </c>
      <c r="M20" s="18" t="s">
        <v>314</v>
      </c>
      <c r="N20" s="12" t="s">
        <v>314</v>
      </c>
      <c r="O20" s="18" t="s">
        <v>62</v>
      </c>
      <c r="P20" s="166" t="s">
        <v>3329</v>
      </c>
      <c r="Q20" s="6" t="s">
        <v>1217</v>
      </c>
      <c r="R20" s="18" t="s">
        <v>303</v>
      </c>
      <c r="S20" s="18" t="s">
        <v>305</v>
      </c>
      <c r="T20" s="164" t="s">
        <v>3267</v>
      </c>
      <c r="U20" s="129">
        <v>3.3719999999999999</v>
      </c>
      <c r="V20" s="131">
        <v>148.34</v>
      </c>
      <c r="W20" s="131">
        <v>500.202</v>
      </c>
      <c r="X20" s="132">
        <v>0</v>
      </c>
      <c r="Y20" s="132">
        <v>2.5272538496204599E-2</v>
      </c>
      <c r="Z20" s="132">
        <v>1.49991650967712E-3</v>
      </c>
    </row>
    <row r="21" spans="1:26" x14ac:dyDescent="0.2">
      <c r="A21" s="6">
        <v>559</v>
      </c>
      <c r="B21" s="6">
        <v>556</v>
      </c>
      <c r="C21" s="6" t="s">
        <v>3330</v>
      </c>
      <c r="D21" s="6" t="s">
        <v>3331</v>
      </c>
      <c r="E21" s="6" t="s">
        <v>78</v>
      </c>
      <c r="F21" s="6" t="s">
        <v>3332</v>
      </c>
      <c r="G21" s="6">
        <v>666109236</v>
      </c>
      <c r="H21" s="6" t="s">
        <v>78</v>
      </c>
      <c r="I21" s="6" t="s">
        <v>280</v>
      </c>
      <c r="J21" s="6" t="s">
        <v>390</v>
      </c>
      <c r="K21" s="6" t="s">
        <v>61</v>
      </c>
      <c r="L21" s="6" t="s">
        <v>314</v>
      </c>
      <c r="M21" s="6" t="s">
        <v>204</v>
      </c>
      <c r="N21" s="6" t="s">
        <v>314</v>
      </c>
      <c r="O21" s="6" t="s">
        <v>62</v>
      </c>
      <c r="P21" s="166" t="s">
        <v>3333</v>
      </c>
      <c r="Q21" s="6" t="s">
        <v>1217</v>
      </c>
      <c r="R21" s="6" t="s">
        <v>303</v>
      </c>
      <c r="S21" s="6" t="s">
        <v>305</v>
      </c>
      <c r="T21" s="164" t="s">
        <v>3334</v>
      </c>
      <c r="U21" s="129">
        <v>3.3719999999999999</v>
      </c>
      <c r="V21" s="131">
        <v>352.75400000000002</v>
      </c>
      <c r="W21" s="131">
        <v>1189.4849999999999</v>
      </c>
      <c r="X21" s="132">
        <v>0</v>
      </c>
      <c r="Y21" s="132">
        <v>6.0098315269771503E-2</v>
      </c>
      <c r="Z21" s="132">
        <v>3.5668144413133801E-3</v>
      </c>
    </row>
    <row r="22" spans="1:26" x14ac:dyDescent="0.2">
      <c r="A22" s="6">
        <v>559</v>
      </c>
      <c r="B22" s="6">
        <v>556</v>
      </c>
      <c r="C22" s="6" t="s">
        <v>3335</v>
      </c>
      <c r="D22" s="6" t="s">
        <v>3336</v>
      </c>
      <c r="E22" s="6" t="s">
        <v>767</v>
      </c>
      <c r="F22" s="6" t="s">
        <v>3337</v>
      </c>
      <c r="G22" s="6">
        <v>666110754</v>
      </c>
      <c r="H22" s="6" t="s">
        <v>78</v>
      </c>
      <c r="I22" s="6" t="s">
        <v>280</v>
      </c>
      <c r="J22" s="6" t="s">
        <v>390</v>
      </c>
      <c r="K22" s="6" t="s">
        <v>61</v>
      </c>
      <c r="L22" s="6" t="s">
        <v>314</v>
      </c>
      <c r="M22" s="6" t="s">
        <v>314</v>
      </c>
      <c r="N22" s="6" t="s">
        <v>314</v>
      </c>
      <c r="O22" s="6" t="s">
        <v>62</v>
      </c>
      <c r="P22" s="166" t="s">
        <v>3338</v>
      </c>
      <c r="Q22" s="6" t="s">
        <v>1217</v>
      </c>
      <c r="R22" s="6" t="s">
        <v>303</v>
      </c>
      <c r="S22" s="6" t="s">
        <v>305</v>
      </c>
      <c r="T22" s="164" t="s">
        <v>2313</v>
      </c>
      <c r="U22" s="129">
        <v>3.3719999999999999</v>
      </c>
      <c r="V22" s="131">
        <v>89.605000000000004</v>
      </c>
      <c r="W22" s="131">
        <v>302.14800000000002</v>
      </c>
      <c r="X22" s="132">
        <v>0</v>
      </c>
      <c r="Y22" s="132">
        <v>1.5265932294868599E-2</v>
      </c>
      <c r="Z22" s="132">
        <v>9.0602785660511399E-4</v>
      </c>
    </row>
    <row r="23" spans="1:26" x14ac:dyDescent="0.2">
      <c r="A23" s="6">
        <v>559</v>
      </c>
      <c r="B23" s="6">
        <v>556</v>
      </c>
      <c r="C23" s="6" t="s">
        <v>3339</v>
      </c>
      <c r="D23" s="6" t="s">
        <v>3340</v>
      </c>
      <c r="E23" s="6" t="s">
        <v>430</v>
      </c>
      <c r="F23" s="6" t="s">
        <v>3341</v>
      </c>
      <c r="G23" s="6">
        <v>666109954</v>
      </c>
      <c r="H23" s="6" t="s">
        <v>78</v>
      </c>
      <c r="I23" s="6" t="s">
        <v>280</v>
      </c>
      <c r="J23" s="6" t="s">
        <v>389</v>
      </c>
      <c r="K23" s="6" t="s">
        <v>61</v>
      </c>
      <c r="L23" s="6" t="s">
        <v>314</v>
      </c>
      <c r="M23" s="6" t="s">
        <v>314</v>
      </c>
      <c r="N23" s="6" t="s">
        <v>314</v>
      </c>
      <c r="O23" s="6" t="s">
        <v>62</v>
      </c>
      <c r="P23" s="166" t="s">
        <v>3121</v>
      </c>
      <c r="Q23" s="6" t="s">
        <v>1217</v>
      </c>
      <c r="R23" s="6" t="s">
        <v>303</v>
      </c>
      <c r="S23" s="6" t="s">
        <v>305</v>
      </c>
      <c r="T23" s="164" t="s">
        <v>2313</v>
      </c>
      <c r="U23" s="129">
        <v>3.3719999999999999</v>
      </c>
      <c r="V23" s="131">
        <v>271.721</v>
      </c>
      <c r="W23" s="131">
        <v>916.24199999999996</v>
      </c>
      <c r="X23" s="132">
        <v>0</v>
      </c>
      <c r="Y23" s="132">
        <v>4.6292818313888401E-2</v>
      </c>
      <c r="Z23" s="132">
        <v>2.7474629222114899E-3</v>
      </c>
    </row>
    <row r="24" spans="1:26" x14ac:dyDescent="0.2">
      <c r="A24" s="6">
        <v>559</v>
      </c>
      <c r="B24" s="6">
        <v>556</v>
      </c>
      <c r="C24" s="6" t="s">
        <v>3342</v>
      </c>
      <c r="D24" s="6" t="s">
        <v>3343</v>
      </c>
      <c r="E24" s="6" t="s">
        <v>767</v>
      </c>
      <c r="F24" s="6" t="s">
        <v>3344</v>
      </c>
      <c r="G24" s="6">
        <v>666110883</v>
      </c>
      <c r="H24" s="6" t="s">
        <v>78</v>
      </c>
      <c r="I24" s="6" t="s">
        <v>280</v>
      </c>
      <c r="J24" s="6" t="s">
        <v>275</v>
      </c>
      <c r="K24" s="6" t="s">
        <v>61</v>
      </c>
      <c r="L24" s="6" t="s">
        <v>173</v>
      </c>
      <c r="M24" s="6" t="s">
        <v>315</v>
      </c>
      <c r="N24" s="6" t="s">
        <v>315</v>
      </c>
      <c r="O24" s="6" t="s">
        <v>62</v>
      </c>
      <c r="P24" s="166" t="s">
        <v>3345</v>
      </c>
      <c r="Q24" s="6" t="s">
        <v>1215</v>
      </c>
      <c r="R24" s="6" t="s">
        <v>303</v>
      </c>
      <c r="S24" s="6" t="s">
        <v>305</v>
      </c>
      <c r="T24" s="164" t="s">
        <v>3346</v>
      </c>
      <c r="U24" s="129">
        <v>3.9552</v>
      </c>
      <c r="V24" s="131">
        <v>25.591999999999999</v>
      </c>
      <c r="W24" s="131">
        <v>101.223</v>
      </c>
      <c r="X24" s="132">
        <v>0</v>
      </c>
      <c r="Y24" s="132">
        <v>5.1142330549018402E-3</v>
      </c>
      <c r="Z24" s="132">
        <v>3.0352798135160598E-4</v>
      </c>
    </row>
    <row r="25" spans="1:26" x14ac:dyDescent="0.2">
      <c r="A25" s="6">
        <v>559</v>
      </c>
      <c r="B25" s="6">
        <v>556</v>
      </c>
      <c r="C25" s="6" t="s">
        <v>3347</v>
      </c>
      <c r="D25" s="6" t="s">
        <v>3348</v>
      </c>
      <c r="E25" s="6" t="s">
        <v>767</v>
      </c>
      <c r="F25" s="6" t="s">
        <v>3349</v>
      </c>
      <c r="G25" s="6">
        <v>666110801</v>
      </c>
      <c r="H25" s="6" t="s">
        <v>78</v>
      </c>
      <c r="I25" s="6" t="s">
        <v>280</v>
      </c>
      <c r="J25" s="6" t="s">
        <v>390</v>
      </c>
      <c r="K25" s="6" t="s">
        <v>61</v>
      </c>
      <c r="L25" s="6" t="s">
        <v>314</v>
      </c>
      <c r="M25" s="6" t="s">
        <v>53</v>
      </c>
      <c r="N25" s="6" t="s">
        <v>314</v>
      </c>
      <c r="O25" s="6" t="s">
        <v>62</v>
      </c>
      <c r="P25" s="166" t="s">
        <v>3350</v>
      </c>
      <c r="Q25" s="6" t="s">
        <v>1217</v>
      </c>
      <c r="R25" s="6" t="s">
        <v>303</v>
      </c>
      <c r="S25" s="6" t="s">
        <v>305</v>
      </c>
      <c r="T25" s="164" t="s">
        <v>3351</v>
      </c>
      <c r="U25" s="129">
        <v>3.3719999999999999</v>
      </c>
      <c r="V25" s="131">
        <v>129.375</v>
      </c>
      <c r="W25" s="131">
        <v>436.25099999999998</v>
      </c>
      <c r="X25" s="132">
        <v>0</v>
      </c>
      <c r="Y25" s="132">
        <v>2.2041452362138999E-2</v>
      </c>
      <c r="Z25" s="132">
        <v>1.30815265352941E-3</v>
      </c>
    </row>
    <row r="26" spans="1:26" x14ac:dyDescent="0.2">
      <c r="A26" s="6">
        <v>559</v>
      </c>
      <c r="B26" s="6">
        <v>556</v>
      </c>
      <c r="C26" s="6" t="s">
        <v>3339</v>
      </c>
      <c r="D26" s="6" t="s">
        <v>3340</v>
      </c>
      <c r="E26" s="6" t="s">
        <v>430</v>
      </c>
      <c r="F26" s="6" t="s">
        <v>3352</v>
      </c>
      <c r="G26" s="6">
        <v>666109998</v>
      </c>
      <c r="H26" s="6" t="s">
        <v>78</v>
      </c>
      <c r="I26" t="s">
        <v>280</v>
      </c>
      <c r="J26" s="6" t="s">
        <v>130</v>
      </c>
      <c r="K26" s="6" t="s">
        <v>61</v>
      </c>
      <c r="L26" s="6" t="s">
        <v>313</v>
      </c>
      <c r="M26" s="6" t="s">
        <v>314</v>
      </c>
      <c r="N26" s="6" t="s">
        <v>314</v>
      </c>
      <c r="O26" s="6" t="s">
        <v>62</v>
      </c>
      <c r="P26" s="166" t="s">
        <v>3353</v>
      </c>
      <c r="Q26" s="6" t="s">
        <v>1217</v>
      </c>
      <c r="R26" s="6" t="s">
        <v>303</v>
      </c>
      <c r="S26" s="6" t="s">
        <v>305</v>
      </c>
      <c r="T26" s="164" t="s">
        <v>3299</v>
      </c>
      <c r="U26" s="129">
        <v>3.3719999999999999</v>
      </c>
      <c r="V26" s="131">
        <v>91.728999999999999</v>
      </c>
      <c r="W26" s="131">
        <v>309.30900000000003</v>
      </c>
      <c r="X26" s="132">
        <v>0</v>
      </c>
      <c r="Y26" s="132">
        <v>1.56277166902066E-2</v>
      </c>
      <c r="Z26" s="132">
        <v>9.2749963663989903E-4</v>
      </c>
    </row>
    <row r="27" spans="1:26" x14ac:dyDescent="0.2">
      <c r="A27" s="6">
        <v>559</v>
      </c>
      <c r="B27" s="6">
        <v>556</v>
      </c>
      <c r="C27" s="6" t="s">
        <v>3330</v>
      </c>
      <c r="D27" s="6" t="s">
        <v>3331</v>
      </c>
      <c r="E27" s="6" t="s">
        <v>78</v>
      </c>
      <c r="F27" s="6" t="s">
        <v>3354</v>
      </c>
      <c r="G27" s="6">
        <v>666109237</v>
      </c>
      <c r="H27" s="6" t="s">
        <v>78</v>
      </c>
      <c r="I27" s="6" t="s">
        <v>280</v>
      </c>
      <c r="J27" s="6" t="s">
        <v>390</v>
      </c>
      <c r="K27" s="6" t="s">
        <v>61</v>
      </c>
      <c r="L27" s="6" t="s">
        <v>314</v>
      </c>
      <c r="M27" s="6" t="s">
        <v>204</v>
      </c>
      <c r="N27" s="6" t="s">
        <v>314</v>
      </c>
      <c r="O27" s="6" t="s">
        <v>62</v>
      </c>
      <c r="P27" s="166" t="s">
        <v>3355</v>
      </c>
      <c r="Q27" s="6" t="s">
        <v>1217</v>
      </c>
      <c r="R27" s="6" t="s">
        <v>303</v>
      </c>
      <c r="S27" s="6" t="s">
        <v>305</v>
      </c>
      <c r="T27" s="164" t="s">
        <v>3299</v>
      </c>
      <c r="U27" s="129">
        <v>3.3719999999999999</v>
      </c>
      <c r="V27" s="131">
        <v>245.78</v>
      </c>
      <c r="W27" s="131">
        <v>828.77099999999996</v>
      </c>
      <c r="X27" s="132">
        <v>0</v>
      </c>
      <c r="Y27" s="132">
        <v>4.1873371049564602E-2</v>
      </c>
      <c r="Z27" s="132">
        <v>2.4851702397252302E-3</v>
      </c>
    </row>
    <row r="28" spans="1:26" x14ac:dyDescent="0.2">
      <c r="A28" s="6">
        <v>559</v>
      </c>
      <c r="B28" s="6">
        <v>7205</v>
      </c>
      <c r="C28" s="6" t="s">
        <v>3259</v>
      </c>
      <c r="D28" s="6" t="s">
        <v>3260</v>
      </c>
      <c r="E28" s="6" t="s">
        <v>1477</v>
      </c>
      <c r="F28" s="6" t="s">
        <v>3261</v>
      </c>
      <c r="G28" s="6">
        <v>666105929</v>
      </c>
      <c r="H28" s="6" t="s">
        <v>78</v>
      </c>
      <c r="I28" s="6" t="s">
        <v>749</v>
      </c>
      <c r="J28" s="6" t="s">
        <v>277</v>
      </c>
      <c r="K28" s="6" t="s">
        <v>53</v>
      </c>
      <c r="L28" s="6" t="s">
        <v>53</v>
      </c>
      <c r="M28" s="6" t="s">
        <v>53</v>
      </c>
      <c r="N28" s="6" t="s">
        <v>53</v>
      </c>
      <c r="O28" s="6" t="s">
        <v>62</v>
      </c>
      <c r="P28" s="166" t="s">
        <v>3262</v>
      </c>
      <c r="Q28" s="6" t="s">
        <v>1219</v>
      </c>
      <c r="R28" s="6" t="s">
        <v>303</v>
      </c>
      <c r="S28" s="6" t="s">
        <v>305</v>
      </c>
      <c r="T28" s="164" t="s">
        <v>2313</v>
      </c>
      <c r="U28" s="129">
        <v>1</v>
      </c>
      <c r="V28" s="131">
        <v>11399.200999999999</v>
      </c>
      <c r="W28" s="131">
        <v>11399.200999999999</v>
      </c>
      <c r="X28" s="132">
        <v>0</v>
      </c>
      <c r="Y28" s="132">
        <v>9.4754068929448501E-2</v>
      </c>
      <c r="Z28" s="132">
        <v>5.9464966932702102E-3</v>
      </c>
    </row>
    <row r="29" spans="1:26" x14ac:dyDescent="0.2">
      <c r="A29" s="6">
        <v>559</v>
      </c>
      <c r="B29" s="6">
        <v>7205</v>
      </c>
      <c r="C29" s="6" t="s">
        <v>3263</v>
      </c>
      <c r="D29" s="6" t="s">
        <v>3264</v>
      </c>
      <c r="E29" s="6" t="s">
        <v>767</v>
      </c>
      <c r="F29" s="6" t="s">
        <v>3265</v>
      </c>
      <c r="G29" s="6">
        <v>666107420</v>
      </c>
      <c r="H29" s="6" t="s">
        <v>78</v>
      </c>
      <c r="I29" s="6" t="s">
        <v>749</v>
      </c>
      <c r="J29" s="6" t="s">
        <v>390</v>
      </c>
      <c r="K29" s="6" t="s">
        <v>53</v>
      </c>
      <c r="L29" s="6" t="s">
        <v>53</v>
      </c>
      <c r="M29" s="6" t="s">
        <v>53</v>
      </c>
      <c r="N29" s="6" t="s">
        <v>314</v>
      </c>
      <c r="O29" s="6" t="s">
        <v>62</v>
      </c>
      <c r="P29" s="166" t="s">
        <v>3266</v>
      </c>
      <c r="Q29" s="6" t="s">
        <v>1217</v>
      </c>
      <c r="R29" s="6" t="s">
        <v>303</v>
      </c>
      <c r="S29" s="6" t="s">
        <v>305</v>
      </c>
      <c r="T29" s="164" t="s">
        <v>3267</v>
      </c>
      <c r="U29" s="129">
        <v>3.3719999999999999</v>
      </c>
      <c r="V29" s="131">
        <v>1584.2750000000001</v>
      </c>
      <c r="W29" s="131">
        <v>5342.1750000000002</v>
      </c>
      <c r="X29" s="132">
        <v>0</v>
      </c>
      <c r="Y29" s="132">
        <v>4.4405993645999897E-2</v>
      </c>
      <c r="Z29" s="132">
        <v>2.7867942491623101E-3</v>
      </c>
    </row>
    <row r="30" spans="1:26" x14ac:dyDescent="0.2">
      <c r="A30" s="6">
        <v>559</v>
      </c>
      <c r="B30" s="6">
        <v>7205</v>
      </c>
      <c r="C30" s="6" t="s">
        <v>3356</v>
      </c>
      <c r="D30" s="6" t="s">
        <v>3357</v>
      </c>
      <c r="E30" s="6" t="s">
        <v>1477</v>
      </c>
      <c r="F30" s="6" t="s">
        <v>3358</v>
      </c>
      <c r="G30" s="6">
        <v>666100219</v>
      </c>
      <c r="H30" s="6" t="s">
        <v>78</v>
      </c>
      <c r="I30" s="6" t="s">
        <v>749</v>
      </c>
      <c r="J30" s="6" t="s">
        <v>130</v>
      </c>
      <c r="K30" s="6" t="s">
        <v>61</v>
      </c>
      <c r="L30" s="6" t="s">
        <v>53</v>
      </c>
      <c r="M30" s="6" t="s">
        <v>53</v>
      </c>
      <c r="N30" s="6" t="s">
        <v>53</v>
      </c>
      <c r="O30" s="6" t="s">
        <v>62</v>
      </c>
      <c r="P30" s="166" t="s">
        <v>3359</v>
      </c>
      <c r="Q30" s="6" t="s">
        <v>1217</v>
      </c>
      <c r="R30" s="6" t="s">
        <v>303</v>
      </c>
      <c r="S30" s="6" t="s">
        <v>305</v>
      </c>
      <c r="T30" s="164" t="s">
        <v>3360</v>
      </c>
      <c r="U30" s="129">
        <v>3.3719999999999999</v>
      </c>
      <c r="V30" s="131">
        <v>0</v>
      </c>
      <c r="W30" s="131">
        <v>0</v>
      </c>
      <c r="X30" s="132">
        <v>0</v>
      </c>
      <c r="Y30" s="132">
        <v>1.4014610799091399E-10</v>
      </c>
      <c r="Z30" s="132">
        <v>8.7951723568005294E-12</v>
      </c>
    </row>
    <row r="31" spans="1:26" x14ac:dyDescent="0.2">
      <c r="A31" s="6">
        <v>559</v>
      </c>
      <c r="B31" s="6">
        <v>7205</v>
      </c>
      <c r="C31" s="6" t="s">
        <v>3268</v>
      </c>
      <c r="D31" s="6" t="s">
        <v>3269</v>
      </c>
      <c r="E31" s="6" t="s">
        <v>432</v>
      </c>
      <c r="F31" s="6" t="s">
        <v>3270</v>
      </c>
      <c r="G31" s="6">
        <v>666103635</v>
      </c>
      <c r="H31" s="6" t="s">
        <v>78</v>
      </c>
      <c r="I31" s="6" t="s">
        <v>241</v>
      </c>
      <c r="J31" s="6" t="s">
        <v>389</v>
      </c>
      <c r="K31" s="6" t="s">
        <v>53</v>
      </c>
      <c r="L31" s="6" t="s">
        <v>53</v>
      </c>
      <c r="M31" s="6" t="s">
        <v>53</v>
      </c>
      <c r="N31" s="6" t="s">
        <v>53</v>
      </c>
      <c r="O31" s="6" t="s">
        <v>62</v>
      </c>
      <c r="P31" s="166" t="s">
        <v>3271</v>
      </c>
      <c r="Q31" s="6" t="s">
        <v>1219</v>
      </c>
      <c r="R31" s="6" t="s">
        <v>303</v>
      </c>
      <c r="S31" s="6" t="s">
        <v>305</v>
      </c>
      <c r="T31" s="164" t="s">
        <v>3272</v>
      </c>
      <c r="U31" s="129">
        <v>1</v>
      </c>
      <c r="V31" s="131">
        <v>144.71799999999999</v>
      </c>
      <c r="W31" s="131">
        <v>144.71799999999999</v>
      </c>
      <c r="X31" s="132">
        <v>0</v>
      </c>
      <c r="Y31" s="132">
        <v>1.2029485048141401E-3</v>
      </c>
      <c r="Z31" s="132">
        <v>7.5493637232378901E-5</v>
      </c>
    </row>
    <row r="32" spans="1:26" x14ac:dyDescent="0.2">
      <c r="A32" s="6">
        <v>559</v>
      </c>
      <c r="B32" s="6">
        <v>7205</v>
      </c>
      <c r="C32" s="6" t="s">
        <v>3268</v>
      </c>
      <c r="D32" s="6" t="s">
        <v>3269</v>
      </c>
      <c r="E32" s="6" t="s">
        <v>432</v>
      </c>
      <c r="F32" s="6" t="s">
        <v>3273</v>
      </c>
      <c r="G32" s="6">
        <v>666103007</v>
      </c>
      <c r="H32" s="6" t="s">
        <v>78</v>
      </c>
      <c r="I32" s="6" t="s">
        <v>241</v>
      </c>
      <c r="J32" s="6" t="s">
        <v>389</v>
      </c>
      <c r="K32" s="6" t="s">
        <v>53</v>
      </c>
      <c r="L32" s="6" t="s">
        <v>53</v>
      </c>
      <c r="M32" s="6" t="s">
        <v>53</v>
      </c>
      <c r="N32" s="6" t="s">
        <v>53</v>
      </c>
      <c r="O32" s="6" t="s">
        <v>62</v>
      </c>
      <c r="P32" s="166" t="s">
        <v>3274</v>
      </c>
      <c r="Q32" s="6" t="s">
        <v>1219</v>
      </c>
      <c r="R32" s="6" t="s">
        <v>303</v>
      </c>
      <c r="S32" s="6" t="s">
        <v>305</v>
      </c>
      <c r="T32" s="164" t="s">
        <v>3272</v>
      </c>
      <c r="U32" s="129">
        <v>1</v>
      </c>
      <c r="V32" s="131">
        <v>51.039000000000001</v>
      </c>
      <c r="W32" s="131">
        <v>51.039000000000001</v>
      </c>
      <c r="X32" s="132">
        <v>0</v>
      </c>
      <c r="Y32" s="132">
        <v>4.2425311223995201E-4</v>
      </c>
      <c r="Z32" s="132">
        <v>2.6624922365317101E-5</v>
      </c>
    </row>
    <row r="33" spans="1:26" x14ac:dyDescent="0.2">
      <c r="A33" s="6">
        <v>559</v>
      </c>
      <c r="B33" s="6">
        <v>7205</v>
      </c>
      <c r="C33" s="6" t="s">
        <v>3275</v>
      </c>
      <c r="D33" s="6" t="s">
        <v>3276</v>
      </c>
      <c r="E33" s="6" t="s">
        <v>1477</v>
      </c>
      <c r="F33" s="6" t="s">
        <v>3277</v>
      </c>
      <c r="G33" s="6">
        <v>666106026</v>
      </c>
      <c r="H33" s="6" t="s">
        <v>78</v>
      </c>
      <c r="I33" s="6" t="s">
        <v>241</v>
      </c>
      <c r="J33" s="6" t="s">
        <v>390</v>
      </c>
      <c r="K33" s="6" t="s">
        <v>53</v>
      </c>
      <c r="L33" s="6" t="s">
        <v>53</v>
      </c>
      <c r="M33" s="6" t="s">
        <v>53</v>
      </c>
      <c r="N33" s="6" t="s">
        <v>53</v>
      </c>
      <c r="O33" s="6" t="s">
        <v>62</v>
      </c>
      <c r="P33" s="166" t="s">
        <v>3262</v>
      </c>
      <c r="Q33" s="6" t="s">
        <v>1217</v>
      </c>
      <c r="R33" s="6" t="s">
        <v>303</v>
      </c>
      <c r="S33" s="6" t="s">
        <v>305</v>
      </c>
      <c r="T33" s="164" t="s">
        <v>3278</v>
      </c>
      <c r="U33" s="129">
        <v>3.3719999999999999</v>
      </c>
      <c r="V33" s="131">
        <v>2596.23</v>
      </c>
      <c r="W33" s="131">
        <v>8754.4869999999992</v>
      </c>
      <c r="X33" s="132">
        <v>0</v>
      </c>
      <c r="Y33" s="132">
        <v>7.2770300359593407E-2</v>
      </c>
      <c r="Z33" s="132">
        <v>4.5668577122403098E-3</v>
      </c>
    </row>
    <row r="34" spans="1:26" x14ac:dyDescent="0.2">
      <c r="A34" s="6">
        <v>559</v>
      </c>
      <c r="B34" s="6">
        <v>7205</v>
      </c>
      <c r="C34" s="6" t="s">
        <v>3275</v>
      </c>
      <c r="D34" s="6" t="s">
        <v>3276</v>
      </c>
      <c r="E34" s="6" t="s">
        <v>1477</v>
      </c>
      <c r="F34" s="6" t="s">
        <v>3279</v>
      </c>
      <c r="G34" s="6">
        <v>666107438</v>
      </c>
      <c r="H34" s="6" t="s">
        <v>78</v>
      </c>
      <c r="I34" s="6" t="s">
        <v>241</v>
      </c>
      <c r="J34" s="6" t="s">
        <v>390</v>
      </c>
      <c r="K34" s="6" t="s">
        <v>61</v>
      </c>
      <c r="L34" s="6" t="s">
        <v>314</v>
      </c>
      <c r="M34" s="6" t="s">
        <v>314</v>
      </c>
      <c r="N34" s="6" t="s">
        <v>314</v>
      </c>
      <c r="O34" s="6" t="s">
        <v>62</v>
      </c>
      <c r="P34" s="166" t="s">
        <v>3266</v>
      </c>
      <c r="Q34" s="6" t="s">
        <v>1217</v>
      </c>
      <c r="R34" s="6" t="s">
        <v>303</v>
      </c>
      <c r="S34" s="6" t="s">
        <v>305</v>
      </c>
      <c r="T34" s="164" t="s">
        <v>3278</v>
      </c>
      <c r="U34" s="129">
        <v>3.3719999999999999</v>
      </c>
      <c r="V34" s="131">
        <v>2130.0390000000002</v>
      </c>
      <c r="W34" s="131">
        <v>7182.4920000000002</v>
      </c>
      <c r="X34" s="132">
        <v>0</v>
      </c>
      <c r="Y34" s="132">
        <v>5.9703341484577198E-2</v>
      </c>
      <c r="Z34" s="132">
        <v>3.7468124242723902E-3</v>
      </c>
    </row>
    <row r="35" spans="1:26" x14ac:dyDescent="0.2">
      <c r="A35" s="6">
        <v>559</v>
      </c>
      <c r="B35" s="6">
        <v>7205</v>
      </c>
      <c r="C35" s="6" t="s">
        <v>3280</v>
      </c>
      <c r="D35" s="6" t="s">
        <v>3281</v>
      </c>
      <c r="E35" s="6" t="s">
        <v>432</v>
      </c>
      <c r="F35" s="6" t="s">
        <v>3282</v>
      </c>
      <c r="G35" s="6">
        <v>666103072</v>
      </c>
      <c r="H35" s="6" t="s">
        <v>78</v>
      </c>
      <c r="I35" s="6" t="s">
        <v>749</v>
      </c>
      <c r="J35" s="6" t="s">
        <v>389</v>
      </c>
      <c r="K35" s="6" t="s">
        <v>53</v>
      </c>
      <c r="L35" s="6" t="s">
        <v>53</v>
      </c>
      <c r="M35" s="6" t="s">
        <v>53</v>
      </c>
      <c r="N35" s="6" t="s">
        <v>53</v>
      </c>
      <c r="O35" s="6" t="s">
        <v>62</v>
      </c>
      <c r="P35" s="166" t="s">
        <v>3283</v>
      </c>
      <c r="Q35" s="6" t="s">
        <v>1219</v>
      </c>
      <c r="R35" s="6" t="s">
        <v>303</v>
      </c>
      <c r="S35" s="6" t="s">
        <v>305</v>
      </c>
      <c r="T35" s="164" t="s">
        <v>3284</v>
      </c>
      <c r="U35" s="129">
        <v>1</v>
      </c>
      <c r="V35" s="131">
        <v>2104.4140000000002</v>
      </c>
      <c r="W35" s="131">
        <v>2104.4140000000002</v>
      </c>
      <c r="X35" s="132">
        <v>0</v>
      </c>
      <c r="Y35" s="132">
        <v>1.7492610716565299E-2</v>
      </c>
      <c r="Z35" s="132">
        <v>1.0977866487208001E-3</v>
      </c>
    </row>
    <row r="36" spans="1:26" x14ac:dyDescent="0.2">
      <c r="A36" s="6">
        <v>559</v>
      </c>
      <c r="B36" s="6">
        <v>7205</v>
      </c>
      <c r="C36" s="6" t="s">
        <v>3361</v>
      </c>
      <c r="D36" s="6" t="s">
        <v>3362</v>
      </c>
      <c r="E36" s="6" t="s">
        <v>1477</v>
      </c>
      <c r="F36" s="6" t="s">
        <v>3363</v>
      </c>
      <c r="G36" s="6">
        <v>666100151</v>
      </c>
      <c r="H36" s="6" t="s">
        <v>78</v>
      </c>
      <c r="I36" s="6" t="s">
        <v>749</v>
      </c>
      <c r="J36" s="6" t="s">
        <v>277</v>
      </c>
      <c r="K36" s="6" t="s">
        <v>61</v>
      </c>
      <c r="L36" s="6" t="s">
        <v>314</v>
      </c>
      <c r="M36" s="6" t="s">
        <v>314</v>
      </c>
      <c r="N36" s="6" t="s">
        <v>314</v>
      </c>
      <c r="O36" s="6" t="s">
        <v>62</v>
      </c>
      <c r="P36" s="166" t="s">
        <v>3364</v>
      </c>
      <c r="Q36" s="6" t="s">
        <v>1217</v>
      </c>
      <c r="R36" s="6" t="s">
        <v>303</v>
      </c>
      <c r="S36" s="6" t="s">
        <v>305</v>
      </c>
      <c r="T36" s="164" t="s">
        <v>3272</v>
      </c>
      <c r="U36" s="129">
        <v>3.3719999999999999</v>
      </c>
      <c r="V36" s="131">
        <v>28.751999999999999</v>
      </c>
      <c r="W36" s="131">
        <v>96.951999999999998</v>
      </c>
      <c r="X36" s="132">
        <v>0</v>
      </c>
      <c r="Y36" s="132">
        <v>8.0589616702351498E-4</v>
      </c>
      <c r="Z36" s="132">
        <v>5.0575758344400597E-5</v>
      </c>
    </row>
    <row r="37" spans="1:26" x14ac:dyDescent="0.2">
      <c r="A37" s="6">
        <v>559</v>
      </c>
      <c r="B37" s="6">
        <v>7205</v>
      </c>
      <c r="C37" s="6" t="s">
        <v>3285</v>
      </c>
      <c r="D37" s="6" t="s">
        <v>3286</v>
      </c>
      <c r="E37" s="6" t="s">
        <v>78</v>
      </c>
      <c r="F37" s="6" t="s">
        <v>3287</v>
      </c>
      <c r="G37" s="6">
        <v>666103494</v>
      </c>
      <c r="H37" s="6" t="s">
        <v>78</v>
      </c>
      <c r="I37" s="6" t="s">
        <v>241</v>
      </c>
      <c r="J37" s="6" t="s">
        <v>389</v>
      </c>
      <c r="K37" s="6" t="s">
        <v>53</v>
      </c>
      <c r="L37" s="6" t="s">
        <v>53</v>
      </c>
      <c r="M37" s="6" t="s">
        <v>53</v>
      </c>
      <c r="N37" s="6" t="s">
        <v>53</v>
      </c>
      <c r="O37" s="6" t="s">
        <v>62</v>
      </c>
      <c r="P37" s="166" t="s">
        <v>3288</v>
      </c>
      <c r="Q37" s="6" t="s">
        <v>1219</v>
      </c>
      <c r="R37" s="6" t="s">
        <v>303</v>
      </c>
      <c r="S37" s="6" t="s">
        <v>305</v>
      </c>
      <c r="T37" s="164" t="s">
        <v>3272</v>
      </c>
      <c r="U37" s="129">
        <v>1</v>
      </c>
      <c r="V37" s="131">
        <v>1376.731</v>
      </c>
      <c r="W37" s="131">
        <v>1376.731</v>
      </c>
      <c r="X37" s="132">
        <v>0</v>
      </c>
      <c r="Y37" s="132">
        <v>1.14438630341781E-2</v>
      </c>
      <c r="Z37" s="132">
        <v>7.1818439524371695E-4</v>
      </c>
    </row>
    <row r="38" spans="1:26" x14ac:dyDescent="0.2">
      <c r="A38" s="6">
        <v>559</v>
      </c>
      <c r="B38" s="6">
        <v>7205</v>
      </c>
      <c r="C38" s="6" t="s">
        <v>3285</v>
      </c>
      <c r="D38" s="6" t="s">
        <v>3286</v>
      </c>
      <c r="E38" s="6" t="s">
        <v>78</v>
      </c>
      <c r="F38" s="6" t="s">
        <v>3289</v>
      </c>
      <c r="G38" s="6">
        <v>666103965</v>
      </c>
      <c r="H38" s="6" t="s">
        <v>78</v>
      </c>
      <c r="I38" s="6" t="s">
        <v>241</v>
      </c>
      <c r="J38" s="6" t="s">
        <v>389</v>
      </c>
      <c r="K38" s="6" t="s">
        <v>53</v>
      </c>
      <c r="L38" s="6" t="s">
        <v>53</v>
      </c>
      <c r="M38" s="6" t="s">
        <v>53</v>
      </c>
      <c r="N38" s="6" t="s">
        <v>53</v>
      </c>
      <c r="O38" s="6" t="s">
        <v>62</v>
      </c>
      <c r="P38" s="166" t="s">
        <v>3290</v>
      </c>
      <c r="Q38" s="6" t="s">
        <v>1219</v>
      </c>
      <c r="R38" s="6" t="s">
        <v>303</v>
      </c>
      <c r="S38" s="6" t="s">
        <v>305</v>
      </c>
      <c r="T38" s="164" t="s">
        <v>3272</v>
      </c>
      <c r="U38" s="129">
        <v>1</v>
      </c>
      <c r="V38" s="131">
        <v>672.44899999999996</v>
      </c>
      <c r="W38" s="131">
        <v>672.44899999999996</v>
      </c>
      <c r="X38" s="132">
        <v>0</v>
      </c>
      <c r="Y38" s="132">
        <v>5.5896308244893196E-3</v>
      </c>
      <c r="Z38" s="132">
        <v>3.5078938128953299E-4</v>
      </c>
    </row>
    <row r="39" spans="1:26" x14ac:dyDescent="0.2">
      <c r="A39" s="6">
        <v>559</v>
      </c>
      <c r="B39" s="6">
        <v>7205</v>
      </c>
      <c r="C39" s="6" t="s">
        <v>3291</v>
      </c>
      <c r="D39" s="6" t="s">
        <v>3292</v>
      </c>
      <c r="E39" s="6" t="s">
        <v>1477</v>
      </c>
      <c r="F39" s="6" t="s">
        <v>3293</v>
      </c>
      <c r="G39" s="6">
        <v>666107446</v>
      </c>
      <c r="H39" s="6" t="s">
        <v>78</v>
      </c>
      <c r="I39" s="6" t="s">
        <v>749</v>
      </c>
      <c r="J39" s="6" t="s">
        <v>390</v>
      </c>
      <c r="K39" s="6" t="s">
        <v>61</v>
      </c>
      <c r="L39" s="6" t="s">
        <v>314</v>
      </c>
      <c r="M39" s="6" t="s">
        <v>53</v>
      </c>
      <c r="N39" s="6" t="s">
        <v>314</v>
      </c>
      <c r="O39" s="6" t="s">
        <v>62</v>
      </c>
      <c r="P39" s="166" t="s">
        <v>3294</v>
      </c>
      <c r="Q39" s="6" t="s">
        <v>1219</v>
      </c>
      <c r="R39" s="6" t="s">
        <v>303</v>
      </c>
      <c r="S39" s="6" t="s">
        <v>305</v>
      </c>
      <c r="T39" s="164" t="s">
        <v>3272</v>
      </c>
      <c r="U39" s="129">
        <v>1</v>
      </c>
      <c r="V39" s="131">
        <v>20869.84</v>
      </c>
      <c r="W39" s="131">
        <v>20869.84</v>
      </c>
      <c r="X39" s="132">
        <v>0</v>
      </c>
      <c r="Y39" s="132">
        <v>0.17347727242859501</v>
      </c>
      <c r="Z39" s="132">
        <v>1.0886941727244101E-2</v>
      </c>
    </row>
    <row r="40" spans="1:26" x14ac:dyDescent="0.2">
      <c r="A40" s="6">
        <v>559</v>
      </c>
      <c r="B40" s="6">
        <v>7205</v>
      </c>
      <c r="C40" s="6" t="s">
        <v>3295</v>
      </c>
      <c r="D40" s="6" t="s">
        <v>3296</v>
      </c>
      <c r="E40" s="6" t="s">
        <v>767</v>
      </c>
      <c r="F40" s="6" t="s">
        <v>3297</v>
      </c>
      <c r="G40" s="6">
        <v>666103163</v>
      </c>
      <c r="H40" s="6" t="s">
        <v>78</v>
      </c>
      <c r="I40" s="6" t="s">
        <v>749</v>
      </c>
      <c r="J40" s="6" t="s">
        <v>277</v>
      </c>
      <c r="K40" s="6" t="s">
        <v>53</v>
      </c>
      <c r="L40" s="6" t="s">
        <v>53</v>
      </c>
      <c r="M40" s="6" t="s">
        <v>53</v>
      </c>
      <c r="N40" s="6" t="s">
        <v>53</v>
      </c>
      <c r="O40" s="6" t="s">
        <v>62</v>
      </c>
      <c r="P40" s="166" t="s">
        <v>3298</v>
      </c>
      <c r="Q40" s="6" t="s">
        <v>1217</v>
      </c>
      <c r="R40" s="6" t="s">
        <v>303</v>
      </c>
      <c r="S40" s="6" t="s">
        <v>305</v>
      </c>
      <c r="T40" s="164" t="s">
        <v>3299</v>
      </c>
      <c r="U40" s="129">
        <v>3.3719999999999999</v>
      </c>
      <c r="V40" s="131">
        <v>548.93200000000002</v>
      </c>
      <c r="W40" s="131">
        <v>1850.998</v>
      </c>
      <c r="X40" s="132">
        <v>0</v>
      </c>
      <c r="Y40" s="132">
        <v>1.5386129430811701E-2</v>
      </c>
      <c r="Z40" s="132">
        <v>9.6558985610077901E-4</v>
      </c>
    </row>
    <row r="41" spans="1:26" x14ac:dyDescent="0.2">
      <c r="A41" s="6">
        <v>559</v>
      </c>
      <c r="B41" s="6">
        <v>7205</v>
      </c>
      <c r="C41" s="6" t="s">
        <v>3300</v>
      </c>
      <c r="D41" s="6" t="s">
        <v>3301</v>
      </c>
      <c r="E41" s="6" t="s">
        <v>1477</v>
      </c>
      <c r="F41" s="6" t="s">
        <v>3302</v>
      </c>
      <c r="G41" s="6">
        <v>666109921</v>
      </c>
      <c r="H41" s="6" t="s">
        <v>78</v>
      </c>
      <c r="I41" s="6" t="s">
        <v>241</v>
      </c>
      <c r="J41" s="6" t="s">
        <v>390</v>
      </c>
      <c r="K41" s="6" t="s">
        <v>53</v>
      </c>
      <c r="L41" s="6" t="s">
        <v>53</v>
      </c>
      <c r="M41" s="6" t="s">
        <v>53</v>
      </c>
      <c r="N41" s="6" t="s">
        <v>53</v>
      </c>
      <c r="O41" s="6" t="s">
        <v>62</v>
      </c>
      <c r="P41" s="166" t="s">
        <v>3121</v>
      </c>
      <c r="Q41" s="6" t="s">
        <v>1219</v>
      </c>
      <c r="R41" s="6" t="s">
        <v>303</v>
      </c>
      <c r="S41" s="6" t="s">
        <v>305</v>
      </c>
      <c r="T41" s="164" t="s">
        <v>3272</v>
      </c>
      <c r="U41" s="129">
        <v>1</v>
      </c>
      <c r="V41" s="131">
        <v>4059.9780000000001</v>
      </c>
      <c r="W41" s="131">
        <v>4059.9780000000001</v>
      </c>
      <c r="X41" s="132">
        <v>0</v>
      </c>
      <c r="Y41" s="132">
        <v>3.3747926837634001E-2</v>
      </c>
      <c r="Z41" s="132">
        <v>2.1179241969454402E-3</v>
      </c>
    </row>
    <row r="42" spans="1:26" x14ac:dyDescent="0.2">
      <c r="A42" s="6">
        <v>559</v>
      </c>
      <c r="B42" s="6">
        <v>7205</v>
      </c>
      <c r="C42" s="6" t="s">
        <v>3303</v>
      </c>
      <c r="D42" s="6" t="s">
        <v>3304</v>
      </c>
      <c r="E42" s="6" t="s">
        <v>1477</v>
      </c>
      <c r="F42" s="6" t="s">
        <v>3305</v>
      </c>
      <c r="G42" s="6">
        <v>666106133</v>
      </c>
      <c r="H42" s="6" t="s">
        <v>78</v>
      </c>
      <c r="I42" s="6" t="s">
        <v>749</v>
      </c>
      <c r="J42" s="6" t="s">
        <v>277</v>
      </c>
      <c r="K42" s="6" t="s">
        <v>53</v>
      </c>
      <c r="L42" s="6" t="s">
        <v>53</v>
      </c>
      <c r="M42" s="6" t="s">
        <v>53</v>
      </c>
      <c r="N42" s="6" t="s">
        <v>53</v>
      </c>
      <c r="O42" s="6" t="s">
        <v>62</v>
      </c>
      <c r="P42" s="166" t="s">
        <v>3306</v>
      </c>
      <c r="Q42" s="6" t="s">
        <v>1217</v>
      </c>
      <c r="R42" s="6" t="s">
        <v>303</v>
      </c>
      <c r="S42" s="6" t="s">
        <v>305</v>
      </c>
      <c r="T42" s="164" t="s">
        <v>3307</v>
      </c>
      <c r="U42" s="129">
        <v>3.3719999999999999</v>
      </c>
      <c r="V42" s="131">
        <v>2252.5479999999998</v>
      </c>
      <c r="W42" s="131">
        <v>7595.5910000000003</v>
      </c>
      <c r="X42" s="132">
        <v>0</v>
      </c>
      <c r="Y42" s="132">
        <v>6.3137155805117404E-2</v>
      </c>
      <c r="Z42" s="132">
        <v>3.9623088745367099E-3</v>
      </c>
    </row>
    <row r="43" spans="1:26" x14ac:dyDescent="0.2">
      <c r="A43" s="6">
        <v>559</v>
      </c>
      <c r="B43" s="6">
        <v>7205</v>
      </c>
      <c r="C43" s="6" t="s">
        <v>3308</v>
      </c>
      <c r="D43" s="6" t="s">
        <v>3309</v>
      </c>
      <c r="E43" s="6" t="s">
        <v>767</v>
      </c>
      <c r="F43" s="6" t="s">
        <v>3310</v>
      </c>
      <c r="G43" s="6">
        <v>666109723</v>
      </c>
      <c r="H43" s="6" t="s">
        <v>78</v>
      </c>
      <c r="I43" s="6" t="s">
        <v>280</v>
      </c>
      <c r="J43" s="6" t="s">
        <v>392</v>
      </c>
      <c r="K43" s="6" t="s">
        <v>61</v>
      </c>
      <c r="L43" s="6" t="s">
        <v>314</v>
      </c>
      <c r="M43" s="6" t="s">
        <v>53</v>
      </c>
      <c r="N43" s="6" t="s">
        <v>313</v>
      </c>
      <c r="O43" s="6" t="s">
        <v>62</v>
      </c>
      <c r="P43" s="166" t="s">
        <v>3311</v>
      </c>
      <c r="Q43" s="6" t="s">
        <v>1215</v>
      </c>
      <c r="R43" s="6" t="s">
        <v>303</v>
      </c>
      <c r="S43" s="6" t="s">
        <v>305</v>
      </c>
      <c r="T43" s="164" t="s">
        <v>3312</v>
      </c>
      <c r="U43" s="129">
        <v>3.9552</v>
      </c>
      <c r="V43" s="131">
        <v>1190.731</v>
      </c>
      <c r="W43" s="131">
        <v>4709.5810000000001</v>
      </c>
      <c r="X43" s="132">
        <v>0</v>
      </c>
      <c r="Y43" s="132">
        <v>3.9147652322852701E-2</v>
      </c>
      <c r="Z43" s="132">
        <v>2.4567956576140898E-3</v>
      </c>
    </row>
    <row r="44" spans="1:26" x14ac:dyDescent="0.2">
      <c r="A44" s="6">
        <v>559</v>
      </c>
      <c r="B44" s="6">
        <v>7205</v>
      </c>
      <c r="C44" s="6" t="s">
        <v>3313</v>
      </c>
      <c r="D44" s="6" t="s">
        <v>3314</v>
      </c>
      <c r="E44" s="6" t="s">
        <v>767</v>
      </c>
      <c r="F44" s="6" t="s">
        <v>3315</v>
      </c>
      <c r="G44" s="6">
        <v>666110408</v>
      </c>
      <c r="H44" s="6" t="s">
        <v>78</v>
      </c>
      <c r="I44" s="6" t="s">
        <v>280</v>
      </c>
      <c r="J44" s="6" t="s">
        <v>275</v>
      </c>
      <c r="K44" s="6" t="s">
        <v>61</v>
      </c>
      <c r="L44" s="6" t="s">
        <v>317</v>
      </c>
      <c r="M44" s="6" t="s">
        <v>314</v>
      </c>
      <c r="N44" s="6" t="s">
        <v>317</v>
      </c>
      <c r="O44" s="6" t="s">
        <v>62</v>
      </c>
      <c r="P44" s="166" t="s">
        <v>3121</v>
      </c>
      <c r="Q44" s="6" t="s">
        <v>1217</v>
      </c>
      <c r="R44" s="6" t="s">
        <v>303</v>
      </c>
      <c r="S44" s="6" t="s">
        <v>305</v>
      </c>
      <c r="T44" s="164" t="s">
        <v>3299</v>
      </c>
      <c r="U44" s="129">
        <v>3.3719999999999999</v>
      </c>
      <c r="V44" s="131">
        <v>1043.4079999999999</v>
      </c>
      <c r="W44" s="131">
        <v>3518.3710000000001</v>
      </c>
      <c r="X44" s="132">
        <v>0</v>
      </c>
      <c r="Y44" s="132">
        <v>2.9245904396113898E-2</v>
      </c>
      <c r="Z44" s="132">
        <v>1.8353900338852699E-3</v>
      </c>
    </row>
    <row r="45" spans="1:26" x14ac:dyDescent="0.2">
      <c r="A45" s="6">
        <v>559</v>
      </c>
      <c r="B45" s="6">
        <v>7205</v>
      </c>
      <c r="C45" s="6" t="s">
        <v>3316</v>
      </c>
      <c r="D45" s="6" t="s">
        <v>3317</v>
      </c>
      <c r="E45" s="6" t="s">
        <v>767</v>
      </c>
      <c r="F45" s="6" t="s">
        <v>3318</v>
      </c>
      <c r="G45" s="6">
        <v>666110800</v>
      </c>
      <c r="H45" s="6" t="s">
        <v>78</v>
      </c>
      <c r="I45" s="6" t="s">
        <v>749</v>
      </c>
      <c r="J45" s="6" t="s">
        <v>278</v>
      </c>
      <c r="K45" s="6" t="s">
        <v>61</v>
      </c>
      <c r="L45" s="6" t="s">
        <v>314</v>
      </c>
      <c r="M45" s="6" t="s">
        <v>314</v>
      </c>
      <c r="N45" s="6" t="s">
        <v>314</v>
      </c>
      <c r="O45" s="6" t="s">
        <v>62</v>
      </c>
      <c r="P45" s="166" t="s">
        <v>3319</v>
      </c>
      <c r="Q45" s="6" t="s">
        <v>1217</v>
      </c>
      <c r="R45" s="6" t="s">
        <v>303</v>
      </c>
      <c r="S45" s="6" t="s">
        <v>305</v>
      </c>
      <c r="T45" s="164" t="s">
        <v>3320</v>
      </c>
      <c r="U45" s="129">
        <v>3.3719999999999999</v>
      </c>
      <c r="V45" s="131">
        <v>419.11700000000002</v>
      </c>
      <c r="W45" s="131">
        <v>1413.2619999999999</v>
      </c>
      <c r="X45" s="132">
        <v>0</v>
      </c>
      <c r="Y45" s="132">
        <v>1.1747517629086201E-2</v>
      </c>
      <c r="Z45" s="132">
        <v>7.3724089661529797E-4</v>
      </c>
    </row>
    <row r="46" spans="1:26" x14ac:dyDescent="0.2">
      <c r="A46" s="6">
        <v>559</v>
      </c>
      <c r="B46" s="6">
        <v>7205</v>
      </c>
      <c r="C46" s="6" t="s">
        <v>3321</v>
      </c>
      <c r="D46" s="6" t="s">
        <v>3264</v>
      </c>
      <c r="E46" s="6" t="s">
        <v>78</v>
      </c>
      <c r="F46" s="6" t="s">
        <v>3322</v>
      </c>
      <c r="G46" s="6">
        <v>66611034</v>
      </c>
      <c r="H46" s="6" t="s">
        <v>78</v>
      </c>
      <c r="I46" s="6" t="s">
        <v>280</v>
      </c>
      <c r="J46" s="6" t="s">
        <v>390</v>
      </c>
      <c r="K46" s="6" t="s">
        <v>61</v>
      </c>
      <c r="L46" s="6" t="s">
        <v>53</v>
      </c>
      <c r="M46" s="6" t="s">
        <v>53</v>
      </c>
      <c r="N46" s="6" t="s">
        <v>314</v>
      </c>
      <c r="O46" s="6" t="s">
        <v>62</v>
      </c>
      <c r="P46" s="166" t="s">
        <v>3121</v>
      </c>
      <c r="Q46" s="6" t="s">
        <v>1217</v>
      </c>
      <c r="R46" s="6" t="s">
        <v>303</v>
      </c>
      <c r="S46" s="6" t="s">
        <v>305</v>
      </c>
      <c r="T46" s="164" t="s">
        <v>3323</v>
      </c>
      <c r="U46" s="129">
        <v>3.3719999999999999</v>
      </c>
      <c r="V46" s="131">
        <v>1822.38</v>
      </c>
      <c r="W46" s="131">
        <v>6145.067</v>
      </c>
      <c r="X46" s="132">
        <v>0</v>
      </c>
      <c r="Y46" s="132">
        <v>5.1079903250172497E-2</v>
      </c>
      <c r="Z46" s="132">
        <v>3.20562989221998E-3</v>
      </c>
    </row>
    <row r="47" spans="1:26" x14ac:dyDescent="0.2">
      <c r="A47" s="6">
        <v>559</v>
      </c>
      <c r="B47" s="6">
        <v>7205</v>
      </c>
      <c r="C47" s="6" t="s">
        <v>3324</v>
      </c>
      <c r="D47" s="6" t="s">
        <v>3325</v>
      </c>
      <c r="E47" s="6" t="s">
        <v>430</v>
      </c>
      <c r="F47" s="6" t="s">
        <v>3326</v>
      </c>
      <c r="G47" s="6">
        <v>666109798</v>
      </c>
      <c r="H47" s="6" t="s">
        <v>78</v>
      </c>
      <c r="I47" s="6" t="s">
        <v>280</v>
      </c>
      <c r="J47" s="6" t="s">
        <v>277</v>
      </c>
      <c r="K47" s="6" t="s">
        <v>53</v>
      </c>
      <c r="L47" s="6" t="s">
        <v>53</v>
      </c>
      <c r="M47" s="6" t="s">
        <v>53</v>
      </c>
      <c r="N47" s="6" t="s">
        <v>317</v>
      </c>
      <c r="O47" s="6" t="s">
        <v>62</v>
      </c>
      <c r="P47" s="166" t="s">
        <v>3121</v>
      </c>
      <c r="Q47" s="6" t="s">
        <v>1217</v>
      </c>
      <c r="R47" s="6" t="s">
        <v>303</v>
      </c>
      <c r="S47" s="6" t="s">
        <v>305</v>
      </c>
      <c r="T47" s="164" t="s">
        <v>3327</v>
      </c>
      <c r="U47" s="129">
        <v>3.3719999999999999</v>
      </c>
      <c r="V47" s="131">
        <v>679.93899999999996</v>
      </c>
      <c r="W47" s="131">
        <v>2292.7559999999999</v>
      </c>
      <c r="X47" s="132">
        <v>0</v>
      </c>
      <c r="Y47" s="132">
        <v>1.9058172866151499E-2</v>
      </c>
      <c r="Z47" s="132">
        <v>1.19603689011734E-3</v>
      </c>
    </row>
    <row r="48" spans="1:26" x14ac:dyDescent="0.2">
      <c r="A48" s="6">
        <v>559</v>
      </c>
      <c r="B48" s="6">
        <v>7205</v>
      </c>
      <c r="C48" s="6" t="s">
        <v>3275</v>
      </c>
      <c r="D48" s="6" t="s">
        <v>3276</v>
      </c>
      <c r="E48" s="6" t="s">
        <v>1477</v>
      </c>
      <c r="F48" s="6" t="s">
        <v>3328</v>
      </c>
      <c r="G48" s="6">
        <v>666110671</v>
      </c>
      <c r="H48" s="6" t="s">
        <v>78</v>
      </c>
      <c r="I48" s="6" t="s">
        <v>280</v>
      </c>
      <c r="J48" s="6" t="s">
        <v>390</v>
      </c>
      <c r="K48" s="6" t="s">
        <v>61</v>
      </c>
      <c r="L48" s="6" t="s">
        <v>314</v>
      </c>
      <c r="M48" s="6" t="s">
        <v>314</v>
      </c>
      <c r="N48" s="6" t="s">
        <v>314</v>
      </c>
      <c r="O48" s="6" t="s">
        <v>62</v>
      </c>
      <c r="P48" s="166" t="s">
        <v>3329</v>
      </c>
      <c r="Q48" s="6" t="s">
        <v>1217</v>
      </c>
      <c r="R48" s="6" t="s">
        <v>303</v>
      </c>
      <c r="S48" s="6" t="s">
        <v>305</v>
      </c>
      <c r="T48" s="164" t="s">
        <v>3267</v>
      </c>
      <c r="U48" s="129">
        <v>3.3719999999999999</v>
      </c>
      <c r="V48" s="131">
        <v>1101.3109999999999</v>
      </c>
      <c r="W48" s="131">
        <v>3713.6219999999998</v>
      </c>
      <c r="X48" s="132">
        <v>0</v>
      </c>
      <c r="Y48" s="132">
        <v>3.0868900541056E-2</v>
      </c>
      <c r="Z48" s="132">
        <v>1.9372446699777301E-3</v>
      </c>
    </row>
    <row r="49" spans="1:26" x14ac:dyDescent="0.2">
      <c r="A49" s="6">
        <v>559</v>
      </c>
      <c r="B49" s="6">
        <v>7205</v>
      </c>
      <c r="C49" s="6" t="s">
        <v>3330</v>
      </c>
      <c r="D49" s="6" t="s">
        <v>3331</v>
      </c>
      <c r="E49" s="6" t="s">
        <v>78</v>
      </c>
      <c r="F49" s="6" t="s">
        <v>3332</v>
      </c>
      <c r="G49" s="6">
        <v>666109236</v>
      </c>
      <c r="H49" s="6" t="s">
        <v>78</v>
      </c>
      <c r="I49" s="6" t="s">
        <v>280</v>
      </c>
      <c r="J49" s="6" t="s">
        <v>390</v>
      </c>
      <c r="K49" s="6" t="s">
        <v>61</v>
      </c>
      <c r="L49" s="6" t="s">
        <v>314</v>
      </c>
      <c r="M49" s="6" t="s">
        <v>204</v>
      </c>
      <c r="N49" s="6" t="s">
        <v>314</v>
      </c>
      <c r="O49" s="6" t="s">
        <v>62</v>
      </c>
      <c r="P49" s="166" t="s">
        <v>3333</v>
      </c>
      <c r="Q49" s="6" t="s">
        <v>1217</v>
      </c>
      <c r="R49" s="6" t="s">
        <v>303</v>
      </c>
      <c r="S49" s="6" t="s">
        <v>305</v>
      </c>
      <c r="T49" s="164" t="s">
        <v>3334</v>
      </c>
      <c r="U49" s="129">
        <v>3.3719999999999999</v>
      </c>
      <c r="V49" s="131">
        <v>2469.2750000000001</v>
      </c>
      <c r="W49" s="131">
        <v>8326.3950000000004</v>
      </c>
      <c r="X49" s="132">
        <v>0</v>
      </c>
      <c r="Y49" s="132">
        <v>6.9211853919514899E-2</v>
      </c>
      <c r="Z49" s="132">
        <v>4.3435397035449701E-3</v>
      </c>
    </row>
    <row r="50" spans="1:26" x14ac:dyDescent="0.2">
      <c r="A50" s="6">
        <v>559</v>
      </c>
      <c r="B50" s="6">
        <v>7205</v>
      </c>
      <c r="C50" s="6" t="s">
        <v>3335</v>
      </c>
      <c r="D50" s="6" t="s">
        <v>3336</v>
      </c>
      <c r="E50" s="6" t="s">
        <v>767</v>
      </c>
      <c r="F50" s="6" t="s">
        <v>3337</v>
      </c>
      <c r="G50" s="6">
        <v>666110754</v>
      </c>
      <c r="H50" s="6" t="s">
        <v>78</v>
      </c>
      <c r="I50" s="6" t="s">
        <v>280</v>
      </c>
      <c r="J50" s="6" t="s">
        <v>390</v>
      </c>
      <c r="K50" s="6" t="s">
        <v>61</v>
      </c>
      <c r="L50" s="6" t="s">
        <v>314</v>
      </c>
      <c r="M50" s="6" t="s">
        <v>314</v>
      </c>
      <c r="N50" s="6" t="s">
        <v>314</v>
      </c>
      <c r="O50" s="6" t="s">
        <v>62</v>
      </c>
      <c r="P50" s="166" t="s">
        <v>3338</v>
      </c>
      <c r="Q50" s="6" t="s">
        <v>1217</v>
      </c>
      <c r="R50" s="6" t="s">
        <v>303</v>
      </c>
      <c r="S50" s="6" t="s">
        <v>305</v>
      </c>
      <c r="T50" s="164" t="s">
        <v>2313</v>
      </c>
      <c r="U50" s="129">
        <v>3.3719999999999999</v>
      </c>
      <c r="V50" s="131">
        <v>512.029</v>
      </c>
      <c r="W50" s="131">
        <v>1726.5609999999999</v>
      </c>
      <c r="X50" s="132">
        <v>0</v>
      </c>
      <c r="Y50" s="132">
        <v>1.43517687532955E-2</v>
      </c>
      <c r="Z50" s="132">
        <v>9.0067631288313498E-4</v>
      </c>
    </row>
    <row r="51" spans="1:26" x14ac:dyDescent="0.2">
      <c r="A51" s="6">
        <v>559</v>
      </c>
      <c r="B51" s="6">
        <v>7205</v>
      </c>
      <c r="C51" s="6" t="s">
        <v>3339</v>
      </c>
      <c r="D51" s="6" t="s">
        <v>3340</v>
      </c>
      <c r="E51" s="6" t="s">
        <v>430</v>
      </c>
      <c r="F51" s="6" t="s">
        <v>3341</v>
      </c>
      <c r="G51" s="6">
        <v>666109954</v>
      </c>
      <c r="H51" s="6" t="s">
        <v>78</v>
      </c>
      <c r="I51" s="6" t="s">
        <v>280</v>
      </c>
      <c r="J51" s="6" t="s">
        <v>389</v>
      </c>
      <c r="K51" s="6" t="s">
        <v>61</v>
      </c>
      <c r="L51" s="6" t="s">
        <v>314</v>
      </c>
      <c r="M51" s="6" t="s">
        <v>314</v>
      </c>
      <c r="N51" s="6" t="s">
        <v>314</v>
      </c>
      <c r="O51" s="6" t="s">
        <v>62</v>
      </c>
      <c r="P51" s="166" t="s">
        <v>3121</v>
      </c>
      <c r="Q51" s="6" t="s">
        <v>1217</v>
      </c>
      <c r="R51" s="6" t="s">
        <v>303</v>
      </c>
      <c r="S51" s="6" t="s">
        <v>305</v>
      </c>
      <c r="T51" s="164" t="s">
        <v>2313</v>
      </c>
      <c r="U51" s="129">
        <v>3.3719999999999999</v>
      </c>
      <c r="V51" s="131">
        <v>1902.0450000000001</v>
      </c>
      <c r="W51" s="131">
        <v>6413.6949999999997</v>
      </c>
      <c r="X51" s="132">
        <v>0</v>
      </c>
      <c r="Y51" s="132">
        <v>5.3312838542664602E-2</v>
      </c>
      <c r="Z51" s="132">
        <v>3.3457625797458099E-3</v>
      </c>
    </row>
    <row r="52" spans="1:26" x14ac:dyDescent="0.2">
      <c r="A52" s="6">
        <v>559</v>
      </c>
      <c r="B52" s="6">
        <v>7205</v>
      </c>
      <c r="C52" s="6" t="s">
        <v>3342</v>
      </c>
      <c r="D52" s="6" t="s">
        <v>3343</v>
      </c>
      <c r="E52" s="6" t="s">
        <v>767</v>
      </c>
      <c r="F52" s="6" t="s">
        <v>3344</v>
      </c>
      <c r="G52" s="6">
        <v>666110883</v>
      </c>
      <c r="H52" s="6" t="s">
        <v>78</v>
      </c>
      <c r="I52" s="6" t="s">
        <v>280</v>
      </c>
      <c r="J52" s="6" t="s">
        <v>275</v>
      </c>
      <c r="K52" s="6" t="s">
        <v>61</v>
      </c>
      <c r="L52" s="6" t="s">
        <v>173</v>
      </c>
      <c r="M52" s="6" t="s">
        <v>315</v>
      </c>
      <c r="N52" s="6" t="s">
        <v>315</v>
      </c>
      <c r="O52" s="6" t="s">
        <v>62</v>
      </c>
      <c r="P52" s="166" t="s">
        <v>3345</v>
      </c>
      <c r="Q52" s="6" t="s">
        <v>1215</v>
      </c>
      <c r="R52" s="6" t="s">
        <v>303</v>
      </c>
      <c r="S52" s="6" t="s">
        <v>305</v>
      </c>
      <c r="T52" s="164" t="s">
        <v>3346</v>
      </c>
      <c r="U52" s="129">
        <v>3.9552</v>
      </c>
      <c r="V52" s="131">
        <v>154.53800000000001</v>
      </c>
      <c r="W52" s="131">
        <v>611.22799999999995</v>
      </c>
      <c r="X52" s="132">
        <v>0</v>
      </c>
      <c r="Y52" s="132">
        <v>5.0807403436688601E-3</v>
      </c>
      <c r="Z52" s="132">
        <v>3.1885285765919898E-4</v>
      </c>
    </row>
    <row r="53" spans="1:26" x14ac:dyDescent="0.2">
      <c r="A53" s="6">
        <v>559</v>
      </c>
      <c r="B53" s="6">
        <v>7205</v>
      </c>
      <c r="C53" s="6" t="s">
        <v>3347</v>
      </c>
      <c r="D53" s="6" t="s">
        <v>3348</v>
      </c>
      <c r="E53" s="6" t="s">
        <v>767</v>
      </c>
      <c r="F53" s="6" t="s">
        <v>3349</v>
      </c>
      <c r="G53" s="6">
        <v>666110801</v>
      </c>
      <c r="H53" s="6" t="s">
        <v>78</v>
      </c>
      <c r="I53" s="6" t="s">
        <v>280</v>
      </c>
      <c r="J53" s="6" t="s">
        <v>390</v>
      </c>
      <c r="K53" s="6" t="s">
        <v>61</v>
      </c>
      <c r="L53" s="6" t="s">
        <v>314</v>
      </c>
      <c r="M53" s="6" t="s">
        <v>53</v>
      </c>
      <c r="N53" s="6" t="s">
        <v>314</v>
      </c>
      <c r="O53" s="6" t="s">
        <v>62</v>
      </c>
      <c r="P53" s="166" t="s">
        <v>3350</v>
      </c>
      <c r="Q53" s="6" t="s">
        <v>1217</v>
      </c>
      <c r="R53" s="6" t="s">
        <v>303</v>
      </c>
      <c r="S53" s="6" t="s">
        <v>305</v>
      </c>
      <c r="T53" s="164" t="s">
        <v>3351</v>
      </c>
      <c r="U53" s="129">
        <v>3.3719999999999999</v>
      </c>
      <c r="V53" s="131">
        <v>769.779</v>
      </c>
      <c r="W53" s="131">
        <v>2595.6959999999999</v>
      </c>
      <c r="X53" s="132">
        <v>0</v>
      </c>
      <c r="Y53" s="132">
        <v>2.1576317612418301E-2</v>
      </c>
      <c r="Z53" s="132">
        <v>1.35406851425794E-3</v>
      </c>
    </row>
    <row r="54" spans="1:26" x14ac:dyDescent="0.2">
      <c r="A54" s="6">
        <v>559</v>
      </c>
      <c r="B54" s="6">
        <v>7205</v>
      </c>
      <c r="C54" s="6" t="s">
        <v>3339</v>
      </c>
      <c r="D54" s="6" t="s">
        <v>3340</v>
      </c>
      <c r="E54" s="6" t="s">
        <v>430</v>
      </c>
      <c r="F54" s="6" t="s">
        <v>3352</v>
      </c>
      <c r="G54" s="6">
        <v>666109998</v>
      </c>
      <c r="H54" s="6" t="s">
        <v>78</v>
      </c>
      <c r="I54" t="s">
        <v>280</v>
      </c>
      <c r="J54" s="6" t="s">
        <v>130</v>
      </c>
      <c r="K54" s="6" t="s">
        <v>61</v>
      </c>
      <c r="L54" s="6" t="s">
        <v>313</v>
      </c>
      <c r="M54" s="6" t="s">
        <v>314</v>
      </c>
      <c r="N54" s="6" t="s">
        <v>314</v>
      </c>
      <c r="O54" s="6" t="s">
        <v>62</v>
      </c>
      <c r="P54" s="166" t="s">
        <v>3353</v>
      </c>
      <c r="Q54" s="6" t="s">
        <v>1217</v>
      </c>
      <c r="R54" s="6" t="s">
        <v>303</v>
      </c>
      <c r="S54" s="6" t="s">
        <v>305</v>
      </c>
      <c r="T54" s="164" t="s">
        <v>3299</v>
      </c>
      <c r="U54" s="129">
        <v>3.3719999999999999</v>
      </c>
      <c r="V54" s="131">
        <v>557.42700000000002</v>
      </c>
      <c r="W54" s="131">
        <v>1879.645</v>
      </c>
      <c r="X54" s="132">
        <v>0</v>
      </c>
      <c r="Y54" s="132">
        <v>1.5624258158408099E-2</v>
      </c>
      <c r="Z54" s="132">
        <v>9.8053413983680004E-4</v>
      </c>
    </row>
    <row r="55" spans="1:26" x14ac:dyDescent="0.2">
      <c r="A55" s="6">
        <v>559</v>
      </c>
      <c r="B55" s="6">
        <v>7205</v>
      </c>
      <c r="C55" s="6" t="s">
        <v>3330</v>
      </c>
      <c r="D55" s="6" t="s">
        <v>3331</v>
      </c>
      <c r="E55" s="6" t="s">
        <v>78</v>
      </c>
      <c r="F55" s="6" t="s">
        <v>3354</v>
      </c>
      <c r="G55" s="6">
        <v>666109237</v>
      </c>
      <c r="H55" s="6" t="s">
        <v>78</v>
      </c>
      <c r="I55" s="6" t="s">
        <v>280</v>
      </c>
      <c r="J55" s="6" t="s">
        <v>390</v>
      </c>
      <c r="K55" s="6" t="s">
        <v>61</v>
      </c>
      <c r="L55" s="6" t="s">
        <v>314</v>
      </c>
      <c r="M55" s="6" t="s">
        <v>204</v>
      </c>
      <c r="N55" s="6" t="s">
        <v>314</v>
      </c>
      <c r="O55" s="6" t="s">
        <v>62</v>
      </c>
      <c r="P55" s="166" t="s">
        <v>3355</v>
      </c>
      <c r="Q55" s="6" t="s">
        <v>1217</v>
      </c>
      <c r="R55" s="6" t="s">
        <v>303</v>
      </c>
      <c r="S55" s="6" t="s">
        <v>305</v>
      </c>
      <c r="T55" s="164" t="s">
        <v>3299</v>
      </c>
      <c r="U55" s="129">
        <v>3.3719999999999999</v>
      </c>
      <c r="V55" s="131">
        <v>1618.0540000000001</v>
      </c>
      <c r="W55" s="131">
        <v>5456.076</v>
      </c>
      <c r="X55" s="132">
        <v>0</v>
      </c>
      <c r="Y55" s="132">
        <v>4.5352780243362999E-2</v>
      </c>
      <c r="Z55" s="132">
        <v>2.8462118914236098E-3</v>
      </c>
    </row>
    <row r="56" spans="1:26" x14ac:dyDescent="0.2">
      <c r="A56" s="6">
        <v>559</v>
      </c>
      <c r="B56" s="6">
        <v>7206</v>
      </c>
      <c r="C56" s="6" t="s">
        <v>3263</v>
      </c>
      <c r="D56" s="6" t="s">
        <v>3264</v>
      </c>
      <c r="E56" s="6" t="s">
        <v>767</v>
      </c>
      <c r="F56" s="6" t="s">
        <v>3265</v>
      </c>
      <c r="G56" s="6">
        <v>666107420</v>
      </c>
      <c r="H56" s="6" t="s">
        <v>78</v>
      </c>
      <c r="I56" s="6" t="s">
        <v>749</v>
      </c>
      <c r="J56" s="6" t="s">
        <v>390</v>
      </c>
      <c r="K56" s="6" t="s">
        <v>53</v>
      </c>
      <c r="L56" s="6" t="s">
        <v>53</v>
      </c>
      <c r="M56" s="6" t="s">
        <v>53</v>
      </c>
      <c r="N56" s="6" t="s">
        <v>314</v>
      </c>
      <c r="O56" s="6" t="s">
        <v>62</v>
      </c>
      <c r="P56" s="166" t="s">
        <v>3266</v>
      </c>
      <c r="Q56" s="6" t="s">
        <v>1217</v>
      </c>
      <c r="R56" s="6" t="s">
        <v>303</v>
      </c>
      <c r="S56" s="6" t="s">
        <v>305</v>
      </c>
      <c r="T56" s="164" t="s">
        <v>3267</v>
      </c>
      <c r="U56" s="129">
        <v>3.3719999999999999</v>
      </c>
      <c r="V56" s="131">
        <v>19.088000000000001</v>
      </c>
      <c r="W56" s="131">
        <v>64.364000000000004</v>
      </c>
      <c r="X56" s="132">
        <v>0</v>
      </c>
      <c r="Y56" s="132">
        <v>3.6839442757935603E-2</v>
      </c>
      <c r="Z56" s="132">
        <v>7.3731814900688305E-4</v>
      </c>
    </row>
    <row r="57" spans="1:26" x14ac:dyDescent="0.2">
      <c r="A57" s="6">
        <v>559</v>
      </c>
      <c r="B57" s="6">
        <v>7206</v>
      </c>
      <c r="C57" s="6" t="s">
        <v>3275</v>
      </c>
      <c r="D57" s="6" t="s">
        <v>3276</v>
      </c>
      <c r="E57" s="6" t="s">
        <v>1477</v>
      </c>
      <c r="F57" s="6" t="s">
        <v>3279</v>
      </c>
      <c r="G57" s="6">
        <v>666107438</v>
      </c>
      <c r="H57" s="6" t="s">
        <v>78</v>
      </c>
      <c r="I57" s="6" t="s">
        <v>241</v>
      </c>
      <c r="J57" s="6" t="s">
        <v>390</v>
      </c>
      <c r="K57" s="6" t="s">
        <v>61</v>
      </c>
      <c r="L57" s="6" t="s">
        <v>314</v>
      </c>
      <c r="M57" s="6" t="s">
        <v>314</v>
      </c>
      <c r="N57" s="6" t="s">
        <v>314</v>
      </c>
      <c r="O57" s="6" t="s">
        <v>62</v>
      </c>
      <c r="P57" s="166" t="s">
        <v>3266</v>
      </c>
      <c r="Q57" s="6" t="s">
        <v>1217</v>
      </c>
      <c r="R57" s="6" t="s">
        <v>303</v>
      </c>
      <c r="S57" s="6" t="s">
        <v>305</v>
      </c>
      <c r="T57" s="164" t="s">
        <v>3278</v>
      </c>
      <c r="U57" s="129">
        <v>3.3719999999999999</v>
      </c>
      <c r="V57" s="131">
        <v>25.56</v>
      </c>
      <c r="W57" s="131">
        <v>86.188999999999993</v>
      </c>
      <c r="X57" s="132">
        <v>0</v>
      </c>
      <c r="Y57" s="132">
        <v>4.9331600986209902E-2</v>
      </c>
      <c r="Z57" s="132">
        <v>9.8734079572534409E-4</v>
      </c>
    </row>
    <row r="58" spans="1:26" x14ac:dyDescent="0.2">
      <c r="A58" s="6">
        <v>559</v>
      </c>
      <c r="B58" s="6">
        <v>7206</v>
      </c>
      <c r="C58" s="6" t="s">
        <v>3291</v>
      </c>
      <c r="D58" s="6" t="s">
        <v>3292</v>
      </c>
      <c r="E58" s="6" t="s">
        <v>1477</v>
      </c>
      <c r="F58" s="6" t="s">
        <v>3293</v>
      </c>
      <c r="G58" s="6">
        <v>666107446</v>
      </c>
      <c r="H58" s="6" t="s">
        <v>78</v>
      </c>
      <c r="I58" s="6" t="s">
        <v>749</v>
      </c>
      <c r="J58" s="6" t="s">
        <v>390</v>
      </c>
      <c r="K58" s="6" t="s">
        <v>61</v>
      </c>
      <c r="L58" s="6" t="s">
        <v>314</v>
      </c>
      <c r="M58" s="6" t="s">
        <v>53</v>
      </c>
      <c r="N58" s="6" t="s">
        <v>314</v>
      </c>
      <c r="O58" s="6" t="s">
        <v>62</v>
      </c>
      <c r="P58" s="166" t="s">
        <v>3294</v>
      </c>
      <c r="Q58" s="6" t="s">
        <v>1219</v>
      </c>
      <c r="R58" s="6" t="s">
        <v>303</v>
      </c>
      <c r="S58" s="6" t="s">
        <v>305</v>
      </c>
      <c r="T58" s="164" t="s">
        <v>3272</v>
      </c>
      <c r="U58" s="129">
        <v>1</v>
      </c>
      <c r="V58" s="131">
        <v>254.51</v>
      </c>
      <c r="W58" s="131">
        <v>254.51</v>
      </c>
      <c r="X58" s="132">
        <v>0</v>
      </c>
      <c r="Y58" s="132">
        <v>0.14567273864242899</v>
      </c>
      <c r="Z58" s="132">
        <v>2.9155477383941402E-3</v>
      </c>
    </row>
    <row r="59" spans="1:26" x14ac:dyDescent="0.2">
      <c r="A59" s="6">
        <v>559</v>
      </c>
      <c r="B59" s="6">
        <v>7206</v>
      </c>
      <c r="C59" s="6" t="s">
        <v>3300</v>
      </c>
      <c r="D59" s="6" t="s">
        <v>3301</v>
      </c>
      <c r="E59" s="6" t="s">
        <v>1477</v>
      </c>
      <c r="F59" s="6" t="s">
        <v>3302</v>
      </c>
      <c r="G59" s="6">
        <v>666109921</v>
      </c>
      <c r="H59" s="6" t="s">
        <v>78</v>
      </c>
      <c r="I59" s="6" t="s">
        <v>241</v>
      </c>
      <c r="J59" s="6" t="s">
        <v>390</v>
      </c>
      <c r="K59" s="6" t="s">
        <v>53</v>
      </c>
      <c r="L59" s="6" t="s">
        <v>53</v>
      </c>
      <c r="M59" s="6" t="s">
        <v>53</v>
      </c>
      <c r="N59" s="6" t="s">
        <v>53</v>
      </c>
      <c r="O59" s="6" t="s">
        <v>62</v>
      </c>
      <c r="P59" s="166" t="s">
        <v>3121</v>
      </c>
      <c r="Q59" s="6" t="s">
        <v>1219</v>
      </c>
      <c r="R59" s="6" t="s">
        <v>303</v>
      </c>
      <c r="S59" s="6" t="s">
        <v>305</v>
      </c>
      <c r="T59" s="164" t="s">
        <v>3272</v>
      </c>
      <c r="U59" s="129">
        <v>1</v>
      </c>
      <c r="V59" s="131">
        <v>95.905000000000001</v>
      </c>
      <c r="W59" s="131">
        <v>95.905000000000001</v>
      </c>
      <c r="X59" s="132">
        <v>0</v>
      </c>
      <c r="Y59" s="132">
        <v>5.4892648468655998E-2</v>
      </c>
      <c r="Z59" s="132">
        <v>1.0986416442001299E-3</v>
      </c>
    </row>
    <row r="60" spans="1:26" x14ac:dyDescent="0.2">
      <c r="A60" s="6">
        <v>559</v>
      </c>
      <c r="B60" s="6">
        <v>7206</v>
      </c>
      <c r="C60" s="6" t="s">
        <v>3308</v>
      </c>
      <c r="D60" s="6" t="s">
        <v>3309</v>
      </c>
      <c r="E60" s="6" t="s">
        <v>767</v>
      </c>
      <c r="F60" s="6" t="s">
        <v>3310</v>
      </c>
      <c r="G60" s="6">
        <v>666109723</v>
      </c>
      <c r="H60" s="6" t="s">
        <v>78</v>
      </c>
      <c r="I60" s="6" t="s">
        <v>280</v>
      </c>
      <c r="J60" s="6" t="s">
        <v>392</v>
      </c>
      <c r="K60" s="6" t="s">
        <v>61</v>
      </c>
      <c r="L60" s="6" t="s">
        <v>314</v>
      </c>
      <c r="M60" s="6" t="s">
        <v>53</v>
      </c>
      <c r="N60" s="6" t="s">
        <v>313</v>
      </c>
      <c r="O60" s="6" t="s">
        <v>62</v>
      </c>
      <c r="P60" s="166" t="s">
        <v>3311</v>
      </c>
      <c r="Q60" s="6" t="s">
        <v>1215</v>
      </c>
      <c r="R60" s="6" t="s">
        <v>303</v>
      </c>
      <c r="S60" s="6" t="s">
        <v>305</v>
      </c>
      <c r="T60" s="164" t="s">
        <v>3312</v>
      </c>
      <c r="U60" s="129">
        <v>3.9552</v>
      </c>
      <c r="V60" s="131">
        <v>28.866</v>
      </c>
      <c r="W60" s="131">
        <v>114.172</v>
      </c>
      <c r="X60" s="132">
        <v>0</v>
      </c>
      <c r="Y60" s="132">
        <v>6.5347852783653598E-2</v>
      </c>
      <c r="Z60" s="132">
        <v>1.30789594654329E-3</v>
      </c>
    </row>
    <row r="61" spans="1:26" x14ac:dyDescent="0.2">
      <c r="A61" s="6">
        <v>559</v>
      </c>
      <c r="B61" s="6">
        <v>7206</v>
      </c>
      <c r="C61" s="6" t="s">
        <v>3313</v>
      </c>
      <c r="D61" s="6" t="s">
        <v>3314</v>
      </c>
      <c r="E61" s="6" t="s">
        <v>767</v>
      </c>
      <c r="F61" s="6" t="s">
        <v>3315</v>
      </c>
      <c r="G61" s="6">
        <v>666110408</v>
      </c>
      <c r="H61" s="6" t="s">
        <v>78</v>
      </c>
      <c r="I61" s="6" t="s">
        <v>280</v>
      </c>
      <c r="J61" s="6" t="s">
        <v>275</v>
      </c>
      <c r="K61" s="6" t="s">
        <v>61</v>
      </c>
      <c r="L61" s="6" t="s">
        <v>317</v>
      </c>
      <c r="M61" s="6" t="s">
        <v>314</v>
      </c>
      <c r="N61" s="6" t="s">
        <v>317</v>
      </c>
      <c r="O61" s="6" t="s">
        <v>62</v>
      </c>
      <c r="P61" s="166" t="s">
        <v>3121</v>
      </c>
      <c r="Q61" s="6" t="s">
        <v>1217</v>
      </c>
      <c r="R61" s="6" t="s">
        <v>303</v>
      </c>
      <c r="S61" s="6" t="s">
        <v>305</v>
      </c>
      <c r="T61" s="164" t="s">
        <v>3299</v>
      </c>
      <c r="U61" s="129">
        <v>3.3719999999999999</v>
      </c>
      <c r="V61" s="131">
        <v>18.744</v>
      </c>
      <c r="W61" s="131">
        <v>63.204000000000001</v>
      </c>
      <c r="X61" s="132">
        <v>0</v>
      </c>
      <c r="Y61" s="132">
        <v>3.6175903940284901E-2</v>
      </c>
      <c r="Z61" s="132">
        <v>7.2403783920309099E-4</v>
      </c>
    </row>
    <row r="62" spans="1:26" x14ac:dyDescent="0.2">
      <c r="A62" s="6">
        <v>559</v>
      </c>
      <c r="B62" s="6">
        <v>7206</v>
      </c>
      <c r="C62" s="6" t="s">
        <v>3316</v>
      </c>
      <c r="D62" s="6" t="s">
        <v>3317</v>
      </c>
      <c r="E62" s="6" t="s">
        <v>767</v>
      </c>
      <c r="F62" s="6" t="s">
        <v>3318</v>
      </c>
      <c r="G62" s="6">
        <v>666110800</v>
      </c>
      <c r="H62" s="6" t="s">
        <v>78</v>
      </c>
      <c r="I62" s="6" t="s">
        <v>749</v>
      </c>
      <c r="J62" s="6" t="s">
        <v>278</v>
      </c>
      <c r="K62" s="6" t="s">
        <v>61</v>
      </c>
      <c r="L62" s="6" t="s">
        <v>314</v>
      </c>
      <c r="M62" s="6" t="s">
        <v>314</v>
      </c>
      <c r="N62" s="6" t="s">
        <v>314</v>
      </c>
      <c r="O62" s="6" t="s">
        <v>62</v>
      </c>
      <c r="P62" s="166" t="s">
        <v>3319</v>
      </c>
      <c r="Q62" s="6" t="s">
        <v>1217</v>
      </c>
      <c r="R62" s="6" t="s">
        <v>303</v>
      </c>
      <c r="S62" s="6" t="s">
        <v>305</v>
      </c>
      <c r="T62" s="164" t="s">
        <v>3320</v>
      </c>
      <c r="U62" s="129">
        <v>3.3719999999999999</v>
      </c>
      <c r="V62" s="131">
        <v>17.463000000000001</v>
      </c>
      <c r="W62" s="131">
        <v>58.886000000000003</v>
      </c>
      <c r="X62" s="132">
        <v>0</v>
      </c>
      <c r="Y62" s="132">
        <v>3.3704230480358199E-2</v>
      </c>
      <c r="Z62" s="132">
        <v>6.7456885802448605E-4</v>
      </c>
    </row>
    <row r="63" spans="1:26" x14ac:dyDescent="0.2">
      <c r="A63" s="6">
        <v>559</v>
      </c>
      <c r="B63" s="6">
        <v>7206</v>
      </c>
      <c r="C63" s="6" t="s">
        <v>3321</v>
      </c>
      <c r="D63" s="6" t="s">
        <v>3264</v>
      </c>
      <c r="E63" s="6" t="s">
        <v>78</v>
      </c>
      <c r="F63" s="6" t="s">
        <v>3322</v>
      </c>
      <c r="G63" s="6">
        <v>66611034</v>
      </c>
      <c r="H63" s="6" t="s">
        <v>78</v>
      </c>
      <c r="I63" s="6" t="s">
        <v>280</v>
      </c>
      <c r="J63" s="6" t="s">
        <v>390</v>
      </c>
      <c r="K63" s="6" t="s">
        <v>61</v>
      </c>
      <c r="L63" s="6" t="s">
        <v>53</v>
      </c>
      <c r="M63" s="6" t="s">
        <v>53</v>
      </c>
      <c r="N63" s="6" t="s">
        <v>314</v>
      </c>
      <c r="O63" s="6" t="s">
        <v>62</v>
      </c>
      <c r="P63" s="166" t="s">
        <v>3121</v>
      </c>
      <c r="Q63" s="6" t="s">
        <v>1217</v>
      </c>
      <c r="R63" s="6" t="s">
        <v>303</v>
      </c>
      <c r="S63" s="6" t="s">
        <v>305</v>
      </c>
      <c r="T63" s="164" t="s">
        <v>3323</v>
      </c>
      <c r="U63" s="129">
        <v>3.3719999999999999</v>
      </c>
      <c r="V63" s="131">
        <v>21.956</v>
      </c>
      <c r="W63" s="131">
        <v>74.037000000000006</v>
      </c>
      <c r="X63" s="132">
        <v>0</v>
      </c>
      <c r="Y63" s="132">
        <v>4.2376152797453E-2</v>
      </c>
      <c r="Z63" s="132">
        <v>8.4813189895280002E-4</v>
      </c>
    </row>
    <row r="64" spans="1:26" x14ac:dyDescent="0.2">
      <c r="A64" s="6">
        <v>559</v>
      </c>
      <c r="B64" s="6">
        <v>7206</v>
      </c>
      <c r="C64" s="6" t="s">
        <v>3324</v>
      </c>
      <c r="D64" s="6" t="s">
        <v>3325</v>
      </c>
      <c r="E64" s="6" t="s">
        <v>430</v>
      </c>
      <c r="F64" s="6" t="s">
        <v>3326</v>
      </c>
      <c r="G64" s="6">
        <v>666109798</v>
      </c>
      <c r="H64" s="6" t="s">
        <v>78</v>
      </c>
      <c r="I64" s="6" t="s">
        <v>280</v>
      </c>
      <c r="J64" s="6" t="s">
        <v>277</v>
      </c>
      <c r="K64" s="6" t="s">
        <v>53</v>
      </c>
      <c r="L64" s="6" t="s">
        <v>53</v>
      </c>
      <c r="M64" s="6" t="s">
        <v>53</v>
      </c>
      <c r="N64" s="6" t="s">
        <v>317</v>
      </c>
      <c r="O64" s="6" t="s">
        <v>62</v>
      </c>
      <c r="P64" s="166" t="s">
        <v>3121</v>
      </c>
      <c r="Q64" s="6" t="s">
        <v>1217</v>
      </c>
      <c r="R64" s="6" t="s">
        <v>303</v>
      </c>
      <c r="S64" s="6" t="s">
        <v>305</v>
      </c>
      <c r="T64" s="164" t="s">
        <v>3327</v>
      </c>
      <c r="U64" s="129">
        <v>3.3719999999999999</v>
      </c>
      <c r="V64" s="131">
        <v>16.483000000000001</v>
      </c>
      <c r="W64" s="131">
        <v>55.582000000000001</v>
      </c>
      <c r="X64" s="132">
        <v>0</v>
      </c>
      <c r="Y64" s="132">
        <v>3.1813163775741303E-2</v>
      </c>
      <c r="Z64" s="132">
        <v>6.3672035386934899E-4</v>
      </c>
    </row>
    <row r="65" spans="1:26" x14ac:dyDescent="0.2">
      <c r="A65" s="6">
        <v>559</v>
      </c>
      <c r="B65" s="6">
        <v>7206</v>
      </c>
      <c r="C65" s="6" t="s">
        <v>3275</v>
      </c>
      <c r="D65" s="6" t="s">
        <v>3276</v>
      </c>
      <c r="E65" s="6" t="s">
        <v>1477</v>
      </c>
      <c r="F65" s="6" t="s">
        <v>3328</v>
      </c>
      <c r="G65" s="6">
        <v>666110671</v>
      </c>
      <c r="H65" s="6" t="s">
        <v>78</v>
      </c>
      <c r="I65" s="6" t="s">
        <v>280</v>
      </c>
      <c r="J65" s="6" t="s">
        <v>390</v>
      </c>
      <c r="K65" s="6" t="s">
        <v>61</v>
      </c>
      <c r="L65" s="6" t="s">
        <v>314</v>
      </c>
      <c r="M65" s="6" t="s">
        <v>314</v>
      </c>
      <c r="N65" s="6" t="s">
        <v>314</v>
      </c>
      <c r="O65" s="6" t="s">
        <v>62</v>
      </c>
      <c r="P65" s="166" t="s">
        <v>3329</v>
      </c>
      <c r="Q65" s="6" t="s">
        <v>1217</v>
      </c>
      <c r="R65" s="6" t="s">
        <v>303</v>
      </c>
      <c r="S65" s="6" t="s">
        <v>305</v>
      </c>
      <c r="T65" s="164" t="s">
        <v>3267</v>
      </c>
      <c r="U65" s="129">
        <v>3.3719999999999999</v>
      </c>
      <c r="V65" s="131">
        <v>35.960999999999999</v>
      </c>
      <c r="W65" s="131">
        <v>121.261</v>
      </c>
      <c r="X65" s="132">
        <v>0</v>
      </c>
      <c r="Y65" s="132">
        <v>6.9405607383816501E-2</v>
      </c>
      <c r="Z65" s="132">
        <v>1.3891093386832101E-3</v>
      </c>
    </row>
    <row r="66" spans="1:26" x14ac:dyDescent="0.2">
      <c r="A66" s="6">
        <v>559</v>
      </c>
      <c r="B66" s="6">
        <v>7206</v>
      </c>
      <c r="C66" s="6" t="s">
        <v>3330</v>
      </c>
      <c r="D66" s="6" t="s">
        <v>3331</v>
      </c>
      <c r="E66" s="6" t="s">
        <v>78</v>
      </c>
      <c r="F66" s="6" t="s">
        <v>3332</v>
      </c>
      <c r="G66" s="6">
        <v>666109236</v>
      </c>
      <c r="H66" s="6" t="s">
        <v>78</v>
      </c>
      <c r="I66" s="6" t="s">
        <v>280</v>
      </c>
      <c r="J66" s="6" t="s">
        <v>390</v>
      </c>
      <c r="K66" s="6" t="s">
        <v>61</v>
      </c>
      <c r="L66" s="6" t="s">
        <v>314</v>
      </c>
      <c r="M66" s="6" t="s">
        <v>204</v>
      </c>
      <c r="N66" s="6" t="s">
        <v>314</v>
      </c>
      <c r="O66" s="6" t="s">
        <v>62</v>
      </c>
      <c r="P66" s="166" t="s">
        <v>3333</v>
      </c>
      <c r="Q66" s="6" t="s">
        <v>1217</v>
      </c>
      <c r="R66" s="6" t="s">
        <v>303</v>
      </c>
      <c r="S66" s="6" t="s">
        <v>305</v>
      </c>
      <c r="T66" s="164" t="s">
        <v>3334</v>
      </c>
      <c r="U66" s="129">
        <v>3.3719999999999999</v>
      </c>
      <c r="V66" s="131">
        <v>39.195</v>
      </c>
      <c r="W66" s="131">
        <v>132.16499999999999</v>
      </c>
      <c r="X66" s="132">
        <v>0</v>
      </c>
      <c r="Y66" s="132">
        <v>7.56466125786278E-2</v>
      </c>
      <c r="Z66" s="132">
        <v>1.5140191107559601E-3</v>
      </c>
    </row>
    <row r="67" spans="1:26" x14ac:dyDescent="0.2">
      <c r="A67" s="6">
        <v>559</v>
      </c>
      <c r="B67" s="6">
        <v>7206</v>
      </c>
      <c r="C67" s="6" t="s">
        <v>3335</v>
      </c>
      <c r="D67" s="6" t="s">
        <v>3336</v>
      </c>
      <c r="E67" s="6" t="s">
        <v>767</v>
      </c>
      <c r="F67" s="6" t="s">
        <v>3337</v>
      </c>
      <c r="G67" s="6">
        <v>666110754</v>
      </c>
      <c r="H67" s="6" t="s">
        <v>78</v>
      </c>
      <c r="I67" s="6" t="s">
        <v>280</v>
      </c>
      <c r="J67" s="6" t="s">
        <v>390</v>
      </c>
      <c r="K67" s="6" t="s">
        <v>61</v>
      </c>
      <c r="L67" s="6" t="s">
        <v>314</v>
      </c>
      <c r="M67" s="6" t="s">
        <v>314</v>
      </c>
      <c r="N67" s="6" t="s">
        <v>314</v>
      </c>
      <c r="O67" s="6" t="s">
        <v>62</v>
      </c>
      <c r="P67" s="166" t="s">
        <v>3338</v>
      </c>
      <c r="Q67" s="6" t="s">
        <v>1217</v>
      </c>
      <c r="R67" s="6" t="s">
        <v>303</v>
      </c>
      <c r="S67" s="6" t="s">
        <v>305</v>
      </c>
      <c r="T67" s="164" t="s">
        <v>2313</v>
      </c>
      <c r="U67" s="129">
        <v>3.3719999999999999</v>
      </c>
      <c r="V67" s="131">
        <v>12.801</v>
      </c>
      <c r="W67" s="131">
        <v>43.164000000000001</v>
      </c>
      <c r="X67" s="132">
        <v>0</v>
      </c>
      <c r="Y67" s="132">
        <v>2.4705576299671499E-2</v>
      </c>
      <c r="Z67" s="132">
        <v>4.9446648547630905E-4</v>
      </c>
    </row>
    <row r="68" spans="1:26" x14ac:dyDescent="0.2">
      <c r="A68" s="6">
        <v>559</v>
      </c>
      <c r="B68" s="6">
        <v>7206</v>
      </c>
      <c r="C68" s="6" t="s">
        <v>3339</v>
      </c>
      <c r="D68" s="6" t="s">
        <v>3340</v>
      </c>
      <c r="E68" s="6" t="s">
        <v>430</v>
      </c>
      <c r="F68" s="6" t="s">
        <v>3341</v>
      </c>
      <c r="G68" s="6">
        <v>666109954</v>
      </c>
      <c r="H68" s="6" t="s">
        <v>78</v>
      </c>
      <c r="I68" s="6" t="s">
        <v>280</v>
      </c>
      <c r="J68" s="6" t="s">
        <v>389</v>
      </c>
      <c r="K68" s="6" t="s">
        <v>61</v>
      </c>
      <c r="L68" s="6" t="s">
        <v>314</v>
      </c>
      <c r="M68" s="6" t="s">
        <v>314</v>
      </c>
      <c r="N68" s="6" t="s">
        <v>314</v>
      </c>
      <c r="O68" s="6" t="s">
        <v>62</v>
      </c>
      <c r="P68" s="166" t="s">
        <v>3121</v>
      </c>
      <c r="Q68" s="6" t="s">
        <v>1217</v>
      </c>
      <c r="R68" s="6" t="s">
        <v>303</v>
      </c>
      <c r="S68" s="6" t="s">
        <v>305</v>
      </c>
      <c r="T68" s="164" t="s">
        <v>2313</v>
      </c>
      <c r="U68" s="129">
        <v>3.3719999999999999</v>
      </c>
      <c r="V68" s="131">
        <v>30.190999999999999</v>
      </c>
      <c r="W68" s="131">
        <v>101.80500000000001</v>
      </c>
      <c r="X68" s="132">
        <v>0</v>
      </c>
      <c r="Y68" s="132">
        <v>5.8269429145193299E-2</v>
      </c>
      <c r="Z68" s="132">
        <v>1.1662257739163801E-3</v>
      </c>
    </row>
    <row r="69" spans="1:26" x14ac:dyDescent="0.2">
      <c r="A69" s="6">
        <v>559</v>
      </c>
      <c r="B69" s="6">
        <v>7206</v>
      </c>
      <c r="C69" s="6" t="s">
        <v>3342</v>
      </c>
      <c r="D69" s="6" t="s">
        <v>3343</v>
      </c>
      <c r="E69" s="6" t="s">
        <v>767</v>
      </c>
      <c r="F69" s="6" t="s">
        <v>3344</v>
      </c>
      <c r="G69" s="6">
        <v>666110883</v>
      </c>
      <c r="H69" s="6" t="s">
        <v>78</v>
      </c>
      <c r="I69" s="6" t="s">
        <v>280</v>
      </c>
      <c r="J69" s="6" t="s">
        <v>275</v>
      </c>
      <c r="K69" s="6" t="s">
        <v>61</v>
      </c>
      <c r="L69" s="6" t="s">
        <v>173</v>
      </c>
      <c r="M69" s="6" t="s">
        <v>315</v>
      </c>
      <c r="N69" s="6" t="s">
        <v>315</v>
      </c>
      <c r="O69" s="6" t="s">
        <v>62</v>
      </c>
      <c r="P69" s="166" t="s">
        <v>3345</v>
      </c>
      <c r="Q69" s="6" t="s">
        <v>1215</v>
      </c>
      <c r="R69" s="6" t="s">
        <v>303</v>
      </c>
      <c r="S69" s="6" t="s">
        <v>305</v>
      </c>
      <c r="T69" s="164" t="s">
        <v>3346</v>
      </c>
      <c r="U69" s="129">
        <v>3.9552</v>
      </c>
      <c r="V69" s="131">
        <v>7.875</v>
      </c>
      <c r="W69" s="131">
        <v>31.145</v>
      </c>
      <c r="X69" s="132">
        <v>0</v>
      </c>
      <c r="Y69" s="132">
        <v>1.78265418172706E-2</v>
      </c>
      <c r="Z69" s="132">
        <v>3.5678696071135302E-4</v>
      </c>
    </row>
    <row r="70" spans="1:26" x14ac:dyDescent="0.2">
      <c r="A70" s="6">
        <v>559</v>
      </c>
      <c r="B70" s="6">
        <v>7206</v>
      </c>
      <c r="C70" s="6" t="s">
        <v>3347</v>
      </c>
      <c r="D70" s="6" t="s">
        <v>3348</v>
      </c>
      <c r="E70" s="6" t="s">
        <v>767</v>
      </c>
      <c r="F70" s="6" t="s">
        <v>3349</v>
      </c>
      <c r="G70" s="6">
        <v>666110801</v>
      </c>
      <c r="H70" s="6" t="s">
        <v>78</v>
      </c>
      <c r="I70" s="6" t="s">
        <v>280</v>
      </c>
      <c r="J70" s="6" t="s">
        <v>390</v>
      </c>
      <c r="K70" s="6" t="s">
        <v>61</v>
      </c>
      <c r="L70" s="6" t="s">
        <v>314</v>
      </c>
      <c r="M70" s="6" t="s">
        <v>53</v>
      </c>
      <c r="N70" s="6" t="s">
        <v>314</v>
      </c>
      <c r="O70" s="6" t="s">
        <v>62</v>
      </c>
      <c r="P70" s="166" t="s">
        <v>3350</v>
      </c>
      <c r="Q70" s="6" t="s">
        <v>1217</v>
      </c>
      <c r="R70" s="6" t="s">
        <v>303</v>
      </c>
      <c r="S70" s="6" t="s">
        <v>305</v>
      </c>
      <c r="T70" s="164" t="s">
        <v>3351</v>
      </c>
      <c r="U70" s="129">
        <v>3.3719999999999999</v>
      </c>
      <c r="V70" s="131">
        <v>25.875</v>
      </c>
      <c r="W70" s="131">
        <v>87.25</v>
      </c>
      <c r="X70" s="132">
        <v>0</v>
      </c>
      <c r="Y70" s="132">
        <v>4.9939003679366101E-2</v>
      </c>
      <c r="Z70" s="132">
        <v>9.9949757649866891E-4</v>
      </c>
    </row>
    <row r="71" spans="1:26" x14ac:dyDescent="0.2">
      <c r="A71" s="6">
        <v>559</v>
      </c>
      <c r="B71" s="6">
        <v>7206</v>
      </c>
      <c r="C71" s="6" t="s">
        <v>3339</v>
      </c>
      <c r="D71" s="6" t="s">
        <v>3340</v>
      </c>
      <c r="E71" s="6" t="s">
        <v>430</v>
      </c>
      <c r="F71" s="6" t="s">
        <v>3352</v>
      </c>
      <c r="G71" s="6">
        <v>666109998</v>
      </c>
      <c r="H71" s="6" t="s">
        <v>78</v>
      </c>
      <c r="I71" t="s">
        <v>280</v>
      </c>
      <c r="J71" s="6" t="s">
        <v>130</v>
      </c>
      <c r="K71" s="6" t="s">
        <v>61</v>
      </c>
      <c r="L71" s="6" t="s">
        <v>313</v>
      </c>
      <c r="M71" s="6" t="s">
        <v>314</v>
      </c>
      <c r="N71" s="6" t="s">
        <v>314</v>
      </c>
      <c r="O71" s="6" t="s">
        <v>62</v>
      </c>
      <c r="P71" s="166" t="s">
        <v>3353</v>
      </c>
      <c r="Q71" s="6" t="s">
        <v>1217</v>
      </c>
      <c r="R71" s="6" t="s">
        <v>303</v>
      </c>
      <c r="S71" s="6" t="s">
        <v>305</v>
      </c>
      <c r="T71" s="164" t="s">
        <v>3299</v>
      </c>
      <c r="U71" s="129">
        <v>3.3719999999999999</v>
      </c>
      <c r="V71" s="131">
        <v>25.872</v>
      </c>
      <c r="W71" s="131">
        <v>87.241</v>
      </c>
      <c r="X71" s="132">
        <v>0</v>
      </c>
      <c r="Y71" s="132">
        <v>4.9933653852386697E-2</v>
      </c>
      <c r="Z71" s="132">
        <v>9.9939050309498403E-4</v>
      </c>
    </row>
    <row r="72" spans="1:26" x14ac:dyDescent="0.2">
      <c r="A72" s="6">
        <v>559</v>
      </c>
      <c r="B72" s="6">
        <v>7206</v>
      </c>
      <c r="C72" s="6" t="s">
        <v>3330</v>
      </c>
      <c r="D72" s="6" t="s">
        <v>3331</v>
      </c>
      <c r="E72" s="6" t="s">
        <v>78</v>
      </c>
      <c r="F72" s="6" t="s">
        <v>3354</v>
      </c>
      <c r="G72" s="6">
        <v>666109237</v>
      </c>
      <c r="H72" s="6" t="s">
        <v>78</v>
      </c>
      <c r="I72" s="6" t="s">
        <v>280</v>
      </c>
      <c r="J72" s="6" t="s">
        <v>390</v>
      </c>
      <c r="K72" s="6" t="s">
        <v>61</v>
      </c>
      <c r="L72" s="6" t="s">
        <v>314</v>
      </c>
      <c r="M72" s="6" t="s">
        <v>204</v>
      </c>
      <c r="N72" s="6" t="s">
        <v>314</v>
      </c>
      <c r="O72" s="6" t="s">
        <v>62</v>
      </c>
      <c r="P72" s="166" t="s">
        <v>3355</v>
      </c>
      <c r="Q72" s="6" t="s">
        <v>1217</v>
      </c>
      <c r="R72" s="6" t="s">
        <v>303</v>
      </c>
      <c r="S72" s="6" t="s">
        <v>305</v>
      </c>
      <c r="T72" s="164" t="s">
        <v>3299</v>
      </c>
      <c r="U72" s="129">
        <v>3.3719999999999999</v>
      </c>
      <c r="V72" s="131">
        <v>81.927000000000007</v>
      </c>
      <c r="W72" s="131">
        <v>276.25700000000001</v>
      </c>
      <c r="X72" s="132">
        <v>0</v>
      </c>
      <c r="Y72" s="132">
        <v>0.158119840610946</v>
      </c>
      <c r="Z72" s="132">
        <v>3.1646686125677702E-3</v>
      </c>
    </row>
    <row r="73" spans="1:26" x14ac:dyDescent="0.2">
      <c r="A73" s="6">
        <v>559</v>
      </c>
      <c r="B73" s="6">
        <v>7207</v>
      </c>
      <c r="C73" s="6" t="s">
        <v>3263</v>
      </c>
      <c r="D73" s="6" t="s">
        <v>3264</v>
      </c>
      <c r="E73" s="6" t="s">
        <v>767</v>
      </c>
      <c r="F73" s="6" t="s">
        <v>3265</v>
      </c>
      <c r="G73" s="6">
        <v>666107420</v>
      </c>
      <c r="H73" s="6" t="s">
        <v>78</v>
      </c>
      <c r="I73" s="6" t="s">
        <v>749</v>
      </c>
      <c r="J73" s="6" t="s">
        <v>390</v>
      </c>
      <c r="K73" s="6" t="s">
        <v>53</v>
      </c>
      <c r="L73" s="6" t="s">
        <v>53</v>
      </c>
      <c r="M73" s="6" t="s">
        <v>53</v>
      </c>
      <c r="N73" s="6" t="s">
        <v>314</v>
      </c>
      <c r="O73" s="6" t="s">
        <v>62</v>
      </c>
      <c r="P73" s="166" t="s">
        <v>3266</v>
      </c>
      <c r="Q73" s="6" t="s">
        <v>1217</v>
      </c>
      <c r="R73" s="6" t="s">
        <v>303</v>
      </c>
      <c r="S73" s="6" t="s">
        <v>305</v>
      </c>
      <c r="T73" s="164" t="s">
        <v>3267</v>
      </c>
      <c r="U73" s="129">
        <v>3.3719999999999999</v>
      </c>
      <c r="V73" s="131">
        <v>38.174999999999997</v>
      </c>
      <c r="W73" s="131">
        <v>128.727</v>
      </c>
      <c r="X73" s="132">
        <v>0</v>
      </c>
      <c r="Y73" s="132">
        <v>4.3469709517975103E-2</v>
      </c>
      <c r="Z73" s="132">
        <v>1.05915015248992E-3</v>
      </c>
    </row>
    <row r="74" spans="1:26" x14ac:dyDescent="0.2">
      <c r="A74" s="6">
        <v>559</v>
      </c>
      <c r="B74" s="6">
        <v>7207</v>
      </c>
      <c r="C74" s="6" t="s">
        <v>3275</v>
      </c>
      <c r="D74" s="6" t="s">
        <v>3276</v>
      </c>
      <c r="E74" s="6" t="s">
        <v>1477</v>
      </c>
      <c r="F74" s="6" t="s">
        <v>3279</v>
      </c>
      <c r="G74" s="6">
        <v>666107438</v>
      </c>
      <c r="H74" s="6" t="s">
        <v>78</v>
      </c>
      <c r="I74" s="6" t="s">
        <v>241</v>
      </c>
      <c r="J74" s="6" t="s">
        <v>390</v>
      </c>
      <c r="K74" s="6" t="s">
        <v>61</v>
      </c>
      <c r="L74" s="6" t="s">
        <v>314</v>
      </c>
      <c r="M74" s="6" t="s">
        <v>314</v>
      </c>
      <c r="N74" s="6" t="s">
        <v>314</v>
      </c>
      <c r="O74" s="6" t="s">
        <v>62</v>
      </c>
      <c r="P74" s="166" t="s">
        <v>3266</v>
      </c>
      <c r="Q74" s="6" t="s">
        <v>1217</v>
      </c>
      <c r="R74" s="6" t="s">
        <v>303</v>
      </c>
      <c r="S74" s="6" t="s">
        <v>305</v>
      </c>
      <c r="T74" s="164" t="s">
        <v>3278</v>
      </c>
      <c r="U74" s="129">
        <v>3.3719999999999999</v>
      </c>
      <c r="V74" s="131">
        <v>42.600999999999999</v>
      </c>
      <c r="W74" s="131">
        <v>143.65</v>
      </c>
      <c r="X74" s="132">
        <v>0</v>
      </c>
      <c r="Y74" s="132">
        <v>4.8508952735340297E-2</v>
      </c>
      <c r="Z74" s="132">
        <v>1.1819325515740201E-3</v>
      </c>
    </row>
    <row r="75" spans="1:26" x14ac:dyDescent="0.2">
      <c r="A75" s="6">
        <v>559</v>
      </c>
      <c r="B75" s="6">
        <v>7207</v>
      </c>
      <c r="C75" s="6" t="s">
        <v>3291</v>
      </c>
      <c r="D75" s="6" t="s">
        <v>3292</v>
      </c>
      <c r="E75" s="6" t="s">
        <v>1477</v>
      </c>
      <c r="F75" s="6" t="s">
        <v>3293</v>
      </c>
      <c r="G75" s="6">
        <v>666107446</v>
      </c>
      <c r="H75" s="6" t="s">
        <v>78</v>
      </c>
      <c r="I75" s="6" t="s">
        <v>749</v>
      </c>
      <c r="J75" s="6" t="s">
        <v>390</v>
      </c>
      <c r="K75" s="6" t="s">
        <v>61</v>
      </c>
      <c r="L75" s="6" t="s">
        <v>314</v>
      </c>
      <c r="M75" s="6" t="s">
        <v>53</v>
      </c>
      <c r="N75" s="6" t="s">
        <v>314</v>
      </c>
      <c r="O75" s="6" t="s">
        <v>62</v>
      </c>
      <c r="P75" s="166" t="s">
        <v>3294</v>
      </c>
      <c r="Q75" s="6" t="s">
        <v>1219</v>
      </c>
      <c r="R75" s="6" t="s">
        <v>303</v>
      </c>
      <c r="S75" s="6" t="s">
        <v>305</v>
      </c>
      <c r="T75" s="164" t="s">
        <v>3272</v>
      </c>
      <c r="U75" s="129">
        <v>1</v>
      </c>
      <c r="V75" s="131">
        <v>509.02</v>
      </c>
      <c r="W75" s="131">
        <v>509.02</v>
      </c>
      <c r="X75" s="132">
        <v>0</v>
      </c>
      <c r="Y75" s="132">
        <v>0.17189053795093701</v>
      </c>
      <c r="Z75" s="132">
        <v>4.1881551890064197E-3</v>
      </c>
    </row>
    <row r="76" spans="1:26" x14ac:dyDescent="0.2">
      <c r="A76" s="6">
        <v>559</v>
      </c>
      <c r="B76" s="6">
        <v>7207</v>
      </c>
      <c r="C76" s="6" t="s">
        <v>3300</v>
      </c>
      <c r="D76" s="6" t="s">
        <v>3301</v>
      </c>
      <c r="E76" s="6" t="s">
        <v>1477</v>
      </c>
      <c r="F76" s="6" t="s">
        <v>3302</v>
      </c>
      <c r="G76" s="6">
        <v>666109921</v>
      </c>
      <c r="H76" s="6" t="s">
        <v>78</v>
      </c>
      <c r="I76" s="6" t="s">
        <v>241</v>
      </c>
      <c r="J76" s="6" t="s">
        <v>390</v>
      </c>
      <c r="K76" s="6" t="s">
        <v>53</v>
      </c>
      <c r="L76" s="6" t="s">
        <v>53</v>
      </c>
      <c r="M76" s="6" t="s">
        <v>53</v>
      </c>
      <c r="N76" s="6" t="s">
        <v>53</v>
      </c>
      <c r="O76" s="6" t="s">
        <v>62</v>
      </c>
      <c r="P76" s="166" t="s">
        <v>3121</v>
      </c>
      <c r="Q76" s="6" t="s">
        <v>1219</v>
      </c>
      <c r="R76" s="6" t="s">
        <v>303</v>
      </c>
      <c r="S76" s="6" t="s">
        <v>305</v>
      </c>
      <c r="T76" s="164" t="s">
        <v>3272</v>
      </c>
      <c r="U76" s="129">
        <v>1</v>
      </c>
      <c r="V76" s="131">
        <v>159.84200000000001</v>
      </c>
      <c r="W76" s="131">
        <v>159.84200000000001</v>
      </c>
      <c r="X76" s="132">
        <v>0</v>
      </c>
      <c r="Y76" s="132">
        <v>5.3976737493642499E-2</v>
      </c>
      <c r="Z76" s="132">
        <v>1.3151564705915499E-3</v>
      </c>
    </row>
    <row r="77" spans="1:26" x14ac:dyDescent="0.2">
      <c r="A77" s="6">
        <v>559</v>
      </c>
      <c r="B77" s="6">
        <v>7207</v>
      </c>
      <c r="C77" s="6" t="s">
        <v>3308</v>
      </c>
      <c r="D77" s="6" t="s">
        <v>3309</v>
      </c>
      <c r="E77" s="6" t="s">
        <v>767</v>
      </c>
      <c r="F77" s="6" t="s">
        <v>3310</v>
      </c>
      <c r="G77" s="6">
        <v>666109723</v>
      </c>
      <c r="H77" s="6" t="s">
        <v>78</v>
      </c>
      <c r="I77" s="6" t="s">
        <v>280</v>
      </c>
      <c r="J77" s="6" t="s">
        <v>392</v>
      </c>
      <c r="K77" s="6" t="s">
        <v>61</v>
      </c>
      <c r="L77" s="6" t="s">
        <v>314</v>
      </c>
      <c r="M77" s="6" t="s">
        <v>53</v>
      </c>
      <c r="N77" s="6" t="s">
        <v>313</v>
      </c>
      <c r="O77" s="6" t="s">
        <v>62</v>
      </c>
      <c r="P77" s="166" t="s">
        <v>3311</v>
      </c>
      <c r="Q77" s="6" t="s">
        <v>1215</v>
      </c>
      <c r="R77" s="6" t="s">
        <v>303</v>
      </c>
      <c r="S77" s="6" t="s">
        <v>305</v>
      </c>
      <c r="T77" s="164" t="s">
        <v>3312</v>
      </c>
      <c r="U77" s="129">
        <v>3.9552</v>
      </c>
      <c r="V77" s="131">
        <v>43.298999999999999</v>
      </c>
      <c r="W77" s="131">
        <v>171.25700000000001</v>
      </c>
      <c r="X77" s="132">
        <v>0</v>
      </c>
      <c r="Y77" s="132">
        <v>5.78317415818589E-2</v>
      </c>
      <c r="Z77" s="132">
        <v>1.40908459233791E-3</v>
      </c>
    </row>
    <row r="78" spans="1:26" x14ac:dyDescent="0.2">
      <c r="A78" s="6">
        <v>559</v>
      </c>
      <c r="B78" s="6">
        <v>7207</v>
      </c>
      <c r="C78" s="6" t="s">
        <v>3313</v>
      </c>
      <c r="D78" s="6" t="s">
        <v>3314</v>
      </c>
      <c r="E78" s="6" t="s">
        <v>767</v>
      </c>
      <c r="F78" s="6" t="s">
        <v>3315</v>
      </c>
      <c r="G78" s="6">
        <v>666110408</v>
      </c>
      <c r="H78" s="6" t="s">
        <v>78</v>
      </c>
      <c r="I78" s="6" t="s">
        <v>280</v>
      </c>
      <c r="J78" s="6" t="s">
        <v>275</v>
      </c>
      <c r="K78" s="6" t="s">
        <v>61</v>
      </c>
      <c r="L78" s="6" t="s">
        <v>317</v>
      </c>
      <c r="M78" s="6" t="s">
        <v>314</v>
      </c>
      <c r="N78" s="6" t="s">
        <v>317</v>
      </c>
      <c r="O78" s="6" t="s">
        <v>62</v>
      </c>
      <c r="P78" s="166" t="s">
        <v>3121</v>
      </c>
      <c r="Q78" s="6" t="s">
        <v>1217</v>
      </c>
      <c r="R78" s="6" t="s">
        <v>303</v>
      </c>
      <c r="S78" s="6" t="s">
        <v>305</v>
      </c>
      <c r="T78" s="164" t="s">
        <v>3299</v>
      </c>
      <c r="U78" s="129">
        <v>3.3719999999999999</v>
      </c>
      <c r="V78" s="131">
        <v>37.488</v>
      </c>
      <c r="W78" s="131">
        <v>126.40900000000001</v>
      </c>
      <c r="X78" s="132">
        <v>0</v>
      </c>
      <c r="Y78" s="132">
        <v>4.26867487156984E-2</v>
      </c>
      <c r="Z78" s="132">
        <v>1.0400731201766001E-3</v>
      </c>
    </row>
    <row r="79" spans="1:26" x14ac:dyDescent="0.2">
      <c r="A79" s="6">
        <v>559</v>
      </c>
      <c r="B79" s="6">
        <v>7207</v>
      </c>
      <c r="C79" s="6" t="s">
        <v>3316</v>
      </c>
      <c r="D79" s="6" t="s">
        <v>3317</v>
      </c>
      <c r="E79" s="6" t="s">
        <v>767</v>
      </c>
      <c r="F79" s="6" t="s">
        <v>3318</v>
      </c>
      <c r="G79" s="6">
        <v>666110800</v>
      </c>
      <c r="H79" s="6" t="s">
        <v>78</v>
      </c>
      <c r="I79" s="6" t="s">
        <v>749</v>
      </c>
      <c r="J79" s="6" t="s">
        <v>278</v>
      </c>
      <c r="K79" s="6" t="s">
        <v>61</v>
      </c>
      <c r="L79" s="6" t="s">
        <v>314</v>
      </c>
      <c r="M79" s="6" t="s">
        <v>314</v>
      </c>
      <c r="N79" s="6" t="s">
        <v>314</v>
      </c>
      <c r="O79" s="6" t="s">
        <v>62</v>
      </c>
      <c r="P79" s="166" t="s">
        <v>3319</v>
      </c>
      <c r="Q79" s="6" t="s">
        <v>1217</v>
      </c>
      <c r="R79" s="6" t="s">
        <v>303</v>
      </c>
      <c r="S79" s="6" t="s">
        <v>305</v>
      </c>
      <c r="T79" s="164" t="s">
        <v>3320</v>
      </c>
      <c r="U79" s="129">
        <v>3.3719999999999999</v>
      </c>
      <c r="V79" s="131">
        <v>26.195</v>
      </c>
      <c r="W79" s="131">
        <v>88.328999999999994</v>
      </c>
      <c r="X79" s="132">
        <v>0</v>
      </c>
      <c r="Y79" s="132">
        <v>2.9827672437969702E-2</v>
      </c>
      <c r="Z79" s="132">
        <v>7.2675856731988203E-4</v>
      </c>
    </row>
    <row r="80" spans="1:26" x14ac:dyDescent="0.2">
      <c r="A80" s="6">
        <v>559</v>
      </c>
      <c r="B80" s="6">
        <v>7207</v>
      </c>
      <c r="C80" s="6" t="s">
        <v>3321</v>
      </c>
      <c r="D80" s="6" t="s">
        <v>3264</v>
      </c>
      <c r="E80" s="6" t="s">
        <v>78</v>
      </c>
      <c r="F80" s="6" t="s">
        <v>3322</v>
      </c>
      <c r="G80" s="6">
        <v>66611034</v>
      </c>
      <c r="H80" s="6" t="s">
        <v>78</v>
      </c>
      <c r="I80" s="6" t="s">
        <v>280</v>
      </c>
      <c r="J80" s="6" t="s">
        <v>390</v>
      </c>
      <c r="K80" s="6" t="s">
        <v>61</v>
      </c>
      <c r="L80" s="6" t="s">
        <v>53</v>
      </c>
      <c r="M80" s="6" t="s">
        <v>53</v>
      </c>
      <c r="N80" s="6" t="s">
        <v>314</v>
      </c>
      <c r="O80" s="6" t="s">
        <v>62</v>
      </c>
      <c r="P80" s="166" t="s">
        <v>3121</v>
      </c>
      <c r="Q80" s="6" t="s">
        <v>1217</v>
      </c>
      <c r="R80" s="6" t="s">
        <v>303</v>
      </c>
      <c r="S80" s="6" t="s">
        <v>305</v>
      </c>
      <c r="T80" s="164" t="s">
        <v>3323</v>
      </c>
      <c r="U80" s="129">
        <v>3.3719999999999999</v>
      </c>
      <c r="V80" s="131">
        <v>43.912999999999997</v>
      </c>
      <c r="W80" s="131">
        <v>148.07400000000001</v>
      </c>
      <c r="X80" s="132">
        <v>0</v>
      </c>
      <c r="Y80" s="132">
        <v>5.0002902180104399E-2</v>
      </c>
      <c r="Z80" s="132">
        <v>1.21833299684454E-3</v>
      </c>
    </row>
    <row r="81" spans="1:26" x14ac:dyDescent="0.2">
      <c r="A81" s="6">
        <v>559</v>
      </c>
      <c r="B81" s="6">
        <v>7207</v>
      </c>
      <c r="C81" s="6" t="s">
        <v>3324</v>
      </c>
      <c r="D81" s="6" t="s">
        <v>3325</v>
      </c>
      <c r="E81" s="6" t="s">
        <v>430</v>
      </c>
      <c r="F81" s="6" t="s">
        <v>3326</v>
      </c>
      <c r="G81" s="6">
        <v>666109798</v>
      </c>
      <c r="H81" s="6" t="s">
        <v>78</v>
      </c>
      <c r="I81" s="6" t="s">
        <v>280</v>
      </c>
      <c r="J81" s="6" t="s">
        <v>277</v>
      </c>
      <c r="K81" s="6" t="s">
        <v>53</v>
      </c>
      <c r="L81" s="6" t="s">
        <v>53</v>
      </c>
      <c r="M81" s="6" t="s">
        <v>53</v>
      </c>
      <c r="N81" s="6" t="s">
        <v>317</v>
      </c>
      <c r="O81" s="6" t="s">
        <v>62</v>
      </c>
      <c r="P81" s="166" t="s">
        <v>3121</v>
      </c>
      <c r="Q81" s="6" t="s">
        <v>1217</v>
      </c>
      <c r="R81" s="6" t="s">
        <v>303</v>
      </c>
      <c r="S81" s="6" t="s">
        <v>305</v>
      </c>
      <c r="T81" s="164" t="s">
        <v>3327</v>
      </c>
      <c r="U81" s="129">
        <v>3.3719999999999999</v>
      </c>
      <c r="V81" s="131">
        <v>24.725000000000001</v>
      </c>
      <c r="W81" s="131">
        <v>83.373000000000005</v>
      </c>
      <c r="X81" s="132">
        <v>0</v>
      </c>
      <c r="Y81" s="132">
        <v>2.8154110472016099E-2</v>
      </c>
      <c r="Z81" s="132">
        <v>6.8598181884153798E-4</v>
      </c>
    </row>
    <row r="82" spans="1:26" x14ac:dyDescent="0.2">
      <c r="A82" s="6">
        <v>559</v>
      </c>
      <c r="B82" s="6">
        <v>7207</v>
      </c>
      <c r="C82" s="6" t="s">
        <v>3275</v>
      </c>
      <c r="D82" s="6" t="s">
        <v>3276</v>
      </c>
      <c r="E82" s="6" t="s">
        <v>1477</v>
      </c>
      <c r="F82" s="6" t="s">
        <v>3328</v>
      </c>
      <c r="G82" s="6">
        <v>666110671</v>
      </c>
      <c r="H82" s="6" t="s">
        <v>78</v>
      </c>
      <c r="I82" s="6" t="s">
        <v>280</v>
      </c>
      <c r="J82" s="6" t="s">
        <v>390</v>
      </c>
      <c r="K82" s="6" t="s">
        <v>61</v>
      </c>
      <c r="L82" s="6" t="s">
        <v>314</v>
      </c>
      <c r="M82" s="6" t="s">
        <v>314</v>
      </c>
      <c r="N82" s="6" t="s">
        <v>314</v>
      </c>
      <c r="O82" s="6" t="s">
        <v>62</v>
      </c>
      <c r="P82" s="166" t="s">
        <v>3329</v>
      </c>
      <c r="Q82" s="6" t="s">
        <v>1217</v>
      </c>
      <c r="R82" s="6" t="s">
        <v>303</v>
      </c>
      <c r="S82" s="6" t="s">
        <v>305</v>
      </c>
      <c r="T82" s="164" t="s">
        <v>3267</v>
      </c>
      <c r="U82" s="129">
        <v>3.3719999999999999</v>
      </c>
      <c r="V82" s="131">
        <v>62.932000000000002</v>
      </c>
      <c r="W82" s="131">
        <v>212.20699999999999</v>
      </c>
      <c r="X82" s="132">
        <v>0</v>
      </c>
      <c r="Y82" s="132">
        <v>7.1659929949957707E-2</v>
      </c>
      <c r="Z82" s="132">
        <v>1.74601179937791E-3</v>
      </c>
    </row>
    <row r="83" spans="1:26" x14ac:dyDescent="0.2">
      <c r="A83" s="6">
        <v>559</v>
      </c>
      <c r="B83" s="6">
        <v>7207</v>
      </c>
      <c r="C83" s="6" t="s">
        <v>3330</v>
      </c>
      <c r="D83" s="6" t="s">
        <v>3331</v>
      </c>
      <c r="E83" s="6" t="s">
        <v>78</v>
      </c>
      <c r="F83" s="6" t="s">
        <v>3332</v>
      </c>
      <c r="G83" s="6">
        <v>666109236</v>
      </c>
      <c r="H83" s="6" t="s">
        <v>78</v>
      </c>
      <c r="I83" s="6" t="s">
        <v>280</v>
      </c>
      <c r="J83" s="6" t="s">
        <v>390</v>
      </c>
      <c r="K83" s="6" t="s">
        <v>61</v>
      </c>
      <c r="L83" s="6" t="s">
        <v>314</v>
      </c>
      <c r="M83" s="6" t="s">
        <v>204</v>
      </c>
      <c r="N83" s="6" t="s">
        <v>314</v>
      </c>
      <c r="O83" s="6" t="s">
        <v>62</v>
      </c>
      <c r="P83" s="166" t="s">
        <v>3333</v>
      </c>
      <c r="Q83" s="6" t="s">
        <v>1217</v>
      </c>
      <c r="R83" s="6" t="s">
        <v>303</v>
      </c>
      <c r="S83" s="6" t="s">
        <v>305</v>
      </c>
      <c r="T83" s="164" t="s">
        <v>3334</v>
      </c>
      <c r="U83" s="129">
        <v>3.3719999999999999</v>
      </c>
      <c r="V83" s="131">
        <v>78.39</v>
      </c>
      <c r="W83" s="131">
        <v>264.33</v>
      </c>
      <c r="X83" s="132">
        <v>0</v>
      </c>
      <c r="Y83" s="132">
        <v>8.92612924798762E-2</v>
      </c>
      <c r="Z83" s="132">
        <v>2.1748733219027999E-3</v>
      </c>
    </row>
    <row r="84" spans="1:26" x14ac:dyDescent="0.2">
      <c r="A84" s="6">
        <v>559</v>
      </c>
      <c r="B84" s="6">
        <v>7207</v>
      </c>
      <c r="C84" s="6" t="s">
        <v>3335</v>
      </c>
      <c r="D84" s="6" t="s">
        <v>3336</v>
      </c>
      <c r="E84" s="6" t="s">
        <v>767</v>
      </c>
      <c r="F84" s="6" t="s">
        <v>3337</v>
      </c>
      <c r="G84" s="6">
        <v>666110754</v>
      </c>
      <c r="H84" s="6" t="s">
        <v>78</v>
      </c>
      <c r="I84" s="6" t="s">
        <v>280</v>
      </c>
      <c r="J84" s="6" t="s">
        <v>390</v>
      </c>
      <c r="K84" s="6" t="s">
        <v>61</v>
      </c>
      <c r="L84" s="6" t="s">
        <v>314</v>
      </c>
      <c r="M84" s="6" t="s">
        <v>314</v>
      </c>
      <c r="N84" s="6" t="s">
        <v>314</v>
      </c>
      <c r="O84" s="6" t="s">
        <v>62</v>
      </c>
      <c r="P84" s="166" t="s">
        <v>3338</v>
      </c>
      <c r="Q84" s="6" t="s">
        <v>1217</v>
      </c>
      <c r="R84" s="6" t="s">
        <v>303</v>
      </c>
      <c r="S84" s="6" t="s">
        <v>305</v>
      </c>
      <c r="T84" s="164" t="s">
        <v>2313</v>
      </c>
      <c r="U84" s="129">
        <v>3.3719999999999999</v>
      </c>
      <c r="V84" s="131">
        <v>25.600999999999999</v>
      </c>
      <c r="W84" s="131">
        <v>86.328000000000003</v>
      </c>
      <c r="X84" s="132">
        <v>0</v>
      </c>
      <c r="Y84" s="132">
        <v>2.9152021442820201E-2</v>
      </c>
      <c r="Z84" s="132">
        <v>7.1029616482219302E-4</v>
      </c>
    </row>
    <row r="85" spans="1:26" x14ac:dyDescent="0.2">
      <c r="A85" s="6">
        <v>559</v>
      </c>
      <c r="B85" s="6">
        <v>7207</v>
      </c>
      <c r="C85" s="6" t="s">
        <v>3339</v>
      </c>
      <c r="D85" s="6" t="s">
        <v>3340</v>
      </c>
      <c r="E85" s="6" t="s">
        <v>430</v>
      </c>
      <c r="F85" s="6" t="s">
        <v>3341</v>
      </c>
      <c r="G85" s="6">
        <v>666109954</v>
      </c>
      <c r="H85" s="6" t="s">
        <v>78</v>
      </c>
      <c r="I85" s="6" t="s">
        <v>280</v>
      </c>
      <c r="J85" s="6" t="s">
        <v>389</v>
      </c>
      <c r="K85" s="6" t="s">
        <v>61</v>
      </c>
      <c r="L85" s="6" t="s">
        <v>314</v>
      </c>
      <c r="M85" s="6" t="s">
        <v>314</v>
      </c>
      <c r="N85" s="6" t="s">
        <v>314</v>
      </c>
      <c r="O85" s="6" t="s">
        <v>62</v>
      </c>
      <c r="P85" s="166" t="s">
        <v>3121</v>
      </c>
      <c r="Q85" s="6" t="s">
        <v>1217</v>
      </c>
      <c r="R85" s="6" t="s">
        <v>303</v>
      </c>
      <c r="S85" s="6" t="s">
        <v>305</v>
      </c>
      <c r="T85" s="164" t="s">
        <v>2313</v>
      </c>
      <c r="U85" s="129">
        <v>3.3719999999999999</v>
      </c>
      <c r="V85" s="131">
        <v>60.381999999999998</v>
      </c>
      <c r="W85" s="131">
        <v>203.60900000000001</v>
      </c>
      <c r="X85" s="132">
        <v>0</v>
      </c>
      <c r="Y85" s="132">
        <v>6.8756619786704498E-2</v>
      </c>
      <c r="Z85" s="132">
        <v>1.6752719339352001E-3</v>
      </c>
    </row>
    <row r="86" spans="1:26" x14ac:dyDescent="0.2">
      <c r="A86" s="6">
        <v>559</v>
      </c>
      <c r="B86" s="6">
        <v>7207</v>
      </c>
      <c r="C86" s="6" t="s">
        <v>3342</v>
      </c>
      <c r="D86" s="6" t="s">
        <v>3343</v>
      </c>
      <c r="E86" s="6" t="s">
        <v>767</v>
      </c>
      <c r="F86" s="6" t="s">
        <v>3344</v>
      </c>
      <c r="G86" s="6">
        <v>666110883</v>
      </c>
      <c r="H86" s="6" t="s">
        <v>78</v>
      </c>
      <c r="I86" s="6" t="s">
        <v>280</v>
      </c>
      <c r="J86" s="6" t="s">
        <v>275</v>
      </c>
      <c r="K86" s="6" t="s">
        <v>61</v>
      </c>
      <c r="L86" s="6" t="s">
        <v>173</v>
      </c>
      <c r="M86" s="6" t="s">
        <v>315</v>
      </c>
      <c r="N86" s="6" t="s">
        <v>315</v>
      </c>
      <c r="O86" s="6" t="s">
        <v>62</v>
      </c>
      <c r="P86" s="166" t="s">
        <v>3345</v>
      </c>
      <c r="Q86" s="6" t="s">
        <v>1215</v>
      </c>
      <c r="R86" s="6" t="s">
        <v>303</v>
      </c>
      <c r="S86" s="6" t="s">
        <v>305</v>
      </c>
      <c r="T86" s="164" t="s">
        <v>3346</v>
      </c>
      <c r="U86" s="129">
        <v>3.9552</v>
      </c>
      <c r="V86" s="131">
        <v>8.859</v>
      </c>
      <c r="W86" s="131">
        <v>35.039000000000001</v>
      </c>
      <c r="X86" s="132">
        <v>0</v>
      </c>
      <c r="Y86" s="132">
        <v>1.18321305231355E-2</v>
      </c>
      <c r="Z86" s="132">
        <v>2.8829276723548299E-4</v>
      </c>
    </row>
    <row r="87" spans="1:26" x14ac:dyDescent="0.2">
      <c r="A87" s="6">
        <v>559</v>
      </c>
      <c r="B87" s="6">
        <v>7207</v>
      </c>
      <c r="C87" s="6" t="s">
        <v>3347</v>
      </c>
      <c r="D87" s="6" t="s">
        <v>3348</v>
      </c>
      <c r="E87" s="6" t="s">
        <v>767</v>
      </c>
      <c r="F87" s="6" t="s">
        <v>3349</v>
      </c>
      <c r="G87" s="6">
        <v>666110801</v>
      </c>
      <c r="H87" s="6" t="s">
        <v>78</v>
      </c>
      <c r="I87" s="6" t="s">
        <v>280</v>
      </c>
      <c r="J87" s="6" t="s">
        <v>390</v>
      </c>
      <c r="K87" s="6" t="s">
        <v>61</v>
      </c>
      <c r="L87" s="6" t="s">
        <v>314</v>
      </c>
      <c r="M87" s="6" t="s">
        <v>53</v>
      </c>
      <c r="N87" s="6" t="s">
        <v>314</v>
      </c>
      <c r="O87" s="6" t="s">
        <v>62</v>
      </c>
      <c r="P87" s="166" t="s">
        <v>3350</v>
      </c>
      <c r="Q87" s="6" t="s">
        <v>1217</v>
      </c>
      <c r="R87" s="6" t="s">
        <v>303</v>
      </c>
      <c r="S87" s="6" t="s">
        <v>305</v>
      </c>
      <c r="T87" s="164" t="s">
        <v>3351</v>
      </c>
      <c r="U87" s="129">
        <v>3.3719999999999999</v>
      </c>
      <c r="V87" s="131">
        <v>45.280999999999999</v>
      </c>
      <c r="W87" s="131">
        <v>152.68799999999999</v>
      </c>
      <c r="X87" s="132">
        <v>0</v>
      </c>
      <c r="Y87" s="132">
        <v>5.1561040174611397E-2</v>
      </c>
      <c r="Z87" s="132">
        <v>1.2562974119000401E-3</v>
      </c>
    </row>
    <row r="88" spans="1:26" x14ac:dyDescent="0.2">
      <c r="A88" s="6">
        <v>559</v>
      </c>
      <c r="B88" s="6">
        <v>7207</v>
      </c>
      <c r="C88" s="6" t="s">
        <v>3339</v>
      </c>
      <c r="D88" s="6" t="s">
        <v>3340</v>
      </c>
      <c r="E88" s="6" t="s">
        <v>430</v>
      </c>
      <c r="F88" s="6" t="s">
        <v>3352</v>
      </c>
      <c r="G88" s="6">
        <v>666109998</v>
      </c>
      <c r="H88" s="6" t="s">
        <v>78</v>
      </c>
      <c r="I88" t="s">
        <v>280</v>
      </c>
      <c r="J88" s="6" t="s">
        <v>130</v>
      </c>
      <c r="K88" s="6" t="s">
        <v>61</v>
      </c>
      <c r="L88" s="6" t="s">
        <v>313</v>
      </c>
      <c r="M88" s="6" t="s">
        <v>314</v>
      </c>
      <c r="N88" s="6" t="s">
        <v>314</v>
      </c>
      <c r="O88" s="6" t="s">
        <v>62</v>
      </c>
      <c r="P88" s="166" t="s">
        <v>3353</v>
      </c>
      <c r="Q88" s="6" t="s">
        <v>1217</v>
      </c>
      <c r="R88" s="6" t="s">
        <v>303</v>
      </c>
      <c r="S88" s="6" t="s">
        <v>305</v>
      </c>
      <c r="T88" s="164" t="s">
        <v>3299</v>
      </c>
      <c r="U88" s="129">
        <v>3.3719999999999999</v>
      </c>
      <c r="V88" s="131">
        <v>30.576000000000001</v>
      </c>
      <c r="W88" s="131">
        <v>103.10299999999999</v>
      </c>
      <c r="X88" s="132">
        <v>0</v>
      </c>
      <c r="Y88" s="132">
        <v>3.4816704528624599E-2</v>
      </c>
      <c r="Z88" s="132">
        <v>8.4831755996530602E-4</v>
      </c>
    </row>
    <row r="89" spans="1:26" x14ac:dyDescent="0.2">
      <c r="A89" s="6">
        <v>559</v>
      </c>
      <c r="B89" s="6">
        <v>7207</v>
      </c>
      <c r="C89" s="6" t="s">
        <v>3330</v>
      </c>
      <c r="D89" s="6" t="s">
        <v>3331</v>
      </c>
      <c r="E89" s="6" t="s">
        <v>78</v>
      </c>
      <c r="F89" s="6" t="s">
        <v>3354</v>
      </c>
      <c r="G89" s="6">
        <v>666109237</v>
      </c>
      <c r="H89" s="6" t="s">
        <v>78</v>
      </c>
      <c r="I89" s="6" t="s">
        <v>280</v>
      </c>
      <c r="J89" s="6" t="s">
        <v>390</v>
      </c>
      <c r="K89" s="6" t="s">
        <v>61</v>
      </c>
      <c r="L89" s="6" t="s">
        <v>314</v>
      </c>
      <c r="M89" s="6" t="s">
        <v>204</v>
      </c>
      <c r="N89" s="6" t="s">
        <v>314</v>
      </c>
      <c r="O89" s="6" t="s">
        <v>62</v>
      </c>
      <c r="P89" s="166" t="s">
        <v>3355</v>
      </c>
      <c r="Q89" s="6" t="s">
        <v>1217</v>
      </c>
      <c r="R89" s="6" t="s">
        <v>303</v>
      </c>
      <c r="S89" s="6" t="s">
        <v>305</v>
      </c>
      <c r="T89" s="164" t="s">
        <v>3299</v>
      </c>
      <c r="U89" s="129">
        <v>3.3719999999999999</v>
      </c>
      <c r="V89" s="131">
        <v>102.408</v>
      </c>
      <c r="W89" s="131">
        <v>345.32100000000003</v>
      </c>
      <c r="X89" s="132">
        <v>0</v>
      </c>
      <c r="Y89" s="132">
        <v>0.116611148028727</v>
      </c>
      <c r="Z89" s="132">
        <v>2.84125927194381E-3</v>
      </c>
    </row>
    <row r="1048574" spans="12:12" x14ac:dyDescent="0.2">
      <c r="L1048574" s="18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F3974ABF-ED03-4EE6-A93E-37B445BA8A50}">
      <formula1>Fund_Strategy</formula1>
    </dataValidation>
    <dataValidation type="list" allowBlank="1" showInputMessage="1" showErrorMessage="1" sqref="K2:K20" xr:uid="{DE105038-B06A-4C44-818B-CB998992DE23}">
      <formula1>israel_abroad</formula1>
    </dataValidation>
    <dataValidation type="list" allowBlank="1" showInputMessage="1" showErrorMessage="1" sqref="O2:O20" xr:uid="{6B2671E4-5636-48D0-9FAD-91ECBE57CEFD}">
      <formula1>Holding_interest</formula1>
    </dataValidation>
    <dataValidation type="list" allowBlank="1" showInputMessage="1" showErrorMessage="1" sqref="R2:R20" xr:uid="{B9FCD93D-469D-4666-A080-93FF485C4DCD}">
      <formula1>Valuation</formula1>
    </dataValidation>
    <dataValidation type="list" allowBlank="1" showInputMessage="1" showErrorMessage="1" sqref="S2:S20" xr:uid="{36A10ECE-8A9B-4119-B7F2-5A2FD5AE5A5C}">
      <formula1>Dependence_Independence</formula1>
    </dataValidation>
    <dataValidation type="list" allowBlank="1" showInputMessage="1" showErrorMessage="1" sqref="L2:M20" xr:uid="{FAAE920C-D8DB-4ADD-8506-362B891F9148}">
      <formula1>Country_list</formula1>
    </dataValidation>
    <dataValidation type="list" allowBlank="1" showInputMessage="1" showErrorMessage="1" sqref="E2:E20" xr:uid="{09F72D26-D2DD-4EC4-8507-C2C0E36A7018}">
      <formula1>Issuer_Number_Fund</formula1>
    </dataValidation>
    <dataValidation type="list" allowBlank="1" showInputMessage="1" showErrorMessage="1" sqref="H2:H20" xr:uid="{5A2F99C6-7788-4D6A-8B8F-84FE4ABB6427}">
      <formula1>Type_of_Security_ID_Fund</formula1>
    </dataValidation>
    <dataValidation type="list" allowBlank="1" showInputMessage="1" showErrorMessage="1" sqref="N2:N20" xr:uid="{FFF063D0-DD1C-4D2A-958C-45E8E1D38805}">
      <formula1>Country_list_funds</formula1>
    </dataValidation>
    <dataValidation type="list" allowBlank="1" showInputMessage="1" showErrorMessage="1" sqref="L1048574:L1048576" xr:uid="{688A90B8-B147-465E-BFF0-CC71A238FFEE}">
      <formula1>Country</formula1>
    </dataValidation>
  </dataValidation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workbookViewId="0">
      <selection sqref="A1:XFD1048576"/>
    </sheetView>
  </sheetViews>
  <sheetFormatPr defaultColWidth="9" defaultRowHeight="14.25" x14ac:dyDescent="0.2"/>
  <cols>
    <col min="1" max="4" width="11.625" style="6" customWidth="1"/>
    <col min="5" max="5" width="11.625" style="3" customWidth="1"/>
    <col min="6" max="10" width="11.625" style="6" customWidth="1"/>
    <col min="11" max="11" width="11.625" style="3" customWidth="1"/>
    <col min="12" max="29" width="11.625" style="6" customWidth="1"/>
    <col min="30" max="16384" width="9" style="6"/>
  </cols>
  <sheetData>
    <row r="1" spans="1:28" ht="51" x14ac:dyDescent="0.2">
      <c r="A1" s="13" t="s">
        <v>651</v>
      </c>
      <c r="B1" s="13" t="s">
        <v>0</v>
      </c>
      <c r="C1" s="13" t="s">
        <v>724</v>
      </c>
      <c r="D1" s="13" t="s">
        <v>2</v>
      </c>
      <c r="E1" s="13" t="s">
        <v>740</v>
      </c>
      <c r="F1" s="13" t="s">
        <v>1145</v>
      </c>
      <c r="G1" s="13" t="s">
        <v>29</v>
      </c>
      <c r="H1" s="13" t="s">
        <v>28</v>
      </c>
      <c r="I1" s="13" t="s">
        <v>604</v>
      </c>
      <c r="J1" s="13" t="s">
        <v>605</v>
      </c>
      <c r="K1" s="13" t="s">
        <v>609</v>
      </c>
      <c r="L1" s="13" t="s">
        <v>738</v>
      </c>
      <c r="M1" s="13" t="s">
        <v>9</v>
      </c>
      <c r="N1" s="162" t="s">
        <v>666</v>
      </c>
      <c r="O1" s="13" t="s">
        <v>606</v>
      </c>
      <c r="P1" s="162" t="s">
        <v>12</v>
      </c>
      <c r="Q1" s="13" t="s">
        <v>396</v>
      </c>
      <c r="R1" s="13" t="s">
        <v>917</v>
      </c>
      <c r="S1" s="13" t="s">
        <v>372</v>
      </c>
      <c r="T1" s="162" t="s">
        <v>16</v>
      </c>
      <c r="U1" s="136" t="s">
        <v>23</v>
      </c>
      <c r="V1" s="13" t="s">
        <v>613</v>
      </c>
      <c r="W1" s="13" t="s">
        <v>773</v>
      </c>
      <c r="X1" s="136" t="s">
        <v>15</v>
      </c>
      <c r="Y1" s="124" t="s">
        <v>11</v>
      </c>
      <c r="Z1" s="13" t="s">
        <v>1153</v>
      </c>
      <c r="AA1" s="126" t="s">
        <v>19</v>
      </c>
      <c r="AB1" s="126" t="s">
        <v>30</v>
      </c>
    </row>
    <row r="2" spans="1:28" x14ac:dyDescent="0.2">
      <c r="A2" s="18">
        <v>13710</v>
      </c>
      <c r="B2" s="18">
        <v>13711</v>
      </c>
      <c r="C2" s="18" t="s">
        <v>2593</v>
      </c>
      <c r="D2" s="18" t="s">
        <v>2594</v>
      </c>
      <c r="E2" s="12" t="s">
        <v>1477</v>
      </c>
      <c r="F2" s="18" t="s">
        <v>3365</v>
      </c>
      <c r="G2" s="18" t="s">
        <v>3366</v>
      </c>
      <c r="H2" s="18" t="s">
        <v>78</v>
      </c>
      <c r="I2" s="12" t="s">
        <v>53</v>
      </c>
      <c r="J2" s="12" t="s">
        <v>53</v>
      </c>
      <c r="K2" s="18" t="s">
        <v>958</v>
      </c>
      <c r="L2" s="18" t="s">
        <v>2596</v>
      </c>
      <c r="M2" s="18" t="s">
        <v>140</v>
      </c>
      <c r="N2" s="163" t="s">
        <v>1499</v>
      </c>
      <c r="O2" s="18" t="s">
        <v>62</v>
      </c>
      <c r="P2" s="163" t="s">
        <v>3367</v>
      </c>
      <c r="Q2" s="12" t="s">
        <v>1219</v>
      </c>
      <c r="R2" s="18" t="s">
        <v>102</v>
      </c>
      <c r="S2" s="18" t="s">
        <v>3082</v>
      </c>
      <c r="T2" s="163" t="s">
        <v>2313</v>
      </c>
      <c r="U2" s="150">
        <v>27035</v>
      </c>
      <c r="V2" s="151">
        <v>0</v>
      </c>
      <c r="W2" s="151">
        <v>69</v>
      </c>
      <c r="X2" s="150">
        <v>1465.8340000000001</v>
      </c>
      <c r="Y2" s="156">
        <v>1</v>
      </c>
      <c r="Z2" s="151">
        <v>1.0109999999999999</v>
      </c>
      <c r="AA2" s="155">
        <v>0.283143268538466</v>
      </c>
      <c r="AB2" s="155">
        <v>1.4827852989151801E-5</v>
      </c>
    </row>
    <row r="3" spans="1:28" x14ac:dyDescent="0.2">
      <c r="A3" s="18">
        <v>13710</v>
      </c>
      <c r="B3" s="18">
        <v>13711</v>
      </c>
      <c r="C3" s="18" t="s">
        <v>2609</v>
      </c>
      <c r="D3" s="18" t="s">
        <v>2610</v>
      </c>
      <c r="E3" s="12" t="s">
        <v>1477</v>
      </c>
      <c r="F3" s="18" t="s">
        <v>3368</v>
      </c>
      <c r="G3" s="18" t="s">
        <v>3369</v>
      </c>
      <c r="H3" s="18" t="s">
        <v>78</v>
      </c>
      <c r="I3" s="12" t="s">
        <v>53</v>
      </c>
      <c r="J3" s="12" t="s">
        <v>53</v>
      </c>
      <c r="K3" s="18" t="s">
        <v>958</v>
      </c>
      <c r="L3" s="18" t="s">
        <v>2612</v>
      </c>
      <c r="M3" s="18" t="s">
        <v>140</v>
      </c>
      <c r="N3" s="163" t="s">
        <v>3370</v>
      </c>
      <c r="O3" s="18" t="s">
        <v>62</v>
      </c>
      <c r="P3" s="163" t="s">
        <v>3371</v>
      </c>
      <c r="Q3" s="12" t="s">
        <v>1219</v>
      </c>
      <c r="R3" s="18" t="s">
        <v>102</v>
      </c>
      <c r="S3" s="18" t="s">
        <v>3082</v>
      </c>
      <c r="T3" s="163" t="s">
        <v>2313</v>
      </c>
      <c r="U3" s="150">
        <v>35594</v>
      </c>
      <c r="V3" s="151">
        <v>1</v>
      </c>
      <c r="W3" s="151">
        <v>45</v>
      </c>
      <c r="X3" s="150">
        <v>3650.9810000000002</v>
      </c>
      <c r="Y3" s="156">
        <v>1</v>
      </c>
      <c r="Z3" s="151">
        <v>1.643</v>
      </c>
      <c r="AA3" s="155">
        <v>0.45993295271124701</v>
      </c>
      <c r="AB3" s="155">
        <v>2.4086103981463399E-5</v>
      </c>
    </row>
    <row r="4" spans="1:28" x14ac:dyDescent="0.2">
      <c r="A4" s="18">
        <v>13710</v>
      </c>
      <c r="B4" s="18">
        <v>13711</v>
      </c>
      <c r="C4" s="18" t="s">
        <v>2641</v>
      </c>
      <c r="D4" s="18" t="s">
        <v>2642</v>
      </c>
      <c r="E4" s="12" t="s">
        <v>1477</v>
      </c>
      <c r="F4" s="18" t="s">
        <v>3372</v>
      </c>
      <c r="G4" s="18" t="s">
        <v>3373</v>
      </c>
      <c r="H4" s="18" t="s">
        <v>78</v>
      </c>
      <c r="I4" s="12" t="s">
        <v>53</v>
      </c>
      <c r="J4" s="12" t="s">
        <v>53</v>
      </c>
      <c r="K4" s="18" t="s">
        <v>958</v>
      </c>
      <c r="L4" s="18" t="s">
        <v>2644</v>
      </c>
      <c r="M4" s="18" t="s">
        <v>631</v>
      </c>
      <c r="N4" s="163" t="s">
        <v>3374</v>
      </c>
      <c r="O4" s="18" t="s">
        <v>62</v>
      </c>
      <c r="P4" s="163" t="s">
        <v>3375</v>
      </c>
      <c r="Q4" s="12" t="s">
        <v>1219</v>
      </c>
      <c r="R4" s="18" t="s">
        <v>102</v>
      </c>
      <c r="S4" s="18" t="s">
        <v>3082</v>
      </c>
      <c r="T4" s="163" t="s">
        <v>2313</v>
      </c>
      <c r="U4" s="150">
        <v>1100</v>
      </c>
      <c r="V4" s="151">
        <v>1</v>
      </c>
      <c r="W4" s="151">
        <v>1250</v>
      </c>
      <c r="X4" s="150">
        <v>73.421000000000006</v>
      </c>
      <c r="Y4" s="156">
        <v>1</v>
      </c>
      <c r="Z4" s="151">
        <v>0.91800000000000004</v>
      </c>
      <c r="AA4" s="155">
        <v>0.25692377875028699</v>
      </c>
      <c r="AB4" s="155">
        <v>1.3454771644020499E-5</v>
      </c>
    </row>
    <row r="5" spans="1:28" x14ac:dyDescent="0.2">
      <c r="A5" s="18">
        <v>13710</v>
      </c>
      <c r="B5" s="18">
        <v>15444</v>
      </c>
      <c r="C5" s="18" t="s">
        <v>2641</v>
      </c>
      <c r="D5" s="18" t="s">
        <v>2642</v>
      </c>
      <c r="E5" s="12" t="s">
        <v>1477</v>
      </c>
      <c r="F5" s="18" t="s">
        <v>3372</v>
      </c>
      <c r="G5" s="18" t="s">
        <v>3373</v>
      </c>
      <c r="H5" s="18" t="s">
        <v>78</v>
      </c>
      <c r="I5" s="12" t="s">
        <v>53</v>
      </c>
      <c r="J5" s="12" t="s">
        <v>53</v>
      </c>
      <c r="K5" s="18" t="s">
        <v>958</v>
      </c>
      <c r="L5" s="18" t="s">
        <v>2644</v>
      </c>
      <c r="M5" s="18" t="s">
        <v>631</v>
      </c>
      <c r="N5" s="163" t="s">
        <v>3374</v>
      </c>
      <c r="O5" s="18" t="s">
        <v>62</v>
      </c>
      <c r="P5" s="163" t="s">
        <v>3375</v>
      </c>
      <c r="Q5" s="12" t="s">
        <v>1219</v>
      </c>
      <c r="R5" s="18" t="s">
        <v>102</v>
      </c>
      <c r="S5" s="18" t="s">
        <v>3082</v>
      </c>
      <c r="T5" s="163" t="s">
        <v>2313</v>
      </c>
      <c r="U5" s="150">
        <v>1100</v>
      </c>
      <c r="V5" s="151">
        <v>1</v>
      </c>
      <c r="W5" s="151">
        <v>500</v>
      </c>
      <c r="X5" s="150">
        <v>73.421000000000006</v>
      </c>
      <c r="Y5" s="156">
        <v>1</v>
      </c>
      <c r="Z5" s="151">
        <v>0.36699999999999999</v>
      </c>
      <c r="AA5" s="155">
        <v>1</v>
      </c>
      <c r="AB5" s="155">
        <v>4.3973148476681702E-5</v>
      </c>
    </row>
    <row r="6" spans="1:28" x14ac:dyDescent="0.2">
      <c r="A6" s="18">
        <v>559</v>
      </c>
      <c r="B6" s="18">
        <v>556</v>
      </c>
      <c r="C6" s="18" t="s">
        <v>2593</v>
      </c>
      <c r="D6" s="18" t="s">
        <v>2594</v>
      </c>
      <c r="E6" s="12" t="s">
        <v>1477</v>
      </c>
      <c r="F6" s="18" t="s">
        <v>3365</v>
      </c>
      <c r="G6" s="18" t="s">
        <v>3366</v>
      </c>
      <c r="H6" s="18" t="s">
        <v>78</v>
      </c>
      <c r="I6" s="12" t="s">
        <v>53</v>
      </c>
      <c r="J6" s="12" t="s">
        <v>53</v>
      </c>
      <c r="K6" s="18" t="s">
        <v>958</v>
      </c>
      <c r="L6" s="18" t="s">
        <v>2596</v>
      </c>
      <c r="M6" s="18" t="s">
        <v>140</v>
      </c>
      <c r="N6" s="163" t="s">
        <v>1499</v>
      </c>
      <c r="O6" s="18" t="s">
        <v>62</v>
      </c>
      <c r="P6" s="163" t="s">
        <v>3367</v>
      </c>
      <c r="Q6" s="12" t="s">
        <v>1219</v>
      </c>
      <c r="R6" s="18" t="s">
        <v>102</v>
      </c>
      <c r="S6" s="18" t="s">
        <v>3082</v>
      </c>
      <c r="T6" s="163" t="s">
        <v>2313</v>
      </c>
      <c r="U6" s="150">
        <v>27035</v>
      </c>
      <c r="V6" s="151">
        <v>0</v>
      </c>
      <c r="W6" s="151">
        <v>339</v>
      </c>
      <c r="X6" s="150">
        <v>1465.8340000000001</v>
      </c>
      <c r="Y6" s="156">
        <v>1</v>
      </c>
      <c r="Z6" s="151">
        <v>4.9690000000000003</v>
      </c>
      <c r="AA6" s="155">
        <v>0.29164400492783998</v>
      </c>
      <c r="AB6" s="155">
        <v>1.4900675089220401E-5</v>
      </c>
    </row>
    <row r="7" spans="1:28" x14ac:dyDescent="0.2">
      <c r="A7" s="18">
        <v>559</v>
      </c>
      <c r="B7" s="18">
        <v>556</v>
      </c>
      <c r="C7" s="18" t="s">
        <v>2609</v>
      </c>
      <c r="D7" s="18" t="s">
        <v>2610</v>
      </c>
      <c r="E7" s="12" t="s">
        <v>1477</v>
      </c>
      <c r="F7" s="18" t="s">
        <v>3368</v>
      </c>
      <c r="G7" s="18" t="s">
        <v>3369</v>
      </c>
      <c r="H7" s="18" t="s">
        <v>78</v>
      </c>
      <c r="I7" s="12" t="s">
        <v>53</v>
      </c>
      <c r="J7" s="12" t="s">
        <v>53</v>
      </c>
      <c r="K7" s="18" t="s">
        <v>958</v>
      </c>
      <c r="L7" s="18" t="s">
        <v>2612</v>
      </c>
      <c r="M7" s="18" t="s">
        <v>140</v>
      </c>
      <c r="N7" s="163" t="s">
        <v>3370</v>
      </c>
      <c r="O7" s="18" t="s">
        <v>62</v>
      </c>
      <c r="P7" s="163" t="s">
        <v>3371</v>
      </c>
      <c r="Q7" s="12" t="s">
        <v>1219</v>
      </c>
      <c r="R7" s="18" t="s">
        <v>102</v>
      </c>
      <c r="S7" s="18" t="s">
        <v>3082</v>
      </c>
      <c r="T7" s="163" t="s">
        <v>2313</v>
      </c>
      <c r="U7" s="150">
        <v>35594</v>
      </c>
      <c r="V7" s="151">
        <v>1</v>
      </c>
      <c r="W7" s="151">
        <v>225</v>
      </c>
      <c r="X7" s="150">
        <v>3650.9810000000002</v>
      </c>
      <c r="Y7" s="156">
        <v>1</v>
      </c>
      <c r="Z7" s="151">
        <v>8.2149999999999999</v>
      </c>
      <c r="AA7" s="155">
        <v>0.48212620314087801</v>
      </c>
      <c r="AB7" s="155">
        <v>2.46327912921756E-5</v>
      </c>
    </row>
    <row r="8" spans="1:28" x14ac:dyDescent="0.2">
      <c r="A8" s="18">
        <v>559</v>
      </c>
      <c r="B8" s="18">
        <v>556</v>
      </c>
      <c r="C8" s="18" t="s">
        <v>2641</v>
      </c>
      <c r="D8" s="18" t="s">
        <v>2642</v>
      </c>
      <c r="E8" s="12" t="s">
        <v>1477</v>
      </c>
      <c r="F8" s="18" t="s">
        <v>3372</v>
      </c>
      <c r="G8" s="18" t="s">
        <v>3373</v>
      </c>
      <c r="H8" s="18" t="s">
        <v>78</v>
      </c>
      <c r="I8" s="12" t="s">
        <v>53</v>
      </c>
      <c r="J8" s="12" t="s">
        <v>53</v>
      </c>
      <c r="K8" s="18" t="s">
        <v>958</v>
      </c>
      <c r="L8" s="18" t="s">
        <v>2644</v>
      </c>
      <c r="M8" s="18" t="s">
        <v>631</v>
      </c>
      <c r="N8" s="163" t="s">
        <v>3374</v>
      </c>
      <c r="O8" s="18" t="s">
        <v>62</v>
      </c>
      <c r="P8" s="163" t="s">
        <v>3375</v>
      </c>
      <c r="Q8" s="12" t="s">
        <v>1219</v>
      </c>
      <c r="R8" s="18" t="s">
        <v>102</v>
      </c>
      <c r="S8" s="18" t="s">
        <v>3082</v>
      </c>
      <c r="T8" s="163" t="s">
        <v>2313</v>
      </c>
      <c r="U8" s="150">
        <v>1100</v>
      </c>
      <c r="V8" s="151">
        <v>1</v>
      </c>
      <c r="W8" s="151">
        <v>5250</v>
      </c>
      <c r="X8" s="150">
        <v>73.421000000000006</v>
      </c>
      <c r="Y8" s="156">
        <v>1</v>
      </c>
      <c r="Z8" s="151">
        <v>3.855</v>
      </c>
      <c r="AA8" s="155">
        <v>0.22622979193128201</v>
      </c>
      <c r="AB8" s="155">
        <v>1.15585322108851E-5</v>
      </c>
    </row>
    <row r="9" spans="1:28" x14ac:dyDescent="0.2">
      <c r="A9" s="18">
        <v>559</v>
      </c>
      <c r="B9" s="18">
        <v>7205</v>
      </c>
      <c r="C9" s="18" t="s">
        <v>2593</v>
      </c>
      <c r="D9" s="18" t="s">
        <v>2594</v>
      </c>
      <c r="E9" s="12" t="s">
        <v>1477</v>
      </c>
      <c r="F9" s="18" t="s">
        <v>3365</v>
      </c>
      <c r="G9" s="18" t="s">
        <v>3366</v>
      </c>
      <c r="H9" s="18" t="s">
        <v>78</v>
      </c>
      <c r="I9" s="12" t="s">
        <v>53</v>
      </c>
      <c r="J9" s="12" t="s">
        <v>53</v>
      </c>
      <c r="K9" s="18" t="s">
        <v>958</v>
      </c>
      <c r="L9" s="18" t="s">
        <v>2596</v>
      </c>
      <c r="M9" s="18" t="s">
        <v>140</v>
      </c>
      <c r="N9" s="163" t="s">
        <v>1499</v>
      </c>
      <c r="O9" s="18" t="s">
        <v>62</v>
      </c>
      <c r="P9" s="163" t="s">
        <v>3367</v>
      </c>
      <c r="Q9" s="12" t="s">
        <v>1219</v>
      </c>
      <c r="R9" s="18" t="s">
        <v>102</v>
      </c>
      <c r="S9" s="18" t="s">
        <v>3082</v>
      </c>
      <c r="T9" s="163" t="s">
        <v>2313</v>
      </c>
      <c r="U9" s="150">
        <v>27035</v>
      </c>
      <c r="V9" s="151">
        <v>0</v>
      </c>
      <c r="W9" s="151">
        <v>2424</v>
      </c>
      <c r="X9" s="150">
        <v>1465.8340000000001</v>
      </c>
      <c r="Y9" s="156">
        <v>1</v>
      </c>
      <c r="Z9" s="151">
        <v>35.531999999999996</v>
      </c>
      <c r="AA9" s="155">
        <v>0.30728918771331798</v>
      </c>
      <c r="AB9" s="155">
        <v>1.8535491287405798E-5</v>
      </c>
    </row>
    <row r="10" spans="1:28" x14ac:dyDescent="0.2">
      <c r="A10" s="18">
        <v>559</v>
      </c>
      <c r="B10" s="18">
        <v>7205</v>
      </c>
      <c r="C10" s="18" t="s">
        <v>2609</v>
      </c>
      <c r="D10" s="18" t="s">
        <v>2610</v>
      </c>
      <c r="E10" s="12" t="s">
        <v>1477</v>
      </c>
      <c r="F10" s="18" t="s">
        <v>3368</v>
      </c>
      <c r="G10" s="18" t="s">
        <v>3369</v>
      </c>
      <c r="H10" s="18" t="s">
        <v>78</v>
      </c>
      <c r="I10" s="12" t="s">
        <v>53</v>
      </c>
      <c r="J10" s="12" t="s">
        <v>53</v>
      </c>
      <c r="K10" s="18" t="s">
        <v>958</v>
      </c>
      <c r="L10" s="18" t="s">
        <v>2612</v>
      </c>
      <c r="M10" s="18" t="s">
        <v>140</v>
      </c>
      <c r="N10" s="163" t="s">
        <v>3370</v>
      </c>
      <c r="O10" s="18" t="s">
        <v>62</v>
      </c>
      <c r="P10" s="163" t="s">
        <v>3371</v>
      </c>
      <c r="Q10" s="12" t="s">
        <v>1219</v>
      </c>
      <c r="R10" s="18" t="s">
        <v>102</v>
      </c>
      <c r="S10" s="18" t="s">
        <v>3082</v>
      </c>
      <c r="T10" s="163" t="s">
        <v>2313</v>
      </c>
      <c r="U10" s="150">
        <v>35594</v>
      </c>
      <c r="V10" s="151">
        <v>1</v>
      </c>
      <c r="W10" s="151">
        <v>1485</v>
      </c>
      <c r="X10" s="150">
        <v>3650.9810000000002</v>
      </c>
      <c r="Y10" s="156">
        <v>1</v>
      </c>
      <c r="Z10" s="151">
        <v>54.216999999999999</v>
      </c>
      <c r="AA10" s="155">
        <v>0.46888461170173201</v>
      </c>
      <c r="AB10" s="155">
        <v>2.82828260234925E-5</v>
      </c>
    </row>
    <row r="11" spans="1:28" x14ac:dyDescent="0.2">
      <c r="A11" s="18">
        <v>559</v>
      </c>
      <c r="B11" s="18">
        <v>7205</v>
      </c>
      <c r="C11" s="18" t="s">
        <v>2641</v>
      </c>
      <c r="D11" s="18" t="s">
        <v>2642</v>
      </c>
      <c r="E11" s="12" t="s">
        <v>1477</v>
      </c>
      <c r="F11" s="18" t="s">
        <v>3372</v>
      </c>
      <c r="G11" s="18" t="s">
        <v>3373</v>
      </c>
      <c r="H11" s="18" t="s">
        <v>78</v>
      </c>
      <c r="I11" s="12" t="s">
        <v>53</v>
      </c>
      <c r="J11" s="12" t="s">
        <v>53</v>
      </c>
      <c r="K11" s="18" t="s">
        <v>958</v>
      </c>
      <c r="L11" s="18" t="s">
        <v>2644</v>
      </c>
      <c r="M11" s="18" t="s">
        <v>631</v>
      </c>
      <c r="N11" s="163" t="s">
        <v>3374</v>
      </c>
      <c r="O11" s="18" t="s">
        <v>62</v>
      </c>
      <c r="P11" s="163" t="s">
        <v>3375</v>
      </c>
      <c r="Q11" s="12" t="s">
        <v>1219</v>
      </c>
      <c r="R11" s="18" t="s">
        <v>102</v>
      </c>
      <c r="S11" s="18" t="s">
        <v>3082</v>
      </c>
      <c r="T11" s="163" t="s">
        <v>2313</v>
      </c>
      <c r="U11" s="150">
        <v>1100</v>
      </c>
      <c r="V11" s="151">
        <v>1</v>
      </c>
      <c r="W11" s="151">
        <v>35250</v>
      </c>
      <c r="X11" s="150">
        <v>73.421000000000006</v>
      </c>
      <c r="Y11" s="156">
        <v>1</v>
      </c>
      <c r="Z11" s="151">
        <v>25.881</v>
      </c>
      <c r="AA11" s="155">
        <v>0.22382620058495101</v>
      </c>
      <c r="AB11" s="155">
        <v>1.3501056193054201E-5</v>
      </c>
    </row>
    <row r="12" spans="1:28" x14ac:dyDescent="0.2">
      <c r="A12" s="18">
        <v>559</v>
      </c>
      <c r="B12" s="18">
        <v>7206</v>
      </c>
      <c r="C12" s="18" t="s">
        <v>2593</v>
      </c>
      <c r="D12" s="18" t="s">
        <v>2594</v>
      </c>
      <c r="E12" s="12" t="s">
        <v>1477</v>
      </c>
      <c r="F12" s="18" t="s">
        <v>3365</v>
      </c>
      <c r="G12" s="18" t="s">
        <v>3366</v>
      </c>
      <c r="H12" s="18" t="s">
        <v>78</v>
      </c>
      <c r="I12" s="12" t="s">
        <v>53</v>
      </c>
      <c r="J12" s="12" t="s">
        <v>53</v>
      </c>
      <c r="K12" s="18" t="s">
        <v>958</v>
      </c>
      <c r="L12" s="18" t="s">
        <v>2596</v>
      </c>
      <c r="M12" s="18" t="s">
        <v>140</v>
      </c>
      <c r="N12" s="163" t="s">
        <v>1499</v>
      </c>
      <c r="O12" s="18" t="s">
        <v>62</v>
      </c>
      <c r="P12" s="163" t="s">
        <v>3367</v>
      </c>
      <c r="Q12" s="12" t="s">
        <v>1219</v>
      </c>
      <c r="R12" s="18" t="s">
        <v>102</v>
      </c>
      <c r="S12" s="18" t="s">
        <v>3082</v>
      </c>
      <c r="T12" s="163" t="s">
        <v>2313</v>
      </c>
      <c r="U12" s="150">
        <v>27035</v>
      </c>
      <c r="V12" s="151">
        <v>0</v>
      </c>
      <c r="W12" s="151">
        <v>84</v>
      </c>
      <c r="X12" s="150">
        <v>1465.8340000000001</v>
      </c>
      <c r="Y12" s="156">
        <v>1</v>
      </c>
      <c r="Z12" s="151">
        <v>1.2310000000000001</v>
      </c>
      <c r="AA12" s="155">
        <v>0.24281907634837599</v>
      </c>
      <c r="AB12" s="155">
        <v>1.41051881311196E-5</v>
      </c>
    </row>
    <row r="13" spans="1:28" x14ac:dyDescent="0.2">
      <c r="A13" s="18">
        <v>559</v>
      </c>
      <c r="B13" s="18">
        <v>7206</v>
      </c>
      <c r="C13" s="18" t="s">
        <v>2609</v>
      </c>
      <c r="D13" s="18" t="s">
        <v>2610</v>
      </c>
      <c r="E13" s="12" t="s">
        <v>1477</v>
      </c>
      <c r="F13" s="18" t="s">
        <v>3368</v>
      </c>
      <c r="G13" s="18" t="s">
        <v>3369</v>
      </c>
      <c r="H13" s="18" t="s">
        <v>78</v>
      </c>
      <c r="I13" s="12" t="s">
        <v>53</v>
      </c>
      <c r="J13" s="12" t="s">
        <v>53</v>
      </c>
      <c r="K13" s="18" t="s">
        <v>958</v>
      </c>
      <c r="L13" s="18" t="s">
        <v>2612</v>
      </c>
      <c r="M13" s="18" t="s">
        <v>140</v>
      </c>
      <c r="N13" s="163" t="s">
        <v>3370</v>
      </c>
      <c r="O13" s="18" t="s">
        <v>62</v>
      </c>
      <c r="P13" s="163" t="s">
        <v>3371</v>
      </c>
      <c r="Q13" s="12" t="s">
        <v>1219</v>
      </c>
      <c r="R13" s="18" t="s">
        <v>102</v>
      </c>
      <c r="S13" s="18" t="s">
        <v>3082</v>
      </c>
      <c r="T13" s="163" t="s">
        <v>2313</v>
      </c>
      <c r="U13" s="150">
        <v>35594</v>
      </c>
      <c r="V13" s="151">
        <v>1</v>
      </c>
      <c r="W13" s="151">
        <v>75</v>
      </c>
      <c r="X13" s="150">
        <v>3650.9810000000002</v>
      </c>
      <c r="Y13" s="156">
        <v>1</v>
      </c>
      <c r="Z13" s="151">
        <v>2.738</v>
      </c>
      <c r="AA13" s="155">
        <v>0.53999488044978095</v>
      </c>
      <c r="AB13" s="155">
        <v>3.1367920070900103E-5</v>
      </c>
    </row>
    <row r="14" spans="1:28" x14ac:dyDescent="0.2">
      <c r="A14" s="18">
        <v>559</v>
      </c>
      <c r="B14" s="18">
        <v>7206</v>
      </c>
      <c r="C14" s="18" t="s">
        <v>2641</v>
      </c>
      <c r="D14" s="18" t="s">
        <v>2642</v>
      </c>
      <c r="E14" s="12" t="s">
        <v>1477</v>
      </c>
      <c r="F14" s="18" t="s">
        <v>3372</v>
      </c>
      <c r="G14" s="18" t="s">
        <v>3373</v>
      </c>
      <c r="H14" s="18" t="s">
        <v>78</v>
      </c>
      <c r="I14" s="12" t="s">
        <v>53</v>
      </c>
      <c r="J14" s="12" t="s">
        <v>53</v>
      </c>
      <c r="K14" s="18" t="s">
        <v>958</v>
      </c>
      <c r="L14" s="18" t="s">
        <v>2644</v>
      </c>
      <c r="M14" s="18" t="s">
        <v>631</v>
      </c>
      <c r="N14" s="163" t="s">
        <v>3374</v>
      </c>
      <c r="O14" s="18" t="s">
        <v>62</v>
      </c>
      <c r="P14" s="163" t="s">
        <v>3375</v>
      </c>
      <c r="Q14" s="12" t="s">
        <v>1219</v>
      </c>
      <c r="R14" s="18" t="s">
        <v>102</v>
      </c>
      <c r="S14" s="18" t="s">
        <v>3082</v>
      </c>
      <c r="T14" s="163" t="s">
        <v>2313</v>
      </c>
      <c r="U14" s="150">
        <v>1100</v>
      </c>
      <c r="V14" s="151">
        <v>1</v>
      </c>
      <c r="W14" s="151">
        <v>1500</v>
      </c>
      <c r="X14" s="150">
        <v>73.421000000000006</v>
      </c>
      <c r="Y14" s="156">
        <v>1</v>
      </c>
      <c r="Z14" s="151">
        <v>1.101</v>
      </c>
      <c r="AA14" s="155">
        <v>0.21718604320184401</v>
      </c>
      <c r="AB14" s="155">
        <v>1.2616183394175799E-5</v>
      </c>
    </row>
    <row r="15" spans="1:28" x14ac:dyDescent="0.2">
      <c r="A15" s="18">
        <v>559</v>
      </c>
      <c r="B15" s="18">
        <v>7207</v>
      </c>
      <c r="C15" s="18" t="s">
        <v>2593</v>
      </c>
      <c r="D15" s="18" t="s">
        <v>2594</v>
      </c>
      <c r="E15" s="12" t="s">
        <v>1477</v>
      </c>
      <c r="F15" s="18" t="s">
        <v>3365</v>
      </c>
      <c r="G15" s="18" t="s">
        <v>3366</v>
      </c>
      <c r="H15" s="18" t="s">
        <v>78</v>
      </c>
      <c r="I15" s="12" t="s">
        <v>53</v>
      </c>
      <c r="J15" s="12" t="s">
        <v>53</v>
      </c>
      <c r="K15" s="18" t="s">
        <v>958</v>
      </c>
      <c r="L15" s="18" t="s">
        <v>2596</v>
      </c>
      <c r="M15" s="18" t="s">
        <v>140</v>
      </c>
      <c r="N15" s="163" t="s">
        <v>1499</v>
      </c>
      <c r="O15" s="18" t="s">
        <v>62</v>
      </c>
      <c r="P15" s="163" t="s">
        <v>3367</v>
      </c>
      <c r="Q15" s="12" t="s">
        <v>1219</v>
      </c>
      <c r="R15" s="18" t="s">
        <v>102</v>
      </c>
      <c r="S15" s="18" t="s">
        <v>3082</v>
      </c>
      <c r="T15" s="163" t="s">
        <v>2313</v>
      </c>
      <c r="U15" s="150">
        <v>27035</v>
      </c>
      <c r="V15" s="151">
        <v>0</v>
      </c>
      <c r="W15" s="151">
        <v>54</v>
      </c>
      <c r="X15" s="150">
        <v>1465.8340000000001</v>
      </c>
      <c r="Y15" s="156">
        <v>1</v>
      </c>
      <c r="Z15" s="151">
        <v>0.79200000000000004</v>
      </c>
      <c r="AA15" s="155">
        <v>0.23612452998721001</v>
      </c>
      <c r="AB15" s="155">
        <v>6.5127734315075299E-6</v>
      </c>
    </row>
    <row r="16" spans="1:28" x14ac:dyDescent="0.2">
      <c r="A16" s="18">
        <v>559</v>
      </c>
      <c r="B16" s="18">
        <v>7207</v>
      </c>
      <c r="C16" s="18" t="s">
        <v>2609</v>
      </c>
      <c r="D16" s="18" t="s">
        <v>2610</v>
      </c>
      <c r="E16" s="12" t="s">
        <v>1477</v>
      </c>
      <c r="F16" s="18" t="s">
        <v>3368</v>
      </c>
      <c r="G16" s="18" t="s">
        <v>3369</v>
      </c>
      <c r="H16" s="18" t="s">
        <v>78</v>
      </c>
      <c r="I16" s="12" t="s">
        <v>53</v>
      </c>
      <c r="J16" s="12" t="s">
        <v>53</v>
      </c>
      <c r="K16" s="18" t="s">
        <v>958</v>
      </c>
      <c r="L16" s="18" t="s">
        <v>2612</v>
      </c>
      <c r="M16" s="18" t="s">
        <v>140</v>
      </c>
      <c r="N16" s="163" t="s">
        <v>3370</v>
      </c>
      <c r="O16" s="18" t="s">
        <v>62</v>
      </c>
      <c r="P16" s="163" t="s">
        <v>3371</v>
      </c>
      <c r="Q16" s="12" t="s">
        <v>1219</v>
      </c>
      <c r="R16" s="18" t="s">
        <v>102</v>
      </c>
      <c r="S16" s="18" t="s">
        <v>3082</v>
      </c>
      <c r="T16" s="163" t="s">
        <v>2313</v>
      </c>
      <c r="U16" s="150">
        <v>35594</v>
      </c>
      <c r="V16" s="151">
        <v>1</v>
      </c>
      <c r="W16" s="151">
        <v>45</v>
      </c>
      <c r="X16" s="150">
        <v>3650.9810000000002</v>
      </c>
      <c r="Y16" s="156">
        <v>1</v>
      </c>
      <c r="Z16" s="151">
        <v>1.643</v>
      </c>
      <c r="AA16" s="155">
        <v>0.49010002279029502</v>
      </c>
      <c r="AB16" s="155">
        <v>1.3517911109797699E-5</v>
      </c>
    </row>
    <row r="17" spans="1:28" x14ac:dyDescent="0.2">
      <c r="A17" s="18">
        <v>559</v>
      </c>
      <c r="B17" s="18">
        <v>7207</v>
      </c>
      <c r="C17" s="18" t="s">
        <v>2641</v>
      </c>
      <c r="D17" s="18" t="s">
        <v>2642</v>
      </c>
      <c r="E17" s="12" t="s">
        <v>1477</v>
      </c>
      <c r="F17" s="18" t="s">
        <v>3372</v>
      </c>
      <c r="G17" s="18" t="s">
        <v>3373</v>
      </c>
      <c r="H17" s="18" t="s">
        <v>78</v>
      </c>
      <c r="I17" s="12" t="s">
        <v>53</v>
      </c>
      <c r="J17" s="12" t="s">
        <v>53</v>
      </c>
      <c r="K17" s="18" t="s">
        <v>958</v>
      </c>
      <c r="L17" s="18" t="s">
        <v>2644</v>
      </c>
      <c r="M17" s="18" t="s">
        <v>631</v>
      </c>
      <c r="N17" s="163" t="s">
        <v>3374</v>
      </c>
      <c r="O17" s="18" t="s">
        <v>62</v>
      </c>
      <c r="P17" s="163" t="s">
        <v>3375</v>
      </c>
      <c r="Q17" s="12" t="s">
        <v>1219</v>
      </c>
      <c r="R17" s="18" t="s">
        <v>102</v>
      </c>
      <c r="S17" s="18" t="s">
        <v>3082</v>
      </c>
      <c r="T17" s="163" t="s">
        <v>2313</v>
      </c>
      <c r="U17" s="150">
        <v>1100</v>
      </c>
      <c r="V17" s="151">
        <v>1</v>
      </c>
      <c r="W17" s="151">
        <v>1250</v>
      </c>
      <c r="X17" s="150">
        <v>73.421000000000006</v>
      </c>
      <c r="Y17" s="156">
        <v>1</v>
      </c>
      <c r="Z17" s="151">
        <v>0.91800000000000004</v>
      </c>
      <c r="AA17" s="155">
        <v>0.27377544722249503</v>
      </c>
      <c r="AB17" s="155">
        <v>7.5512589012515501E-6</v>
      </c>
    </row>
    <row r="18" spans="1:28" x14ac:dyDescent="0.2">
      <c r="A18" s="18"/>
      <c r="B18" s="18"/>
      <c r="C18" s="18"/>
      <c r="D18" s="18"/>
      <c r="E18" s="12"/>
      <c r="F18" s="18"/>
      <c r="G18" s="18"/>
      <c r="H18" s="18"/>
      <c r="I18" s="12"/>
      <c r="J18" s="12"/>
      <c r="K18" s="18"/>
      <c r="L18" s="18"/>
      <c r="M18" s="18"/>
      <c r="N18" s="18"/>
      <c r="O18" s="18"/>
      <c r="P18" s="18"/>
      <c r="Q18" s="12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 spans="1:28" x14ac:dyDescent="0.2">
      <c r="A19" s="18"/>
      <c r="B19" s="18"/>
      <c r="C19" s="18"/>
      <c r="D19" s="18"/>
      <c r="E19" s="12"/>
      <c r="F19" s="18"/>
      <c r="G19" s="18"/>
      <c r="H19" s="18"/>
      <c r="I19" s="12"/>
      <c r="J19" s="12"/>
      <c r="K19" s="18"/>
      <c r="L19" s="18"/>
      <c r="M19" s="18"/>
      <c r="N19" s="18"/>
      <c r="O19" s="18"/>
      <c r="P19" s="18"/>
      <c r="Q19" s="12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 spans="1:28" x14ac:dyDescent="0.2">
      <c r="E20" s="12"/>
      <c r="H20" s="18"/>
      <c r="I20" s="12"/>
      <c r="J20" s="12"/>
      <c r="K20" s="18"/>
      <c r="M20" s="18"/>
      <c r="O20" s="18"/>
      <c r="S20" s="18"/>
    </row>
    <row r="24" spans="1:28" x14ac:dyDescent="0.2">
      <c r="K24" s="6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E48D1AF-D8F9-492D-9CD4-93EFECE10714}">
      <formula1>israel_abroad</formula1>
    </dataValidation>
    <dataValidation type="list" allowBlank="1" showInputMessage="1" showErrorMessage="1" sqref="O2:O20" xr:uid="{FEBB0550-E4CD-46CA-B036-82646040C977}">
      <formula1>Holding_interest</formula1>
    </dataValidation>
    <dataValidation type="list" allowBlank="1" showInputMessage="1" showErrorMessage="1" sqref="R2:R19" xr:uid="{978F7C4D-C48E-4FC3-9468-F5033B4020B1}">
      <formula1>Valuation</formula1>
    </dataValidation>
    <dataValidation type="list" allowBlank="1" showInputMessage="1" showErrorMessage="1" sqref="S2:S20" xr:uid="{C7EC533F-0374-4A0D-8DFB-5606E64D5FEA}">
      <formula1>Dependence_Independence</formula1>
    </dataValidation>
    <dataValidation type="list" allowBlank="1" showInputMessage="1" showErrorMessage="1" sqref="J2:J20" xr:uid="{4440B77B-C02F-4503-9960-3DBBDDB59459}">
      <formula1>Country_list</formula1>
    </dataValidation>
    <dataValidation type="list" allowBlank="1" showInputMessage="1" showErrorMessage="1" sqref="H2:H20" xr:uid="{98420BF6-BC0F-4DAA-AC91-24709BB82C13}">
      <formula1>Type_of_Security_ID</formula1>
    </dataValidation>
    <dataValidation type="list" allowBlank="1" showInputMessage="1" showErrorMessage="1" sqref="E2" xr:uid="{C244205F-EBBE-4763-8864-4F6A31C400E5}">
      <formula1>Issuer_Number_Type_3</formula1>
    </dataValidation>
    <dataValidation type="list" allowBlank="1" showInputMessage="1" showErrorMessage="1" sqref="E3:E20" xr:uid="{8CF5DF79-6874-41B7-8EF7-269E8D73F95E}">
      <formula1>Issuer_Number_Type_2</formula1>
    </dataValidation>
    <dataValidation type="list" allowBlank="1" showInputMessage="1" showErrorMessage="1" sqref="M2:M20" xr:uid="{1CEB2B37-D39C-4F14-AF80-359ABC16B81A}">
      <formula1>Industry_Sector</formula1>
    </dataValidation>
    <dataValidation type="list" allowBlank="1" showInputMessage="1" showErrorMessage="1" sqref="K2:K20" xr:uid="{4C7D4B76-E108-4EB6-BF84-95473A8FA5D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3" customWidth="1"/>
    <col min="6" max="23" width="11.625" style="2" customWidth="1"/>
    <col min="24" max="24" width="11" style="2" bestFit="1" customWidth="1"/>
    <col min="25" max="25" width="8.625" style="2" bestFit="1" customWidth="1"/>
    <col min="26" max="28" width="11.625" style="2" customWidth="1"/>
    <col min="29" max="29" width="11.625" style="2" hidden="1" customWidth="1"/>
    <col min="30" max="16384" width="9" style="2" hidden="1"/>
  </cols>
  <sheetData>
    <row r="1" spans="1:28" ht="51" x14ac:dyDescent="0.2">
      <c r="A1" s="13" t="s">
        <v>651</v>
      </c>
      <c r="B1" s="13" t="s">
        <v>0</v>
      </c>
      <c r="C1" s="13" t="s">
        <v>724</v>
      </c>
      <c r="D1" s="13" t="s">
        <v>2</v>
      </c>
      <c r="E1" s="13" t="s">
        <v>740</v>
      </c>
      <c r="F1" s="13" t="s">
        <v>1145</v>
      </c>
      <c r="G1" s="13" t="s">
        <v>29</v>
      </c>
      <c r="H1" s="13" t="s">
        <v>28</v>
      </c>
      <c r="I1" s="13" t="s">
        <v>1</v>
      </c>
      <c r="J1" s="13" t="s">
        <v>604</v>
      </c>
      <c r="K1" s="13" t="s">
        <v>605</v>
      </c>
      <c r="L1" s="13" t="s">
        <v>9</v>
      </c>
      <c r="M1" s="13" t="s">
        <v>10</v>
      </c>
      <c r="N1" s="13" t="s">
        <v>666</v>
      </c>
      <c r="O1" s="13" t="s">
        <v>606</v>
      </c>
      <c r="P1" s="13" t="s">
        <v>12</v>
      </c>
      <c r="Q1" s="13" t="s">
        <v>396</v>
      </c>
      <c r="R1" s="13" t="s">
        <v>917</v>
      </c>
      <c r="S1" s="13" t="s">
        <v>372</v>
      </c>
      <c r="T1" s="13" t="s">
        <v>16</v>
      </c>
      <c r="U1" s="13" t="s">
        <v>23</v>
      </c>
      <c r="V1" s="13" t="s">
        <v>613</v>
      </c>
      <c r="W1" s="13" t="s">
        <v>773</v>
      </c>
      <c r="X1" s="13" t="s">
        <v>15</v>
      </c>
      <c r="Y1" s="13" t="s">
        <v>11</v>
      </c>
      <c r="Z1" s="13" t="s">
        <v>771</v>
      </c>
      <c r="AA1" s="13" t="s">
        <v>19</v>
      </c>
      <c r="AB1" s="13" t="s">
        <v>30</v>
      </c>
    </row>
    <row r="2" spans="1:28" x14ac:dyDescent="0.2">
      <c r="A2" s="14"/>
      <c r="B2" s="14"/>
      <c r="C2" s="14"/>
      <c r="D2" s="14"/>
      <c r="E2" s="12"/>
      <c r="F2" s="14"/>
      <c r="G2" s="14"/>
      <c r="H2" s="14"/>
      <c r="I2" s="14"/>
      <c r="J2" s="12"/>
      <c r="K2" s="12"/>
      <c r="L2" s="14"/>
      <c r="M2" s="14"/>
      <c r="N2" s="14"/>
      <c r="O2" s="14"/>
      <c r="P2" s="14"/>
      <c r="Q2" s="12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x14ac:dyDescent="0.2">
      <c r="A3" s="14"/>
      <c r="B3" s="14"/>
      <c r="C3" s="14"/>
      <c r="D3" s="14"/>
      <c r="E3" s="12"/>
      <c r="F3" s="14"/>
      <c r="G3" s="14"/>
      <c r="H3" s="14"/>
      <c r="I3" s="14"/>
      <c r="J3" s="12"/>
      <c r="K3" s="12"/>
      <c r="L3" s="14"/>
      <c r="M3" s="14"/>
      <c r="N3" s="14"/>
      <c r="O3" s="14"/>
      <c r="P3" s="14"/>
      <c r="Q3" s="12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28" x14ac:dyDescent="0.2">
      <c r="A4" s="14"/>
      <c r="B4" s="14"/>
      <c r="C4" s="14"/>
      <c r="D4" s="14"/>
      <c r="E4" s="12"/>
      <c r="F4" s="14"/>
      <c r="G4" s="14"/>
      <c r="H4" s="14"/>
      <c r="I4" s="14"/>
      <c r="J4" s="12"/>
      <c r="K4" s="12"/>
      <c r="L4" s="14"/>
      <c r="M4" s="14"/>
      <c r="N4" s="14"/>
      <c r="O4" s="14"/>
      <c r="P4" s="14"/>
      <c r="Q4" s="12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spans="1:28" x14ac:dyDescent="0.2">
      <c r="A5" s="14"/>
      <c r="B5" s="14"/>
      <c r="C5" s="14"/>
      <c r="D5" s="14"/>
      <c r="E5" s="12"/>
      <c r="F5" s="14"/>
      <c r="G5" s="14"/>
      <c r="H5" s="14"/>
      <c r="I5" s="14"/>
      <c r="J5" s="12"/>
      <c r="K5" s="12"/>
      <c r="L5" s="14"/>
      <c r="M5" s="14"/>
      <c r="N5" s="14"/>
      <c r="O5" s="14"/>
      <c r="P5" s="14"/>
      <c r="Q5" s="12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 spans="1:28" x14ac:dyDescent="0.2">
      <c r="A6" s="14"/>
      <c r="B6" s="14"/>
      <c r="C6" s="14"/>
      <c r="D6" s="14"/>
      <c r="E6" s="12"/>
      <c r="F6" s="14"/>
      <c r="G6" s="14"/>
      <c r="H6" s="14"/>
      <c r="I6" s="14"/>
      <c r="J6" s="12"/>
      <c r="K6" s="12"/>
      <c r="L6" s="14"/>
      <c r="M6" s="14"/>
      <c r="N6" s="14"/>
      <c r="O6" s="14"/>
      <c r="P6" s="14"/>
      <c r="Q6" s="12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spans="1:28" x14ac:dyDescent="0.2">
      <c r="A7" s="14"/>
      <c r="B7" s="14"/>
      <c r="C7" s="14"/>
      <c r="D7" s="14"/>
      <c r="E7" s="12"/>
      <c r="F7" s="14"/>
      <c r="G7" s="14"/>
      <c r="H7" s="14"/>
      <c r="I7" s="14"/>
      <c r="J7" s="12"/>
      <c r="K7" s="12"/>
      <c r="L7" s="14"/>
      <c r="M7" s="14"/>
      <c r="N7" s="14"/>
      <c r="O7" s="14"/>
      <c r="P7" s="14"/>
      <c r="Q7" s="12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spans="1:28" x14ac:dyDescent="0.2">
      <c r="A8" s="14"/>
      <c r="B8" s="14"/>
      <c r="C8" s="14"/>
      <c r="D8" s="14"/>
      <c r="E8" s="12"/>
      <c r="F8" s="14"/>
      <c r="G8" s="14"/>
      <c r="H8" s="14"/>
      <c r="I8" s="14"/>
      <c r="J8" s="12"/>
      <c r="K8" s="12"/>
      <c r="L8" s="14"/>
      <c r="M8" s="14"/>
      <c r="N8" s="14"/>
      <c r="O8" s="14"/>
      <c r="P8" s="14"/>
      <c r="Q8" s="12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spans="1:28" x14ac:dyDescent="0.2">
      <c r="A9" s="14"/>
      <c r="B9" s="14"/>
      <c r="C9" s="14"/>
      <c r="D9" s="14"/>
      <c r="E9" s="12"/>
      <c r="F9" s="14"/>
      <c r="G9" s="14"/>
      <c r="H9" s="14"/>
      <c r="I9" s="14"/>
      <c r="J9" s="12"/>
      <c r="K9" s="12"/>
      <c r="L9" s="14"/>
      <c r="M9" s="14"/>
      <c r="N9" s="14"/>
      <c r="O9" s="14"/>
      <c r="P9" s="14"/>
      <c r="Q9" s="12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spans="1:28" x14ac:dyDescent="0.2">
      <c r="A10" s="14"/>
      <c r="B10" s="14"/>
      <c r="C10" s="14"/>
      <c r="D10" s="14"/>
      <c r="E10" s="12"/>
      <c r="F10" s="14"/>
      <c r="G10" s="14"/>
      <c r="H10" s="14"/>
      <c r="I10" s="14"/>
      <c r="J10" s="12"/>
      <c r="K10" s="12"/>
      <c r="L10" s="14"/>
      <c r="M10" s="14"/>
      <c r="N10" s="14"/>
      <c r="O10" s="14"/>
      <c r="P10" s="14"/>
      <c r="Q10" s="12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spans="1:28" x14ac:dyDescent="0.2">
      <c r="A11" s="14"/>
      <c r="B11" s="14"/>
      <c r="C11" s="14"/>
      <c r="D11" s="14"/>
      <c r="E11" s="12"/>
      <c r="F11" s="14"/>
      <c r="G11" s="14"/>
      <c r="H11" s="14"/>
      <c r="I11" s="14"/>
      <c r="J11" s="12"/>
      <c r="K11" s="12"/>
      <c r="L11" s="14"/>
      <c r="M11" s="14"/>
      <c r="N11" s="14"/>
      <c r="O11" s="14"/>
      <c r="P11" s="14"/>
      <c r="Q11" s="12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spans="1:28" x14ac:dyDescent="0.2">
      <c r="A12" s="14"/>
      <c r="B12" s="14"/>
      <c r="C12" s="14"/>
      <c r="D12" s="14"/>
      <c r="E12" s="12"/>
      <c r="F12" s="14"/>
      <c r="G12" s="14"/>
      <c r="H12" s="14"/>
      <c r="I12" s="14"/>
      <c r="J12" s="12"/>
      <c r="K12" s="12"/>
      <c r="L12" s="14"/>
      <c r="M12" s="14"/>
      <c r="N12" s="14"/>
      <c r="O12" s="14"/>
      <c r="P12" s="14"/>
      <c r="Q12" s="12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 spans="1:28" x14ac:dyDescent="0.2">
      <c r="A13" s="14"/>
      <c r="B13" s="14"/>
      <c r="C13" s="14"/>
      <c r="D13" s="14"/>
      <c r="E13" s="12"/>
      <c r="F13" s="14"/>
      <c r="G13" s="14"/>
      <c r="H13" s="14"/>
      <c r="I13" s="14"/>
      <c r="J13" s="12"/>
      <c r="K13" s="12"/>
      <c r="L13" s="14"/>
      <c r="M13" s="14"/>
      <c r="N13" s="14"/>
      <c r="O13" s="14"/>
      <c r="P13" s="14"/>
      <c r="Q13" s="12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spans="1:28" x14ac:dyDescent="0.2">
      <c r="A14" s="14"/>
      <c r="B14" s="14"/>
      <c r="C14" s="14"/>
      <c r="D14" s="14"/>
      <c r="E14" s="12"/>
      <c r="F14" s="14"/>
      <c r="G14" s="14"/>
      <c r="H14" s="14"/>
      <c r="I14" s="14"/>
      <c r="J14" s="12"/>
      <c r="K14" s="12"/>
      <c r="L14" s="14"/>
      <c r="M14" s="14"/>
      <c r="N14" s="14"/>
      <c r="O14" s="14"/>
      <c r="P14" s="14"/>
      <c r="Q14" s="12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 spans="1:28" x14ac:dyDescent="0.2">
      <c r="A15" s="14"/>
      <c r="B15" s="14"/>
      <c r="C15" s="14"/>
      <c r="D15" s="14"/>
      <c r="E15" s="12"/>
      <c r="F15" s="14"/>
      <c r="G15" s="14"/>
      <c r="H15" s="14"/>
      <c r="I15" s="14"/>
      <c r="J15" s="12"/>
      <c r="K15" s="12"/>
      <c r="L15" s="14"/>
      <c r="M15" s="14"/>
      <c r="N15" s="14"/>
      <c r="O15" s="14"/>
      <c r="P15" s="14"/>
      <c r="Q15" s="12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spans="1:28" x14ac:dyDescent="0.2">
      <c r="A16" s="14"/>
      <c r="B16" s="14"/>
      <c r="C16" s="14"/>
      <c r="D16" s="14"/>
      <c r="E16" s="12"/>
      <c r="F16" s="14"/>
      <c r="G16" s="14"/>
      <c r="H16" s="14"/>
      <c r="I16" s="14"/>
      <c r="J16" s="12"/>
      <c r="K16" s="12"/>
      <c r="L16" s="14"/>
      <c r="M16" s="14"/>
      <c r="N16" s="14"/>
      <c r="O16" s="14"/>
      <c r="P16" s="14"/>
      <c r="Q16" s="12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spans="1:28" x14ac:dyDescent="0.2">
      <c r="A17" s="14"/>
      <c r="B17" s="14"/>
      <c r="C17" s="14"/>
      <c r="D17" s="14"/>
      <c r="E17" s="12"/>
      <c r="F17" s="14"/>
      <c r="G17" s="14"/>
      <c r="H17" s="14"/>
      <c r="I17" s="14"/>
      <c r="J17" s="12"/>
      <c r="K17" s="12"/>
      <c r="L17" s="14"/>
      <c r="M17" s="14"/>
      <c r="N17" s="14"/>
      <c r="O17" s="14"/>
      <c r="P17" s="14"/>
      <c r="Q17" s="12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 spans="1:28" x14ac:dyDescent="0.2">
      <c r="A18" s="14"/>
      <c r="B18" s="14"/>
      <c r="C18" s="14"/>
      <c r="D18" s="14"/>
      <c r="E18" s="12"/>
      <c r="F18" s="14"/>
      <c r="G18" s="14"/>
      <c r="H18" s="14"/>
      <c r="I18" s="14"/>
      <c r="J18" s="12"/>
      <c r="K18" s="12"/>
      <c r="L18" s="14"/>
      <c r="M18" s="14"/>
      <c r="N18" s="14"/>
      <c r="O18" s="14"/>
      <c r="P18" s="14"/>
      <c r="Q18" s="12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 spans="1:28" x14ac:dyDescent="0.2">
      <c r="A19" s="14"/>
      <c r="B19" s="14"/>
      <c r="C19" s="14"/>
      <c r="D19" s="14"/>
      <c r="E19" s="12"/>
      <c r="F19" s="14"/>
      <c r="G19" s="14"/>
      <c r="H19" s="14"/>
      <c r="I19" s="14"/>
      <c r="J19" s="12"/>
      <c r="K19" s="12"/>
      <c r="L19" s="14"/>
      <c r="M19" s="14"/>
      <c r="N19" s="14"/>
      <c r="O19" s="14"/>
      <c r="P19" s="14"/>
      <c r="Q19" s="12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1:28" x14ac:dyDescent="0.2">
      <c r="E20" s="12"/>
      <c r="H20" s="14"/>
      <c r="I20" s="14"/>
      <c r="J20" s="12"/>
      <c r="K20" s="12"/>
      <c r="L20" s="14"/>
      <c r="M20" s="14"/>
      <c r="O20" s="14"/>
      <c r="R20" s="14"/>
      <c r="S20" s="14"/>
    </row>
    <row r="21" spans="1:28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6"/>
  <sheetViews>
    <sheetView rightToLeft="1" topLeftCell="L1" workbookViewId="0">
      <selection activeCell="J22" sqref="J22"/>
    </sheetView>
  </sheetViews>
  <sheetFormatPr defaultColWidth="9" defaultRowHeight="14.25" x14ac:dyDescent="0.2"/>
  <cols>
    <col min="1" max="6" width="11.625" style="117" customWidth="1"/>
    <col min="7" max="7" width="14.25" style="117" bestFit="1" customWidth="1"/>
    <col min="8" max="8" width="11.625" style="117" customWidth="1"/>
    <col min="9" max="10" width="11.625" style="185" customWidth="1"/>
    <col min="11" max="13" width="11.625" style="117" customWidth="1"/>
    <col min="14" max="14" width="14.25" style="117" bestFit="1" customWidth="1"/>
    <col min="15" max="15" width="11.625" style="117" customWidth="1"/>
    <col min="16" max="17" width="11.625" style="185" customWidth="1"/>
    <col min="18" max="33" width="11.625" style="117" customWidth="1"/>
    <col min="34" max="34" width="11.625" style="186" customWidth="1"/>
    <col min="35" max="41" width="11.625" style="117" customWidth="1"/>
    <col min="42" max="16384" width="9" style="117"/>
  </cols>
  <sheetData>
    <row r="1" spans="1:41" ht="51" x14ac:dyDescent="0.2">
      <c r="A1" s="169" t="s">
        <v>651</v>
      </c>
      <c r="B1" s="169" t="s">
        <v>0</v>
      </c>
      <c r="C1" s="169" t="s">
        <v>1</v>
      </c>
      <c r="D1" s="169" t="s">
        <v>418</v>
      </c>
      <c r="E1" s="169" t="s">
        <v>798</v>
      </c>
      <c r="F1" s="170" t="s">
        <v>11</v>
      </c>
      <c r="G1" s="169" t="s">
        <v>326</v>
      </c>
      <c r="H1" s="169" t="s">
        <v>330</v>
      </c>
      <c r="I1" s="171" t="s">
        <v>328</v>
      </c>
      <c r="J1" s="171" t="s">
        <v>329</v>
      </c>
      <c r="K1" s="169" t="s">
        <v>419</v>
      </c>
      <c r="L1" s="169" t="s">
        <v>799</v>
      </c>
      <c r="M1" s="170" t="s">
        <v>11</v>
      </c>
      <c r="N1" s="169" t="s">
        <v>327</v>
      </c>
      <c r="O1" s="169" t="s">
        <v>331</v>
      </c>
      <c r="P1" s="171" t="s">
        <v>943</v>
      </c>
      <c r="Q1" s="171" t="s">
        <v>348</v>
      </c>
      <c r="R1" s="169" t="s">
        <v>1155</v>
      </c>
      <c r="S1" s="169" t="s">
        <v>604</v>
      </c>
      <c r="T1" s="169" t="s">
        <v>605</v>
      </c>
      <c r="U1" s="169" t="s">
        <v>464</v>
      </c>
      <c r="V1" s="169" t="s">
        <v>343</v>
      </c>
      <c r="W1" s="169" t="s">
        <v>463</v>
      </c>
      <c r="X1" s="169" t="s">
        <v>99</v>
      </c>
      <c r="Y1" s="169" t="s">
        <v>606</v>
      </c>
      <c r="Z1" s="169" t="s">
        <v>365</v>
      </c>
      <c r="AA1" s="169" t="s">
        <v>366</v>
      </c>
      <c r="AB1" s="169" t="s">
        <v>612</v>
      </c>
      <c r="AC1" s="169" t="s">
        <v>308</v>
      </c>
      <c r="AD1" s="169" t="s">
        <v>368</v>
      </c>
      <c r="AE1" s="169" t="s">
        <v>737</v>
      </c>
      <c r="AF1" s="169" t="s">
        <v>309</v>
      </c>
      <c r="AG1" s="169" t="s">
        <v>310</v>
      </c>
      <c r="AH1" s="172" t="s">
        <v>349</v>
      </c>
      <c r="AI1" s="169" t="s">
        <v>367</v>
      </c>
      <c r="AJ1" s="169" t="s">
        <v>617</v>
      </c>
      <c r="AK1" s="169" t="s">
        <v>364</v>
      </c>
      <c r="AL1" s="169" t="s">
        <v>458</v>
      </c>
      <c r="AM1" s="169" t="s">
        <v>436</v>
      </c>
      <c r="AN1" s="173" t="s">
        <v>19</v>
      </c>
      <c r="AO1" s="173" t="s">
        <v>30</v>
      </c>
    </row>
    <row r="2" spans="1:41" x14ac:dyDescent="0.2">
      <c r="A2" s="117" t="s">
        <v>3376</v>
      </c>
      <c r="B2" s="117" t="s">
        <v>3377</v>
      </c>
      <c r="C2" s="117" t="s">
        <v>400</v>
      </c>
      <c r="D2" s="9" t="s">
        <v>3378</v>
      </c>
      <c r="E2" s="117" t="s">
        <v>1215</v>
      </c>
      <c r="F2" s="174">
        <v>3.9552</v>
      </c>
      <c r="G2" s="175">
        <v>957226.8</v>
      </c>
      <c r="H2" s="176">
        <v>954.31749073624599</v>
      </c>
      <c r="I2" s="177">
        <v>4.1999999999999998E-5</v>
      </c>
      <c r="J2" s="177">
        <v>3.0000000000000001E-6</v>
      </c>
      <c r="K2" s="117" t="s">
        <v>3378</v>
      </c>
      <c r="L2" s="117" t="s">
        <v>1215</v>
      </c>
      <c r="M2" s="174">
        <v>3.9552</v>
      </c>
      <c r="N2" s="175">
        <v>-957226.8</v>
      </c>
      <c r="O2" s="175">
        <v>-957.22680000000003</v>
      </c>
      <c r="P2" s="177">
        <v>-3.0000000000000001E-6</v>
      </c>
      <c r="Q2" s="177">
        <v>4.6E-5</v>
      </c>
      <c r="R2" s="175">
        <v>-11.5069</v>
      </c>
      <c r="S2" s="117" t="s">
        <v>61</v>
      </c>
      <c r="T2" s="178" t="s">
        <v>313</v>
      </c>
      <c r="U2" s="117" t="s">
        <v>97</v>
      </c>
      <c r="V2" s="117" t="s">
        <v>398</v>
      </c>
      <c r="W2" s="117" t="s">
        <v>688</v>
      </c>
      <c r="X2" s="117" t="s">
        <v>3379</v>
      </c>
      <c r="Y2" s="117" t="s">
        <v>62</v>
      </c>
      <c r="Z2" s="9" t="s">
        <v>3345</v>
      </c>
      <c r="AA2" s="179" t="s">
        <v>3380</v>
      </c>
      <c r="AB2" s="117" t="s">
        <v>359</v>
      </c>
      <c r="AC2" s="117" t="s">
        <v>3381</v>
      </c>
      <c r="AD2" s="117" t="s">
        <v>55</v>
      </c>
      <c r="AE2" s="117" t="s">
        <v>341</v>
      </c>
      <c r="AF2" s="117" t="s">
        <v>324</v>
      </c>
      <c r="AG2" s="117" t="s">
        <v>356</v>
      </c>
      <c r="AH2" s="180">
        <v>1.9210000000000001E-2</v>
      </c>
      <c r="AI2" s="175">
        <v>23909.61</v>
      </c>
      <c r="AJ2" s="117" t="s">
        <v>3382</v>
      </c>
      <c r="AK2" s="117" t="s">
        <v>62</v>
      </c>
      <c r="AL2" s="117" t="s">
        <v>3383</v>
      </c>
      <c r="AM2" s="117" t="s">
        <v>3384</v>
      </c>
      <c r="AN2" s="181">
        <v>-1.9999999999999999E-6</v>
      </c>
      <c r="AO2" s="181">
        <v>0</v>
      </c>
    </row>
    <row r="3" spans="1:41" x14ac:dyDescent="0.2">
      <c r="A3" s="117" t="s">
        <v>3376</v>
      </c>
      <c r="B3" s="117" t="s">
        <v>3377</v>
      </c>
      <c r="C3" s="117" t="s">
        <v>400</v>
      </c>
      <c r="D3" s="9" t="s">
        <v>3385</v>
      </c>
      <c r="E3" s="117" t="s">
        <v>1217</v>
      </c>
      <c r="F3" s="174">
        <v>3.3719999999999999</v>
      </c>
      <c r="G3" s="175">
        <v>1292692</v>
      </c>
      <c r="H3" s="176">
        <v>1369.7055260972716</v>
      </c>
      <c r="I3" s="177">
        <v>6.0000000000000002E-5</v>
      </c>
      <c r="J3" s="177">
        <v>3.9999999999999998E-6</v>
      </c>
      <c r="K3" s="117" t="s">
        <v>3385</v>
      </c>
      <c r="L3" s="117" t="s">
        <v>1217</v>
      </c>
      <c r="M3" s="174">
        <v>3.3719999999999999</v>
      </c>
      <c r="N3" s="175">
        <v>-1292692</v>
      </c>
      <c r="O3" s="175">
        <v>-1292.692</v>
      </c>
      <c r="P3" s="177">
        <v>-3.9999999999999998E-6</v>
      </c>
      <c r="Q3" s="177">
        <v>6.3E-5</v>
      </c>
      <c r="R3" s="175">
        <v>259.68961000000002</v>
      </c>
      <c r="S3" s="117" t="s">
        <v>61</v>
      </c>
      <c r="T3" s="178" t="s">
        <v>314</v>
      </c>
      <c r="U3" s="117" t="s">
        <v>97</v>
      </c>
      <c r="V3" s="117" t="s">
        <v>398</v>
      </c>
      <c r="W3" s="117" t="s">
        <v>688</v>
      </c>
      <c r="X3" s="117" t="s">
        <v>3386</v>
      </c>
      <c r="Y3" s="117" t="s">
        <v>62</v>
      </c>
      <c r="Z3" s="9" t="s">
        <v>3387</v>
      </c>
      <c r="AA3" s="179" t="s">
        <v>3388</v>
      </c>
      <c r="AB3" s="117" t="s">
        <v>359</v>
      </c>
      <c r="AC3" s="117" t="s">
        <v>3381</v>
      </c>
      <c r="AD3" s="117" t="s">
        <v>55</v>
      </c>
      <c r="AE3" s="117" t="s">
        <v>341</v>
      </c>
      <c r="AF3" s="117" t="s">
        <v>325</v>
      </c>
      <c r="AG3" s="117" t="s">
        <v>356</v>
      </c>
      <c r="AH3" s="180">
        <v>4.2905800000000001E-2</v>
      </c>
      <c r="AI3" s="175">
        <v>27494.05</v>
      </c>
      <c r="AJ3" s="117" t="s">
        <v>3382</v>
      </c>
      <c r="AK3" s="117" t="s">
        <v>62</v>
      </c>
      <c r="AL3" s="117" t="s">
        <v>3383</v>
      </c>
      <c r="AM3" s="117" t="s">
        <v>3384</v>
      </c>
      <c r="AN3" s="181">
        <v>5.1999999999999997E-5</v>
      </c>
      <c r="AO3" s="181">
        <v>9.9999999999999995E-7</v>
      </c>
    </row>
    <row r="4" spans="1:41" x14ac:dyDescent="0.2">
      <c r="A4" s="117" t="s">
        <v>3376</v>
      </c>
      <c r="B4" s="117" t="s">
        <v>3377</v>
      </c>
      <c r="C4" s="117" t="s">
        <v>400</v>
      </c>
      <c r="D4" s="9" t="s">
        <v>3389</v>
      </c>
      <c r="E4" s="117" t="s">
        <v>1214</v>
      </c>
      <c r="F4" s="174">
        <v>2.2031999999999998</v>
      </c>
      <c r="G4" s="175">
        <v>1020889.8</v>
      </c>
      <c r="H4" s="176">
        <v>1019.6357604212055</v>
      </c>
      <c r="I4" s="177">
        <v>4.5000000000000003E-5</v>
      </c>
      <c r="J4" s="177">
        <v>3.0000000000000001E-6</v>
      </c>
      <c r="K4" s="117" t="s">
        <v>3389</v>
      </c>
      <c r="L4" s="117" t="s">
        <v>1214</v>
      </c>
      <c r="M4" s="174">
        <v>2.2031999999999998</v>
      </c>
      <c r="N4" s="175">
        <v>-1020889.8</v>
      </c>
      <c r="O4" s="175">
        <v>-1020.8898</v>
      </c>
      <c r="P4" s="177">
        <v>-3.0000000000000001E-6</v>
      </c>
      <c r="Q4" s="177">
        <v>5.0000000000000002E-5</v>
      </c>
      <c r="R4" s="175">
        <v>-2.7629000000000001</v>
      </c>
      <c r="S4" s="117" t="s">
        <v>61</v>
      </c>
      <c r="T4" s="178" t="s">
        <v>67</v>
      </c>
      <c r="U4" s="117" t="s">
        <v>97</v>
      </c>
      <c r="V4" s="117" t="s">
        <v>398</v>
      </c>
      <c r="W4" s="117" t="s">
        <v>688</v>
      </c>
      <c r="X4" s="117" t="s">
        <v>3390</v>
      </c>
      <c r="Y4" s="117" t="s">
        <v>62</v>
      </c>
      <c r="Z4" s="9" t="s">
        <v>3267</v>
      </c>
      <c r="AA4" s="179" t="s">
        <v>1247</v>
      </c>
      <c r="AB4" s="117" t="s">
        <v>359</v>
      </c>
      <c r="AC4" s="117" t="s">
        <v>3381</v>
      </c>
      <c r="AD4" s="117" t="s">
        <v>55</v>
      </c>
      <c r="AE4" s="117" t="s">
        <v>341</v>
      </c>
      <c r="AF4" s="117" t="s">
        <v>3391</v>
      </c>
      <c r="AG4" s="117" t="s">
        <v>359</v>
      </c>
      <c r="AH4" s="180">
        <v>3.61E-2</v>
      </c>
      <c r="AI4" s="175">
        <v>113592.8</v>
      </c>
      <c r="AJ4" s="117" t="s">
        <v>3382</v>
      </c>
      <c r="AK4" s="117" t="s">
        <v>62</v>
      </c>
      <c r="AL4" s="117" t="s">
        <v>3383</v>
      </c>
      <c r="AM4" s="117" t="s">
        <v>3384</v>
      </c>
      <c r="AN4" s="181">
        <v>-9.9999999999999995E-7</v>
      </c>
      <c r="AO4" s="181">
        <v>0</v>
      </c>
    </row>
    <row r="5" spans="1:41" x14ac:dyDescent="0.2">
      <c r="A5" s="117" t="s">
        <v>3376</v>
      </c>
      <c r="B5" s="117" t="s">
        <v>3377</v>
      </c>
      <c r="C5" s="117" t="s">
        <v>400</v>
      </c>
      <c r="D5" s="9" t="s">
        <v>3392</v>
      </c>
      <c r="E5" s="117" t="s">
        <v>1216</v>
      </c>
      <c r="F5" s="174">
        <v>0.42899999999999999</v>
      </c>
      <c r="G5" s="175">
        <v>2136156.12</v>
      </c>
      <c r="H5" s="176">
        <v>2960.3451176689982</v>
      </c>
      <c r="I5" s="177">
        <v>1.2999999999999999E-4</v>
      </c>
      <c r="J5" s="177">
        <v>7.9999999999999996E-6</v>
      </c>
      <c r="K5" s="117" t="s">
        <v>3392</v>
      </c>
      <c r="L5" s="117" t="s">
        <v>1216</v>
      </c>
      <c r="M5" s="174">
        <v>0.42899999999999999</v>
      </c>
      <c r="N5" s="175">
        <v>-2136156.12</v>
      </c>
      <c r="O5" s="175">
        <v>-2136.1561200000001</v>
      </c>
      <c r="P5" s="177">
        <v>-6.9999999999999999E-6</v>
      </c>
      <c r="Q5" s="177">
        <v>1.0399999999999999E-4</v>
      </c>
      <c r="R5" s="182">
        <v>353.57708000000002</v>
      </c>
      <c r="S5" s="117" t="s">
        <v>61</v>
      </c>
      <c r="T5" s="178" t="s">
        <v>159</v>
      </c>
      <c r="U5" s="117" t="s">
        <v>97</v>
      </c>
      <c r="V5" s="117" t="s">
        <v>398</v>
      </c>
      <c r="W5" s="117" t="s">
        <v>688</v>
      </c>
      <c r="X5" s="117" t="s">
        <v>3393</v>
      </c>
      <c r="Y5" s="117" t="s">
        <v>62</v>
      </c>
      <c r="Z5" s="9" t="s">
        <v>3394</v>
      </c>
      <c r="AA5" s="179" t="s">
        <v>3395</v>
      </c>
      <c r="AB5" s="117" t="s">
        <v>362</v>
      </c>
      <c r="AC5" s="117" t="s">
        <v>3381</v>
      </c>
      <c r="AD5" s="117" t="s">
        <v>55</v>
      </c>
      <c r="AE5" s="117" t="s">
        <v>341</v>
      </c>
      <c r="AF5" s="117" t="s">
        <v>362</v>
      </c>
      <c r="AG5" s="117" t="s">
        <v>362</v>
      </c>
      <c r="AH5" s="180" t="s">
        <v>362</v>
      </c>
      <c r="AI5" s="175">
        <v>84906.39</v>
      </c>
      <c r="AJ5" s="117" t="s">
        <v>3382</v>
      </c>
      <c r="AK5" s="117" t="s">
        <v>62</v>
      </c>
      <c r="AL5" s="117" t="s">
        <v>3383</v>
      </c>
      <c r="AM5" s="117" t="s">
        <v>3384</v>
      </c>
      <c r="AN5" s="181">
        <v>7.1000000000000005E-5</v>
      </c>
      <c r="AO5" s="181">
        <v>9.9999999999999995E-7</v>
      </c>
    </row>
    <row r="6" spans="1:41" x14ac:dyDescent="0.2">
      <c r="A6" s="117" t="s">
        <v>3376</v>
      </c>
      <c r="B6" s="117" t="s">
        <v>3377</v>
      </c>
      <c r="C6" s="117" t="s">
        <v>400</v>
      </c>
      <c r="D6" s="9" t="s">
        <v>3396</v>
      </c>
      <c r="E6" s="117" t="s">
        <v>1217</v>
      </c>
      <c r="F6" s="174">
        <v>3.3719999999999999</v>
      </c>
      <c r="G6" s="175">
        <v>966847.72000000009</v>
      </c>
      <c r="H6" s="176">
        <v>1092.0218451482801</v>
      </c>
      <c r="I6" s="177">
        <v>4.8000000000000001E-5</v>
      </c>
      <c r="J6" s="177">
        <v>3.0000000000000001E-6</v>
      </c>
      <c r="K6" s="117" t="s">
        <v>3396</v>
      </c>
      <c r="L6" s="117" t="s">
        <v>1217</v>
      </c>
      <c r="M6" s="174">
        <v>3.3719999999999999</v>
      </c>
      <c r="N6" s="175">
        <v>-966847.72000000009</v>
      </c>
      <c r="O6" s="175">
        <v>-966.84772000000009</v>
      </c>
      <c r="P6" s="177">
        <v>-3.0000000000000001E-6</v>
      </c>
      <c r="Q6" s="177">
        <v>4.6999999999999997E-5</v>
      </c>
      <c r="R6" s="175">
        <v>422.08715000000001</v>
      </c>
      <c r="S6" s="117" t="s">
        <v>61</v>
      </c>
      <c r="T6" s="178" t="s">
        <v>314</v>
      </c>
      <c r="U6" s="117" t="s">
        <v>97</v>
      </c>
      <c r="V6" s="117" t="s">
        <v>398</v>
      </c>
      <c r="W6" s="117" t="s">
        <v>688</v>
      </c>
      <c r="X6" s="117" t="s">
        <v>3386</v>
      </c>
      <c r="Y6" s="117" t="s">
        <v>62</v>
      </c>
      <c r="Z6" s="9" t="s">
        <v>3397</v>
      </c>
      <c r="AA6" s="179" t="s">
        <v>3398</v>
      </c>
      <c r="AB6" s="117" t="s">
        <v>359</v>
      </c>
      <c r="AC6" s="117" t="s">
        <v>3381</v>
      </c>
      <c r="AD6" s="117" t="s">
        <v>55</v>
      </c>
      <c r="AE6" s="117" t="s">
        <v>341</v>
      </c>
      <c r="AF6" s="117" t="s">
        <v>325</v>
      </c>
      <c r="AG6" s="117" t="s">
        <v>356</v>
      </c>
      <c r="AH6" s="180">
        <v>4.2905800000000001E-2</v>
      </c>
      <c r="AI6" s="175">
        <v>27494.05</v>
      </c>
      <c r="AJ6" s="117" t="s">
        <v>3382</v>
      </c>
      <c r="AK6" s="117" t="s">
        <v>62</v>
      </c>
      <c r="AL6" s="117" t="s">
        <v>3383</v>
      </c>
      <c r="AM6" s="117" t="s">
        <v>3384</v>
      </c>
      <c r="AN6" s="181">
        <v>8.5000000000000006E-5</v>
      </c>
      <c r="AO6" s="181">
        <v>9.9999999999999995E-7</v>
      </c>
    </row>
    <row r="7" spans="1:41" x14ac:dyDescent="0.2">
      <c r="A7" s="117" t="s">
        <v>3376</v>
      </c>
      <c r="B7" s="117" t="s">
        <v>3377</v>
      </c>
      <c r="C7" s="117" t="s">
        <v>400</v>
      </c>
      <c r="D7" s="9" t="s">
        <v>3399</v>
      </c>
      <c r="E7" s="117" t="s">
        <v>1217</v>
      </c>
      <c r="F7" s="174">
        <v>3.3719999999999999</v>
      </c>
      <c r="G7" s="175">
        <v>602121.52800000005</v>
      </c>
      <c r="H7" s="176">
        <v>633.24764899644128</v>
      </c>
      <c r="I7" s="177">
        <v>2.8E-5</v>
      </c>
      <c r="J7" s="177">
        <v>1.9999999999999999E-6</v>
      </c>
      <c r="K7" s="117" t="s">
        <v>3399</v>
      </c>
      <c r="L7" s="117" t="s">
        <v>1217</v>
      </c>
      <c r="M7" s="174">
        <v>3.3719999999999999</v>
      </c>
      <c r="N7" s="175">
        <v>-602121.52800000005</v>
      </c>
      <c r="O7" s="175">
        <v>-602.12152800000001</v>
      </c>
      <c r="P7" s="177">
        <v>-1.9999999999999999E-6</v>
      </c>
      <c r="Q7" s="177">
        <v>2.9E-5</v>
      </c>
      <c r="R7" s="175">
        <v>104.95728</v>
      </c>
      <c r="S7" s="117" t="s">
        <v>61</v>
      </c>
      <c r="T7" s="178" t="s">
        <v>314</v>
      </c>
      <c r="U7" s="117" t="s">
        <v>97</v>
      </c>
      <c r="V7" s="117" t="s">
        <v>398</v>
      </c>
      <c r="W7" s="117" t="s">
        <v>688</v>
      </c>
      <c r="X7" s="117" t="s">
        <v>3400</v>
      </c>
      <c r="Y7" s="117" t="s">
        <v>62</v>
      </c>
      <c r="Z7" s="9" t="s">
        <v>3401</v>
      </c>
      <c r="AA7" s="179" t="s">
        <v>3402</v>
      </c>
      <c r="AB7" s="117" t="s">
        <v>359</v>
      </c>
      <c r="AC7" s="117" t="s">
        <v>3381</v>
      </c>
      <c r="AD7" s="117" t="s">
        <v>55</v>
      </c>
      <c r="AE7" s="117" t="s">
        <v>341</v>
      </c>
      <c r="AF7" s="117" t="s">
        <v>325</v>
      </c>
      <c r="AG7" s="117" t="s">
        <v>356</v>
      </c>
      <c r="AH7" s="180">
        <v>4.2905800000000001E-2</v>
      </c>
      <c r="AI7" s="175">
        <v>661.49900000000002</v>
      </c>
      <c r="AJ7" s="117" t="s">
        <v>3382</v>
      </c>
      <c r="AK7" s="117" t="s">
        <v>62</v>
      </c>
      <c r="AL7" s="117" t="s">
        <v>3383</v>
      </c>
      <c r="AM7" s="117" t="s">
        <v>3384</v>
      </c>
      <c r="AN7" s="181">
        <v>2.0999999999999999E-5</v>
      </c>
      <c r="AO7" s="181">
        <v>0</v>
      </c>
    </row>
    <row r="8" spans="1:41" x14ac:dyDescent="0.2">
      <c r="A8" s="117" t="s">
        <v>3376</v>
      </c>
      <c r="B8" s="117" t="s">
        <v>3377</v>
      </c>
      <c r="C8" s="117" t="s">
        <v>400</v>
      </c>
      <c r="D8" s="9" t="s">
        <v>3403</v>
      </c>
      <c r="E8" s="117" t="s">
        <v>1217</v>
      </c>
      <c r="F8" s="174">
        <v>3.3719999999999999</v>
      </c>
      <c r="G8" s="175">
        <v>2579712.5</v>
      </c>
      <c r="H8" s="176">
        <v>3192.251900948992</v>
      </c>
      <c r="I8" s="177">
        <v>1.3999999999999999E-4</v>
      </c>
      <c r="J8" s="177">
        <v>9.0000000000000002E-6</v>
      </c>
      <c r="K8" s="117" t="s">
        <v>3403</v>
      </c>
      <c r="L8" s="117" t="s">
        <v>1217</v>
      </c>
      <c r="M8" s="174">
        <v>3.3719999999999999</v>
      </c>
      <c r="N8" s="175">
        <v>-2579712.5</v>
      </c>
      <c r="O8" s="175">
        <v>-2579.7125000000001</v>
      </c>
      <c r="P8" s="177">
        <v>-7.9999999999999996E-6</v>
      </c>
      <c r="Q8" s="177">
        <v>1.25E-4</v>
      </c>
      <c r="R8" s="175">
        <v>2065.4828600000001</v>
      </c>
      <c r="S8" s="117" t="s">
        <v>61</v>
      </c>
      <c r="T8" s="178" t="s">
        <v>314</v>
      </c>
      <c r="U8" s="117" t="s">
        <v>97</v>
      </c>
      <c r="V8" s="117" t="s">
        <v>398</v>
      </c>
      <c r="W8" s="117" t="s">
        <v>688</v>
      </c>
      <c r="X8" s="117" t="s">
        <v>3404</v>
      </c>
      <c r="Y8" s="117" t="s">
        <v>62</v>
      </c>
      <c r="Z8" s="9" t="s">
        <v>3405</v>
      </c>
      <c r="AA8" s="179" t="s">
        <v>3406</v>
      </c>
      <c r="AB8" s="117" t="s">
        <v>359</v>
      </c>
      <c r="AC8" s="117" t="s">
        <v>3381</v>
      </c>
      <c r="AD8" s="117" t="s">
        <v>55</v>
      </c>
      <c r="AE8" s="117" t="s">
        <v>341</v>
      </c>
      <c r="AF8" s="117" t="s">
        <v>325</v>
      </c>
      <c r="AG8" s="117" t="s">
        <v>356</v>
      </c>
      <c r="AH8" s="180">
        <v>4.2905800000000001E-2</v>
      </c>
      <c r="AI8" s="175">
        <v>13712.71</v>
      </c>
      <c r="AJ8" s="117" t="s">
        <v>3382</v>
      </c>
      <c r="AK8" s="117" t="s">
        <v>62</v>
      </c>
      <c r="AL8" s="117" t="s">
        <v>3383</v>
      </c>
      <c r="AM8" s="117" t="s">
        <v>3384</v>
      </c>
      <c r="AN8" s="181">
        <v>4.1599999999999997E-4</v>
      </c>
      <c r="AO8" s="181">
        <v>6.0000000000000002E-6</v>
      </c>
    </row>
    <row r="9" spans="1:41" x14ac:dyDescent="0.2">
      <c r="A9" s="117" t="s">
        <v>3376</v>
      </c>
      <c r="B9" s="117" t="s">
        <v>3377</v>
      </c>
      <c r="C9" s="117" t="s">
        <v>400</v>
      </c>
      <c r="D9" s="9" t="s">
        <v>3407</v>
      </c>
      <c r="E9" s="117" t="s">
        <v>1217</v>
      </c>
      <c r="F9" s="174">
        <v>3.3719999999999999</v>
      </c>
      <c r="G9" s="175">
        <v>1719651.4600000002</v>
      </c>
      <c r="H9" s="176">
        <v>1858.2370827758009</v>
      </c>
      <c r="I9" s="177">
        <v>8.2000000000000001E-5</v>
      </c>
      <c r="J9" s="177">
        <v>5.0000000000000004E-6</v>
      </c>
      <c r="K9" s="117" t="s">
        <v>3407</v>
      </c>
      <c r="L9" s="117" t="s">
        <v>1217</v>
      </c>
      <c r="M9" s="174">
        <v>3.3719999999999999</v>
      </c>
      <c r="N9" s="175">
        <v>-1719651.4600000002</v>
      </c>
      <c r="O9" s="175">
        <v>-1719.6514600000003</v>
      </c>
      <c r="P9" s="177">
        <v>-5.0000000000000004E-6</v>
      </c>
      <c r="Q9" s="177">
        <v>8.3999999999999995E-5</v>
      </c>
      <c r="R9" s="175">
        <v>467.31072</v>
      </c>
      <c r="S9" s="117" t="s">
        <v>61</v>
      </c>
      <c r="T9" s="178" t="s">
        <v>314</v>
      </c>
      <c r="U9" s="117" t="s">
        <v>97</v>
      </c>
      <c r="V9" s="117" t="s">
        <v>398</v>
      </c>
      <c r="W9" s="117" t="s">
        <v>688</v>
      </c>
      <c r="X9" s="117" t="s">
        <v>3408</v>
      </c>
      <c r="Y9" s="117" t="s">
        <v>62</v>
      </c>
      <c r="Z9" s="9" t="s">
        <v>3409</v>
      </c>
      <c r="AA9" s="179" t="s">
        <v>3410</v>
      </c>
      <c r="AB9" s="117" t="s">
        <v>359</v>
      </c>
      <c r="AC9" s="117" t="s">
        <v>3381</v>
      </c>
      <c r="AD9" s="117" t="s">
        <v>55</v>
      </c>
      <c r="AE9" s="117" t="s">
        <v>341</v>
      </c>
      <c r="AF9" s="117" t="s">
        <v>325</v>
      </c>
      <c r="AG9" s="117" t="s">
        <v>356</v>
      </c>
      <c r="AH9" s="180">
        <v>4.2905800000000001E-2</v>
      </c>
      <c r="AI9" s="175">
        <v>11844.8</v>
      </c>
      <c r="AJ9" s="117" t="s">
        <v>3382</v>
      </c>
      <c r="AK9" s="117" t="s">
        <v>62</v>
      </c>
      <c r="AL9" s="117" t="s">
        <v>3383</v>
      </c>
      <c r="AM9" s="117" t="s">
        <v>3384</v>
      </c>
      <c r="AN9" s="181">
        <v>9.3999999999999994E-5</v>
      </c>
      <c r="AO9" s="181">
        <v>9.9999999999999995E-7</v>
      </c>
    </row>
    <row r="10" spans="1:41" x14ac:dyDescent="0.2">
      <c r="A10" s="117" t="s">
        <v>3376</v>
      </c>
      <c r="B10" s="117" t="s">
        <v>3377</v>
      </c>
      <c r="C10" s="117" t="s">
        <v>400</v>
      </c>
      <c r="D10" s="9" t="s">
        <v>3411</v>
      </c>
      <c r="E10" s="117" t="s">
        <v>1217</v>
      </c>
      <c r="F10" s="174">
        <v>3.3719999999999999</v>
      </c>
      <c r="G10" s="175">
        <v>2856015.8000000003</v>
      </c>
      <c r="H10" s="176">
        <v>2997.0777899169634</v>
      </c>
      <c r="I10" s="177">
        <v>1.3100000000000001E-4</v>
      </c>
      <c r="J10" s="177">
        <v>7.9999999999999996E-6</v>
      </c>
      <c r="K10" s="117" t="s">
        <v>3411</v>
      </c>
      <c r="L10" s="117" t="s">
        <v>1217</v>
      </c>
      <c r="M10" s="174">
        <v>3.3719999999999999</v>
      </c>
      <c r="N10" s="175">
        <v>-2856015.8000000003</v>
      </c>
      <c r="O10" s="175">
        <v>-2856.0158000000001</v>
      </c>
      <c r="P10" s="177">
        <v>-9.0000000000000002E-6</v>
      </c>
      <c r="Q10" s="177">
        <v>1.3899999999999999E-4</v>
      </c>
      <c r="R10" s="175">
        <v>475.66102999999998</v>
      </c>
      <c r="S10" s="117" t="s">
        <v>61</v>
      </c>
      <c r="T10" s="178" t="s">
        <v>314</v>
      </c>
      <c r="U10" s="117" t="s">
        <v>97</v>
      </c>
      <c r="V10" s="117" t="s">
        <v>398</v>
      </c>
      <c r="W10" s="117" t="s">
        <v>688</v>
      </c>
      <c r="X10" s="117" t="s">
        <v>3404</v>
      </c>
      <c r="Y10" s="117" t="s">
        <v>62</v>
      </c>
      <c r="Z10" s="9" t="s">
        <v>3412</v>
      </c>
      <c r="AA10" s="179" t="s">
        <v>3413</v>
      </c>
      <c r="AB10" s="117" t="s">
        <v>359</v>
      </c>
      <c r="AC10" s="117" t="s">
        <v>3381</v>
      </c>
      <c r="AD10" s="117" t="s">
        <v>55</v>
      </c>
      <c r="AE10" s="117" t="s">
        <v>341</v>
      </c>
      <c r="AF10" s="117" t="s">
        <v>325</v>
      </c>
      <c r="AG10" s="117" t="s">
        <v>356</v>
      </c>
      <c r="AH10" s="180">
        <v>4.2905800000000001E-2</v>
      </c>
      <c r="AI10" s="175">
        <v>13712.71</v>
      </c>
      <c r="AJ10" s="117" t="s">
        <v>3382</v>
      </c>
      <c r="AK10" s="117" t="s">
        <v>62</v>
      </c>
      <c r="AL10" s="117" t="s">
        <v>3383</v>
      </c>
      <c r="AM10" s="117" t="s">
        <v>3384</v>
      </c>
      <c r="AN10" s="181">
        <v>9.6000000000000002E-5</v>
      </c>
      <c r="AO10" s="181">
        <v>9.9999999999999995E-7</v>
      </c>
    </row>
    <row r="11" spans="1:41" x14ac:dyDescent="0.2">
      <c r="A11" s="117" t="s">
        <v>3376</v>
      </c>
      <c r="B11" s="117" t="s">
        <v>3377</v>
      </c>
      <c r="C11" s="117" t="s">
        <v>400</v>
      </c>
      <c r="D11" s="9" t="s">
        <v>3414</v>
      </c>
      <c r="E11" s="117" t="s">
        <v>1214</v>
      </c>
      <c r="F11" s="174">
        <v>2.2031999999999998</v>
      </c>
      <c r="G11" s="175">
        <v>777200.20000000007</v>
      </c>
      <c r="H11" s="176">
        <v>792.15655893246196</v>
      </c>
      <c r="I11" s="177">
        <v>3.4999999999999997E-5</v>
      </c>
      <c r="J11" s="177">
        <v>1.9999999999999999E-6</v>
      </c>
      <c r="K11" s="117" t="s">
        <v>3414</v>
      </c>
      <c r="L11" s="117" t="s">
        <v>1214</v>
      </c>
      <c r="M11" s="174">
        <v>2.2031999999999998</v>
      </c>
      <c r="N11" s="175">
        <v>-777200.20000000007</v>
      </c>
      <c r="O11" s="175">
        <v>-777.20020000000011</v>
      </c>
      <c r="P11" s="177">
        <v>-1.9999999999999999E-6</v>
      </c>
      <c r="Q11" s="177">
        <v>3.8000000000000002E-5</v>
      </c>
      <c r="R11" s="175">
        <v>32.95185</v>
      </c>
      <c r="S11" s="117" t="s">
        <v>61</v>
      </c>
      <c r="T11" s="178" t="s">
        <v>67</v>
      </c>
      <c r="U11" s="117" t="s">
        <v>97</v>
      </c>
      <c r="V11" s="117" t="s">
        <v>398</v>
      </c>
      <c r="W11" s="117" t="s">
        <v>688</v>
      </c>
      <c r="X11" s="117" t="s">
        <v>3390</v>
      </c>
      <c r="Y11" s="117" t="s">
        <v>62</v>
      </c>
      <c r="Z11" s="9" t="s">
        <v>3415</v>
      </c>
      <c r="AA11" s="179" t="s">
        <v>3416</v>
      </c>
      <c r="AB11" s="117" t="s">
        <v>359</v>
      </c>
      <c r="AC11" s="117" t="s">
        <v>3381</v>
      </c>
      <c r="AD11" s="117" t="s">
        <v>55</v>
      </c>
      <c r="AE11" s="117" t="s">
        <v>341</v>
      </c>
      <c r="AF11" s="117" t="s">
        <v>3391</v>
      </c>
      <c r="AG11" s="117" t="s">
        <v>359</v>
      </c>
      <c r="AH11" s="180">
        <v>3.61E-2</v>
      </c>
      <c r="AI11" s="175">
        <v>113592.8</v>
      </c>
      <c r="AJ11" s="117" t="s">
        <v>3382</v>
      </c>
      <c r="AK11" s="117" t="s">
        <v>62</v>
      </c>
      <c r="AL11" s="117" t="s">
        <v>3383</v>
      </c>
      <c r="AM11" s="117" t="s">
        <v>3384</v>
      </c>
      <c r="AN11" s="181">
        <v>6.9999999999999999E-6</v>
      </c>
      <c r="AO11" s="181">
        <v>0</v>
      </c>
    </row>
    <row r="12" spans="1:41" x14ac:dyDescent="0.2">
      <c r="A12" s="117" t="s">
        <v>3376</v>
      </c>
      <c r="B12" s="117" t="s">
        <v>3377</v>
      </c>
      <c r="C12" s="117" t="s">
        <v>400</v>
      </c>
      <c r="D12" s="9" t="s">
        <v>3417</v>
      </c>
      <c r="E12" s="117" t="s">
        <v>1217</v>
      </c>
      <c r="F12" s="174">
        <v>3.3719999999999999</v>
      </c>
      <c r="G12" s="175">
        <v>1428540.9500000002</v>
      </c>
      <c r="H12" s="176">
        <v>1463.8088503558722</v>
      </c>
      <c r="I12" s="177">
        <v>6.3999999999999997E-5</v>
      </c>
      <c r="J12" s="177">
        <v>3.9999999999999998E-6</v>
      </c>
      <c r="K12" s="117" t="s">
        <v>3417</v>
      </c>
      <c r="L12" s="117" t="s">
        <v>1217</v>
      </c>
      <c r="M12" s="174">
        <v>3.3719999999999999</v>
      </c>
      <c r="N12" s="175">
        <v>-1428540.9500000002</v>
      </c>
      <c r="O12" s="175">
        <v>-1428.5409500000003</v>
      </c>
      <c r="P12" s="177">
        <v>-5.0000000000000004E-6</v>
      </c>
      <c r="Q12" s="177">
        <v>6.8999999999999997E-5</v>
      </c>
      <c r="R12" s="175">
        <v>118.92336</v>
      </c>
      <c r="S12" s="117" t="s">
        <v>61</v>
      </c>
      <c r="T12" s="178" t="s">
        <v>314</v>
      </c>
      <c r="U12" s="117" t="s">
        <v>97</v>
      </c>
      <c r="V12" s="117" t="s">
        <v>398</v>
      </c>
      <c r="W12" s="117" t="s">
        <v>688</v>
      </c>
      <c r="X12" s="117" t="s">
        <v>3404</v>
      </c>
      <c r="Y12" s="117" t="s">
        <v>62</v>
      </c>
      <c r="Z12" s="9" t="s">
        <v>3418</v>
      </c>
      <c r="AA12" s="179" t="s">
        <v>3419</v>
      </c>
      <c r="AB12" s="117" t="s">
        <v>359</v>
      </c>
      <c r="AC12" s="117" t="s">
        <v>3381</v>
      </c>
      <c r="AD12" s="117" t="s">
        <v>55</v>
      </c>
      <c r="AE12" s="117" t="s">
        <v>341</v>
      </c>
      <c r="AF12" s="117" t="s">
        <v>325</v>
      </c>
      <c r="AG12" s="117" t="s">
        <v>356</v>
      </c>
      <c r="AH12" s="180">
        <v>4.2905800000000001E-2</v>
      </c>
      <c r="AI12" s="175">
        <v>13712.71</v>
      </c>
      <c r="AJ12" s="117" t="s">
        <v>3382</v>
      </c>
      <c r="AK12" s="117" t="s">
        <v>62</v>
      </c>
      <c r="AL12" s="117" t="s">
        <v>3383</v>
      </c>
      <c r="AM12" s="117" t="s">
        <v>3384</v>
      </c>
      <c r="AN12" s="181">
        <v>2.4000000000000001E-5</v>
      </c>
      <c r="AO12" s="181">
        <v>0</v>
      </c>
    </row>
    <row r="13" spans="1:41" x14ac:dyDescent="0.2">
      <c r="A13" s="117" t="s">
        <v>3376</v>
      </c>
      <c r="B13" s="117" t="s">
        <v>3377</v>
      </c>
      <c r="C13" s="117" t="s">
        <v>400</v>
      </c>
      <c r="D13" s="9" t="s">
        <v>3420</v>
      </c>
      <c r="E13" s="117" t="s">
        <v>1217</v>
      </c>
      <c r="F13" s="174">
        <v>3.3719999999999999</v>
      </c>
      <c r="G13" s="175">
        <v>1423337.7950000002</v>
      </c>
      <c r="H13" s="176">
        <v>1505.9618608362991</v>
      </c>
      <c r="I13" s="177">
        <v>6.6000000000000005E-5</v>
      </c>
      <c r="J13" s="177">
        <v>3.9999999999999998E-6</v>
      </c>
      <c r="K13" s="117" t="s">
        <v>3420</v>
      </c>
      <c r="L13" s="117" t="s">
        <v>1217</v>
      </c>
      <c r="M13" s="174">
        <v>3.3719999999999999</v>
      </c>
      <c r="N13" s="175">
        <v>-1423337.7950000002</v>
      </c>
      <c r="O13" s="175">
        <v>-1423.3377950000001</v>
      </c>
      <c r="P13" s="177">
        <v>-5.0000000000000004E-6</v>
      </c>
      <c r="Q13" s="177">
        <v>6.8999999999999997E-5</v>
      </c>
      <c r="R13" s="175">
        <v>278.60834999999997</v>
      </c>
      <c r="S13" s="117" t="s">
        <v>61</v>
      </c>
      <c r="T13" s="178" t="s">
        <v>314</v>
      </c>
      <c r="U13" s="117" t="s">
        <v>97</v>
      </c>
      <c r="V13" s="117" t="s">
        <v>398</v>
      </c>
      <c r="W13" s="117" t="s">
        <v>688</v>
      </c>
      <c r="X13" s="117" t="s">
        <v>3386</v>
      </c>
      <c r="Y13" s="117" t="s">
        <v>62</v>
      </c>
      <c r="Z13" s="9" t="s">
        <v>3421</v>
      </c>
      <c r="AA13" s="179" t="s">
        <v>3422</v>
      </c>
      <c r="AB13" s="117" t="s">
        <v>359</v>
      </c>
      <c r="AC13" s="117" t="s">
        <v>3381</v>
      </c>
      <c r="AD13" s="117" t="s">
        <v>55</v>
      </c>
      <c r="AE13" s="117" t="s">
        <v>341</v>
      </c>
      <c r="AF13" s="117" t="s">
        <v>325</v>
      </c>
      <c r="AG13" s="117" t="s">
        <v>356</v>
      </c>
      <c r="AH13" s="180">
        <v>4.2905800000000001E-2</v>
      </c>
      <c r="AI13" s="175">
        <v>27494.05</v>
      </c>
      <c r="AJ13" s="117" t="s">
        <v>3382</v>
      </c>
      <c r="AK13" s="117" t="s">
        <v>62</v>
      </c>
      <c r="AL13" s="117" t="s">
        <v>3383</v>
      </c>
      <c r="AM13" s="117" t="s">
        <v>3384</v>
      </c>
      <c r="AN13" s="181">
        <v>5.5999999999999999E-5</v>
      </c>
      <c r="AO13" s="181">
        <v>9.9999999999999995E-7</v>
      </c>
    </row>
    <row r="14" spans="1:41" x14ac:dyDescent="0.2">
      <c r="A14" s="117" t="s">
        <v>3376</v>
      </c>
      <c r="B14" s="117" t="s">
        <v>3377</v>
      </c>
      <c r="C14" s="117" t="s">
        <v>400</v>
      </c>
      <c r="D14" s="9" t="s">
        <v>3423</v>
      </c>
      <c r="E14" s="117" t="s">
        <v>1217</v>
      </c>
      <c r="F14" s="174">
        <v>3.3719999999999999</v>
      </c>
      <c r="G14" s="175">
        <v>2832511.68</v>
      </c>
      <c r="H14" s="176">
        <v>2952.353373357058</v>
      </c>
      <c r="I14" s="177">
        <v>1.2999999999999999E-4</v>
      </c>
      <c r="J14" s="177">
        <v>7.9999999999999996E-6</v>
      </c>
      <c r="K14" s="117" t="s">
        <v>3423</v>
      </c>
      <c r="L14" s="117" t="s">
        <v>1217</v>
      </c>
      <c r="M14" s="174">
        <v>3.3719999999999999</v>
      </c>
      <c r="N14" s="175">
        <v>-2832511.68</v>
      </c>
      <c r="O14" s="175">
        <v>-2832.5116800000001</v>
      </c>
      <c r="P14" s="177">
        <v>-9.0000000000000002E-6</v>
      </c>
      <c r="Q14" s="177">
        <v>1.3799999999999999E-4</v>
      </c>
      <c r="R14" s="175">
        <v>404.10619000000003</v>
      </c>
      <c r="S14" s="117" t="s">
        <v>61</v>
      </c>
      <c r="T14" s="178" t="s">
        <v>314</v>
      </c>
      <c r="U14" s="117" t="s">
        <v>97</v>
      </c>
      <c r="V14" s="117" t="s">
        <v>398</v>
      </c>
      <c r="W14" s="117" t="s">
        <v>688</v>
      </c>
      <c r="X14" s="117" t="s">
        <v>3404</v>
      </c>
      <c r="Y14" s="117" t="s">
        <v>62</v>
      </c>
      <c r="Z14" s="9" t="s">
        <v>3424</v>
      </c>
      <c r="AA14" s="179" t="s">
        <v>3425</v>
      </c>
      <c r="AB14" s="117" t="s">
        <v>359</v>
      </c>
      <c r="AC14" s="117" t="s">
        <v>3381</v>
      </c>
      <c r="AD14" s="117" t="s">
        <v>55</v>
      </c>
      <c r="AE14" s="117" t="s">
        <v>341</v>
      </c>
      <c r="AF14" s="117" t="s">
        <v>325</v>
      </c>
      <c r="AG14" s="117" t="s">
        <v>356</v>
      </c>
      <c r="AH14" s="180">
        <v>4.2905800000000001E-2</v>
      </c>
      <c r="AI14" s="175">
        <v>13712.71</v>
      </c>
      <c r="AJ14" s="117" t="s">
        <v>3382</v>
      </c>
      <c r="AK14" s="117" t="s">
        <v>62</v>
      </c>
      <c r="AL14" s="117" t="s">
        <v>3383</v>
      </c>
      <c r="AM14" s="117" t="s">
        <v>3384</v>
      </c>
      <c r="AN14" s="181">
        <v>8.1000000000000004E-5</v>
      </c>
      <c r="AO14" s="181">
        <v>9.9999999999999995E-7</v>
      </c>
    </row>
    <row r="15" spans="1:41" x14ac:dyDescent="0.2">
      <c r="A15" s="117" t="s">
        <v>3426</v>
      </c>
      <c r="B15" s="117" t="s">
        <v>3427</v>
      </c>
      <c r="C15" s="117" t="s">
        <v>400</v>
      </c>
      <c r="D15" s="9" t="s">
        <v>3385</v>
      </c>
      <c r="E15" s="117" t="s">
        <v>1217</v>
      </c>
      <c r="F15" s="174">
        <v>3.3719999999999999</v>
      </c>
      <c r="G15" s="175">
        <v>51707.680000000008</v>
      </c>
      <c r="H15" s="176">
        <v>54.788219739027298</v>
      </c>
      <c r="I15" s="177">
        <v>1.55E-4</v>
      </c>
      <c r="J15" s="177">
        <v>9.9999999999999995E-7</v>
      </c>
      <c r="K15" s="117" t="s">
        <v>3385</v>
      </c>
      <c r="L15" s="117" t="s">
        <v>1217</v>
      </c>
      <c r="M15" s="174">
        <v>3.3719999999999999</v>
      </c>
      <c r="N15" s="175">
        <v>-51707.680000000008</v>
      </c>
      <c r="O15" s="175">
        <v>-51.707680000000011</v>
      </c>
      <c r="P15" s="177">
        <v>-9.9999999999999995E-7</v>
      </c>
      <c r="Q15" s="177">
        <v>1.6699999999999999E-4</v>
      </c>
      <c r="R15" s="175">
        <v>10.38758</v>
      </c>
      <c r="S15" s="117" t="s">
        <v>61</v>
      </c>
      <c r="T15" s="178" t="s">
        <v>314</v>
      </c>
      <c r="U15" s="117" t="s">
        <v>97</v>
      </c>
      <c r="V15" s="117" t="s">
        <v>398</v>
      </c>
      <c r="W15" s="117" t="s">
        <v>688</v>
      </c>
      <c r="X15" s="117" t="s">
        <v>3386</v>
      </c>
      <c r="Y15" s="117" t="s">
        <v>62</v>
      </c>
      <c r="Z15" s="9" t="s">
        <v>3387</v>
      </c>
      <c r="AA15" s="179" t="s">
        <v>3388</v>
      </c>
      <c r="AB15" s="117" t="s">
        <v>359</v>
      </c>
      <c r="AC15" s="117" t="s">
        <v>3381</v>
      </c>
      <c r="AD15" s="117" t="s">
        <v>55</v>
      </c>
      <c r="AE15" s="117" t="s">
        <v>341</v>
      </c>
      <c r="AF15" s="117" t="s">
        <v>325</v>
      </c>
      <c r="AG15" s="117" t="s">
        <v>356</v>
      </c>
      <c r="AH15" s="180">
        <v>4.2905800000000001E-2</v>
      </c>
      <c r="AI15" s="175">
        <v>27494.05</v>
      </c>
      <c r="AJ15" s="117" t="s">
        <v>3382</v>
      </c>
      <c r="AK15" s="117" t="s">
        <v>62</v>
      </c>
      <c r="AL15" s="117" t="s">
        <v>3383</v>
      </c>
      <c r="AM15" s="117" t="s">
        <v>3384</v>
      </c>
      <c r="AN15" s="181">
        <v>6.7999999999999999E-5</v>
      </c>
      <c r="AO15" s="181">
        <v>0</v>
      </c>
    </row>
    <row r="16" spans="1:41" x14ac:dyDescent="0.2">
      <c r="A16" s="117" t="s">
        <v>3426</v>
      </c>
      <c r="B16" s="117" t="s">
        <v>3427</v>
      </c>
      <c r="C16" s="117" t="s">
        <v>400</v>
      </c>
      <c r="D16" s="9" t="s">
        <v>3420</v>
      </c>
      <c r="E16" s="117" t="s">
        <v>1217</v>
      </c>
      <c r="F16" s="174">
        <v>3.3719999999999999</v>
      </c>
      <c r="G16" s="175">
        <v>103515.47600000001</v>
      </c>
      <c r="H16" s="176">
        <v>109.52449438671412</v>
      </c>
      <c r="I16" s="177">
        <v>3.0899999999999998E-4</v>
      </c>
      <c r="J16" s="177">
        <v>1.9999999999999999E-6</v>
      </c>
      <c r="K16" s="117" t="s">
        <v>3420</v>
      </c>
      <c r="L16" s="117" t="s">
        <v>1217</v>
      </c>
      <c r="M16" s="174">
        <v>3.3719999999999999</v>
      </c>
      <c r="N16" s="175">
        <v>-103515.47600000001</v>
      </c>
      <c r="O16" s="175">
        <v>-103.51547600000001</v>
      </c>
      <c r="P16" s="177">
        <v>-1.9999999999999999E-6</v>
      </c>
      <c r="Q16" s="177">
        <v>3.3500000000000001E-4</v>
      </c>
      <c r="R16" s="175">
        <v>20.262409999999999</v>
      </c>
      <c r="S16" s="117" t="s">
        <v>61</v>
      </c>
      <c r="T16" s="178" t="s">
        <v>314</v>
      </c>
      <c r="U16" s="117" t="s">
        <v>97</v>
      </c>
      <c r="V16" s="117" t="s">
        <v>398</v>
      </c>
      <c r="W16" s="117" t="s">
        <v>688</v>
      </c>
      <c r="X16" s="117" t="s">
        <v>3386</v>
      </c>
      <c r="Y16" s="117" t="s">
        <v>62</v>
      </c>
      <c r="Z16" s="9" t="s">
        <v>3421</v>
      </c>
      <c r="AA16" s="179" t="s">
        <v>3422</v>
      </c>
      <c r="AB16" s="117" t="s">
        <v>359</v>
      </c>
      <c r="AC16" s="117" t="s">
        <v>3381</v>
      </c>
      <c r="AD16" s="117" t="s">
        <v>55</v>
      </c>
      <c r="AE16" s="117" t="s">
        <v>341</v>
      </c>
      <c r="AF16" s="117" t="s">
        <v>325</v>
      </c>
      <c r="AG16" s="117" t="s">
        <v>356</v>
      </c>
      <c r="AH16" s="180">
        <v>4.2905800000000001E-2</v>
      </c>
      <c r="AI16" s="175">
        <v>27494.05</v>
      </c>
      <c r="AJ16" s="117" t="s">
        <v>3382</v>
      </c>
      <c r="AK16" s="117" t="s">
        <v>62</v>
      </c>
      <c r="AL16" s="117" t="s">
        <v>3383</v>
      </c>
      <c r="AM16" s="117" t="s">
        <v>3384</v>
      </c>
      <c r="AN16" s="181">
        <v>1.3200000000000001E-4</v>
      </c>
      <c r="AO16" s="181">
        <v>0</v>
      </c>
    </row>
    <row r="17" spans="1:41" x14ac:dyDescent="0.2">
      <c r="A17" s="117" t="s">
        <v>3426</v>
      </c>
      <c r="B17" s="117" t="s">
        <v>3427</v>
      </c>
      <c r="C17" s="117" t="s">
        <v>400</v>
      </c>
      <c r="D17" s="9" t="s">
        <v>3403</v>
      </c>
      <c r="E17" s="117" t="s">
        <v>1217</v>
      </c>
      <c r="F17" s="174">
        <v>3.3719999999999999</v>
      </c>
      <c r="G17" s="175">
        <v>153685</v>
      </c>
      <c r="H17" s="176">
        <v>190.17670818505337</v>
      </c>
      <c r="I17" s="177">
        <v>5.3600000000000002E-4</v>
      </c>
      <c r="J17" s="177">
        <v>3.0000000000000001E-6</v>
      </c>
      <c r="K17" s="117" t="s">
        <v>3403</v>
      </c>
      <c r="L17" s="117" t="s">
        <v>1217</v>
      </c>
      <c r="M17" s="174">
        <v>3.3719999999999999</v>
      </c>
      <c r="N17" s="175">
        <v>-153685</v>
      </c>
      <c r="O17" s="175">
        <v>-153.685</v>
      </c>
      <c r="P17" s="177">
        <v>-1.9999999999999999E-6</v>
      </c>
      <c r="Q17" s="177">
        <v>4.9799999999999996E-4</v>
      </c>
      <c r="R17" s="175">
        <v>123.05004</v>
      </c>
      <c r="S17" s="117" t="s">
        <v>61</v>
      </c>
      <c r="T17" s="178" t="s">
        <v>314</v>
      </c>
      <c r="U17" s="117" t="s">
        <v>97</v>
      </c>
      <c r="V17" s="117" t="s">
        <v>398</v>
      </c>
      <c r="W17" s="117" t="s">
        <v>688</v>
      </c>
      <c r="X17" s="117" t="s">
        <v>3404</v>
      </c>
      <c r="Y17" s="117" t="s">
        <v>62</v>
      </c>
      <c r="Z17" s="9" t="s">
        <v>3405</v>
      </c>
      <c r="AA17" s="179" t="s">
        <v>3406</v>
      </c>
      <c r="AB17" s="117" t="s">
        <v>359</v>
      </c>
      <c r="AC17" s="117" t="s">
        <v>3381</v>
      </c>
      <c r="AD17" s="117" t="s">
        <v>55</v>
      </c>
      <c r="AE17" s="117" t="s">
        <v>341</v>
      </c>
      <c r="AF17" s="117" t="s">
        <v>325</v>
      </c>
      <c r="AG17" s="117" t="s">
        <v>356</v>
      </c>
      <c r="AH17" s="180">
        <v>4.2905800000000001E-2</v>
      </c>
      <c r="AI17" s="175">
        <v>13712.71</v>
      </c>
      <c r="AJ17" s="117" t="s">
        <v>3382</v>
      </c>
      <c r="AK17" s="117" t="s">
        <v>62</v>
      </c>
      <c r="AL17" s="117" t="s">
        <v>3383</v>
      </c>
      <c r="AM17" s="117" t="s">
        <v>3384</v>
      </c>
      <c r="AN17" s="181">
        <v>8.0099999999999995E-4</v>
      </c>
      <c r="AO17" s="181">
        <v>1.9999999999999999E-6</v>
      </c>
    </row>
    <row r="18" spans="1:41" x14ac:dyDescent="0.2">
      <c r="A18" s="117" t="s">
        <v>3376</v>
      </c>
      <c r="B18" s="117" t="s">
        <v>3428</v>
      </c>
      <c r="C18" s="117" t="s">
        <v>400</v>
      </c>
      <c r="D18" s="9" t="s">
        <v>3407</v>
      </c>
      <c r="E18" s="117" t="s">
        <v>1217</v>
      </c>
      <c r="F18" s="174">
        <v>3.3719999999999999</v>
      </c>
      <c r="G18" s="175">
        <v>12222586.010000002</v>
      </c>
      <c r="H18" s="176">
        <v>13207.596487461446</v>
      </c>
      <c r="I18" s="177">
        <v>8.1000000000000004E-5</v>
      </c>
      <c r="J18" s="177">
        <v>6.0000000000000002E-6</v>
      </c>
      <c r="K18" s="117" t="s">
        <v>3407</v>
      </c>
      <c r="L18" s="117" t="s">
        <v>1217</v>
      </c>
      <c r="M18" s="174">
        <v>3.3719999999999999</v>
      </c>
      <c r="N18" s="175">
        <v>-12222586.010000002</v>
      </c>
      <c r="O18" s="175">
        <v>-12222.586010000001</v>
      </c>
      <c r="P18" s="177">
        <v>-6.9999999999999999E-6</v>
      </c>
      <c r="Q18" s="177">
        <v>8.3999999999999995E-5</v>
      </c>
      <c r="R18" s="175">
        <v>3321.4553299999998</v>
      </c>
      <c r="S18" s="117" t="s">
        <v>61</v>
      </c>
      <c r="T18" s="178" t="s">
        <v>314</v>
      </c>
      <c r="U18" s="117" t="s">
        <v>97</v>
      </c>
      <c r="V18" s="117" t="s">
        <v>398</v>
      </c>
      <c r="W18" s="117" t="s">
        <v>688</v>
      </c>
      <c r="X18" s="117" t="s">
        <v>3408</v>
      </c>
      <c r="Y18" s="117" t="s">
        <v>62</v>
      </c>
      <c r="Z18" s="9" t="s">
        <v>3409</v>
      </c>
      <c r="AA18" s="179" t="s">
        <v>3410</v>
      </c>
      <c r="AB18" s="117" t="s">
        <v>359</v>
      </c>
      <c r="AC18" s="117" t="s">
        <v>3381</v>
      </c>
      <c r="AD18" s="117" t="s">
        <v>55</v>
      </c>
      <c r="AE18" s="117" t="s">
        <v>341</v>
      </c>
      <c r="AF18" s="117" t="s">
        <v>325</v>
      </c>
      <c r="AG18" s="117" t="s">
        <v>356</v>
      </c>
      <c r="AH18" s="180">
        <v>4.2905800000000001E-2</v>
      </c>
      <c r="AI18" s="175">
        <v>11844.8</v>
      </c>
      <c r="AJ18" s="117" t="s">
        <v>3382</v>
      </c>
      <c r="AK18" s="117" t="s">
        <v>62</v>
      </c>
      <c r="AL18" s="117" t="s">
        <v>3383</v>
      </c>
      <c r="AM18" s="117" t="s">
        <v>3384</v>
      </c>
      <c r="AN18" s="181">
        <v>8.6000000000000003E-5</v>
      </c>
      <c r="AO18" s="181">
        <v>1.9999999999999999E-6</v>
      </c>
    </row>
    <row r="19" spans="1:41" x14ac:dyDescent="0.2">
      <c r="A19" s="117" t="s">
        <v>3376</v>
      </c>
      <c r="B19" s="117" t="s">
        <v>3428</v>
      </c>
      <c r="C19" s="117" t="s">
        <v>400</v>
      </c>
      <c r="D19" s="9" t="s">
        <v>3403</v>
      </c>
      <c r="E19" s="117" t="s">
        <v>1217</v>
      </c>
      <c r="F19" s="174">
        <v>3.3719999999999999</v>
      </c>
      <c r="G19" s="175">
        <v>22953952.500000004</v>
      </c>
      <c r="H19" s="176">
        <v>28404.249908066431</v>
      </c>
      <c r="I19" s="177">
        <v>1.75E-4</v>
      </c>
      <c r="J19" s="177">
        <v>1.4E-5</v>
      </c>
      <c r="K19" s="117" t="s">
        <v>3403</v>
      </c>
      <c r="L19" s="117" t="s">
        <v>1217</v>
      </c>
      <c r="M19" s="174">
        <v>3.3719999999999999</v>
      </c>
      <c r="N19" s="175">
        <v>-22953952.500000004</v>
      </c>
      <c r="O19" s="175">
        <v>-22953.952500000003</v>
      </c>
      <c r="P19" s="177">
        <v>-1.2999999999999999E-5</v>
      </c>
      <c r="Q19" s="177">
        <v>1.5799999999999999E-4</v>
      </c>
      <c r="R19" s="175">
        <v>18378.402859999998</v>
      </c>
      <c r="S19" s="117" t="s">
        <v>61</v>
      </c>
      <c r="T19" s="178" t="s">
        <v>314</v>
      </c>
      <c r="U19" s="117" t="s">
        <v>97</v>
      </c>
      <c r="V19" s="117" t="s">
        <v>398</v>
      </c>
      <c r="W19" s="117" t="s">
        <v>688</v>
      </c>
      <c r="X19" s="117" t="s">
        <v>3404</v>
      </c>
      <c r="Y19" s="117" t="s">
        <v>62</v>
      </c>
      <c r="Z19" s="9" t="s">
        <v>3405</v>
      </c>
      <c r="AA19" s="179" t="s">
        <v>3406</v>
      </c>
      <c r="AB19" s="117" t="s">
        <v>359</v>
      </c>
      <c r="AC19" s="117" t="s">
        <v>3381</v>
      </c>
      <c r="AD19" s="117" t="s">
        <v>55</v>
      </c>
      <c r="AE19" s="117" t="s">
        <v>341</v>
      </c>
      <c r="AF19" s="117" t="s">
        <v>325</v>
      </c>
      <c r="AG19" s="117" t="s">
        <v>356</v>
      </c>
      <c r="AH19" s="180">
        <v>4.2905800000000001E-2</v>
      </c>
      <c r="AI19" s="175">
        <v>13712.71</v>
      </c>
      <c r="AJ19" s="117" t="s">
        <v>3382</v>
      </c>
      <c r="AK19" s="117" t="s">
        <v>62</v>
      </c>
      <c r="AL19" s="117" t="s">
        <v>3383</v>
      </c>
      <c r="AM19" s="117" t="s">
        <v>3384</v>
      </c>
      <c r="AN19" s="181">
        <v>4.7699999999999999E-4</v>
      </c>
      <c r="AO19" s="181">
        <v>9.0000000000000002E-6</v>
      </c>
    </row>
    <row r="20" spans="1:41" x14ac:dyDescent="0.2">
      <c r="A20" s="117" t="s">
        <v>3376</v>
      </c>
      <c r="B20" s="117" t="s">
        <v>3428</v>
      </c>
      <c r="C20" s="117" t="s">
        <v>400</v>
      </c>
      <c r="D20" s="117" t="s">
        <v>3423</v>
      </c>
      <c r="E20" s="117" t="s">
        <v>1217</v>
      </c>
      <c r="F20" s="174">
        <v>3.3719999999999999</v>
      </c>
      <c r="G20" s="175">
        <v>17283566.640000001</v>
      </c>
      <c r="H20" s="175">
        <v>18014.822900379597</v>
      </c>
      <c r="I20" s="183">
        <v>1.11E-4</v>
      </c>
      <c r="J20" s="183">
        <v>9.0000000000000002E-6</v>
      </c>
      <c r="K20" s="117" t="s">
        <v>3423</v>
      </c>
      <c r="L20" s="117" t="s">
        <v>1217</v>
      </c>
      <c r="M20" s="174">
        <v>3.3719999999999999</v>
      </c>
      <c r="N20" s="175">
        <v>-17283566.640000001</v>
      </c>
      <c r="O20" s="175">
        <v>-17283.566640000001</v>
      </c>
      <c r="P20" s="183">
        <v>-1.0000000000000001E-5</v>
      </c>
      <c r="Q20" s="183">
        <v>1.1900000000000001E-4</v>
      </c>
      <c r="R20" s="175">
        <v>2465.7961100000002</v>
      </c>
      <c r="S20" s="117" t="s">
        <v>61</v>
      </c>
      <c r="T20" s="178" t="s">
        <v>314</v>
      </c>
      <c r="U20" s="117" t="s">
        <v>97</v>
      </c>
      <c r="V20" s="117" t="s">
        <v>398</v>
      </c>
      <c r="W20" s="117" t="s">
        <v>688</v>
      </c>
      <c r="X20" s="117" t="s">
        <v>3404</v>
      </c>
      <c r="Y20" s="117" t="s">
        <v>62</v>
      </c>
      <c r="Z20" s="117" t="s">
        <v>3424</v>
      </c>
      <c r="AA20" s="117" t="s">
        <v>3425</v>
      </c>
      <c r="AB20" s="117" t="s">
        <v>359</v>
      </c>
      <c r="AC20" s="117" t="s">
        <v>3381</v>
      </c>
      <c r="AD20" s="117" t="s">
        <v>55</v>
      </c>
      <c r="AE20" s="117" t="s">
        <v>341</v>
      </c>
      <c r="AF20" s="117" t="s">
        <v>325</v>
      </c>
      <c r="AG20" s="117" t="s">
        <v>356</v>
      </c>
      <c r="AH20" s="180">
        <v>4.2905800000000001E-2</v>
      </c>
      <c r="AI20" s="175">
        <v>13712.71</v>
      </c>
      <c r="AJ20" s="117" t="s">
        <v>3382</v>
      </c>
      <c r="AK20" s="117" t="s">
        <v>62</v>
      </c>
      <c r="AL20" s="117" t="s">
        <v>3383</v>
      </c>
      <c r="AM20" s="117" t="s">
        <v>3384</v>
      </c>
      <c r="AN20" s="184">
        <v>6.3999999999999997E-5</v>
      </c>
      <c r="AO20" s="184">
        <v>9.9999999999999995E-7</v>
      </c>
    </row>
    <row r="21" spans="1:41" x14ac:dyDescent="0.2">
      <c r="A21" s="117" t="s">
        <v>3376</v>
      </c>
      <c r="B21" s="117" t="s">
        <v>3428</v>
      </c>
      <c r="C21" s="117" t="s">
        <v>400</v>
      </c>
      <c r="D21" s="117" t="s">
        <v>3417</v>
      </c>
      <c r="E21" s="117" t="s">
        <v>1217</v>
      </c>
      <c r="F21" s="174">
        <v>3.3719999999999999</v>
      </c>
      <c r="G21" s="175">
        <v>8958420.3500000015</v>
      </c>
      <c r="H21" s="175">
        <v>9179.5863583036789</v>
      </c>
      <c r="I21" s="177">
        <v>5.7000000000000003E-5</v>
      </c>
      <c r="J21" s="177">
        <v>3.9999999999999998E-6</v>
      </c>
      <c r="K21" s="117" t="s">
        <v>3417</v>
      </c>
      <c r="L21" s="117" t="s">
        <v>1217</v>
      </c>
      <c r="M21" s="174">
        <v>3.3719999999999999</v>
      </c>
      <c r="N21" s="175">
        <v>-8958420.3500000015</v>
      </c>
      <c r="O21" s="175">
        <v>-8958.4203500000021</v>
      </c>
      <c r="P21" s="177">
        <v>-5.0000000000000004E-6</v>
      </c>
      <c r="Q21" s="177">
        <v>6.0999999999999999E-5</v>
      </c>
      <c r="R21" s="175">
        <v>745.77178000000004</v>
      </c>
      <c r="S21" s="117" t="s">
        <v>61</v>
      </c>
      <c r="T21" s="117" t="s">
        <v>314</v>
      </c>
      <c r="U21" s="117" t="s">
        <v>97</v>
      </c>
      <c r="V21" s="117" t="s">
        <v>398</v>
      </c>
      <c r="W21" s="117" t="s">
        <v>688</v>
      </c>
      <c r="X21" s="117" t="s">
        <v>3404</v>
      </c>
      <c r="Y21" s="117" t="s">
        <v>62</v>
      </c>
      <c r="Z21" s="117" t="s">
        <v>3418</v>
      </c>
      <c r="AA21" s="117" t="s">
        <v>3419</v>
      </c>
      <c r="AB21" s="117" t="s">
        <v>359</v>
      </c>
      <c r="AC21" s="117" t="s">
        <v>3381</v>
      </c>
      <c r="AD21" s="117" t="s">
        <v>55</v>
      </c>
      <c r="AE21" s="117" t="s">
        <v>341</v>
      </c>
      <c r="AF21" s="117" t="s">
        <v>325</v>
      </c>
      <c r="AG21" s="117" t="s">
        <v>356</v>
      </c>
      <c r="AH21" s="180">
        <v>4.2905800000000001E-2</v>
      </c>
      <c r="AI21" s="175">
        <v>13712.71</v>
      </c>
      <c r="AJ21" s="117" t="s">
        <v>3382</v>
      </c>
      <c r="AK21" s="117" t="s">
        <v>62</v>
      </c>
      <c r="AL21" s="117" t="s">
        <v>3383</v>
      </c>
      <c r="AM21" s="117" t="s">
        <v>3384</v>
      </c>
      <c r="AN21" s="184">
        <v>1.9000000000000001E-5</v>
      </c>
      <c r="AO21" s="184">
        <v>0</v>
      </c>
    </row>
    <row r="22" spans="1:41" x14ac:dyDescent="0.2">
      <c r="A22" s="117" t="s">
        <v>3376</v>
      </c>
      <c r="B22" s="117" t="s">
        <v>3428</v>
      </c>
      <c r="C22" s="117" t="s">
        <v>400</v>
      </c>
      <c r="D22" s="117" t="s">
        <v>3420</v>
      </c>
      <c r="E22" s="117" t="s">
        <v>1217</v>
      </c>
      <c r="F22" s="174">
        <v>3.3719999999999999</v>
      </c>
      <c r="G22" s="175">
        <v>8902330.9360000007</v>
      </c>
      <c r="H22" s="175">
        <v>9419.1068849916974</v>
      </c>
      <c r="I22" s="183">
        <v>5.8E-5</v>
      </c>
      <c r="J22" s="183">
        <v>5.0000000000000004E-6</v>
      </c>
      <c r="K22" s="117" t="s">
        <v>3420</v>
      </c>
      <c r="L22" s="117" t="s">
        <v>1217</v>
      </c>
      <c r="M22" s="174">
        <v>3.3719999999999999</v>
      </c>
      <c r="N22" s="175">
        <v>-8902330.9360000007</v>
      </c>
      <c r="O22" s="175">
        <v>-8902.3309360000003</v>
      </c>
      <c r="P22" s="183">
        <v>-5.0000000000000004E-6</v>
      </c>
      <c r="Q22" s="183">
        <v>6.0999999999999999E-5</v>
      </c>
      <c r="R22" s="175">
        <v>1742.5685000000001</v>
      </c>
      <c r="S22" s="117" t="s">
        <v>61</v>
      </c>
      <c r="T22" s="178" t="s">
        <v>314</v>
      </c>
      <c r="U22" s="117" t="s">
        <v>97</v>
      </c>
      <c r="V22" s="117" t="s">
        <v>398</v>
      </c>
      <c r="W22" s="117" t="s">
        <v>688</v>
      </c>
      <c r="X22" s="117" t="s">
        <v>3386</v>
      </c>
      <c r="Y22" s="117" t="s">
        <v>62</v>
      </c>
      <c r="Z22" s="117" t="s">
        <v>3421</v>
      </c>
      <c r="AA22" s="117" t="s">
        <v>3422</v>
      </c>
      <c r="AB22" s="117" t="s">
        <v>359</v>
      </c>
      <c r="AC22" s="117" t="s">
        <v>3381</v>
      </c>
      <c r="AD22" s="117" t="s">
        <v>55</v>
      </c>
      <c r="AE22" s="117" t="s">
        <v>341</v>
      </c>
      <c r="AF22" s="117" t="s">
        <v>325</v>
      </c>
      <c r="AG22" s="117" t="s">
        <v>356</v>
      </c>
      <c r="AH22" s="180">
        <v>4.2905800000000001E-2</v>
      </c>
      <c r="AI22" s="175">
        <v>27494.05</v>
      </c>
      <c r="AJ22" s="117" t="s">
        <v>3382</v>
      </c>
      <c r="AK22" s="117" t="s">
        <v>62</v>
      </c>
      <c r="AL22" s="117" t="s">
        <v>3383</v>
      </c>
      <c r="AM22" s="117" t="s">
        <v>3384</v>
      </c>
      <c r="AN22" s="184">
        <v>4.5000000000000003E-5</v>
      </c>
      <c r="AO22" s="184">
        <v>9.9999999999999995E-7</v>
      </c>
    </row>
    <row r="23" spans="1:41" x14ac:dyDescent="0.2">
      <c r="A23" s="117" t="s">
        <v>3376</v>
      </c>
      <c r="B23" s="117" t="s">
        <v>3428</v>
      </c>
      <c r="C23" s="117" t="s">
        <v>400</v>
      </c>
      <c r="D23" s="117" t="s">
        <v>3414</v>
      </c>
      <c r="E23" s="117" t="s">
        <v>1214</v>
      </c>
      <c r="F23" s="174">
        <v>2.2031999999999998</v>
      </c>
      <c r="G23" s="175">
        <v>4885258.4000000004</v>
      </c>
      <c r="H23" s="175">
        <v>4979.2697970588242</v>
      </c>
      <c r="I23" s="183">
        <v>3.1000000000000001E-5</v>
      </c>
      <c r="J23" s="183">
        <v>1.9999999999999999E-6</v>
      </c>
      <c r="K23" s="117" t="s">
        <v>3414</v>
      </c>
      <c r="L23" s="117" t="s">
        <v>1214</v>
      </c>
      <c r="M23" s="174">
        <v>2.2031999999999998</v>
      </c>
      <c r="N23" s="175">
        <v>-4885258.4000000004</v>
      </c>
      <c r="O23" s="175">
        <v>-4885.2584000000006</v>
      </c>
      <c r="P23" s="183">
        <v>-3.0000000000000001E-6</v>
      </c>
      <c r="Q23" s="183">
        <v>3.4E-5</v>
      </c>
      <c r="R23" s="175">
        <v>207.12591</v>
      </c>
      <c r="S23" s="117" t="s">
        <v>61</v>
      </c>
      <c r="T23" s="178" t="s">
        <v>67</v>
      </c>
      <c r="U23" s="117" t="s">
        <v>97</v>
      </c>
      <c r="V23" s="117" t="s">
        <v>398</v>
      </c>
      <c r="W23" s="117" t="s">
        <v>688</v>
      </c>
      <c r="X23" s="117" t="s">
        <v>3390</v>
      </c>
      <c r="Y23" s="117" t="s">
        <v>62</v>
      </c>
      <c r="Z23" s="117" t="s">
        <v>3415</v>
      </c>
      <c r="AA23" s="117" t="s">
        <v>3416</v>
      </c>
      <c r="AB23" s="117" t="s">
        <v>359</v>
      </c>
      <c r="AC23" s="117" t="s">
        <v>3381</v>
      </c>
      <c r="AD23" s="117" t="s">
        <v>55</v>
      </c>
      <c r="AE23" s="117" t="s">
        <v>341</v>
      </c>
      <c r="AF23" s="117" t="s">
        <v>3391</v>
      </c>
      <c r="AG23" s="117" t="s">
        <v>359</v>
      </c>
      <c r="AH23" s="180">
        <v>3.61E-2</v>
      </c>
      <c r="AI23" s="175">
        <v>113592.8</v>
      </c>
      <c r="AJ23" s="117" t="s">
        <v>3382</v>
      </c>
      <c r="AK23" s="117" t="s">
        <v>62</v>
      </c>
      <c r="AL23" s="117" t="s">
        <v>3383</v>
      </c>
      <c r="AM23" s="117" t="s">
        <v>3384</v>
      </c>
      <c r="AN23" s="184">
        <v>5.0000000000000004E-6</v>
      </c>
      <c r="AO23" s="184">
        <v>0</v>
      </c>
    </row>
    <row r="24" spans="1:41" x14ac:dyDescent="0.2">
      <c r="A24" s="117" t="s">
        <v>3376</v>
      </c>
      <c r="B24" s="117" t="s">
        <v>3428</v>
      </c>
      <c r="C24" s="117" t="s">
        <v>400</v>
      </c>
      <c r="D24" s="117" t="s">
        <v>3385</v>
      </c>
      <c r="E24" s="117" t="s">
        <v>1217</v>
      </c>
      <c r="F24" s="174">
        <v>3.3719999999999999</v>
      </c>
      <c r="G24" s="175">
        <v>8402498</v>
      </c>
      <c r="H24" s="175">
        <v>8903.0859270462624</v>
      </c>
      <c r="I24" s="183">
        <v>5.5000000000000002E-5</v>
      </c>
      <c r="J24" s="183">
        <v>3.9999999999999998E-6</v>
      </c>
      <c r="K24" s="117" t="s">
        <v>3385</v>
      </c>
      <c r="L24" s="117" t="s">
        <v>1217</v>
      </c>
      <c r="M24" s="174">
        <v>3.3719999999999999</v>
      </c>
      <c r="N24" s="175">
        <v>-8402498</v>
      </c>
      <c r="O24" s="175">
        <v>-8402.4979999999996</v>
      </c>
      <c r="P24" s="183">
        <v>-5.0000000000000004E-6</v>
      </c>
      <c r="Q24" s="183">
        <v>5.8E-5</v>
      </c>
      <c r="R24" s="175">
        <v>1687.9824900000001</v>
      </c>
      <c r="S24" s="117" t="s">
        <v>61</v>
      </c>
      <c r="T24" s="178" t="s">
        <v>314</v>
      </c>
      <c r="U24" s="117" t="s">
        <v>97</v>
      </c>
      <c r="V24" s="117" t="s">
        <v>398</v>
      </c>
      <c r="W24" s="117" t="s">
        <v>688</v>
      </c>
      <c r="X24" s="117" t="s">
        <v>3386</v>
      </c>
      <c r="Y24" s="117" t="s">
        <v>62</v>
      </c>
      <c r="Z24" s="117" t="s">
        <v>3387</v>
      </c>
      <c r="AA24" s="117" t="s">
        <v>3388</v>
      </c>
      <c r="AB24" s="117" t="s">
        <v>359</v>
      </c>
      <c r="AC24" s="117" t="s">
        <v>3381</v>
      </c>
      <c r="AD24" s="117" t="s">
        <v>55</v>
      </c>
      <c r="AE24" s="117" t="s">
        <v>341</v>
      </c>
      <c r="AF24" s="117" t="s">
        <v>325</v>
      </c>
      <c r="AG24" s="117" t="s">
        <v>356</v>
      </c>
      <c r="AH24" s="180">
        <v>4.2905800000000001E-2</v>
      </c>
      <c r="AI24" s="175">
        <v>27494.05</v>
      </c>
      <c r="AJ24" s="117" t="s">
        <v>3382</v>
      </c>
      <c r="AK24" s="117" t="s">
        <v>62</v>
      </c>
      <c r="AL24" s="117" t="s">
        <v>3383</v>
      </c>
      <c r="AM24" s="117" t="s">
        <v>3384</v>
      </c>
      <c r="AN24" s="184">
        <v>4.3999999999999999E-5</v>
      </c>
      <c r="AO24" s="184">
        <v>9.9999999999999995E-7</v>
      </c>
    </row>
    <row r="25" spans="1:41" x14ac:dyDescent="0.2">
      <c r="A25" s="117" t="s">
        <v>3376</v>
      </c>
      <c r="B25" s="117" t="s">
        <v>3428</v>
      </c>
      <c r="C25" s="117" t="s">
        <v>400</v>
      </c>
      <c r="D25" s="117" t="s">
        <v>3378</v>
      </c>
      <c r="E25" s="117" t="s">
        <v>1215</v>
      </c>
      <c r="F25" s="174">
        <v>3.9552</v>
      </c>
      <c r="G25" s="175">
        <v>7705675.7400000002</v>
      </c>
      <c r="H25" s="175">
        <v>7682.2557359546936</v>
      </c>
      <c r="I25" s="183">
        <v>4.6999999999999997E-5</v>
      </c>
      <c r="J25" s="183">
        <v>3.9999999999999998E-6</v>
      </c>
      <c r="K25" s="117" t="s">
        <v>3378</v>
      </c>
      <c r="L25" s="117" t="s">
        <v>1215</v>
      </c>
      <c r="M25" s="174">
        <v>3.9552</v>
      </c>
      <c r="N25" s="175">
        <v>-7705675.7400000002</v>
      </c>
      <c r="O25" s="175">
        <v>-7705.6757400000006</v>
      </c>
      <c r="P25" s="183">
        <v>-3.9999999999999998E-6</v>
      </c>
      <c r="Q25" s="183">
        <v>5.3000000000000001E-5</v>
      </c>
      <c r="R25" s="175">
        <v>-92.630799999999994</v>
      </c>
      <c r="S25" s="117" t="s">
        <v>61</v>
      </c>
      <c r="T25" s="178" t="s">
        <v>313</v>
      </c>
      <c r="U25" s="117" t="s">
        <v>97</v>
      </c>
      <c r="V25" s="117" t="s">
        <v>398</v>
      </c>
      <c r="W25" s="117" t="s">
        <v>688</v>
      </c>
      <c r="X25" s="117" t="s">
        <v>3379</v>
      </c>
      <c r="Y25" s="117" t="s">
        <v>62</v>
      </c>
      <c r="Z25" s="117" t="s">
        <v>3345</v>
      </c>
      <c r="AA25" s="117" t="s">
        <v>3380</v>
      </c>
      <c r="AB25" s="117" t="s">
        <v>359</v>
      </c>
      <c r="AC25" s="117" t="s">
        <v>3381</v>
      </c>
      <c r="AD25" s="117" t="s">
        <v>55</v>
      </c>
      <c r="AE25" s="117" t="s">
        <v>341</v>
      </c>
      <c r="AF25" s="117" t="s">
        <v>324</v>
      </c>
      <c r="AG25" s="117" t="s">
        <v>356</v>
      </c>
      <c r="AH25" s="180">
        <v>1.9210000000000001E-2</v>
      </c>
      <c r="AI25" s="175">
        <v>23909.61</v>
      </c>
      <c r="AJ25" s="117" t="s">
        <v>3382</v>
      </c>
      <c r="AK25" s="117" t="s">
        <v>62</v>
      </c>
      <c r="AL25" s="117" t="s">
        <v>3383</v>
      </c>
      <c r="AM25" s="117" t="s">
        <v>3384</v>
      </c>
      <c r="AN25" s="184">
        <v>-1.9999999999999999E-6</v>
      </c>
      <c r="AO25" s="184">
        <v>0</v>
      </c>
    </row>
    <row r="26" spans="1:41" x14ac:dyDescent="0.2">
      <c r="A26" s="117" t="s">
        <v>3376</v>
      </c>
      <c r="B26" s="117" t="s">
        <v>3428</v>
      </c>
      <c r="C26" s="117" t="s">
        <v>400</v>
      </c>
      <c r="D26" s="117" t="s">
        <v>3411</v>
      </c>
      <c r="E26" s="117" t="s">
        <v>1217</v>
      </c>
      <c r="F26" s="174">
        <v>3.3719999999999999</v>
      </c>
      <c r="G26" s="175">
        <v>19109342.080000002</v>
      </c>
      <c r="H26" s="175">
        <v>20053.175036702258</v>
      </c>
      <c r="I26" s="183">
        <v>1.2400000000000001E-4</v>
      </c>
      <c r="J26" s="183">
        <v>1.0000000000000001E-5</v>
      </c>
      <c r="K26" s="117" t="s">
        <v>3411</v>
      </c>
      <c r="L26" s="117" t="s">
        <v>1217</v>
      </c>
      <c r="M26" s="174">
        <v>3.3719999999999999</v>
      </c>
      <c r="N26" s="175">
        <v>-19109342.080000002</v>
      </c>
      <c r="O26" s="175">
        <v>-19109.342080000002</v>
      </c>
      <c r="P26" s="183">
        <v>-1.1E-5</v>
      </c>
      <c r="Q26" s="183">
        <v>1.3100000000000001E-4</v>
      </c>
      <c r="R26" s="175">
        <v>3182.60473</v>
      </c>
      <c r="S26" s="117" t="s">
        <v>61</v>
      </c>
      <c r="T26" s="178" t="s">
        <v>314</v>
      </c>
      <c r="U26" s="117" t="s">
        <v>97</v>
      </c>
      <c r="V26" s="117" t="s">
        <v>398</v>
      </c>
      <c r="W26" s="117" t="s">
        <v>688</v>
      </c>
      <c r="X26" s="117" t="s">
        <v>3404</v>
      </c>
      <c r="Y26" s="117" t="s">
        <v>62</v>
      </c>
      <c r="Z26" s="117" t="s">
        <v>3412</v>
      </c>
      <c r="AA26" s="117" t="s">
        <v>3413</v>
      </c>
      <c r="AB26" s="117" t="s">
        <v>359</v>
      </c>
      <c r="AC26" s="117" t="s">
        <v>3381</v>
      </c>
      <c r="AD26" s="117" t="s">
        <v>55</v>
      </c>
      <c r="AE26" s="117" t="s">
        <v>341</v>
      </c>
      <c r="AF26" s="117" t="s">
        <v>325</v>
      </c>
      <c r="AG26" s="117" t="s">
        <v>356</v>
      </c>
      <c r="AH26" s="180">
        <v>4.2905800000000001E-2</v>
      </c>
      <c r="AI26" s="175">
        <v>13712.71</v>
      </c>
      <c r="AJ26" s="117" t="s">
        <v>3382</v>
      </c>
      <c r="AK26" s="117" t="s">
        <v>62</v>
      </c>
      <c r="AL26" s="117" t="s">
        <v>3383</v>
      </c>
      <c r="AM26" s="117" t="s">
        <v>3384</v>
      </c>
      <c r="AN26" s="184">
        <v>8.2999999999999998E-5</v>
      </c>
      <c r="AO26" s="184">
        <v>1.9999999999999999E-6</v>
      </c>
    </row>
    <row r="27" spans="1:41" x14ac:dyDescent="0.2">
      <c r="A27" s="117" t="s">
        <v>3376</v>
      </c>
      <c r="B27" s="117" t="s">
        <v>3428</v>
      </c>
      <c r="C27" s="117" t="s">
        <v>400</v>
      </c>
      <c r="D27" s="117" t="s">
        <v>3399</v>
      </c>
      <c r="E27" s="117" t="s">
        <v>1217</v>
      </c>
      <c r="F27" s="174">
        <v>3.3719999999999999</v>
      </c>
      <c r="G27" s="175">
        <v>4416808.3840000005</v>
      </c>
      <c r="H27" s="175">
        <v>4645.1312487686846</v>
      </c>
      <c r="I27" s="183">
        <v>2.9E-5</v>
      </c>
      <c r="J27" s="183">
        <v>1.9999999999999999E-6</v>
      </c>
      <c r="K27" s="117" t="s">
        <v>3399</v>
      </c>
      <c r="L27" s="117" t="s">
        <v>1217</v>
      </c>
      <c r="M27" s="174">
        <v>3.3719999999999999</v>
      </c>
      <c r="N27" s="175">
        <v>-4416808.3840000005</v>
      </c>
      <c r="O27" s="175">
        <v>-4416.8083840000008</v>
      </c>
      <c r="P27" s="183">
        <v>-1.9999999999999999E-6</v>
      </c>
      <c r="Q27" s="183">
        <v>3.0000000000000001E-5</v>
      </c>
      <c r="R27" s="175">
        <v>769.90470000000005</v>
      </c>
      <c r="S27" s="117" t="s">
        <v>61</v>
      </c>
      <c r="T27" s="178" t="s">
        <v>314</v>
      </c>
      <c r="U27" s="117" t="s">
        <v>97</v>
      </c>
      <c r="V27" s="117" t="s">
        <v>398</v>
      </c>
      <c r="W27" s="117" t="s">
        <v>688</v>
      </c>
      <c r="X27" s="117" t="s">
        <v>3400</v>
      </c>
      <c r="Y27" s="117" t="s">
        <v>62</v>
      </c>
      <c r="Z27" s="117" t="s">
        <v>3401</v>
      </c>
      <c r="AA27" s="117" t="s">
        <v>3402</v>
      </c>
      <c r="AB27" s="117" t="s">
        <v>359</v>
      </c>
      <c r="AC27" s="117" t="s">
        <v>3381</v>
      </c>
      <c r="AD27" s="117" t="s">
        <v>55</v>
      </c>
      <c r="AE27" s="117" t="s">
        <v>341</v>
      </c>
      <c r="AF27" s="117" t="s">
        <v>325</v>
      </c>
      <c r="AG27" s="117" t="s">
        <v>356</v>
      </c>
      <c r="AH27" s="180">
        <v>4.2905800000000001E-2</v>
      </c>
      <c r="AI27" s="175">
        <v>661.49900000000002</v>
      </c>
      <c r="AJ27" s="117" t="s">
        <v>3382</v>
      </c>
      <c r="AK27" s="117" t="s">
        <v>62</v>
      </c>
      <c r="AL27" s="117" t="s">
        <v>3383</v>
      </c>
      <c r="AM27" s="117" t="s">
        <v>3384</v>
      </c>
      <c r="AN27" s="184">
        <v>2.0000000000000002E-5</v>
      </c>
      <c r="AO27" s="184">
        <v>0</v>
      </c>
    </row>
    <row r="28" spans="1:41" x14ac:dyDescent="0.2">
      <c r="A28" s="117" t="s">
        <v>3376</v>
      </c>
      <c r="B28" s="117" t="s">
        <v>3428</v>
      </c>
      <c r="C28" s="117" t="s">
        <v>400</v>
      </c>
      <c r="D28" s="117" t="s">
        <v>3396</v>
      </c>
      <c r="E28" s="117" t="s">
        <v>1217</v>
      </c>
      <c r="F28" s="174">
        <v>3.3719999999999999</v>
      </c>
      <c r="G28" s="175">
        <v>8339061.5850000009</v>
      </c>
      <c r="H28" s="175">
        <v>9418.6884325682095</v>
      </c>
      <c r="I28" s="183">
        <v>5.8E-5</v>
      </c>
      <c r="J28" s="183">
        <v>5.0000000000000004E-6</v>
      </c>
      <c r="K28" s="117" t="s">
        <v>3396</v>
      </c>
      <c r="L28" s="117" t="s">
        <v>1217</v>
      </c>
      <c r="M28" s="174">
        <v>3.3719999999999999</v>
      </c>
      <c r="N28" s="175">
        <v>-8339061.5850000009</v>
      </c>
      <c r="O28" s="175">
        <v>-8339.0615850000013</v>
      </c>
      <c r="P28" s="183">
        <v>-5.0000000000000004E-6</v>
      </c>
      <c r="Q28" s="183">
        <v>5.7000000000000003E-5</v>
      </c>
      <c r="R28" s="175">
        <v>3640.50173</v>
      </c>
      <c r="S28" s="117" t="s">
        <v>61</v>
      </c>
      <c r="T28" s="178" t="s">
        <v>314</v>
      </c>
      <c r="U28" s="117" t="s">
        <v>97</v>
      </c>
      <c r="V28" s="117" t="s">
        <v>398</v>
      </c>
      <c r="W28" s="117" t="s">
        <v>688</v>
      </c>
      <c r="X28" s="117" t="s">
        <v>3386</v>
      </c>
      <c r="Y28" s="117" t="s">
        <v>62</v>
      </c>
      <c r="Z28" s="117" t="s">
        <v>3397</v>
      </c>
      <c r="AA28" s="117" t="s">
        <v>3398</v>
      </c>
      <c r="AB28" s="117" t="s">
        <v>359</v>
      </c>
      <c r="AC28" s="117" t="s">
        <v>3381</v>
      </c>
      <c r="AD28" s="117" t="s">
        <v>55</v>
      </c>
      <c r="AE28" s="117" t="s">
        <v>341</v>
      </c>
      <c r="AF28" s="117" t="s">
        <v>325</v>
      </c>
      <c r="AG28" s="117" t="s">
        <v>356</v>
      </c>
      <c r="AH28" s="180">
        <v>4.2905800000000001E-2</v>
      </c>
      <c r="AI28" s="175">
        <v>27494.05</v>
      </c>
      <c r="AJ28" s="117" t="s">
        <v>3382</v>
      </c>
      <c r="AK28" s="117" t="s">
        <v>62</v>
      </c>
      <c r="AL28" s="117" t="s">
        <v>3383</v>
      </c>
      <c r="AM28" s="117" t="s">
        <v>3384</v>
      </c>
      <c r="AN28" s="184">
        <v>9.3999999999999994E-5</v>
      </c>
      <c r="AO28" s="184">
        <v>1.9999999999999999E-6</v>
      </c>
    </row>
    <row r="29" spans="1:41" x14ac:dyDescent="0.2">
      <c r="A29" s="117" t="s">
        <v>3376</v>
      </c>
      <c r="B29" s="117" t="s">
        <v>3428</v>
      </c>
      <c r="C29" s="117" t="s">
        <v>400</v>
      </c>
      <c r="D29" s="117" t="s">
        <v>3392</v>
      </c>
      <c r="E29" s="117" t="s">
        <v>1216</v>
      </c>
      <c r="F29" s="174">
        <v>0.42899999999999999</v>
      </c>
      <c r="G29" s="175">
        <v>15131105.850000001</v>
      </c>
      <c r="H29" s="175">
        <v>20969.111234615386</v>
      </c>
      <c r="I29" s="183">
        <v>1.2899999999999999E-4</v>
      </c>
      <c r="J29" s="183">
        <v>1.0000000000000001E-5</v>
      </c>
      <c r="K29" s="117" t="s">
        <v>3392</v>
      </c>
      <c r="L29" s="117" t="s">
        <v>1216</v>
      </c>
      <c r="M29" s="174">
        <v>0.42899999999999999</v>
      </c>
      <c r="N29" s="175">
        <v>-15131105.850000001</v>
      </c>
      <c r="O29" s="175">
        <v>-15131.105850000002</v>
      </c>
      <c r="P29" s="183">
        <v>-9.0000000000000002E-6</v>
      </c>
      <c r="Q29" s="183">
        <v>1.0399999999999999E-4</v>
      </c>
      <c r="R29" s="182">
        <v>2504.5043100000003</v>
      </c>
      <c r="S29" s="117" t="s">
        <v>61</v>
      </c>
      <c r="T29" s="178" t="s">
        <v>159</v>
      </c>
      <c r="U29" s="117" t="s">
        <v>97</v>
      </c>
      <c r="V29" s="117" t="s">
        <v>398</v>
      </c>
      <c r="W29" s="117" t="s">
        <v>688</v>
      </c>
      <c r="X29" s="117" t="s">
        <v>3393</v>
      </c>
      <c r="Y29" s="117" t="s">
        <v>62</v>
      </c>
      <c r="Z29" s="117" t="s">
        <v>3394</v>
      </c>
      <c r="AA29" s="117" t="s">
        <v>3395</v>
      </c>
      <c r="AB29" s="117" t="s">
        <v>362</v>
      </c>
      <c r="AC29" s="117" t="s">
        <v>3381</v>
      </c>
      <c r="AD29" s="117" t="s">
        <v>55</v>
      </c>
      <c r="AE29" s="117" t="s">
        <v>341</v>
      </c>
      <c r="AF29" s="117" t="s">
        <v>362</v>
      </c>
      <c r="AG29" s="117" t="s">
        <v>362</v>
      </c>
      <c r="AH29" s="180" t="s">
        <v>362</v>
      </c>
      <c r="AI29" s="175">
        <v>84906.39</v>
      </c>
      <c r="AJ29" s="117" t="s">
        <v>3382</v>
      </c>
      <c r="AK29" s="117" t="s">
        <v>62</v>
      </c>
      <c r="AL29" s="117" t="s">
        <v>3383</v>
      </c>
      <c r="AM29" s="117" t="s">
        <v>3384</v>
      </c>
      <c r="AN29" s="184">
        <v>6.4999999999999994E-5</v>
      </c>
      <c r="AO29" s="184">
        <v>9.9999999999999995E-7</v>
      </c>
    </row>
    <row r="30" spans="1:41" x14ac:dyDescent="0.2">
      <c r="A30" s="117" t="s">
        <v>3376</v>
      </c>
      <c r="B30" s="117" t="s">
        <v>3428</v>
      </c>
      <c r="C30" s="117" t="s">
        <v>400</v>
      </c>
      <c r="D30" s="117" t="s">
        <v>3389</v>
      </c>
      <c r="E30" s="117" t="s">
        <v>1214</v>
      </c>
      <c r="F30" s="174">
        <v>2.2031999999999998</v>
      </c>
      <c r="G30" s="175">
        <v>7373093.0000000009</v>
      </c>
      <c r="H30" s="175">
        <v>7364.0360374001457</v>
      </c>
      <c r="I30" s="183">
        <v>4.5000000000000003E-5</v>
      </c>
      <c r="J30" s="183">
        <v>3.9999999999999998E-6</v>
      </c>
      <c r="K30" s="117" t="s">
        <v>3389</v>
      </c>
      <c r="L30" s="117" t="s">
        <v>1214</v>
      </c>
      <c r="M30" s="174">
        <v>2.2031999999999998</v>
      </c>
      <c r="N30" s="175">
        <v>-7373093.0000000009</v>
      </c>
      <c r="O30" s="175">
        <v>-7373.0930000000008</v>
      </c>
      <c r="P30" s="183">
        <v>-3.9999999999999998E-6</v>
      </c>
      <c r="Q30" s="183">
        <v>5.1E-5</v>
      </c>
      <c r="R30" s="175">
        <v>-19.9543</v>
      </c>
      <c r="S30" s="117" t="s">
        <v>61</v>
      </c>
      <c r="T30" s="178" t="s">
        <v>67</v>
      </c>
      <c r="U30" s="117" t="s">
        <v>97</v>
      </c>
      <c r="V30" s="117" t="s">
        <v>398</v>
      </c>
      <c r="W30" s="117" t="s">
        <v>688</v>
      </c>
      <c r="X30" s="117" t="s">
        <v>3390</v>
      </c>
      <c r="Y30" s="117" t="s">
        <v>62</v>
      </c>
      <c r="Z30" s="117" t="s">
        <v>3267</v>
      </c>
      <c r="AA30" s="117" t="s">
        <v>1247</v>
      </c>
      <c r="AB30" s="117" t="s">
        <v>359</v>
      </c>
      <c r="AC30" s="117" t="s">
        <v>3381</v>
      </c>
      <c r="AD30" s="117" t="s">
        <v>55</v>
      </c>
      <c r="AE30" s="117" t="s">
        <v>341</v>
      </c>
      <c r="AF30" s="117" t="s">
        <v>3391</v>
      </c>
      <c r="AG30" s="117" t="s">
        <v>359</v>
      </c>
      <c r="AH30" s="180">
        <v>3.61E-2</v>
      </c>
      <c r="AI30" s="175">
        <v>113592.8</v>
      </c>
      <c r="AJ30" s="117" t="s">
        <v>3382</v>
      </c>
      <c r="AK30" s="117" t="s">
        <v>62</v>
      </c>
      <c r="AL30" s="117" t="s">
        <v>3383</v>
      </c>
      <c r="AM30" s="117" t="s">
        <v>3384</v>
      </c>
      <c r="AN30" s="184">
        <v>-9.9999999999999995E-7</v>
      </c>
      <c r="AO30" s="184">
        <v>0</v>
      </c>
    </row>
    <row r="31" spans="1:41" x14ac:dyDescent="0.2">
      <c r="A31" s="117" t="s">
        <v>3376</v>
      </c>
      <c r="B31" s="117" t="s">
        <v>3429</v>
      </c>
      <c r="C31" s="117" t="s">
        <v>400</v>
      </c>
      <c r="D31" s="117" t="s">
        <v>3385</v>
      </c>
      <c r="E31" s="117" t="s">
        <v>1217</v>
      </c>
      <c r="F31" s="174">
        <v>3.3719999999999999</v>
      </c>
      <c r="G31" s="175">
        <v>103415.36000000002</v>
      </c>
      <c r="H31" s="175">
        <v>109.5764394780546</v>
      </c>
      <c r="I31" s="183">
        <v>1.4100000000000001E-4</v>
      </c>
      <c r="J31" s="183">
        <v>9.9999999999999995E-7</v>
      </c>
      <c r="K31" s="117" t="s">
        <v>3385</v>
      </c>
      <c r="L31" s="117" t="s">
        <v>1217</v>
      </c>
      <c r="M31" s="174">
        <v>3.3719999999999999</v>
      </c>
      <c r="N31" s="175">
        <v>-103415.36000000002</v>
      </c>
      <c r="O31" s="175">
        <v>-103.41536000000002</v>
      </c>
      <c r="P31" s="183">
        <v>-9.9999999999999995E-7</v>
      </c>
      <c r="Q31" s="183">
        <v>1.55E-4</v>
      </c>
      <c r="R31" s="175">
        <v>20.77516</v>
      </c>
      <c r="S31" s="117" t="s">
        <v>61</v>
      </c>
      <c r="T31" s="178" t="s">
        <v>314</v>
      </c>
      <c r="U31" s="117" t="s">
        <v>97</v>
      </c>
      <c r="V31" s="117" t="s">
        <v>398</v>
      </c>
      <c r="W31" s="117" t="s">
        <v>688</v>
      </c>
      <c r="X31" s="117" t="s">
        <v>3386</v>
      </c>
      <c r="Y31" s="117" t="s">
        <v>62</v>
      </c>
      <c r="Z31" s="117" t="s">
        <v>3387</v>
      </c>
      <c r="AA31" s="117" t="s">
        <v>3388</v>
      </c>
      <c r="AB31" s="117" t="s">
        <v>359</v>
      </c>
      <c r="AC31" s="117" t="s">
        <v>3381</v>
      </c>
      <c r="AD31" s="117" t="s">
        <v>55</v>
      </c>
      <c r="AE31" s="117" t="s">
        <v>341</v>
      </c>
      <c r="AF31" s="117" t="s">
        <v>325</v>
      </c>
      <c r="AG31" s="117" t="s">
        <v>356</v>
      </c>
      <c r="AH31" s="180">
        <v>4.2905800000000001E-2</v>
      </c>
      <c r="AI31" s="175">
        <v>27494.05</v>
      </c>
      <c r="AJ31" s="117" t="s">
        <v>3382</v>
      </c>
      <c r="AK31" s="117" t="s">
        <v>62</v>
      </c>
      <c r="AL31" s="117" t="s">
        <v>3383</v>
      </c>
      <c r="AM31" s="117" t="s">
        <v>3384</v>
      </c>
      <c r="AN31" s="184">
        <v>5.7000000000000003E-5</v>
      </c>
      <c r="AO31" s="184">
        <v>0</v>
      </c>
    </row>
    <row r="32" spans="1:41" x14ac:dyDescent="0.2">
      <c r="A32" s="117" t="s">
        <v>3376</v>
      </c>
      <c r="B32" s="117" t="s">
        <v>3429</v>
      </c>
      <c r="C32" s="117" t="s">
        <v>400</v>
      </c>
      <c r="D32" s="117" t="s">
        <v>3420</v>
      </c>
      <c r="E32" s="117" t="s">
        <v>1217</v>
      </c>
      <c r="F32" s="174">
        <v>3.3719999999999999</v>
      </c>
      <c r="G32" s="175">
        <v>181152.08300000001</v>
      </c>
      <c r="H32" s="175">
        <v>191.66787481494663</v>
      </c>
      <c r="I32" s="183">
        <v>2.4699999999999999E-4</v>
      </c>
      <c r="J32" s="183">
        <v>1.9999999999999999E-6</v>
      </c>
      <c r="K32" s="117" t="s">
        <v>3420</v>
      </c>
      <c r="L32" s="117" t="s">
        <v>1217</v>
      </c>
      <c r="M32" s="174">
        <v>3.3719999999999999</v>
      </c>
      <c r="N32" s="175">
        <v>-181152.08300000001</v>
      </c>
      <c r="O32" s="175">
        <v>-181.152083</v>
      </c>
      <c r="P32" s="183">
        <v>-1.9999999999999999E-6</v>
      </c>
      <c r="Q32" s="183">
        <v>2.7099999999999997E-4</v>
      </c>
      <c r="R32" s="175">
        <v>35.459249999999997</v>
      </c>
      <c r="S32" s="117" t="s">
        <v>61</v>
      </c>
      <c r="T32" s="178" t="s">
        <v>314</v>
      </c>
      <c r="U32" s="117" t="s">
        <v>97</v>
      </c>
      <c r="V32" s="117" t="s">
        <v>398</v>
      </c>
      <c r="W32" s="117" t="s">
        <v>688</v>
      </c>
      <c r="X32" s="117" t="s">
        <v>3386</v>
      </c>
      <c r="Y32" s="117" t="s">
        <v>62</v>
      </c>
      <c r="Z32" s="117" t="s">
        <v>3421</v>
      </c>
      <c r="AA32" s="117" t="s">
        <v>3422</v>
      </c>
      <c r="AB32" s="117" t="s">
        <v>359</v>
      </c>
      <c r="AC32" s="117" t="s">
        <v>3381</v>
      </c>
      <c r="AD32" s="117" t="s">
        <v>55</v>
      </c>
      <c r="AE32" s="117" t="s">
        <v>341</v>
      </c>
      <c r="AF32" s="117" t="s">
        <v>325</v>
      </c>
      <c r="AG32" s="117" t="s">
        <v>356</v>
      </c>
      <c r="AH32" s="180">
        <v>4.2905800000000001E-2</v>
      </c>
      <c r="AI32" s="175">
        <v>27494.05</v>
      </c>
      <c r="AJ32" s="117" t="s">
        <v>3382</v>
      </c>
      <c r="AK32" s="117" t="s">
        <v>62</v>
      </c>
      <c r="AL32" s="117" t="s">
        <v>3383</v>
      </c>
      <c r="AM32" s="117" t="s">
        <v>3384</v>
      </c>
      <c r="AN32" s="184">
        <v>9.7E-5</v>
      </c>
      <c r="AO32" s="184">
        <v>0</v>
      </c>
    </row>
    <row r="33" spans="1:41" x14ac:dyDescent="0.2">
      <c r="A33" s="117" t="s">
        <v>3376</v>
      </c>
      <c r="B33" s="117" t="s">
        <v>3429</v>
      </c>
      <c r="C33" s="117" t="s">
        <v>400</v>
      </c>
      <c r="D33" s="117" t="s">
        <v>3403</v>
      </c>
      <c r="E33" s="117" t="s">
        <v>1217</v>
      </c>
      <c r="F33" s="174">
        <v>3.3719999999999999</v>
      </c>
      <c r="G33" s="175">
        <v>384212.50000000006</v>
      </c>
      <c r="H33" s="175">
        <v>475.44177046263349</v>
      </c>
      <c r="I33" s="183">
        <v>6.1200000000000002E-4</v>
      </c>
      <c r="J33" s="183">
        <v>5.0000000000000004E-6</v>
      </c>
      <c r="K33" s="117" t="s">
        <v>3403</v>
      </c>
      <c r="L33" s="117" t="s">
        <v>1217</v>
      </c>
      <c r="M33" s="174">
        <v>3.3719999999999999</v>
      </c>
      <c r="N33" s="175">
        <v>-384212.50000000006</v>
      </c>
      <c r="O33" s="175">
        <v>-384.21250000000003</v>
      </c>
      <c r="P33" s="183">
        <v>-3.9999999999999998E-6</v>
      </c>
      <c r="Q33" s="183">
        <v>5.7399999999999997E-4</v>
      </c>
      <c r="R33" s="175">
        <v>307.62509999999997</v>
      </c>
      <c r="S33" s="117" t="s">
        <v>61</v>
      </c>
      <c r="T33" s="178" t="s">
        <v>314</v>
      </c>
      <c r="U33" s="117" t="s">
        <v>97</v>
      </c>
      <c r="V33" s="117" t="s">
        <v>398</v>
      </c>
      <c r="W33" s="117" t="s">
        <v>688</v>
      </c>
      <c r="X33" s="117" t="s">
        <v>3404</v>
      </c>
      <c r="Y33" s="117" t="s">
        <v>62</v>
      </c>
      <c r="Z33" s="117" t="s">
        <v>3405</v>
      </c>
      <c r="AA33" s="117" t="s">
        <v>3406</v>
      </c>
      <c r="AB33" s="117" t="s">
        <v>359</v>
      </c>
      <c r="AC33" s="117" t="s">
        <v>3381</v>
      </c>
      <c r="AD33" s="117" t="s">
        <v>55</v>
      </c>
      <c r="AE33" s="117" t="s">
        <v>341</v>
      </c>
      <c r="AF33" s="117" t="s">
        <v>325</v>
      </c>
      <c r="AG33" s="117" t="s">
        <v>356</v>
      </c>
      <c r="AH33" s="180">
        <v>4.2905800000000001E-2</v>
      </c>
      <c r="AI33" s="175">
        <v>13712.71</v>
      </c>
      <c r="AJ33" s="117" t="s">
        <v>3382</v>
      </c>
      <c r="AK33" s="117" t="s">
        <v>62</v>
      </c>
      <c r="AL33" s="117" t="s">
        <v>3383</v>
      </c>
      <c r="AM33" s="117" t="s">
        <v>3384</v>
      </c>
      <c r="AN33" s="184">
        <v>8.4500000000000005E-4</v>
      </c>
      <c r="AO33" s="184">
        <v>3.9999999999999998E-6</v>
      </c>
    </row>
    <row r="34" spans="1:41" x14ac:dyDescent="0.2">
      <c r="A34" s="117" t="s">
        <v>3376</v>
      </c>
      <c r="B34" s="117" t="s">
        <v>3430</v>
      </c>
      <c r="C34" s="117" t="s">
        <v>400</v>
      </c>
      <c r="D34" s="117" t="s">
        <v>3403</v>
      </c>
      <c r="E34" s="117" t="s">
        <v>1217</v>
      </c>
      <c r="F34" s="174">
        <v>3.3719999999999999</v>
      </c>
      <c r="G34" s="175">
        <v>307370</v>
      </c>
      <c r="H34" s="175">
        <v>380.35341637010674</v>
      </c>
      <c r="I34" s="183">
        <v>6.0700000000000001E-4</v>
      </c>
      <c r="J34" s="183">
        <v>3.0000000000000001E-6</v>
      </c>
      <c r="K34" s="117" t="s">
        <v>3403</v>
      </c>
      <c r="L34" s="117" t="s">
        <v>1217</v>
      </c>
      <c r="M34" s="174">
        <v>3.3719999999999999</v>
      </c>
      <c r="N34" s="175">
        <v>-307370</v>
      </c>
      <c r="O34" s="175">
        <v>-307.37</v>
      </c>
      <c r="P34" s="183">
        <v>-3.0000000000000001E-6</v>
      </c>
      <c r="Q34" s="183">
        <v>5.6899999999999995E-4</v>
      </c>
      <c r="R34" s="175">
        <v>246.10007999999999</v>
      </c>
      <c r="S34" s="117" t="s">
        <v>61</v>
      </c>
      <c r="T34" s="178" t="s">
        <v>314</v>
      </c>
      <c r="U34" s="117" t="s">
        <v>97</v>
      </c>
      <c r="V34" s="117" t="s">
        <v>398</v>
      </c>
      <c r="W34" s="117" t="s">
        <v>688</v>
      </c>
      <c r="X34" s="117" t="s">
        <v>3404</v>
      </c>
      <c r="Y34" s="117" t="s">
        <v>62</v>
      </c>
      <c r="Z34" s="117" t="s">
        <v>3405</v>
      </c>
      <c r="AA34" s="117" t="s">
        <v>3406</v>
      </c>
      <c r="AB34" s="117" t="s">
        <v>359</v>
      </c>
      <c r="AC34" s="117" t="s">
        <v>3381</v>
      </c>
      <c r="AD34" s="117" t="s">
        <v>55</v>
      </c>
      <c r="AE34" s="117" t="s">
        <v>341</v>
      </c>
      <c r="AF34" s="117" t="s">
        <v>325</v>
      </c>
      <c r="AG34" s="117" t="s">
        <v>356</v>
      </c>
      <c r="AH34" s="180">
        <v>4.2905800000000001E-2</v>
      </c>
      <c r="AI34" s="175">
        <v>13712.71</v>
      </c>
      <c r="AJ34" s="117" t="s">
        <v>3382</v>
      </c>
      <c r="AK34" s="117" t="s">
        <v>62</v>
      </c>
      <c r="AL34" s="117" t="s">
        <v>3383</v>
      </c>
      <c r="AM34" s="117" t="s">
        <v>3384</v>
      </c>
      <c r="AN34" s="184">
        <v>8.43E-4</v>
      </c>
      <c r="AO34" s="184">
        <v>1.9999999999999999E-6</v>
      </c>
    </row>
    <row r="35" spans="1:41" x14ac:dyDescent="0.2">
      <c r="A35" s="117" t="s">
        <v>3376</v>
      </c>
      <c r="B35" s="117" t="s">
        <v>3430</v>
      </c>
      <c r="C35" s="117" t="s">
        <v>400</v>
      </c>
      <c r="D35" s="117" t="s">
        <v>3420</v>
      </c>
      <c r="E35" s="117" t="s">
        <v>1217</v>
      </c>
      <c r="F35" s="174">
        <v>3.3719999999999999</v>
      </c>
      <c r="G35" s="175">
        <v>155273.21400000001</v>
      </c>
      <c r="H35" s="175">
        <v>164.28675195966784</v>
      </c>
      <c r="I35" s="183">
        <v>2.6200000000000003E-4</v>
      </c>
      <c r="J35" s="183">
        <v>9.9999999999999995E-7</v>
      </c>
      <c r="K35" s="117" t="s">
        <v>3420</v>
      </c>
      <c r="L35" s="117" t="s">
        <v>1217</v>
      </c>
      <c r="M35" s="174">
        <v>3.3719999999999999</v>
      </c>
      <c r="N35" s="175">
        <v>-155273.21400000001</v>
      </c>
      <c r="O35" s="175">
        <v>-155.273214</v>
      </c>
      <c r="P35" s="183">
        <v>-9.9999999999999995E-7</v>
      </c>
      <c r="Q35" s="183">
        <v>2.8699999999999998E-4</v>
      </c>
      <c r="R35" s="175">
        <v>30.393650000000001</v>
      </c>
      <c r="S35" s="117" t="s">
        <v>61</v>
      </c>
      <c r="T35" s="117" t="s">
        <v>314</v>
      </c>
      <c r="U35" s="117" t="s">
        <v>97</v>
      </c>
      <c r="V35" s="117" t="s">
        <v>398</v>
      </c>
      <c r="W35" s="117" t="s">
        <v>688</v>
      </c>
      <c r="X35" s="117" t="s">
        <v>3386</v>
      </c>
      <c r="Y35" s="117" t="s">
        <v>62</v>
      </c>
      <c r="Z35" s="117" t="s">
        <v>3421</v>
      </c>
      <c r="AA35" s="117" t="s">
        <v>3422</v>
      </c>
      <c r="AB35" s="117" t="s">
        <v>359</v>
      </c>
      <c r="AC35" s="117" t="s">
        <v>3381</v>
      </c>
      <c r="AD35" s="117" t="s">
        <v>55</v>
      </c>
      <c r="AE35" s="117" t="s">
        <v>341</v>
      </c>
      <c r="AF35" s="117" t="s">
        <v>325</v>
      </c>
      <c r="AG35" s="117" t="s">
        <v>356</v>
      </c>
      <c r="AH35" s="180">
        <v>4.2905800000000001E-2</v>
      </c>
      <c r="AI35" s="175">
        <v>27494.05</v>
      </c>
      <c r="AJ35" s="117" t="s">
        <v>3382</v>
      </c>
      <c r="AK35" s="117" t="s">
        <v>62</v>
      </c>
      <c r="AL35" s="117" t="s">
        <v>3383</v>
      </c>
      <c r="AM35" s="117" t="s">
        <v>3384</v>
      </c>
      <c r="AN35" s="184">
        <v>1.0399999999999999E-4</v>
      </c>
      <c r="AO35" s="184">
        <v>0</v>
      </c>
    </row>
    <row r="36" spans="1:41" x14ac:dyDescent="0.2">
      <c r="A36" s="117" t="s">
        <v>3376</v>
      </c>
      <c r="B36" s="117" t="s">
        <v>3430</v>
      </c>
      <c r="C36" s="117" t="s">
        <v>400</v>
      </c>
      <c r="D36" s="117" t="s">
        <v>3385</v>
      </c>
      <c r="E36" s="117" t="s">
        <v>1217</v>
      </c>
      <c r="F36" s="174">
        <v>3.3719999999999999</v>
      </c>
      <c r="G36" s="175">
        <v>77561.52</v>
      </c>
      <c r="H36" s="175">
        <v>82.182329608540925</v>
      </c>
      <c r="I36" s="183">
        <v>1.3100000000000001E-4</v>
      </c>
      <c r="J36" s="183">
        <v>9.9999999999999995E-7</v>
      </c>
      <c r="K36" s="117" t="s">
        <v>3385</v>
      </c>
      <c r="L36" s="117" t="s">
        <v>1217</v>
      </c>
      <c r="M36" s="174">
        <v>3.3719999999999999</v>
      </c>
      <c r="N36" s="175">
        <v>-77561.52</v>
      </c>
      <c r="O36" s="175">
        <v>-77.561520000000002</v>
      </c>
      <c r="P36" s="183">
        <v>-9.9999999999999995E-7</v>
      </c>
      <c r="Q36" s="183">
        <v>1.44E-4</v>
      </c>
      <c r="R36" s="175">
        <v>15.58137</v>
      </c>
      <c r="S36" s="117" t="s">
        <v>61</v>
      </c>
      <c r="T36" s="117" t="s">
        <v>314</v>
      </c>
      <c r="U36" s="117" t="s">
        <v>97</v>
      </c>
      <c r="V36" s="117" t="s">
        <v>398</v>
      </c>
      <c r="W36" s="117" t="s">
        <v>688</v>
      </c>
      <c r="X36" s="117" t="s">
        <v>3386</v>
      </c>
      <c r="Y36" s="117" t="s">
        <v>62</v>
      </c>
      <c r="Z36" s="117" t="s">
        <v>3387</v>
      </c>
      <c r="AA36" s="117" t="s">
        <v>3388</v>
      </c>
      <c r="AB36" s="117" t="s">
        <v>359</v>
      </c>
      <c r="AC36" s="117" t="s">
        <v>3381</v>
      </c>
      <c r="AD36" s="117" t="s">
        <v>55</v>
      </c>
      <c r="AE36" s="117" t="s">
        <v>341</v>
      </c>
      <c r="AF36" s="117" t="s">
        <v>325</v>
      </c>
      <c r="AG36" s="117" t="s">
        <v>356</v>
      </c>
      <c r="AH36" s="180">
        <v>4.2905800000000001E-2</v>
      </c>
      <c r="AI36" s="175">
        <v>27494.05</v>
      </c>
      <c r="AJ36" s="117" t="s">
        <v>3382</v>
      </c>
      <c r="AK36" s="117" t="s">
        <v>62</v>
      </c>
      <c r="AL36" s="117" t="s">
        <v>3383</v>
      </c>
      <c r="AM36" s="117" t="s">
        <v>3384</v>
      </c>
      <c r="AN36" s="184">
        <v>5.3000000000000001E-5</v>
      </c>
      <c r="AO36" s="184">
        <v>0</v>
      </c>
    </row>
  </sheetData>
  <autoFilter ref="A1:AO36" xr:uid="{00000000-0001-0000-1600-000000000000}"/>
  <dataValidations count="15">
    <dataValidation type="list" allowBlank="1" showInputMessage="1" showErrorMessage="1" sqref="U2:U20 U22:U38" xr:uid="{3F0E9929-AB4A-413A-998F-F4F67FB7DC4A}">
      <formula1>Underlying_Asset</formula1>
    </dataValidation>
    <dataValidation type="list" allowBlank="1" showInputMessage="1" showErrorMessage="1" sqref="AG22:AG1048576 AG2:AG20 AB2:AB20 AB22:AB1048576" xr:uid="{09E9A744-3C10-4F5C-8A88-1F99BA27A39B}">
      <formula1>Reset_frequency</formula1>
    </dataValidation>
    <dataValidation type="list" allowBlank="1" showInputMessage="1" showErrorMessage="1" sqref="S2:S20 S22:S25" xr:uid="{B007AA15-712F-414C-BB46-34B24C81AF85}">
      <formula1>israel_abroad</formula1>
    </dataValidation>
    <dataValidation type="list" allowBlank="1" showInputMessage="1" showErrorMessage="1" sqref="Y22:Y215 AD22:AD1048576 AD2:AD20 Y2:Y20 AL20 AL22:AL1048576" xr:uid="{91F16F9B-B03D-41E4-A19A-8A68D0448F4C}">
      <formula1>Holding_interest</formula1>
    </dataValidation>
    <dataValidation type="list" allowBlank="1" showInputMessage="1" showErrorMessage="1" sqref="AC2:AC20 AC22:AC61" xr:uid="{0CE96188-2D26-4700-A75B-900767DA4AA6}">
      <formula1>Delivery</formula1>
    </dataValidation>
    <dataValidation type="list" allowBlank="1" showInputMessage="1" showErrorMessage="1" sqref="E23:E32" xr:uid="{D2F21DCB-DBDC-4038-96DC-AF14911F7736}">
      <formula1>Currency_Abbreviation</formula1>
    </dataValidation>
    <dataValidation type="list" allowBlank="1" showInputMessage="1" showErrorMessage="1" sqref="V2:V20" xr:uid="{1A6E5752-B323-40B0-9394-297C8E3DD988}">
      <formula1>Leading_factor</formula1>
    </dataValidation>
    <dataValidation type="list" allowBlank="1" showInputMessage="1" showErrorMessage="1" sqref="T2:T20 T22:T34" xr:uid="{C01DC14D-CDB8-4C7B-991A-B5B3E3502D8F}">
      <formula1>Country_list</formula1>
    </dataValidation>
    <dataValidation type="list" allowBlank="1" showInputMessage="1" showErrorMessage="1" sqref="W2:W20" xr:uid="{57AB92AF-8DF8-4977-BA7C-59A629C2BC81}">
      <formula1>Additional_Factor</formula1>
    </dataValidation>
    <dataValidation allowBlank="1" showInputMessage="1" showErrorMessage="1" sqref="Z2:Z19 M2:N19 D2:D19 I2:K19 P2:R19" xr:uid="{A8885441-B9E3-4579-BBCD-C483EBAE1F3F}"/>
    <dataValidation type="list" allowBlank="1" showInputMessage="1" showErrorMessage="1" sqref="AF22:AF26" xr:uid="{F47DC78D-033F-4877-8779-5F60A18BC019}">
      <formula1>Underlying_Interest_Rates_Der</formula1>
    </dataValidation>
    <dataValidation type="list" allowBlank="1" showInputMessage="1" showErrorMessage="1" sqref="AF2:AF20" xr:uid="{06480B1C-D73B-4989-9711-AF4C3FCE00EB}">
      <formula1>Underlying_Interest_Rates</formula1>
    </dataValidation>
    <dataValidation type="list" allowBlank="1" showInputMessage="1" showErrorMessage="1" sqref="AK2:AK20" xr:uid="{1FBB00D0-CC70-4913-8FEA-7247D1AD8893}">
      <formula1>Penalty</formula1>
    </dataValidation>
    <dataValidation type="list" allowBlank="1" showInputMessage="1" showErrorMessage="1" sqref="AE3:AE20 AE22:AE26" xr:uid="{6E07A239-226A-45D5-B108-48963A936DDC}">
      <formula1>$C$535:$C$536</formula1>
    </dataValidation>
    <dataValidation type="list" allowBlank="1" showInputMessage="1" showErrorMessage="1" sqref="C22:C76" xr:uid="{B2810EDB-1102-4C9E-B172-B3AB37C99562}">
      <formula1>$C$834:$C$841</formula1>
    </dataValidation>
  </dataValidations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workbookViewId="0">
      <selection activeCell="I10" sqref="I10"/>
    </sheetView>
  </sheetViews>
  <sheetFormatPr defaultColWidth="9" defaultRowHeight="14.25" x14ac:dyDescent="0.2"/>
  <cols>
    <col min="1" max="21" width="11.625" style="6" customWidth="1"/>
    <col min="22" max="22" width="11.625" style="135" customWidth="1"/>
    <col min="23" max="27" width="11.625" style="6" customWidth="1"/>
    <col min="28" max="28" width="11.625" style="3" customWidth="1"/>
    <col min="29" max="41" width="11.625" style="6" customWidth="1"/>
    <col min="42" max="42" width="11.625" style="135" customWidth="1"/>
    <col min="43" max="49" width="11.625" style="6" customWidth="1"/>
    <col min="50" max="50" width="11.625" style="3" customWidth="1"/>
    <col min="51" max="53" width="11.625" style="6" customWidth="1"/>
    <col min="54" max="16384" width="9" style="6"/>
  </cols>
  <sheetData>
    <row r="1" spans="1:53" ht="66.75" customHeight="1" x14ac:dyDescent="0.2">
      <c r="A1" s="13" t="s">
        <v>651</v>
      </c>
      <c r="B1" s="13" t="s">
        <v>0</v>
      </c>
      <c r="C1" s="13" t="s">
        <v>725</v>
      </c>
      <c r="D1" s="13" t="s">
        <v>726</v>
      </c>
      <c r="E1" s="13" t="s">
        <v>727</v>
      </c>
      <c r="F1" s="13" t="s">
        <v>728</v>
      </c>
      <c r="G1" s="13" t="s">
        <v>1</v>
      </c>
      <c r="H1" s="13" t="s">
        <v>916</v>
      </c>
      <c r="I1" s="13" t="s">
        <v>604</v>
      </c>
      <c r="J1" s="13" t="s">
        <v>605</v>
      </c>
      <c r="K1" s="13" t="s">
        <v>9</v>
      </c>
      <c r="L1" s="13" t="s">
        <v>606</v>
      </c>
      <c r="M1" s="13" t="s">
        <v>297</v>
      </c>
      <c r="N1" s="13" t="s">
        <v>592</v>
      </c>
      <c r="O1" s="162" t="s">
        <v>732</v>
      </c>
      <c r="P1" s="13" t="s">
        <v>6</v>
      </c>
      <c r="Q1" s="13" t="s">
        <v>8</v>
      </c>
      <c r="R1" s="13" t="s">
        <v>1148</v>
      </c>
      <c r="S1" s="13" t="s">
        <v>396</v>
      </c>
      <c r="T1" s="13" t="s">
        <v>13</v>
      </c>
      <c r="U1" s="13" t="s">
        <v>440</v>
      </c>
      <c r="V1" s="125" t="s">
        <v>14</v>
      </c>
      <c r="W1" s="13" t="s">
        <v>282</v>
      </c>
      <c r="X1" s="13" t="s">
        <v>309</v>
      </c>
      <c r="Y1" s="187" t="s">
        <v>673</v>
      </c>
      <c r="Z1" s="126" t="s">
        <v>621</v>
      </c>
      <c r="AA1" s="13" t="s">
        <v>421</v>
      </c>
      <c r="AB1" s="13" t="s">
        <v>925</v>
      </c>
      <c r="AC1" s="13" t="s">
        <v>20</v>
      </c>
      <c r="AD1" s="188" t="s">
        <v>768</v>
      </c>
      <c r="AE1" s="126" t="s">
        <v>658</v>
      </c>
      <c r="AF1" s="162" t="s">
        <v>659</v>
      </c>
      <c r="AG1" s="13" t="s">
        <v>850</v>
      </c>
      <c r="AH1" s="13" t="s">
        <v>420</v>
      </c>
      <c r="AI1" s="13" t="s">
        <v>21</v>
      </c>
      <c r="AJ1" s="13" t="s">
        <v>674</v>
      </c>
      <c r="AK1" s="13" t="s">
        <v>917</v>
      </c>
      <c r="AL1" s="13" t="s">
        <v>731</v>
      </c>
      <c r="AM1" s="13" t="s">
        <v>372</v>
      </c>
      <c r="AN1" s="162" t="s">
        <v>16</v>
      </c>
      <c r="AO1" s="162" t="s">
        <v>1147</v>
      </c>
      <c r="AP1" s="125" t="s">
        <v>622</v>
      </c>
      <c r="AQ1" s="13" t="s">
        <v>948</v>
      </c>
      <c r="AR1" s="136" t="s">
        <v>729</v>
      </c>
      <c r="AS1" s="124" t="s">
        <v>11</v>
      </c>
      <c r="AT1" s="13" t="s">
        <v>1153</v>
      </c>
      <c r="AU1" s="13" t="s">
        <v>787</v>
      </c>
      <c r="AV1" s="13" t="s">
        <v>1154</v>
      </c>
      <c r="AW1" s="13" t="s">
        <v>788</v>
      </c>
      <c r="AX1" s="13" t="s">
        <v>669</v>
      </c>
      <c r="AY1" s="13" t="s">
        <v>26</v>
      </c>
      <c r="AZ1" s="126" t="s">
        <v>19</v>
      </c>
      <c r="BA1" s="126" t="s">
        <v>30</v>
      </c>
    </row>
    <row r="2" spans="1:53" x14ac:dyDescent="0.2">
      <c r="A2" s="6">
        <v>559</v>
      </c>
      <c r="B2" s="6">
        <v>7205</v>
      </c>
      <c r="C2" s="18" t="s">
        <v>3431</v>
      </c>
      <c r="D2" s="18" t="s">
        <v>78</v>
      </c>
      <c r="E2" s="18" t="s">
        <v>3432</v>
      </c>
      <c r="F2" s="18" t="s">
        <v>3433</v>
      </c>
      <c r="G2" s="18" t="s">
        <v>628</v>
      </c>
      <c r="I2" s="12" t="s">
        <v>53</v>
      </c>
      <c r="J2" s="12"/>
      <c r="K2" s="18" t="s">
        <v>257</v>
      </c>
      <c r="L2" s="18" t="s">
        <v>62</v>
      </c>
      <c r="M2" s="18" t="s">
        <v>62</v>
      </c>
      <c r="N2" s="18"/>
      <c r="O2" s="163" t="s">
        <v>3121</v>
      </c>
      <c r="P2" s="18" t="s">
        <v>298</v>
      </c>
      <c r="Q2" s="18" t="s">
        <v>298</v>
      </c>
      <c r="R2" s="18" t="s">
        <v>779</v>
      </c>
      <c r="S2" s="12" t="s">
        <v>1219</v>
      </c>
      <c r="T2" s="151">
        <v>0</v>
      </c>
      <c r="U2" s="18" t="s">
        <v>102</v>
      </c>
      <c r="V2" s="154">
        <v>0</v>
      </c>
      <c r="W2" s="18" t="s">
        <v>231</v>
      </c>
      <c r="X2" s="18" t="s">
        <v>3434</v>
      </c>
      <c r="Y2" s="189">
        <v>0</v>
      </c>
      <c r="Z2" s="155">
        <v>0</v>
      </c>
      <c r="AA2" s="18"/>
      <c r="AB2" s="12" t="s">
        <v>620</v>
      </c>
      <c r="AC2" s="18" t="s">
        <v>91</v>
      </c>
      <c r="AD2" s="18"/>
      <c r="AE2" s="155">
        <v>0</v>
      </c>
      <c r="AF2" s="18"/>
      <c r="AG2" s="18" t="s">
        <v>62</v>
      </c>
      <c r="AH2" s="18"/>
      <c r="AJ2" s="6" t="s">
        <v>62</v>
      </c>
      <c r="AK2" s="18" t="s">
        <v>102</v>
      </c>
      <c r="AL2" s="18"/>
      <c r="AM2" s="18" t="s">
        <v>305</v>
      </c>
      <c r="AN2" s="164" t="s">
        <v>2313</v>
      </c>
      <c r="AP2" s="134">
        <v>0</v>
      </c>
      <c r="AQ2" s="131">
        <v>4594791.93</v>
      </c>
      <c r="AR2" s="150">
        <v>101.973</v>
      </c>
      <c r="AS2" s="156">
        <v>1</v>
      </c>
      <c r="AT2" s="151">
        <v>4685.4560000000001</v>
      </c>
      <c r="AU2" s="151">
        <v>4685.4560000000001</v>
      </c>
      <c r="AV2" s="18"/>
      <c r="AW2" s="18"/>
      <c r="AX2" s="12" t="s">
        <v>62</v>
      </c>
      <c r="AY2" s="18" t="s">
        <v>17</v>
      </c>
      <c r="AZ2" s="155">
        <v>1</v>
      </c>
      <c r="BA2" s="155">
        <v>2.4442108110462098E-3</v>
      </c>
    </row>
    <row r="3" spans="1:53" x14ac:dyDescent="0.2">
      <c r="C3" s="18"/>
      <c r="D3" s="18"/>
      <c r="E3" s="18"/>
      <c r="F3" s="18"/>
      <c r="G3" s="18"/>
      <c r="I3" s="12"/>
      <c r="J3" s="12"/>
      <c r="K3" s="18"/>
      <c r="L3" s="18"/>
      <c r="M3" s="18"/>
      <c r="N3" s="18"/>
      <c r="O3" s="18"/>
      <c r="P3" s="18"/>
      <c r="Q3" s="18"/>
      <c r="R3" s="18"/>
      <c r="S3" s="12"/>
      <c r="T3" s="18"/>
      <c r="U3" s="18"/>
      <c r="V3" s="165"/>
      <c r="W3" s="18"/>
      <c r="X3" s="18"/>
      <c r="Y3" s="18"/>
      <c r="Z3" s="18"/>
      <c r="AA3" s="18"/>
      <c r="AB3" s="12"/>
      <c r="AC3" s="18"/>
      <c r="AD3" s="18"/>
      <c r="AE3" s="189"/>
      <c r="AF3" s="18"/>
      <c r="AG3" s="18"/>
      <c r="AH3" s="18"/>
      <c r="AK3" s="18"/>
      <c r="AL3" s="18"/>
      <c r="AM3" s="18"/>
      <c r="AR3" s="18"/>
      <c r="AS3" s="18"/>
      <c r="AT3" s="18"/>
      <c r="AU3" s="18"/>
      <c r="AV3" s="18"/>
      <c r="AW3" s="18"/>
      <c r="AX3" s="12"/>
      <c r="AY3" s="18"/>
      <c r="AZ3" s="18"/>
      <c r="BA3" s="18"/>
    </row>
    <row r="4" spans="1:53" x14ac:dyDescent="0.2">
      <c r="C4" s="18"/>
      <c r="D4" s="18"/>
      <c r="E4" s="18"/>
      <c r="F4" s="18"/>
      <c r="G4" s="18"/>
      <c r="I4" s="12"/>
      <c r="J4" s="12"/>
      <c r="K4" s="18"/>
      <c r="L4" s="18"/>
      <c r="M4" s="18"/>
      <c r="N4" s="18"/>
      <c r="O4" s="18"/>
      <c r="P4" s="18"/>
      <c r="Q4" s="18"/>
      <c r="R4" s="18"/>
      <c r="S4" s="12"/>
      <c r="T4" s="18"/>
      <c r="U4" s="18"/>
      <c r="V4" s="165"/>
      <c r="W4" s="18"/>
      <c r="X4" s="18"/>
      <c r="Y4" s="18"/>
      <c r="Z4" s="18"/>
      <c r="AA4" s="18"/>
      <c r="AB4" s="12"/>
      <c r="AC4" s="18"/>
      <c r="AD4" s="18"/>
      <c r="AE4" s="189"/>
      <c r="AF4" s="18"/>
      <c r="AG4" s="18"/>
      <c r="AH4" s="18"/>
      <c r="AK4" s="18"/>
      <c r="AL4" s="18"/>
      <c r="AM4" s="18"/>
      <c r="AR4" s="18"/>
      <c r="AS4" s="18"/>
      <c r="AT4" s="18"/>
      <c r="AU4" s="18"/>
      <c r="AV4" s="18"/>
      <c r="AW4" s="18"/>
      <c r="AX4" s="12"/>
      <c r="AY4" s="18"/>
      <c r="AZ4" s="18"/>
      <c r="BA4" s="18"/>
    </row>
    <row r="5" spans="1:53" x14ac:dyDescent="0.2">
      <c r="C5" s="18"/>
      <c r="D5" s="18"/>
      <c r="E5" s="18"/>
      <c r="F5" s="18"/>
      <c r="G5" s="18"/>
      <c r="I5" s="12"/>
      <c r="J5" s="12"/>
      <c r="K5" s="18"/>
      <c r="L5" s="18"/>
      <c r="M5" s="18"/>
      <c r="N5" s="18"/>
      <c r="O5" s="18"/>
      <c r="P5" s="18"/>
      <c r="Q5" s="18"/>
      <c r="R5" s="18"/>
      <c r="S5" s="12"/>
      <c r="T5" s="18"/>
      <c r="U5" s="18"/>
      <c r="V5" s="165"/>
      <c r="W5" s="18"/>
      <c r="X5" s="18"/>
      <c r="Y5" s="18"/>
      <c r="Z5" s="18"/>
      <c r="AA5" s="18"/>
      <c r="AB5" s="12"/>
      <c r="AC5" s="18"/>
      <c r="AD5" s="18"/>
      <c r="AE5" s="189"/>
      <c r="AF5" s="18"/>
      <c r="AG5" s="18"/>
      <c r="AH5" s="18"/>
      <c r="AK5" s="18"/>
      <c r="AL5" s="18"/>
      <c r="AM5" s="18"/>
      <c r="AR5" s="18"/>
      <c r="AS5" s="18"/>
      <c r="AT5" s="18"/>
      <c r="AU5" s="18"/>
      <c r="AV5" s="18"/>
      <c r="AW5" s="18"/>
      <c r="AX5" s="12"/>
      <c r="AY5" s="18"/>
      <c r="AZ5" s="18"/>
      <c r="BA5" s="18"/>
    </row>
    <row r="6" spans="1:53" x14ac:dyDescent="0.2">
      <c r="C6" s="18"/>
      <c r="D6" s="18"/>
      <c r="E6" s="18"/>
      <c r="F6" s="18"/>
      <c r="G6" s="18"/>
      <c r="I6" s="12"/>
      <c r="J6" s="12"/>
      <c r="K6" s="18"/>
      <c r="L6" s="18"/>
      <c r="M6" s="18"/>
      <c r="N6" s="18"/>
      <c r="O6" s="18"/>
      <c r="P6" s="18"/>
      <c r="Q6" s="18"/>
      <c r="R6" s="18"/>
      <c r="S6" s="12"/>
      <c r="T6" s="18"/>
      <c r="U6" s="18"/>
      <c r="V6" s="165"/>
      <c r="W6" s="18"/>
      <c r="X6" s="18"/>
      <c r="Y6" s="18"/>
      <c r="Z6" s="18"/>
      <c r="AA6" s="18"/>
      <c r="AB6" s="12"/>
      <c r="AC6" s="18"/>
      <c r="AD6" s="18"/>
      <c r="AE6" s="189"/>
      <c r="AF6" s="18"/>
      <c r="AG6" s="18"/>
      <c r="AH6" s="18"/>
      <c r="AK6" s="18"/>
      <c r="AL6" s="18"/>
      <c r="AM6" s="18"/>
      <c r="AR6" s="18"/>
      <c r="AS6" s="18"/>
      <c r="AT6" s="18"/>
      <c r="AU6" s="18"/>
      <c r="AV6" s="18"/>
      <c r="AW6" s="18"/>
      <c r="AX6" s="12"/>
      <c r="AY6" s="18"/>
      <c r="AZ6" s="18"/>
      <c r="BA6" s="18"/>
    </row>
    <row r="7" spans="1:53" x14ac:dyDescent="0.2">
      <c r="C7" s="18"/>
      <c r="D7" s="18"/>
      <c r="E7" s="18"/>
      <c r="F7" s="18"/>
      <c r="G7" s="18"/>
      <c r="I7" s="12"/>
      <c r="J7" s="12"/>
      <c r="K7" s="18"/>
      <c r="L7" s="18"/>
      <c r="M7" s="18"/>
      <c r="N7" s="18"/>
      <c r="O7" s="18"/>
      <c r="P7" s="18"/>
      <c r="Q7" s="18"/>
      <c r="R7" s="18"/>
      <c r="S7" s="12"/>
      <c r="T7" s="18"/>
      <c r="U7" s="18"/>
      <c r="V7" s="165"/>
      <c r="W7" s="18"/>
      <c r="X7" s="18"/>
      <c r="Y7" s="18"/>
      <c r="Z7" s="18"/>
      <c r="AA7" s="18"/>
      <c r="AB7" s="12"/>
      <c r="AC7" s="18"/>
      <c r="AD7" s="18"/>
      <c r="AE7" s="189"/>
      <c r="AF7" s="18"/>
      <c r="AG7" s="18"/>
      <c r="AH7" s="18"/>
      <c r="AK7" s="18"/>
      <c r="AL7" s="18"/>
      <c r="AM7" s="18"/>
      <c r="AR7" s="18"/>
      <c r="AS7" s="18"/>
      <c r="AT7" s="18"/>
      <c r="AU7" s="18"/>
      <c r="AV7" s="18"/>
      <c r="AW7" s="18"/>
      <c r="AX7" s="12"/>
      <c r="AY7" s="18"/>
      <c r="AZ7" s="18"/>
      <c r="BA7" s="18"/>
    </row>
    <row r="8" spans="1:53" x14ac:dyDescent="0.2">
      <c r="C8" s="18"/>
      <c r="D8" s="18"/>
      <c r="E8" s="18"/>
      <c r="F8" s="18"/>
      <c r="G8" s="18"/>
      <c r="I8" s="12"/>
      <c r="J8" s="12"/>
      <c r="K8" s="18"/>
      <c r="L8" s="18"/>
      <c r="M8" s="18"/>
      <c r="N8" s="18"/>
      <c r="O8" s="18"/>
      <c r="P8" s="18"/>
      <c r="Q8" s="18"/>
      <c r="R8" s="18"/>
      <c r="S8" s="12"/>
      <c r="T8" s="18"/>
      <c r="U8" s="18"/>
      <c r="V8" s="165"/>
      <c r="W8" s="18"/>
      <c r="X8" s="18"/>
      <c r="Y8" s="18"/>
      <c r="Z8" s="18"/>
      <c r="AA8" s="18"/>
      <c r="AB8" s="12"/>
      <c r="AC8" s="18"/>
      <c r="AD8" s="18"/>
      <c r="AE8" s="189"/>
      <c r="AF8" s="18"/>
      <c r="AG8" s="18"/>
      <c r="AH8" s="18"/>
      <c r="AK8" s="18"/>
      <c r="AL8" s="18"/>
      <c r="AM8" s="18"/>
      <c r="AR8" s="18"/>
      <c r="AS8" s="18"/>
      <c r="AT8" s="18"/>
      <c r="AU8" s="18"/>
      <c r="AV8" s="18"/>
      <c r="AW8" s="18"/>
      <c r="AX8" s="12"/>
      <c r="AY8" s="18"/>
      <c r="AZ8" s="18"/>
      <c r="BA8" s="18"/>
    </row>
    <row r="9" spans="1:53" x14ac:dyDescent="0.2">
      <c r="C9" s="18"/>
      <c r="D9" s="18"/>
      <c r="E9" s="18"/>
      <c r="F9" s="18"/>
      <c r="G9" s="18"/>
      <c r="I9" s="12"/>
      <c r="J9" s="12"/>
      <c r="K9" s="18"/>
      <c r="L9" s="18"/>
      <c r="M9" s="18"/>
      <c r="N9" s="18"/>
      <c r="O9" s="18"/>
      <c r="P9" s="18"/>
      <c r="Q9" s="18"/>
      <c r="R9" s="18"/>
      <c r="S9" s="12"/>
      <c r="T9" s="18"/>
      <c r="U9" s="18"/>
      <c r="V9" s="165"/>
      <c r="W9" s="18"/>
      <c r="X9" s="18"/>
      <c r="Y9" s="18"/>
      <c r="Z9" s="18"/>
      <c r="AA9" s="18"/>
      <c r="AB9" s="12"/>
      <c r="AC9" s="18"/>
      <c r="AD9" s="18"/>
      <c r="AE9" s="189"/>
      <c r="AF9" s="18"/>
      <c r="AG9" s="18"/>
      <c r="AH9" s="18"/>
      <c r="AK9" s="18"/>
      <c r="AL9" s="18"/>
      <c r="AM9" s="18"/>
      <c r="AR9" s="18"/>
      <c r="AS9" s="18"/>
      <c r="AT9" s="18"/>
      <c r="AU9" s="18"/>
      <c r="AV9" s="18"/>
      <c r="AW9" s="18"/>
      <c r="AX9" s="12"/>
      <c r="AY9" s="18"/>
      <c r="AZ9" s="18"/>
      <c r="BA9" s="18"/>
    </row>
    <row r="10" spans="1:53" x14ac:dyDescent="0.2">
      <c r="C10" s="18"/>
      <c r="D10" s="18"/>
      <c r="E10" s="18"/>
      <c r="F10" s="18"/>
      <c r="G10" s="18"/>
      <c r="I10" s="12"/>
      <c r="J10" s="12"/>
      <c r="K10" s="18"/>
      <c r="L10" s="18"/>
      <c r="M10" s="18"/>
      <c r="N10" s="18"/>
      <c r="O10" s="18"/>
      <c r="P10" s="18"/>
      <c r="Q10" s="18"/>
      <c r="R10" s="18"/>
      <c r="S10" s="12"/>
      <c r="T10" s="18"/>
      <c r="U10" s="18"/>
      <c r="V10" s="165"/>
      <c r="W10" s="18"/>
      <c r="X10" s="18"/>
      <c r="Y10" s="18"/>
      <c r="Z10" s="18"/>
      <c r="AA10" s="18"/>
      <c r="AB10" s="12"/>
      <c r="AC10" s="18"/>
      <c r="AD10" s="18"/>
      <c r="AE10" s="189"/>
      <c r="AF10" s="18"/>
      <c r="AG10" s="18"/>
      <c r="AH10" s="18"/>
      <c r="AK10" s="18"/>
      <c r="AL10" s="18"/>
      <c r="AM10" s="18"/>
      <c r="AR10" s="18"/>
      <c r="AS10" s="18"/>
      <c r="AT10" s="18"/>
      <c r="AU10" s="18"/>
      <c r="AV10" s="18"/>
      <c r="AW10" s="18"/>
      <c r="AX10" s="12"/>
      <c r="AY10" s="18"/>
      <c r="AZ10" s="18"/>
      <c r="BA10" s="18"/>
    </row>
    <row r="11" spans="1:53" x14ac:dyDescent="0.2">
      <c r="C11" s="18"/>
      <c r="D11" s="18"/>
      <c r="E11" s="18"/>
      <c r="F11" s="18"/>
      <c r="G11" s="18"/>
      <c r="I11" s="12"/>
      <c r="J11" s="12"/>
      <c r="K11" s="18"/>
      <c r="L11" s="18"/>
      <c r="M11" s="18"/>
      <c r="N11" s="18"/>
      <c r="O11" s="18"/>
      <c r="P11" s="18"/>
      <c r="Q11" s="18"/>
      <c r="R11" s="18"/>
      <c r="S11" s="12"/>
      <c r="T11" s="18"/>
      <c r="U11" s="18"/>
      <c r="V11" s="165"/>
      <c r="W11" s="18"/>
      <c r="X11" s="18"/>
      <c r="Y11" s="18"/>
      <c r="Z11" s="18"/>
      <c r="AA11" s="18"/>
      <c r="AB11" s="12"/>
      <c r="AC11" s="18"/>
      <c r="AD11" s="18"/>
      <c r="AE11" s="189"/>
      <c r="AF11" s="18"/>
      <c r="AG11" s="18"/>
      <c r="AH11" s="18"/>
      <c r="AK11" s="18"/>
      <c r="AL11" s="18"/>
      <c r="AM11" s="18"/>
      <c r="AR11" s="18"/>
      <c r="AS11" s="18"/>
      <c r="AT11" s="18"/>
      <c r="AU11" s="18"/>
      <c r="AV11" s="18"/>
      <c r="AW11" s="18"/>
      <c r="AX11" s="12"/>
      <c r="AY11" s="18"/>
      <c r="AZ11" s="18"/>
      <c r="BA11" s="18"/>
    </row>
    <row r="12" spans="1:53" x14ac:dyDescent="0.2">
      <c r="C12" s="18"/>
      <c r="D12" s="18"/>
      <c r="E12" s="18"/>
      <c r="F12" s="18"/>
      <c r="G12" s="18"/>
      <c r="I12" s="12"/>
      <c r="J12" s="12"/>
      <c r="K12" s="18"/>
      <c r="L12" s="18"/>
      <c r="M12" s="18"/>
      <c r="N12" s="18"/>
      <c r="O12" s="18"/>
      <c r="P12" s="18"/>
      <c r="Q12" s="18"/>
      <c r="R12" s="18"/>
      <c r="S12" s="12"/>
      <c r="T12" s="18"/>
      <c r="U12" s="18"/>
      <c r="V12" s="165"/>
      <c r="W12" s="18"/>
      <c r="X12" s="18"/>
      <c r="Y12" s="18"/>
      <c r="Z12" s="18"/>
      <c r="AA12" s="18"/>
      <c r="AB12" s="12"/>
      <c r="AC12" s="18"/>
      <c r="AD12" s="18"/>
      <c r="AE12" s="189"/>
      <c r="AF12" s="18"/>
      <c r="AG12" s="18"/>
      <c r="AH12" s="18"/>
      <c r="AK12" s="18"/>
      <c r="AL12" s="18"/>
      <c r="AM12" s="18"/>
      <c r="AR12" s="18"/>
      <c r="AS12" s="18"/>
      <c r="AT12" s="18"/>
      <c r="AU12" s="18"/>
      <c r="AV12" s="18"/>
      <c r="AW12" s="18"/>
      <c r="AX12" s="12"/>
      <c r="AY12" s="18"/>
      <c r="AZ12" s="18"/>
      <c r="BA12" s="18"/>
    </row>
    <row r="13" spans="1:53" x14ac:dyDescent="0.2">
      <c r="C13" s="18"/>
      <c r="D13" s="18"/>
      <c r="E13" s="18"/>
      <c r="F13" s="18"/>
      <c r="G13" s="18"/>
      <c r="I13" s="12"/>
      <c r="J13" s="12"/>
      <c r="K13" s="18"/>
      <c r="L13" s="18"/>
      <c r="M13" s="18"/>
      <c r="N13" s="18"/>
      <c r="O13" s="18"/>
      <c r="P13" s="18"/>
      <c r="Q13" s="18"/>
      <c r="R13" s="18"/>
      <c r="S13" s="12"/>
      <c r="T13" s="18"/>
      <c r="U13" s="18"/>
      <c r="V13" s="165"/>
      <c r="W13" s="18"/>
      <c r="X13" s="18"/>
      <c r="Y13" s="18"/>
      <c r="Z13" s="18"/>
      <c r="AA13" s="18"/>
      <c r="AB13" s="12"/>
      <c r="AC13" s="18"/>
      <c r="AD13" s="18"/>
      <c r="AE13" s="189"/>
      <c r="AF13" s="18"/>
      <c r="AG13" s="18"/>
      <c r="AH13" s="18"/>
      <c r="AK13" s="18"/>
      <c r="AL13" s="18"/>
      <c r="AM13" s="18"/>
      <c r="AR13" s="18"/>
      <c r="AS13" s="18"/>
      <c r="AT13" s="18"/>
      <c r="AU13" s="18"/>
      <c r="AV13" s="18"/>
      <c r="AW13" s="18"/>
      <c r="AX13" s="12"/>
      <c r="AY13" s="18"/>
      <c r="AZ13" s="18"/>
      <c r="BA13" s="18"/>
    </row>
    <row r="14" spans="1:53" x14ac:dyDescent="0.2">
      <c r="C14" s="18"/>
      <c r="D14" s="18"/>
      <c r="E14" s="18"/>
      <c r="F14" s="18"/>
      <c r="G14" s="18"/>
      <c r="I14" s="12"/>
      <c r="J14" s="12"/>
      <c r="K14" s="18"/>
      <c r="L14" s="18"/>
      <c r="M14" s="18"/>
      <c r="N14" s="18"/>
      <c r="O14" s="18"/>
      <c r="P14" s="18"/>
      <c r="Q14" s="18"/>
      <c r="R14" s="18"/>
      <c r="S14" s="12"/>
      <c r="T14" s="18"/>
      <c r="U14" s="18"/>
      <c r="V14" s="165"/>
      <c r="W14" s="18"/>
      <c r="X14" s="18"/>
      <c r="Y14" s="18"/>
      <c r="Z14" s="18"/>
      <c r="AA14" s="18"/>
      <c r="AB14" s="12"/>
      <c r="AC14" s="18"/>
      <c r="AD14" s="18"/>
      <c r="AE14" s="189"/>
      <c r="AF14" s="18"/>
      <c r="AG14" s="18"/>
      <c r="AH14" s="18"/>
      <c r="AK14" s="18"/>
      <c r="AL14" s="18"/>
      <c r="AM14" s="18"/>
      <c r="AR14" s="18"/>
      <c r="AS14" s="18"/>
      <c r="AT14" s="18"/>
      <c r="AU14" s="18"/>
      <c r="AV14" s="18"/>
      <c r="AW14" s="18"/>
      <c r="AX14" s="12"/>
      <c r="AY14" s="18"/>
      <c r="AZ14" s="18"/>
      <c r="BA14" s="18"/>
    </row>
    <row r="15" spans="1:53" x14ac:dyDescent="0.2">
      <c r="C15" s="18"/>
      <c r="D15" s="18"/>
      <c r="E15" s="18"/>
      <c r="F15" s="18"/>
      <c r="G15" s="18"/>
      <c r="I15" s="12"/>
      <c r="J15" s="12"/>
      <c r="K15" s="18"/>
      <c r="L15" s="18"/>
      <c r="M15" s="18"/>
      <c r="N15" s="18"/>
      <c r="O15" s="18"/>
      <c r="P15" s="18"/>
      <c r="Q15" s="18"/>
      <c r="R15" s="18"/>
      <c r="S15" s="12"/>
      <c r="T15" s="18"/>
      <c r="U15" s="18"/>
      <c r="V15" s="165"/>
      <c r="W15" s="18"/>
      <c r="X15" s="18"/>
      <c r="Y15" s="18"/>
      <c r="Z15" s="18"/>
      <c r="AA15" s="18"/>
      <c r="AB15" s="12"/>
      <c r="AC15" s="18"/>
      <c r="AD15" s="18"/>
      <c r="AE15" s="189"/>
      <c r="AF15" s="18"/>
      <c r="AG15" s="18"/>
      <c r="AH15" s="18"/>
      <c r="AK15" s="18"/>
      <c r="AL15" s="18"/>
      <c r="AM15" s="18"/>
      <c r="AR15" s="18"/>
      <c r="AS15" s="18"/>
      <c r="AT15" s="18"/>
      <c r="AU15" s="18"/>
      <c r="AV15" s="18"/>
      <c r="AW15" s="18"/>
      <c r="AX15" s="12"/>
      <c r="AY15" s="18"/>
      <c r="AZ15" s="18"/>
      <c r="BA15" s="18"/>
    </row>
    <row r="16" spans="1:53" x14ac:dyDescent="0.2">
      <c r="C16" s="18"/>
      <c r="D16" s="18"/>
      <c r="E16" s="18"/>
      <c r="F16" s="18"/>
      <c r="G16" s="18"/>
      <c r="I16" s="12"/>
      <c r="J16" s="12"/>
      <c r="K16" s="18"/>
      <c r="L16" s="18"/>
      <c r="M16" s="18"/>
      <c r="N16" s="18"/>
      <c r="O16" s="18"/>
      <c r="P16" s="18"/>
      <c r="Q16" s="18"/>
      <c r="R16" s="18"/>
      <c r="S16" s="12"/>
      <c r="T16" s="18"/>
      <c r="U16" s="18"/>
      <c r="V16" s="165"/>
      <c r="W16" s="18"/>
      <c r="X16" s="18"/>
      <c r="Y16" s="18"/>
      <c r="Z16" s="18"/>
      <c r="AA16" s="18"/>
      <c r="AB16" s="12"/>
      <c r="AC16" s="18"/>
      <c r="AD16" s="18"/>
      <c r="AE16" s="189"/>
      <c r="AF16" s="18"/>
      <c r="AG16" s="18"/>
      <c r="AH16" s="18"/>
      <c r="AK16" s="18"/>
      <c r="AL16" s="18"/>
      <c r="AM16" s="18"/>
      <c r="AR16" s="18"/>
      <c r="AS16" s="18"/>
      <c r="AT16" s="18"/>
      <c r="AU16" s="18"/>
      <c r="AV16" s="18"/>
      <c r="AW16" s="18"/>
      <c r="AX16" s="12"/>
      <c r="AY16" s="18"/>
      <c r="AZ16" s="18"/>
      <c r="BA16" s="18"/>
    </row>
    <row r="17" spans="3:53" x14ac:dyDescent="0.2">
      <c r="C17" s="18"/>
      <c r="D17" s="18"/>
      <c r="E17" s="18"/>
      <c r="F17" s="18"/>
      <c r="G17" s="18"/>
      <c r="I17" s="12"/>
      <c r="J17" s="12"/>
      <c r="K17" s="18"/>
      <c r="L17" s="18"/>
      <c r="M17" s="18"/>
      <c r="N17" s="18"/>
      <c r="O17" s="18"/>
      <c r="P17" s="18"/>
      <c r="Q17" s="18"/>
      <c r="R17" s="18"/>
      <c r="S17" s="12"/>
      <c r="T17" s="18"/>
      <c r="U17" s="18"/>
      <c r="V17" s="165"/>
      <c r="W17" s="18"/>
      <c r="X17" s="18"/>
      <c r="Y17" s="18"/>
      <c r="Z17" s="18"/>
      <c r="AA17" s="18"/>
      <c r="AB17" s="12"/>
      <c r="AC17" s="18"/>
      <c r="AD17" s="18"/>
      <c r="AE17" s="189"/>
      <c r="AF17" s="18"/>
      <c r="AG17" s="18"/>
      <c r="AH17" s="18"/>
      <c r="AK17" s="18"/>
      <c r="AL17" s="18"/>
      <c r="AM17" s="18"/>
      <c r="AR17" s="18"/>
      <c r="AS17" s="18"/>
      <c r="AT17" s="18"/>
      <c r="AU17" s="18"/>
      <c r="AV17" s="18"/>
      <c r="AW17" s="18"/>
      <c r="AX17" s="12"/>
      <c r="AY17" s="18"/>
      <c r="AZ17" s="18"/>
      <c r="BA17" s="18"/>
    </row>
    <row r="18" spans="3:53" x14ac:dyDescent="0.2">
      <c r="C18" s="18"/>
      <c r="D18" s="18"/>
      <c r="E18" s="18"/>
      <c r="F18" s="18"/>
      <c r="G18" s="18"/>
      <c r="I18" s="12"/>
      <c r="J18" s="12"/>
      <c r="K18" s="18"/>
      <c r="L18" s="18"/>
      <c r="M18" s="18"/>
      <c r="N18" s="18"/>
      <c r="O18" s="18"/>
      <c r="P18" s="18"/>
      <c r="Q18" s="18"/>
      <c r="R18" s="18"/>
      <c r="S18" s="12"/>
      <c r="T18" s="18"/>
      <c r="U18" s="18"/>
      <c r="V18" s="165"/>
      <c r="W18" s="18"/>
      <c r="X18" s="18"/>
      <c r="Y18" s="18"/>
      <c r="Z18" s="18"/>
      <c r="AA18" s="18"/>
      <c r="AB18" s="12"/>
      <c r="AC18" s="18"/>
      <c r="AD18" s="18"/>
      <c r="AE18" s="189"/>
      <c r="AF18" s="18"/>
      <c r="AG18" s="18"/>
      <c r="AH18" s="18"/>
      <c r="AK18" s="18"/>
      <c r="AL18" s="18"/>
      <c r="AM18" s="18"/>
      <c r="AR18" s="18"/>
      <c r="AS18" s="18"/>
      <c r="AT18" s="18"/>
      <c r="AU18" s="18"/>
      <c r="AV18" s="18"/>
      <c r="AW18" s="18"/>
      <c r="AX18" s="12"/>
      <c r="AY18" s="18"/>
      <c r="AZ18" s="18"/>
      <c r="BA18" s="18"/>
    </row>
    <row r="19" spans="3:53" x14ac:dyDescent="0.2">
      <c r="C19" s="18"/>
      <c r="D19" s="18"/>
      <c r="E19" s="18"/>
      <c r="F19" s="18"/>
      <c r="G19" s="18"/>
      <c r="I19" s="12"/>
      <c r="J19" s="12"/>
      <c r="K19" s="18"/>
      <c r="L19" s="18"/>
      <c r="M19" s="18"/>
      <c r="N19" s="18"/>
      <c r="O19" s="18"/>
      <c r="P19" s="18"/>
      <c r="Q19" s="18"/>
      <c r="R19" s="18"/>
      <c r="S19" s="12"/>
      <c r="T19" s="18"/>
      <c r="U19" s="18"/>
      <c r="V19" s="165"/>
      <c r="W19" s="18"/>
      <c r="X19" s="18"/>
      <c r="Y19" s="18"/>
      <c r="Z19" s="18"/>
      <c r="AA19" s="18"/>
      <c r="AB19" s="12"/>
      <c r="AC19" s="18"/>
      <c r="AD19" s="18"/>
      <c r="AE19" s="189"/>
      <c r="AF19" s="18"/>
      <c r="AG19" s="18"/>
      <c r="AH19" s="18"/>
      <c r="AK19" s="18"/>
      <c r="AL19" s="18"/>
      <c r="AM19" s="18"/>
      <c r="AR19" s="18"/>
      <c r="AS19" s="18"/>
      <c r="AT19" s="18"/>
      <c r="AU19" s="18"/>
      <c r="AV19" s="18"/>
      <c r="AW19" s="18"/>
      <c r="AX19" s="12"/>
      <c r="AY19" s="18"/>
      <c r="AZ19" s="18"/>
      <c r="BA19" s="18"/>
    </row>
    <row r="20" spans="3:53" x14ac:dyDescent="0.2">
      <c r="D20" s="18"/>
      <c r="G20" s="18"/>
      <c r="I20" s="12"/>
      <c r="J20" s="12"/>
      <c r="K20" s="18"/>
      <c r="L20" s="18"/>
      <c r="M20" s="18"/>
      <c r="Q20" s="18"/>
      <c r="R20" s="18"/>
      <c r="S20" s="12"/>
      <c r="U20" s="18"/>
      <c r="W20" s="18"/>
      <c r="X20" s="18"/>
      <c r="AB20" s="12"/>
      <c r="AC20" s="18"/>
      <c r="AE20" s="190"/>
      <c r="AG20" s="18"/>
      <c r="AH20" s="18"/>
      <c r="AK20" s="18"/>
      <c r="AM20" s="18"/>
      <c r="AX20" s="12"/>
      <c r="AY20" s="18"/>
    </row>
    <row r="21" spans="3:53" x14ac:dyDescent="0.2">
      <c r="D21" s="3"/>
      <c r="S21" s="12"/>
      <c r="AE21" s="190"/>
    </row>
    <row r="22" spans="3:53" x14ac:dyDescent="0.2">
      <c r="D22" s="3"/>
      <c r="S22" s="12"/>
      <c r="AE22" s="190"/>
    </row>
    <row r="23" spans="3:53" x14ac:dyDescent="0.2">
      <c r="D23" s="3"/>
      <c r="AE23" s="190"/>
    </row>
    <row r="24" spans="3:53" x14ac:dyDescent="0.2">
      <c r="AE24" s="190"/>
    </row>
    <row r="25" spans="3:53" x14ac:dyDescent="0.2">
      <c r="AE25" s="190"/>
    </row>
    <row r="26" spans="3:53" x14ac:dyDescent="0.2">
      <c r="AE26" s="190"/>
    </row>
    <row r="27" spans="3:53" x14ac:dyDescent="0.2">
      <c r="AE27" s="190"/>
    </row>
    <row r="28" spans="3:53" x14ac:dyDescent="0.2">
      <c r="AE28" s="190"/>
    </row>
    <row r="29" spans="3:53" x14ac:dyDescent="0.2">
      <c r="AE29" s="190"/>
    </row>
    <row r="30" spans="3:53" x14ac:dyDescent="0.2">
      <c r="AE30" s="190"/>
    </row>
    <row r="31" spans="3:53" x14ac:dyDescent="0.2">
      <c r="AE31" s="190"/>
    </row>
    <row r="32" spans="3:53" x14ac:dyDescent="0.2">
      <c r="AE32" s="190"/>
    </row>
    <row r="33" spans="31:31" x14ac:dyDescent="0.2">
      <c r="AE33" s="190"/>
    </row>
    <row r="34" spans="31:31" x14ac:dyDescent="0.2">
      <c r="AE34" s="190"/>
    </row>
    <row r="35" spans="31:31" x14ac:dyDescent="0.2">
      <c r="AE35" s="190"/>
    </row>
    <row r="36" spans="31:31" x14ac:dyDescent="0.2">
      <c r="AE36" s="190"/>
    </row>
    <row r="37" spans="31:31" x14ac:dyDescent="0.2">
      <c r="AE37" s="190"/>
    </row>
    <row r="38" spans="31:31" x14ac:dyDescent="0.2">
      <c r="AE38" s="190"/>
    </row>
    <row r="39" spans="31:31" x14ac:dyDescent="0.2">
      <c r="AE39" s="190"/>
    </row>
    <row r="40" spans="31:31" x14ac:dyDescent="0.2">
      <c r="AE40" s="190"/>
    </row>
    <row r="41" spans="31:31" x14ac:dyDescent="0.2">
      <c r="AE41" s="190"/>
    </row>
    <row r="42" spans="31:31" x14ac:dyDescent="0.2">
      <c r="AE42" s="190"/>
    </row>
    <row r="43" spans="31:31" x14ac:dyDescent="0.2">
      <c r="AE43" s="190"/>
    </row>
    <row r="44" spans="31:31" x14ac:dyDescent="0.2">
      <c r="AE44" s="190"/>
    </row>
    <row r="45" spans="31:31" x14ac:dyDescent="0.2">
      <c r="AE45" s="190"/>
    </row>
    <row r="46" spans="31:31" x14ac:dyDescent="0.2">
      <c r="AE46" s="190"/>
    </row>
    <row r="47" spans="31:31" x14ac:dyDescent="0.2">
      <c r="AE47" s="190"/>
    </row>
    <row r="48" spans="31:31" x14ac:dyDescent="0.2">
      <c r="AE48" s="190"/>
    </row>
    <row r="49" spans="31:31" x14ac:dyDescent="0.2">
      <c r="AE49" s="190"/>
    </row>
    <row r="50" spans="31:31" x14ac:dyDescent="0.2">
      <c r="AE50" s="190"/>
    </row>
    <row r="51" spans="31:31" x14ac:dyDescent="0.2">
      <c r="AE51" s="190"/>
    </row>
    <row r="52" spans="31:31" x14ac:dyDescent="0.2">
      <c r="AE52" s="190"/>
    </row>
    <row r="53" spans="31:31" x14ac:dyDescent="0.2">
      <c r="AE53" s="190"/>
    </row>
    <row r="54" spans="31:31" x14ac:dyDescent="0.2">
      <c r="AE54" s="190"/>
    </row>
    <row r="55" spans="31:31" x14ac:dyDescent="0.2">
      <c r="AE55" s="190"/>
    </row>
    <row r="56" spans="31:31" x14ac:dyDescent="0.2">
      <c r="AE56" s="190"/>
    </row>
    <row r="57" spans="31:31" x14ac:dyDescent="0.2">
      <c r="AE57" s="190"/>
    </row>
    <row r="58" spans="31:31" x14ac:dyDescent="0.2">
      <c r="AE58" s="190"/>
    </row>
    <row r="59" spans="31:31" x14ac:dyDescent="0.2">
      <c r="AE59" s="190"/>
    </row>
    <row r="60" spans="31:31" x14ac:dyDescent="0.2">
      <c r="AE60" s="190"/>
    </row>
    <row r="61" spans="31:31" x14ac:dyDescent="0.2">
      <c r="AE61" s="190"/>
    </row>
    <row r="62" spans="31:31" x14ac:dyDescent="0.2">
      <c r="AE62" s="190"/>
    </row>
    <row r="63" spans="31:31" x14ac:dyDescent="0.2">
      <c r="AE63" s="190"/>
    </row>
    <row r="64" spans="31:31" x14ac:dyDescent="0.2">
      <c r="AE64" s="190"/>
    </row>
    <row r="65" spans="31:31" x14ac:dyDescent="0.2">
      <c r="AE65" s="190"/>
    </row>
    <row r="66" spans="31:31" x14ac:dyDescent="0.2">
      <c r="AE66" s="190"/>
    </row>
    <row r="67" spans="31:31" x14ac:dyDescent="0.2">
      <c r="AE67" s="190"/>
    </row>
    <row r="68" spans="31:31" x14ac:dyDescent="0.2">
      <c r="AE68" s="190"/>
    </row>
    <row r="69" spans="31:31" x14ac:dyDescent="0.2">
      <c r="AE69" s="190"/>
    </row>
    <row r="70" spans="31:31" x14ac:dyDescent="0.2">
      <c r="AE70" s="190"/>
    </row>
    <row r="71" spans="31:31" x14ac:dyDescent="0.2">
      <c r="AE71" s="190"/>
    </row>
    <row r="72" spans="31:31" x14ac:dyDescent="0.2">
      <c r="AE72" s="190"/>
    </row>
    <row r="73" spans="31:31" x14ac:dyDescent="0.2">
      <c r="AE73" s="190"/>
    </row>
    <row r="74" spans="31:31" x14ac:dyDescent="0.2">
      <c r="AE74" s="190"/>
    </row>
    <row r="75" spans="31:31" x14ac:dyDescent="0.2">
      <c r="AE75" s="190"/>
    </row>
    <row r="76" spans="31:31" x14ac:dyDescent="0.2">
      <c r="AE76" s="190"/>
    </row>
    <row r="77" spans="31:31" x14ac:dyDescent="0.2">
      <c r="AE77" s="190"/>
    </row>
    <row r="78" spans="31:31" x14ac:dyDescent="0.2">
      <c r="AE78" s="190"/>
    </row>
    <row r="79" spans="31:31" x14ac:dyDescent="0.2">
      <c r="AE79" s="190"/>
    </row>
    <row r="80" spans="31:31" x14ac:dyDescent="0.2">
      <c r="AE80" s="190"/>
    </row>
    <row r="81" spans="31:31" x14ac:dyDescent="0.2">
      <c r="AE81" s="190"/>
    </row>
    <row r="82" spans="31:31" x14ac:dyDescent="0.2">
      <c r="AE82" s="190"/>
    </row>
    <row r="83" spans="31:31" x14ac:dyDescent="0.2">
      <c r="AE83" s="190"/>
    </row>
    <row r="84" spans="31:31" x14ac:dyDescent="0.2">
      <c r="AE84" s="190"/>
    </row>
    <row r="85" spans="31:31" x14ac:dyDescent="0.2">
      <c r="AE85" s="190"/>
    </row>
    <row r="86" spans="31:31" x14ac:dyDescent="0.2">
      <c r="AE86" s="190"/>
    </row>
    <row r="87" spans="31:31" x14ac:dyDescent="0.2">
      <c r="AE87" s="190"/>
    </row>
    <row r="88" spans="31:31" x14ac:dyDescent="0.2">
      <c r="AE88" s="190"/>
    </row>
    <row r="89" spans="31:31" x14ac:dyDescent="0.2">
      <c r="AE89" s="190"/>
    </row>
    <row r="90" spans="31:31" x14ac:dyDescent="0.2">
      <c r="AE90" s="190"/>
    </row>
    <row r="91" spans="31:31" x14ac:dyDescent="0.2">
      <c r="AE91" s="190"/>
    </row>
    <row r="92" spans="31:31" x14ac:dyDescent="0.2">
      <c r="AE92" s="190"/>
    </row>
    <row r="93" spans="31:31" x14ac:dyDescent="0.2">
      <c r="AE93" s="190"/>
    </row>
    <row r="94" spans="31:31" x14ac:dyDescent="0.2">
      <c r="AE94" s="190"/>
    </row>
    <row r="95" spans="31:31" x14ac:dyDescent="0.2">
      <c r="AE95" s="190"/>
    </row>
    <row r="96" spans="31:31" x14ac:dyDescent="0.2">
      <c r="AE96" s="190"/>
    </row>
    <row r="97" spans="31:31" x14ac:dyDescent="0.2">
      <c r="AE97" s="190"/>
    </row>
    <row r="98" spans="31:31" x14ac:dyDescent="0.2">
      <c r="AE98" s="190"/>
    </row>
    <row r="99" spans="31:31" x14ac:dyDescent="0.2">
      <c r="AE99" s="190"/>
    </row>
    <row r="100" spans="31:31" x14ac:dyDescent="0.2">
      <c r="AE100" s="190"/>
    </row>
    <row r="101" spans="31:31" x14ac:dyDescent="0.2">
      <c r="AE101" s="190"/>
    </row>
    <row r="102" spans="31:31" x14ac:dyDescent="0.2">
      <c r="AE102" s="190"/>
    </row>
    <row r="103" spans="31:31" x14ac:dyDescent="0.2">
      <c r="AE103" s="190"/>
    </row>
    <row r="104" spans="31:31" x14ac:dyDescent="0.2">
      <c r="AE104" s="190"/>
    </row>
    <row r="105" spans="31:31" x14ac:dyDescent="0.2">
      <c r="AE105" s="190"/>
    </row>
    <row r="106" spans="31:31" x14ac:dyDescent="0.2">
      <c r="AE106" s="190"/>
    </row>
    <row r="107" spans="31:31" x14ac:dyDescent="0.2">
      <c r="AE107" s="190"/>
    </row>
    <row r="108" spans="31:31" x14ac:dyDescent="0.2">
      <c r="AE108" s="190"/>
    </row>
    <row r="109" spans="31:31" x14ac:dyDescent="0.2">
      <c r="AE109" s="190"/>
    </row>
    <row r="110" spans="31:31" x14ac:dyDescent="0.2">
      <c r="AE110" s="190"/>
    </row>
    <row r="111" spans="31:31" x14ac:dyDescent="0.2">
      <c r="AE111" s="190"/>
    </row>
    <row r="112" spans="31:31" x14ac:dyDescent="0.2">
      <c r="AE112" s="190"/>
    </row>
    <row r="113" spans="31:31" x14ac:dyDescent="0.2">
      <c r="AE113" s="190"/>
    </row>
    <row r="114" spans="31:31" x14ac:dyDescent="0.2">
      <c r="AE114" s="190"/>
    </row>
    <row r="115" spans="31:31" x14ac:dyDescent="0.2">
      <c r="AE115" s="190"/>
    </row>
    <row r="116" spans="31:31" x14ac:dyDescent="0.2">
      <c r="AE116" s="190"/>
    </row>
    <row r="117" spans="31:31" x14ac:dyDescent="0.2">
      <c r="AE117" s="190"/>
    </row>
    <row r="118" spans="31:31" x14ac:dyDescent="0.2">
      <c r="AE118" s="190"/>
    </row>
    <row r="119" spans="31:31" x14ac:dyDescent="0.2">
      <c r="AE119" s="190"/>
    </row>
    <row r="120" spans="31:31" x14ac:dyDescent="0.2">
      <c r="AE120" s="190"/>
    </row>
    <row r="121" spans="31:31" x14ac:dyDescent="0.2">
      <c r="AE121" s="190"/>
    </row>
    <row r="122" spans="31:31" x14ac:dyDescent="0.2">
      <c r="AE122" s="190"/>
    </row>
    <row r="123" spans="31:31" x14ac:dyDescent="0.2">
      <c r="AE123" s="190"/>
    </row>
    <row r="124" spans="31:31" x14ac:dyDescent="0.2">
      <c r="AE124" s="190"/>
    </row>
    <row r="125" spans="31:31" x14ac:dyDescent="0.2">
      <c r="AE125" s="190"/>
    </row>
    <row r="126" spans="31:31" x14ac:dyDescent="0.2">
      <c r="AE126" s="190"/>
    </row>
    <row r="127" spans="31:31" x14ac:dyDescent="0.2">
      <c r="AE127" s="190"/>
    </row>
    <row r="128" spans="31:31" x14ac:dyDescent="0.2">
      <c r="AE128" s="190"/>
    </row>
    <row r="129" spans="31:31" x14ac:dyDescent="0.2">
      <c r="AE129" s="190"/>
    </row>
    <row r="130" spans="31:31" x14ac:dyDescent="0.2">
      <c r="AE130" s="190"/>
    </row>
    <row r="131" spans="31:31" x14ac:dyDescent="0.2">
      <c r="AE131" s="190"/>
    </row>
    <row r="132" spans="31:31" x14ac:dyDescent="0.2">
      <c r="AE132" s="190"/>
    </row>
    <row r="133" spans="31:31" x14ac:dyDescent="0.2">
      <c r="AE133" s="190"/>
    </row>
    <row r="134" spans="31:31" x14ac:dyDescent="0.2">
      <c r="AE134" s="190"/>
    </row>
    <row r="135" spans="31:31" x14ac:dyDescent="0.2">
      <c r="AE135" s="190"/>
    </row>
    <row r="136" spans="31:31" x14ac:dyDescent="0.2">
      <c r="AE136" s="190"/>
    </row>
    <row r="137" spans="31:31" x14ac:dyDescent="0.2">
      <c r="AE137" s="190"/>
    </row>
    <row r="138" spans="31:31" x14ac:dyDescent="0.2">
      <c r="AE138" s="190"/>
    </row>
    <row r="139" spans="31:31" x14ac:dyDescent="0.2">
      <c r="AE139" s="190"/>
    </row>
    <row r="140" spans="31:31" x14ac:dyDescent="0.2">
      <c r="AE140" s="190"/>
    </row>
    <row r="141" spans="31:31" x14ac:dyDescent="0.2">
      <c r="AE141" s="190"/>
    </row>
    <row r="142" spans="31:31" x14ac:dyDescent="0.2">
      <c r="AE142" s="190"/>
    </row>
    <row r="143" spans="31:31" x14ac:dyDescent="0.2">
      <c r="AE143" s="190"/>
    </row>
    <row r="144" spans="31:31" x14ac:dyDescent="0.2">
      <c r="AE144" s="190"/>
    </row>
    <row r="145" spans="31:31" x14ac:dyDescent="0.2">
      <c r="AE145" s="190"/>
    </row>
    <row r="146" spans="31:31" x14ac:dyDescent="0.2">
      <c r="AE146" s="190"/>
    </row>
    <row r="147" spans="31:31" x14ac:dyDescent="0.2">
      <c r="AE147" s="190"/>
    </row>
    <row r="148" spans="31:31" x14ac:dyDescent="0.2">
      <c r="AE148" s="190"/>
    </row>
    <row r="149" spans="31:31" x14ac:dyDescent="0.2">
      <c r="AE149" s="190"/>
    </row>
    <row r="150" spans="31:31" x14ac:dyDescent="0.2">
      <c r="AE150" s="190"/>
    </row>
    <row r="151" spans="31:31" x14ac:dyDescent="0.2">
      <c r="AE151" s="190"/>
    </row>
    <row r="152" spans="31:31" x14ac:dyDescent="0.2">
      <c r="AE152" s="190"/>
    </row>
    <row r="153" spans="31:31" x14ac:dyDescent="0.2">
      <c r="AE153" s="190"/>
    </row>
    <row r="154" spans="31:31" x14ac:dyDescent="0.2">
      <c r="AE154" s="190"/>
    </row>
    <row r="155" spans="31:31" x14ac:dyDescent="0.2">
      <c r="AE155" s="190"/>
    </row>
    <row r="156" spans="31:31" x14ac:dyDescent="0.2">
      <c r="AE156" s="190"/>
    </row>
    <row r="157" spans="31:31" x14ac:dyDescent="0.2">
      <c r="AE157" s="190"/>
    </row>
    <row r="158" spans="31:31" x14ac:dyDescent="0.2">
      <c r="AE158" s="190"/>
    </row>
    <row r="159" spans="31:31" x14ac:dyDescent="0.2">
      <c r="AE159" s="190"/>
    </row>
    <row r="160" spans="31:31" x14ac:dyDescent="0.2">
      <c r="AE160" s="190"/>
    </row>
    <row r="161" spans="31:31" x14ac:dyDescent="0.2">
      <c r="AE161" s="190"/>
    </row>
    <row r="162" spans="31:31" x14ac:dyDescent="0.2">
      <c r="AE162" s="190"/>
    </row>
    <row r="163" spans="31:31" x14ac:dyDescent="0.2">
      <c r="AE163" s="190"/>
    </row>
    <row r="164" spans="31:31" x14ac:dyDescent="0.2">
      <c r="AE164" s="190"/>
    </row>
    <row r="165" spans="31:31" x14ac:dyDescent="0.2">
      <c r="AE165" s="190"/>
    </row>
    <row r="166" spans="31:31" x14ac:dyDescent="0.2">
      <c r="AE166" s="190"/>
    </row>
    <row r="167" spans="31:31" x14ac:dyDescent="0.2">
      <c r="AE167" s="190"/>
    </row>
    <row r="168" spans="31:31" x14ac:dyDescent="0.2">
      <c r="AE168" s="190"/>
    </row>
    <row r="169" spans="31:31" x14ac:dyDescent="0.2">
      <c r="AE169" s="190"/>
    </row>
    <row r="170" spans="31:31" x14ac:dyDescent="0.2">
      <c r="AE170" s="190"/>
    </row>
    <row r="171" spans="31:31" x14ac:dyDescent="0.2">
      <c r="AE171" s="190"/>
    </row>
    <row r="172" spans="31:31" x14ac:dyDescent="0.2">
      <c r="AE172" s="190"/>
    </row>
    <row r="173" spans="31:31" x14ac:dyDescent="0.2">
      <c r="AE173" s="190"/>
    </row>
    <row r="174" spans="31:31" x14ac:dyDescent="0.2">
      <c r="AE174" s="190"/>
    </row>
    <row r="175" spans="31:31" x14ac:dyDescent="0.2">
      <c r="AE175" s="190"/>
    </row>
    <row r="176" spans="31:31" x14ac:dyDescent="0.2">
      <c r="AE176" s="190"/>
    </row>
    <row r="177" spans="31:31" x14ac:dyDescent="0.2">
      <c r="AE177" s="190"/>
    </row>
    <row r="178" spans="31:31" x14ac:dyDescent="0.2">
      <c r="AE178" s="190"/>
    </row>
    <row r="179" spans="31:31" x14ac:dyDescent="0.2">
      <c r="AE179" s="190"/>
    </row>
    <row r="180" spans="31:31" x14ac:dyDescent="0.2">
      <c r="AE180" s="190"/>
    </row>
    <row r="181" spans="31:31" x14ac:dyDescent="0.2">
      <c r="AE181" s="190"/>
    </row>
    <row r="182" spans="31:31" x14ac:dyDescent="0.2">
      <c r="AE182" s="190"/>
    </row>
    <row r="183" spans="31:31" x14ac:dyDescent="0.2">
      <c r="AE183" s="190"/>
    </row>
    <row r="184" spans="31:31" x14ac:dyDescent="0.2">
      <c r="AE184" s="190"/>
    </row>
    <row r="185" spans="31:31" x14ac:dyDescent="0.2">
      <c r="AE185" s="190"/>
    </row>
    <row r="186" spans="31:31" x14ac:dyDescent="0.2">
      <c r="AE186" s="190"/>
    </row>
    <row r="187" spans="31:31" x14ac:dyDescent="0.2">
      <c r="AE187" s="190"/>
    </row>
    <row r="188" spans="31:31" x14ac:dyDescent="0.2">
      <c r="AE188" s="190"/>
    </row>
    <row r="189" spans="31:31" x14ac:dyDescent="0.2">
      <c r="AE189" s="190"/>
    </row>
    <row r="190" spans="31:31" x14ac:dyDescent="0.2">
      <c r="AE190" s="190"/>
    </row>
    <row r="191" spans="31:31" x14ac:dyDescent="0.2">
      <c r="AE191" s="190"/>
    </row>
    <row r="192" spans="31:31" x14ac:dyDescent="0.2">
      <c r="AE192" s="190"/>
    </row>
    <row r="193" spans="31:31" x14ac:dyDescent="0.2">
      <c r="AE193" s="190"/>
    </row>
    <row r="194" spans="31:31" x14ac:dyDescent="0.2">
      <c r="AE194" s="190"/>
    </row>
    <row r="195" spans="31:31" x14ac:dyDescent="0.2">
      <c r="AE195" s="190"/>
    </row>
    <row r="196" spans="31:31" x14ac:dyDescent="0.2">
      <c r="AE196" s="190"/>
    </row>
    <row r="197" spans="31:31" x14ac:dyDescent="0.2">
      <c r="AE197" s="190"/>
    </row>
    <row r="198" spans="31:31" x14ac:dyDescent="0.2">
      <c r="AE198" s="190"/>
    </row>
    <row r="199" spans="31:31" x14ac:dyDescent="0.2">
      <c r="AE199" s="190"/>
    </row>
    <row r="200" spans="31:31" x14ac:dyDescent="0.2">
      <c r="AE200" s="190"/>
    </row>
    <row r="201" spans="31:31" x14ac:dyDescent="0.2">
      <c r="AE201" s="190"/>
    </row>
    <row r="202" spans="31:31" x14ac:dyDescent="0.2">
      <c r="AE202" s="190"/>
    </row>
    <row r="203" spans="31:31" x14ac:dyDescent="0.2">
      <c r="AE203" s="190"/>
    </row>
    <row r="204" spans="31:31" x14ac:dyDescent="0.2">
      <c r="AE204" s="190"/>
    </row>
    <row r="205" spans="31:31" x14ac:dyDescent="0.2">
      <c r="AE205" s="190"/>
    </row>
    <row r="206" spans="31:31" x14ac:dyDescent="0.2">
      <c r="AE206" s="190"/>
    </row>
    <row r="207" spans="31:31" x14ac:dyDescent="0.2">
      <c r="AE207" s="190"/>
    </row>
    <row r="208" spans="31:31" x14ac:dyDescent="0.2">
      <c r="AE208" s="190"/>
    </row>
    <row r="209" spans="31:31" x14ac:dyDescent="0.2">
      <c r="AE209" s="190"/>
    </row>
    <row r="210" spans="31:31" x14ac:dyDescent="0.2">
      <c r="AE210" s="190"/>
    </row>
    <row r="211" spans="31:31" x14ac:dyDescent="0.2">
      <c r="AE211" s="190"/>
    </row>
    <row r="212" spans="31:31" x14ac:dyDescent="0.2">
      <c r="AE212" s="190"/>
    </row>
    <row r="213" spans="31:31" x14ac:dyDescent="0.2">
      <c r="AE213" s="190"/>
    </row>
    <row r="214" spans="31:31" x14ac:dyDescent="0.2">
      <c r="AE214" s="190"/>
    </row>
    <row r="215" spans="31:31" x14ac:dyDescent="0.2">
      <c r="AE215" s="190"/>
    </row>
    <row r="216" spans="31:31" x14ac:dyDescent="0.2">
      <c r="AE216" s="190"/>
    </row>
    <row r="217" spans="31:31" x14ac:dyDescent="0.2">
      <c r="AE217" s="190"/>
    </row>
    <row r="218" spans="31:31" x14ac:dyDescent="0.2">
      <c r="AE218" s="190"/>
    </row>
    <row r="219" spans="31:31" x14ac:dyDescent="0.2">
      <c r="AE219" s="190"/>
    </row>
    <row r="220" spans="31:31" x14ac:dyDescent="0.2">
      <c r="AE220" s="190"/>
    </row>
    <row r="221" spans="31:31" x14ac:dyDescent="0.2">
      <c r="AE221" s="190"/>
    </row>
    <row r="222" spans="31:31" x14ac:dyDescent="0.2">
      <c r="AE222" s="190"/>
    </row>
    <row r="223" spans="31:31" x14ac:dyDescent="0.2">
      <c r="AE223" s="190"/>
    </row>
    <row r="224" spans="31:31" x14ac:dyDescent="0.2">
      <c r="AE224" s="190"/>
    </row>
    <row r="225" spans="31:31" x14ac:dyDescent="0.2">
      <c r="AE225" s="190"/>
    </row>
    <row r="226" spans="31:31" x14ac:dyDescent="0.2">
      <c r="AE226" s="190"/>
    </row>
    <row r="227" spans="31:31" x14ac:dyDescent="0.2">
      <c r="AE227" s="190"/>
    </row>
    <row r="228" spans="31:31" x14ac:dyDescent="0.2">
      <c r="AE228" s="190"/>
    </row>
    <row r="229" spans="31:31" x14ac:dyDescent="0.2">
      <c r="AE229" s="190"/>
    </row>
    <row r="230" spans="31:31" x14ac:dyDescent="0.2">
      <c r="AE230" s="190"/>
    </row>
    <row r="231" spans="31:31" x14ac:dyDescent="0.2">
      <c r="AE231" s="190"/>
    </row>
    <row r="232" spans="31:31" x14ac:dyDescent="0.2">
      <c r="AE232" s="190"/>
    </row>
    <row r="233" spans="31:31" x14ac:dyDescent="0.2">
      <c r="AE233" s="190"/>
    </row>
    <row r="234" spans="31:31" x14ac:dyDescent="0.2">
      <c r="AE234" s="190"/>
    </row>
    <row r="235" spans="31:31" x14ac:dyDescent="0.2">
      <c r="AE235" s="190"/>
    </row>
    <row r="236" spans="31:31" x14ac:dyDescent="0.2">
      <c r="AE236" s="190"/>
    </row>
    <row r="237" spans="31:31" x14ac:dyDescent="0.2">
      <c r="AE237" s="190"/>
    </row>
    <row r="238" spans="31:31" x14ac:dyDescent="0.2">
      <c r="AE238" s="190"/>
    </row>
    <row r="239" spans="31:31" x14ac:dyDescent="0.2">
      <c r="AE239" s="190"/>
    </row>
    <row r="240" spans="31:31" x14ac:dyDescent="0.2">
      <c r="AE240" s="190"/>
    </row>
    <row r="241" spans="31:31" x14ac:dyDescent="0.2">
      <c r="AE241" s="190"/>
    </row>
    <row r="242" spans="31:31" x14ac:dyDescent="0.2">
      <c r="AE242" s="190"/>
    </row>
    <row r="243" spans="31:31" x14ac:dyDescent="0.2">
      <c r="AE243" s="190"/>
    </row>
    <row r="244" spans="31:31" x14ac:dyDescent="0.2">
      <c r="AE244" s="190"/>
    </row>
    <row r="245" spans="31:31" x14ac:dyDescent="0.2">
      <c r="AE245" s="190"/>
    </row>
    <row r="246" spans="31:31" x14ac:dyDescent="0.2">
      <c r="AE246" s="190"/>
    </row>
    <row r="247" spans="31:31" x14ac:dyDescent="0.2">
      <c r="AE247" s="190"/>
    </row>
    <row r="248" spans="31:31" x14ac:dyDescent="0.2">
      <c r="AE248" s="190"/>
    </row>
    <row r="249" spans="31:31" x14ac:dyDescent="0.2">
      <c r="AE249" s="190"/>
    </row>
    <row r="250" spans="31:31" x14ac:dyDescent="0.2">
      <c r="AE250" s="190"/>
    </row>
    <row r="251" spans="31:31" x14ac:dyDescent="0.2">
      <c r="AE251" s="190"/>
    </row>
    <row r="252" spans="31:31" x14ac:dyDescent="0.2">
      <c r="AE252" s="190"/>
    </row>
    <row r="253" spans="31:31" x14ac:dyDescent="0.2">
      <c r="AE253" s="190"/>
    </row>
    <row r="254" spans="31:31" x14ac:dyDescent="0.2">
      <c r="AE254" s="190"/>
    </row>
    <row r="255" spans="31:31" x14ac:dyDescent="0.2">
      <c r="AE255" s="190"/>
    </row>
    <row r="256" spans="31:31" x14ac:dyDescent="0.2">
      <c r="AE256" s="190"/>
    </row>
    <row r="257" spans="31:31" x14ac:dyDescent="0.2">
      <c r="AE257" s="190"/>
    </row>
    <row r="258" spans="31:31" x14ac:dyDescent="0.2">
      <c r="AE258" s="190"/>
    </row>
    <row r="259" spans="31:31" x14ac:dyDescent="0.2">
      <c r="AE259" s="190"/>
    </row>
    <row r="260" spans="31:31" x14ac:dyDescent="0.2">
      <c r="AE260" s="190"/>
    </row>
    <row r="261" spans="31:31" x14ac:dyDescent="0.2">
      <c r="AE261" s="190"/>
    </row>
    <row r="262" spans="31:31" x14ac:dyDescent="0.2">
      <c r="AE262" s="190"/>
    </row>
    <row r="263" spans="31:31" x14ac:dyDescent="0.2">
      <c r="AE263" s="190"/>
    </row>
    <row r="264" spans="31:31" x14ac:dyDescent="0.2">
      <c r="AE264" s="190"/>
    </row>
    <row r="265" spans="31:31" x14ac:dyDescent="0.2">
      <c r="AE265" s="190"/>
    </row>
    <row r="266" spans="31:31" x14ac:dyDescent="0.2">
      <c r="AE266" s="190"/>
    </row>
    <row r="267" spans="31:31" x14ac:dyDescent="0.2">
      <c r="AE267" s="190"/>
    </row>
    <row r="268" spans="31:31" x14ac:dyDescent="0.2">
      <c r="AE268" s="190"/>
    </row>
    <row r="269" spans="31:31" x14ac:dyDescent="0.2">
      <c r="AE269" s="190"/>
    </row>
    <row r="270" spans="31:31" x14ac:dyDescent="0.2">
      <c r="AE270" s="190"/>
    </row>
    <row r="271" spans="31:31" x14ac:dyDescent="0.2">
      <c r="AE271" s="190"/>
    </row>
    <row r="272" spans="31:31" x14ac:dyDescent="0.2">
      <c r="AE272" s="190"/>
    </row>
    <row r="273" spans="31:31" x14ac:dyDescent="0.2">
      <c r="AE273" s="190"/>
    </row>
    <row r="274" spans="31:31" x14ac:dyDescent="0.2">
      <c r="AE274" s="190"/>
    </row>
    <row r="275" spans="31:31" x14ac:dyDescent="0.2">
      <c r="AE275" s="190"/>
    </row>
    <row r="276" spans="31:31" x14ac:dyDescent="0.2">
      <c r="AE276" s="190"/>
    </row>
    <row r="277" spans="31:31" x14ac:dyDescent="0.2">
      <c r="AE277" s="190"/>
    </row>
    <row r="278" spans="31:31" x14ac:dyDescent="0.2">
      <c r="AE278" s="190"/>
    </row>
    <row r="279" spans="31:31" x14ac:dyDescent="0.2">
      <c r="AE279" s="190"/>
    </row>
    <row r="280" spans="31:31" x14ac:dyDescent="0.2">
      <c r="AE280" s="190"/>
    </row>
    <row r="281" spans="31:31" x14ac:dyDescent="0.2">
      <c r="AE281" s="190"/>
    </row>
    <row r="282" spans="31:31" x14ac:dyDescent="0.2">
      <c r="AE282" s="190"/>
    </row>
    <row r="283" spans="31:31" x14ac:dyDescent="0.2">
      <c r="AE283" s="190"/>
    </row>
    <row r="284" spans="31:31" x14ac:dyDescent="0.2">
      <c r="AE284" s="190"/>
    </row>
    <row r="285" spans="31:31" x14ac:dyDescent="0.2">
      <c r="AE285" s="190"/>
    </row>
    <row r="286" spans="31:31" x14ac:dyDescent="0.2">
      <c r="AE286" s="190"/>
    </row>
    <row r="287" spans="31:31" x14ac:dyDescent="0.2">
      <c r="AE287" s="190"/>
    </row>
    <row r="288" spans="31:31" x14ac:dyDescent="0.2">
      <c r="AE288" s="190"/>
    </row>
    <row r="289" spans="31:31" x14ac:dyDescent="0.2">
      <c r="AE289" s="190"/>
    </row>
    <row r="290" spans="31:31" x14ac:dyDescent="0.2">
      <c r="AE290" s="190"/>
    </row>
    <row r="291" spans="31:31" x14ac:dyDescent="0.2">
      <c r="AE291" s="190"/>
    </row>
    <row r="292" spans="31:31" x14ac:dyDescent="0.2">
      <c r="AE292" s="190"/>
    </row>
    <row r="293" spans="31:31" x14ac:dyDescent="0.2">
      <c r="AE293" s="190"/>
    </row>
    <row r="294" spans="31:31" x14ac:dyDescent="0.2">
      <c r="AE294" s="190"/>
    </row>
    <row r="295" spans="31:31" x14ac:dyDescent="0.2">
      <c r="AE295" s="190"/>
    </row>
    <row r="296" spans="31:31" x14ac:dyDescent="0.2">
      <c r="AE296" s="190"/>
    </row>
    <row r="297" spans="31:31" x14ac:dyDescent="0.2">
      <c r="AE297" s="190"/>
    </row>
    <row r="298" spans="31:31" x14ac:dyDescent="0.2">
      <c r="AE298" s="190"/>
    </row>
    <row r="299" spans="31:31" x14ac:dyDescent="0.2">
      <c r="AE299" s="190"/>
    </row>
    <row r="300" spans="31:31" x14ac:dyDescent="0.2">
      <c r="AE300" s="190"/>
    </row>
    <row r="301" spans="31:31" x14ac:dyDescent="0.2">
      <c r="AE301" s="190"/>
    </row>
    <row r="302" spans="31:31" x14ac:dyDescent="0.2">
      <c r="AE302" s="190"/>
    </row>
    <row r="303" spans="31:31" x14ac:dyDescent="0.2">
      <c r="AE303" s="190"/>
    </row>
    <row r="304" spans="31:31" x14ac:dyDescent="0.2">
      <c r="AE304" s="190"/>
    </row>
    <row r="305" spans="31:31" x14ac:dyDescent="0.2">
      <c r="AE305" s="190"/>
    </row>
    <row r="306" spans="31:31" x14ac:dyDescent="0.2">
      <c r="AE306" s="190"/>
    </row>
    <row r="307" spans="31:31" x14ac:dyDescent="0.2">
      <c r="AE307" s="190"/>
    </row>
    <row r="308" spans="31:31" x14ac:dyDescent="0.2">
      <c r="AE308" s="190"/>
    </row>
    <row r="309" spans="31:31" x14ac:dyDescent="0.2">
      <c r="AE309" s="190"/>
    </row>
    <row r="310" spans="31:31" x14ac:dyDescent="0.2">
      <c r="AE310" s="190"/>
    </row>
    <row r="311" spans="31:31" x14ac:dyDescent="0.2">
      <c r="AE311" s="190"/>
    </row>
    <row r="312" spans="31:31" x14ac:dyDescent="0.2">
      <c r="AE312" s="190"/>
    </row>
    <row r="313" spans="31:31" x14ac:dyDescent="0.2">
      <c r="AE313" s="190"/>
    </row>
    <row r="314" spans="31:31" x14ac:dyDescent="0.2">
      <c r="AE314" s="190"/>
    </row>
    <row r="315" spans="31:31" x14ac:dyDescent="0.2">
      <c r="AE315" s="190"/>
    </row>
    <row r="316" spans="31:31" x14ac:dyDescent="0.2">
      <c r="AE316" s="190"/>
    </row>
    <row r="317" spans="31:31" x14ac:dyDescent="0.2">
      <c r="AE317" s="190"/>
    </row>
    <row r="318" spans="31:31" x14ac:dyDescent="0.2">
      <c r="AE318" s="190"/>
    </row>
    <row r="319" spans="31:31" x14ac:dyDescent="0.2">
      <c r="AE319" s="190"/>
    </row>
    <row r="320" spans="31:31" x14ac:dyDescent="0.2">
      <c r="AE320" s="190"/>
    </row>
    <row r="321" spans="31:31" x14ac:dyDescent="0.2">
      <c r="AE321" s="190"/>
    </row>
    <row r="322" spans="31:31" x14ac:dyDescent="0.2">
      <c r="AE322" s="190"/>
    </row>
    <row r="323" spans="31:31" x14ac:dyDescent="0.2">
      <c r="AE323" s="190"/>
    </row>
    <row r="324" spans="31:31" x14ac:dyDescent="0.2">
      <c r="AE324" s="190"/>
    </row>
    <row r="325" spans="31:31" x14ac:dyDescent="0.2">
      <c r="AE325" s="190"/>
    </row>
    <row r="326" spans="31:31" x14ac:dyDescent="0.2">
      <c r="AE326" s="190"/>
    </row>
    <row r="327" spans="31:31" x14ac:dyDescent="0.2">
      <c r="AE327" s="190"/>
    </row>
    <row r="328" spans="31:31" x14ac:dyDescent="0.2">
      <c r="AE328" s="190"/>
    </row>
    <row r="329" spans="31:31" x14ac:dyDescent="0.2">
      <c r="AE329" s="190"/>
    </row>
    <row r="330" spans="31:31" x14ac:dyDescent="0.2">
      <c r="AE330" s="190"/>
    </row>
    <row r="331" spans="31:31" x14ac:dyDescent="0.2">
      <c r="AE331" s="190"/>
    </row>
    <row r="332" spans="31:31" x14ac:dyDescent="0.2">
      <c r="AE332" s="190"/>
    </row>
    <row r="333" spans="31:31" x14ac:dyDescent="0.2">
      <c r="AE333" s="190"/>
    </row>
    <row r="334" spans="31:31" x14ac:dyDescent="0.2">
      <c r="AE334" s="190"/>
    </row>
    <row r="335" spans="31:31" x14ac:dyDescent="0.2">
      <c r="AE335" s="190"/>
    </row>
    <row r="336" spans="31:31" x14ac:dyDescent="0.2">
      <c r="AE336" s="190"/>
    </row>
    <row r="337" spans="31:31" x14ac:dyDescent="0.2">
      <c r="AE337" s="190"/>
    </row>
    <row r="338" spans="31:31" x14ac:dyDescent="0.2">
      <c r="AE338" s="190"/>
    </row>
    <row r="339" spans="31:31" x14ac:dyDescent="0.2">
      <c r="AE339" s="190"/>
    </row>
    <row r="340" spans="31:31" x14ac:dyDescent="0.2">
      <c r="AE340" s="190"/>
    </row>
    <row r="341" spans="31:31" x14ac:dyDescent="0.2">
      <c r="AE341" s="190"/>
    </row>
    <row r="342" spans="31:31" x14ac:dyDescent="0.2">
      <c r="AE342" s="190"/>
    </row>
    <row r="343" spans="31:31" x14ac:dyDescent="0.2">
      <c r="AE343" s="190"/>
    </row>
    <row r="344" spans="31:31" x14ac:dyDescent="0.2">
      <c r="AE344" s="190"/>
    </row>
    <row r="345" spans="31:31" x14ac:dyDescent="0.2">
      <c r="AE345" s="190"/>
    </row>
    <row r="346" spans="31:31" x14ac:dyDescent="0.2">
      <c r="AE346" s="190"/>
    </row>
    <row r="347" spans="31:31" x14ac:dyDescent="0.2">
      <c r="AE347" s="190"/>
    </row>
    <row r="348" spans="31:31" x14ac:dyDescent="0.2">
      <c r="AE348" s="190"/>
    </row>
    <row r="349" spans="31:31" x14ac:dyDescent="0.2">
      <c r="AE349" s="190"/>
    </row>
    <row r="350" spans="31:31" x14ac:dyDescent="0.2">
      <c r="AE350" s="190"/>
    </row>
    <row r="351" spans="31:31" x14ac:dyDescent="0.2">
      <c r="AE351" s="190"/>
    </row>
    <row r="352" spans="31:31" x14ac:dyDescent="0.2">
      <c r="AE352" s="190"/>
    </row>
    <row r="353" spans="31:31" x14ac:dyDescent="0.2">
      <c r="AE353" s="190"/>
    </row>
    <row r="354" spans="31:31" x14ac:dyDescent="0.2">
      <c r="AE354" s="190"/>
    </row>
    <row r="355" spans="31:31" x14ac:dyDescent="0.2">
      <c r="AE355" s="190"/>
    </row>
    <row r="356" spans="31:31" x14ac:dyDescent="0.2">
      <c r="AE356" s="190"/>
    </row>
    <row r="357" spans="31:31" x14ac:dyDescent="0.2">
      <c r="AE357" s="190"/>
    </row>
    <row r="358" spans="31:31" x14ac:dyDescent="0.2">
      <c r="AE358" s="190"/>
    </row>
    <row r="359" spans="31:31" x14ac:dyDescent="0.2">
      <c r="AE359" s="190"/>
    </row>
    <row r="360" spans="31:31" x14ac:dyDescent="0.2">
      <c r="AE360" s="190"/>
    </row>
    <row r="361" spans="31:31" x14ac:dyDescent="0.2">
      <c r="AE361" s="190"/>
    </row>
    <row r="362" spans="31:31" x14ac:dyDescent="0.2">
      <c r="AE362" s="190"/>
    </row>
    <row r="363" spans="31:31" x14ac:dyDescent="0.2">
      <c r="AE363" s="190"/>
    </row>
    <row r="364" spans="31:31" x14ac:dyDescent="0.2">
      <c r="AE364" s="190"/>
    </row>
    <row r="365" spans="31:31" x14ac:dyDescent="0.2">
      <c r="AE365" s="190"/>
    </row>
    <row r="366" spans="31:31" x14ac:dyDescent="0.2">
      <c r="AE366" s="190"/>
    </row>
    <row r="367" spans="31:31" x14ac:dyDescent="0.2">
      <c r="AE367" s="190"/>
    </row>
    <row r="368" spans="31:31" x14ac:dyDescent="0.2">
      <c r="AE368" s="190"/>
    </row>
    <row r="369" spans="31:31" x14ac:dyDescent="0.2">
      <c r="AE369" s="190"/>
    </row>
    <row r="370" spans="31:31" x14ac:dyDescent="0.2">
      <c r="AE370" s="190"/>
    </row>
    <row r="371" spans="31:31" x14ac:dyDescent="0.2">
      <c r="AE371" s="190"/>
    </row>
    <row r="372" spans="31:31" x14ac:dyDescent="0.2">
      <c r="AE372" s="190"/>
    </row>
    <row r="373" spans="31:31" x14ac:dyDescent="0.2">
      <c r="AE373" s="190"/>
    </row>
    <row r="374" spans="31:31" x14ac:dyDescent="0.2">
      <c r="AE374" s="190"/>
    </row>
    <row r="375" spans="31:31" x14ac:dyDescent="0.2">
      <c r="AE375" s="190"/>
    </row>
    <row r="376" spans="31:31" x14ac:dyDescent="0.2">
      <c r="AE376" s="190"/>
    </row>
    <row r="377" spans="31:31" x14ac:dyDescent="0.2">
      <c r="AE377" s="190"/>
    </row>
    <row r="378" spans="31:31" x14ac:dyDescent="0.2">
      <c r="AE378" s="190"/>
    </row>
    <row r="379" spans="31:31" x14ac:dyDescent="0.2">
      <c r="AE379" s="190"/>
    </row>
    <row r="380" spans="31:31" x14ac:dyDescent="0.2">
      <c r="AE380" s="190"/>
    </row>
    <row r="381" spans="31:31" x14ac:dyDescent="0.2">
      <c r="AE381" s="190"/>
    </row>
    <row r="382" spans="31:31" x14ac:dyDescent="0.2">
      <c r="AE382" s="190"/>
    </row>
    <row r="383" spans="31:31" x14ac:dyDescent="0.2">
      <c r="AE383" s="190"/>
    </row>
    <row r="384" spans="31:31" x14ac:dyDescent="0.2">
      <c r="AE384" s="190"/>
    </row>
    <row r="385" spans="31:31" x14ac:dyDescent="0.2">
      <c r="AE385" s="190"/>
    </row>
    <row r="386" spans="31:31" x14ac:dyDescent="0.2">
      <c r="AE386" s="190"/>
    </row>
    <row r="387" spans="31:31" x14ac:dyDescent="0.2">
      <c r="AE387" s="190"/>
    </row>
    <row r="388" spans="31:31" x14ac:dyDescent="0.2">
      <c r="AE388" s="190"/>
    </row>
    <row r="389" spans="31:31" x14ac:dyDescent="0.2">
      <c r="AE389" s="190"/>
    </row>
    <row r="390" spans="31:31" x14ac:dyDescent="0.2">
      <c r="AE390" s="190"/>
    </row>
    <row r="391" spans="31:31" x14ac:dyDescent="0.2">
      <c r="AE391" s="190"/>
    </row>
    <row r="392" spans="31:31" x14ac:dyDescent="0.2">
      <c r="AE392" s="190"/>
    </row>
    <row r="393" spans="31:31" x14ac:dyDescent="0.2">
      <c r="AE393" s="190"/>
    </row>
    <row r="394" spans="31:31" x14ac:dyDescent="0.2">
      <c r="AE394" s="190"/>
    </row>
    <row r="395" spans="31:31" x14ac:dyDescent="0.2">
      <c r="AE395" s="190"/>
    </row>
    <row r="396" spans="31:31" x14ac:dyDescent="0.2">
      <c r="AE396" s="190"/>
    </row>
    <row r="397" spans="31:31" x14ac:dyDescent="0.2">
      <c r="AE397" s="190"/>
    </row>
    <row r="398" spans="31:31" x14ac:dyDescent="0.2">
      <c r="AE398" s="190"/>
    </row>
    <row r="399" spans="31:31" x14ac:dyDescent="0.2">
      <c r="AE399" s="190"/>
    </row>
    <row r="400" spans="31:31" x14ac:dyDescent="0.2">
      <c r="AE400" s="190"/>
    </row>
    <row r="401" spans="31:31" x14ac:dyDescent="0.2">
      <c r="AE401" s="190"/>
    </row>
    <row r="402" spans="31:31" x14ac:dyDescent="0.2">
      <c r="AE402" s="190"/>
    </row>
    <row r="403" spans="31:31" x14ac:dyDescent="0.2">
      <c r="AE403" s="190"/>
    </row>
    <row r="404" spans="31:31" x14ac:dyDescent="0.2">
      <c r="AE404" s="190"/>
    </row>
    <row r="405" spans="31:31" x14ac:dyDescent="0.2">
      <c r="AE405" s="190"/>
    </row>
    <row r="406" spans="31:31" x14ac:dyDescent="0.2">
      <c r="AE406" s="190"/>
    </row>
    <row r="407" spans="31:31" x14ac:dyDescent="0.2">
      <c r="AE407" s="190"/>
    </row>
    <row r="408" spans="31:31" x14ac:dyDescent="0.2">
      <c r="AE408" s="190"/>
    </row>
    <row r="409" spans="31:31" x14ac:dyDescent="0.2">
      <c r="AE409" s="190"/>
    </row>
    <row r="410" spans="31:31" x14ac:dyDescent="0.2">
      <c r="AE410" s="190"/>
    </row>
    <row r="411" spans="31:31" x14ac:dyDescent="0.2">
      <c r="AE411" s="190"/>
    </row>
    <row r="412" spans="31:31" x14ac:dyDescent="0.2">
      <c r="AE412" s="190"/>
    </row>
    <row r="413" spans="31:31" x14ac:dyDescent="0.2">
      <c r="AE413" s="190"/>
    </row>
    <row r="414" spans="31:31" x14ac:dyDescent="0.2">
      <c r="AE414" s="190"/>
    </row>
    <row r="415" spans="31:31" x14ac:dyDescent="0.2">
      <c r="AE415" s="190"/>
    </row>
    <row r="416" spans="31:31" x14ac:dyDescent="0.2">
      <c r="AE416" s="190"/>
    </row>
    <row r="417" spans="31:31" x14ac:dyDescent="0.2">
      <c r="AE417" s="190"/>
    </row>
    <row r="418" spans="31:31" x14ac:dyDescent="0.2">
      <c r="AE418" s="190"/>
    </row>
    <row r="419" spans="31:31" x14ac:dyDescent="0.2">
      <c r="AE419" s="190"/>
    </row>
    <row r="420" spans="31:31" x14ac:dyDescent="0.2">
      <c r="AE420" s="190"/>
    </row>
    <row r="421" spans="31:31" x14ac:dyDescent="0.2">
      <c r="AE421" s="190"/>
    </row>
    <row r="422" spans="31:31" x14ac:dyDescent="0.2">
      <c r="AE422" s="190"/>
    </row>
    <row r="423" spans="31:31" x14ac:dyDescent="0.2">
      <c r="AE423" s="190"/>
    </row>
    <row r="424" spans="31:31" x14ac:dyDescent="0.2">
      <c r="AE424" s="190"/>
    </row>
    <row r="425" spans="31:31" x14ac:dyDescent="0.2">
      <c r="AE425" s="190"/>
    </row>
    <row r="426" spans="31:31" x14ac:dyDescent="0.2">
      <c r="AE426" s="190"/>
    </row>
    <row r="427" spans="31:31" x14ac:dyDescent="0.2">
      <c r="AE427" s="190"/>
    </row>
    <row r="428" spans="31:31" x14ac:dyDescent="0.2">
      <c r="AE428" s="190"/>
    </row>
    <row r="429" spans="31:31" x14ac:dyDescent="0.2">
      <c r="AE429" s="190"/>
    </row>
    <row r="430" spans="31:31" x14ac:dyDescent="0.2">
      <c r="AE430" s="190"/>
    </row>
    <row r="431" spans="31:31" x14ac:dyDescent="0.2">
      <c r="AE431" s="190"/>
    </row>
    <row r="432" spans="31:31" x14ac:dyDescent="0.2">
      <c r="AE432" s="190"/>
    </row>
    <row r="433" spans="31:31" x14ac:dyDescent="0.2">
      <c r="AE433" s="190"/>
    </row>
    <row r="434" spans="31:31" x14ac:dyDescent="0.2">
      <c r="AE434" s="190"/>
    </row>
    <row r="435" spans="31:31" x14ac:dyDescent="0.2">
      <c r="AE435" s="190"/>
    </row>
    <row r="436" spans="31:31" x14ac:dyDescent="0.2">
      <c r="AE436" s="190"/>
    </row>
    <row r="437" spans="31:31" x14ac:dyDescent="0.2">
      <c r="AE437" s="190"/>
    </row>
    <row r="438" spans="31:31" x14ac:dyDescent="0.2">
      <c r="AE438" s="190"/>
    </row>
    <row r="439" spans="31:31" x14ac:dyDescent="0.2">
      <c r="AE439" s="190"/>
    </row>
    <row r="440" spans="31:31" x14ac:dyDescent="0.2">
      <c r="AE440" s="190"/>
    </row>
    <row r="441" spans="31:31" x14ac:dyDescent="0.2">
      <c r="AE441" s="190"/>
    </row>
    <row r="442" spans="31:31" x14ac:dyDescent="0.2">
      <c r="AE442" s="190"/>
    </row>
    <row r="443" spans="31:31" x14ac:dyDescent="0.2">
      <c r="AE443" s="190"/>
    </row>
    <row r="444" spans="31:31" x14ac:dyDescent="0.2">
      <c r="AE444" s="190"/>
    </row>
    <row r="445" spans="31:31" x14ac:dyDescent="0.2">
      <c r="AE445" s="190"/>
    </row>
    <row r="446" spans="31:31" x14ac:dyDescent="0.2">
      <c r="AE446" s="190"/>
    </row>
    <row r="447" spans="31:31" x14ac:dyDescent="0.2">
      <c r="AE447" s="190"/>
    </row>
    <row r="448" spans="31:31" x14ac:dyDescent="0.2">
      <c r="AE448" s="190"/>
    </row>
    <row r="449" spans="31:31" x14ac:dyDescent="0.2">
      <c r="AE449" s="190"/>
    </row>
    <row r="450" spans="31:31" x14ac:dyDescent="0.2">
      <c r="AE450" s="190"/>
    </row>
    <row r="451" spans="31:31" x14ac:dyDescent="0.2">
      <c r="AE451" s="190"/>
    </row>
    <row r="452" spans="31:31" x14ac:dyDescent="0.2">
      <c r="AE452" s="190"/>
    </row>
    <row r="453" spans="31:31" x14ac:dyDescent="0.2">
      <c r="AE453" s="190"/>
    </row>
    <row r="454" spans="31:31" x14ac:dyDescent="0.2">
      <c r="AE454" s="190"/>
    </row>
    <row r="455" spans="31:31" x14ac:dyDescent="0.2">
      <c r="AE455" s="190"/>
    </row>
    <row r="456" spans="31:31" x14ac:dyDescent="0.2">
      <c r="AE456" s="190"/>
    </row>
    <row r="457" spans="31:31" x14ac:dyDescent="0.2">
      <c r="AE457" s="190"/>
    </row>
    <row r="458" spans="31:31" x14ac:dyDescent="0.2">
      <c r="AE458" s="190"/>
    </row>
    <row r="459" spans="31:31" x14ac:dyDescent="0.2">
      <c r="AE459" s="190"/>
    </row>
    <row r="460" spans="31:31" x14ac:dyDescent="0.2">
      <c r="AE460" s="190"/>
    </row>
    <row r="461" spans="31:31" x14ac:dyDescent="0.2">
      <c r="AE461" s="190"/>
    </row>
    <row r="462" spans="31:31" x14ac:dyDescent="0.2">
      <c r="AE462" s="190"/>
    </row>
    <row r="463" spans="31:31" x14ac:dyDescent="0.2">
      <c r="AE463" s="190"/>
    </row>
    <row r="464" spans="31:31" x14ac:dyDescent="0.2">
      <c r="AE464" s="190"/>
    </row>
    <row r="465" spans="31:31" x14ac:dyDescent="0.2">
      <c r="AE465" s="190"/>
    </row>
    <row r="466" spans="31:31" x14ac:dyDescent="0.2">
      <c r="AE466" s="190"/>
    </row>
    <row r="467" spans="31:31" x14ac:dyDescent="0.2">
      <c r="AE467" s="190"/>
    </row>
    <row r="468" spans="31:31" x14ac:dyDescent="0.2">
      <c r="AE468" s="190"/>
    </row>
    <row r="469" spans="31:31" x14ac:dyDescent="0.2">
      <c r="AE469" s="190"/>
    </row>
    <row r="470" spans="31:31" x14ac:dyDescent="0.2">
      <c r="AE470" s="190"/>
    </row>
    <row r="471" spans="31:31" x14ac:dyDescent="0.2">
      <c r="AE471" s="190"/>
    </row>
    <row r="472" spans="31:31" x14ac:dyDescent="0.2">
      <c r="AE472" s="190"/>
    </row>
    <row r="473" spans="31:31" x14ac:dyDescent="0.2">
      <c r="AE473" s="190"/>
    </row>
    <row r="474" spans="31:31" x14ac:dyDescent="0.2">
      <c r="AE474" s="190"/>
    </row>
    <row r="475" spans="31:31" x14ac:dyDescent="0.2">
      <c r="AE475" s="190"/>
    </row>
    <row r="476" spans="31:31" x14ac:dyDescent="0.2">
      <c r="AE476" s="190"/>
    </row>
    <row r="477" spans="31:31" x14ac:dyDescent="0.2">
      <c r="AE477" s="190"/>
    </row>
    <row r="478" spans="31:31" x14ac:dyDescent="0.2">
      <c r="AE478" s="190"/>
    </row>
    <row r="479" spans="31:31" x14ac:dyDescent="0.2">
      <c r="AE479" s="190"/>
    </row>
    <row r="480" spans="31:31" x14ac:dyDescent="0.2">
      <c r="AE480" s="190"/>
    </row>
    <row r="481" spans="31:31" x14ac:dyDescent="0.2">
      <c r="AE481" s="190"/>
    </row>
    <row r="482" spans="31:31" x14ac:dyDescent="0.2">
      <c r="AE482" s="190"/>
    </row>
    <row r="483" spans="31:31" x14ac:dyDescent="0.2">
      <c r="AE483" s="190"/>
    </row>
    <row r="484" spans="31:31" x14ac:dyDescent="0.2">
      <c r="AE484" s="190"/>
    </row>
    <row r="485" spans="31:31" x14ac:dyDescent="0.2">
      <c r="AE485" s="190"/>
    </row>
    <row r="486" spans="31:31" x14ac:dyDescent="0.2">
      <c r="AE486" s="190"/>
    </row>
    <row r="487" spans="31:31" x14ac:dyDescent="0.2">
      <c r="AE487" s="190"/>
    </row>
    <row r="488" spans="31:31" x14ac:dyDescent="0.2">
      <c r="AE488" s="190"/>
    </row>
    <row r="489" spans="31:31" x14ac:dyDescent="0.2">
      <c r="AE489" s="190"/>
    </row>
    <row r="490" spans="31:31" x14ac:dyDescent="0.2">
      <c r="AE490" s="190"/>
    </row>
    <row r="491" spans="31:31" x14ac:dyDescent="0.2">
      <c r="AE491" s="190"/>
    </row>
    <row r="492" spans="31:31" x14ac:dyDescent="0.2">
      <c r="AE492" s="190"/>
    </row>
    <row r="493" spans="31:31" x14ac:dyDescent="0.2">
      <c r="AE493" s="190"/>
    </row>
    <row r="494" spans="31:31" x14ac:dyDescent="0.2">
      <c r="AE494" s="190"/>
    </row>
    <row r="495" spans="31:31" x14ac:dyDescent="0.2">
      <c r="AE495" s="190"/>
    </row>
    <row r="496" spans="31:31" x14ac:dyDescent="0.2">
      <c r="AE496" s="190"/>
    </row>
    <row r="497" spans="31:31" x14ac:dyDescent="0.2">
      <c r="AE497" s="190"/>
    </row>
    <row r="498" spans="31:31" x14ac:dyDescent="0.2">
      <c r="AE498" s="190"/>
    </row>
    <row r="499" spans="31:31" x14ac:dyDescent="0.2">
      <c r="AE499" s="190"/>
    </row>
    <row r="500" spans="31:31" x14ac:dyDescent="0.2">
      <c r="AE500" s="190"/>
    </row>
    <row r="501" spans="31:31" x14ac:dyDescent="0.2">
      <c r="AE501" s="190"/>
    </row>
    <row r="502" spans="31:31" x14ac:dyDescent="0.2">
      <c r="AE502" s="190"/>
    </row>
    <row r="503" spans="31:31" x14ac:dyDescent="0.2">
      <c r="AE503" s="190"/>
    </row>
    <row r="504" spans="31:31" x14ac:dyDescent="0.2">
      <c r="AE504" s="190"/>
    </row>
    <row r="505" spans="31:31" x14ac:dyDescent="0.2">
      <c r="AE505" s="190"/>
    </row>
    <row r="506" spans="31:31" x14ac:dyDescent="0.2">
      <c r="AE506" s="190"/>
    </row>
    <row r="507" spans="31:31" x14ac:dyDescent="0.2">
      <c r="AE507" s="190"/>
    </row>
    <row r="508" spans="31:31" x14ac:dyDescent="0.2">
      <c r="AE508" s="190"/>
    </row>
    <row r="509" spans="31:31" x14ac:dyDescent="0.2">
      <c r="AE509" s="190"/>
    </row>
    <row r="510" spans="31:31" x14ac:dyDescent="0.2">
      <c r="AE510" s="190"/>
    </row>
    <row r="511" spans="31:31" x14ac:dyDescent="0.2">
      <c r="AE511" s="190"/>
    </row>
    <row r="512" spans="31:31" x14ac:dyDescent="0.2">
      <c r="AE512" s="190"/>
    </row>
    <row r="513" spans="31:31" x14ac:dyDescent="0.2">
      <c r="AE513" s="190"/>
    </row>
    <row r="514" spans="31:31" x14ac:dyDescent="0.2">
      <c r="AE514" s="190"/>
    </row>
    <row r="515" spans="31:31" x14ac:dyDescent="0.2">
      <c r="AE515" s="190"/>
    </row>
    <row r="516" spans="31:31" x14ac:dyDescent="0.2">
      <c r="AE516" s="190"/>
    </row>
    <row r="517" spans="31:31" x14ac:dyDescent="0.2">
      <c r="AE517" s="190"/>
    </row>
    <row r="518" spans="31:31" x14ac:dyDescent="0.2">
      <c r="AE518" s="190"/>
    </row>
    <row r="519" spans="31:31" x14ac:dyDescent="0.2">
      <c r="AE519" s="190"/>
    </row>
    <row r="520" spans="31:31" x14ac:dyDescent="0.2">
      <c r="AE520" s="190"/>
    </row>
    <row r="521" spans="31:31" x14ac:dyDescent="0.2">
      <c r="AE521" s="190"/>
    </row>
    <row r="522" spans="31:31" x14ac:dyDescent="0.2">
      <c r="AE522" s="190"/>
    </row>
    <row r="523" spans="31:31" x14ac:dyDescent="0.2">
      <c r="AE523" s="190"/>
    </row>
    <row r="524" spans="31:31" x14ac:dyDescent="0.2">
      <c r="AE524" s="190"/>
    </row>
    <row r="525" spans="31:31" x14ac:dyDescent="0.2">
      <c r="AE525" s="190"/>
    </row>
    <row r="526" spans="31:31" x14ac:dyDescent="0.2">
      <c r="AE526" s="190"/>
    </row>
    <row r="527" spans="31:31" x14ac:dyDescent="0.2">
      <c r="AE527" s="190"/>
    </row>
    <row r="528" spans="31:31" x14ac:dyDescent="0.2">
      <c r="AE528" s="190"/>
    </row>
    <row r="529" spans="31:31" x14ac:dyDescent="0.2">
      <c r="AE529" s="190"/>
    </row>
    <row r="530" spans="31:31" x14ac:dyDescent="0.2">
      <c r="AE530" s="190"/>
    </row>
    <row r="531" spans="31:31" x14ac:dyDescent="0.2">
      <c r="AE531" s="190"/>
    </row>
    <row r="532" spans="31:31" x14ac:dyDescent="0.2">
      <c r="AE532" s="190"/>
    </row>
    <row r="533" spans="31:31" x14ac:dyDescent="0.2">
      <c r="AE533" s="190"/>
    </row>
    <row r="534" spans="31:31" x14ac:dyDescent="0.2">
      <c r="AE534" s="190"/>
    </row>
    <row r="535" spans="31:31" x14ac:dyDescent="0.2">
      <c r="AE535" s="190"/>
    </row>
    <row r="536" spans="31:31" x14ac:dyDescent="0.2">
      <c r="AE536" s="190"/>
    </row>
    <row r="537" spans="31:31" x14ac:dyDescent="0.2">
      <c r="AE537" s="190"/>
    </row>
    <row r="538" spans="31:31" x14ac:dyDescent="0.2">
      <c r="AE538" s="190"/>
    </row>
    <row r="539" spans="31:31" x14ac:dyDescent="0.2">
      <c r="AE539" s="190"/>
    </row>
    <row r="540" spans="31:31" x14ac:dyDescent="0.2">
      <c r="AE540" s="190"/>
    </row>
    <row r="541" spans="31:31" x14ac:dyDescent="0.2">
      <c r="AE541" s="190"/>
    </row>
    <row r="542" spans="31:31" x14ac:dyDescent="0.2">
      <c r="AE542" s="190"/>
    </row>
    <row r="543" spans="31:31" x14ac:dyDescent="0.2">
      <c r="AE543" s="190"/>
    </row>
    <row r="544" spans="31:31" x14ac:dyDescent="0.2">
      <c r="AE544" s="190"/>
    </row>
    <row r="545" spans="31:31" x14ac:dyDescent="0.2">
      <c r="AE545" s="190"/>
    </row>
    <row r="546" spans="31:31" x14ac:dyDescent="0.2">
      <c r="AE546" s="190"/>
    </row>
    <row r="547" spans="31:31" x14ac:dyDescent="0.2">
      <c r="AE547" s="190"/>
    </row>
    <row r="548" spans="31:31" x14ac:dyDescent="0.2">
      <c r="AE548" s="190"/>
    </row>
    <row r="549" spans="31:31" x14ac:dyDescent="0.2">
      <c r="AE549" s="190"/>
    </row>
    <row r="550" spans="31:31" x14ac:dyDescent="0.2">
      <c r="AE550" s="190"/>
    </row>
    <row r="551" spans="31:31" x14ac:dyDescent="0.2">
      <c r="AE551" s="190"/>
    </row>
    <row r="552" spans="31:31" x14ac:dyDescent="0.2">
      <c r="AE552" s="190"/>
    </row>
    <row r="553" spans="31:31" x14ac:dyDescent="0.2">
      <c r="AE553" s="190"/>
    </row>
    <row r="554" spans="31:31" x14ac:dyDescent="0.2">
      <c r="AE554" s="190"/>
    </row>
    <row r="555" spans="31:31" x14ac:dyDescent="0.2">
      <c r="AE555" s="190"/>
    </row>
    <row r="556" spans="31:31" x14ac:dyDescent="0.2">
      <c r="AE556" s="190"/>
    </row>
    <row r="557" spans="31:31" x14ac:dyDescent="0.2">
      <c r="AE557" s="190"/>
    </row>
    <row r="558" spans="31:31" x14ac:dyDescent="0.2">
      <c r="AE558" s="190"/>
    </row>
    <row r="559" spans="31:31" x14ac:dyDescent="0.2">
      <c r="AE559" s="190"/>
    </row>
    <row r="560" spans="31:31" x14ac:dyDescent="0.2">
      <c r="AE560" s="190"/>
    </row>
    <row r="561" spans="31:31" x14ac:dyDescent="0.2">
      <c r="AE561" s="190"/>
    </row>
    <row r="562" spans="31:31" x14ac:dyDescent="0.2">
      <c r="AE562" s="190"/>
    </row>
    <row r="563" spans="31:31" x14ac:dyDescent="0.2">
      <c r="AE563" s="190"/>
    </row>
    <row r="564" spans="31:31" x14ac:dyDescent="0.2">
      <c r="AE564" s="190"/>
    </row>
    <row r="565" spans="31:31" x14ac:dyDescent="0.2">
      <c r="AE565" s="190"/>
    </row>
    <row r="566" spans="31:31" x14ac:dyDescent="0.2">
      <c r="AE566" s="190"/>
    </row>
    <row r="567" spans="31:31" x14ac:dyDescent="0.2">
      <c r="AE567" s="190"/>
    </row>
    <row r="568" spans="31:31" x14ac:dyDescent="0.2">
      <c r="AE568" s="190"/>
    </row>
    <row r="569" spans="31:31" x14ac:dyDescent="0.2">
      <c r="AE569" s="190"/>
    </row>
    <row r="570" spans="31:31" x14ac:dyDescent="0.2">
      <c r="AE570" s="190"/>
    </row>
    <row r="571" spans="31:31" x14ac:dyDescent="0.2">
      <c r="AE571" s="190"/>
    </row>
    <row r="572" spans="31:31" x14ac:dyDescent="0.2">
      <c r="AE572" s="190"/>
    </row>
    <row r="573" spans="31:31" x14ac:dyDescent="0.2">
      <c r="AE573" s="190"/>
    </row>
    <row r="574" spans="31:31" x14ac:dyDescent="0.2">
      <c r="AE574" s="190"/>
    </row>
    <row r="575" spans="31:31" x14ac:dyDescent="0.2">
      <c r="AE575" s="190"/>
    </row>
    <row r="576" spans="31:31" x14ac:dyDescent="0.2">
      <c r="AE576" s="190"/>
    </row>
    <row r="577" spans="31:31" x14ac:dyDescent="0.2">
      <c r="AE577" s="190"/>
    </row>
    <row r="578" spans="31:31" x14ac:dyDescent="0.2">
      <c r="AE578" s="190"/>
    </row>
    <row r="579" spans="31:31" x14ac:dyDescent="0.2">
      <c r="AE579" s="190"/>
    </row>
    <row r="580" spans="31:31" x14ac:dyDescent="0.2">
      <c r="AE580" s="190"/>
    </row>
    <row r="581" spans="31:31" x14ac:dyDescent="0.2">
      <c r="AE581" s="190"/>
    </row>
    <row r="582" spans="31:31" x14ac:dyDescent="0.2">
      <c r="AE582" s="190"/>
    </row>
    <row r="583" spans="31:31" x14ac:dyDescent="0.2">
      <c r="AE583" s="190"/>
    </row>
    <row r="584" spans="31:31" x14ac:dyDescent="0.2">
      <c r="AE584" s="190"/>
    </row>
    <row r="585" spans="31:31" x14ac:dyDescent="0.2">
      <c r="AE585" s="190"/>
    </row>
    <row r="586" spans="31:31" x14ac:dyDescent="0.2">
      <c r="AE586" s="190"/>
    </row>
    <row r="587" spans="31:31" x14ac:dyDescent="0.2">
      <c r="AE587" s="190"/>
    </row>
    <row r="588" spans="31:31" x14ac:dyDescent="0.2">
      <c r="AE588" s="190"/>
    </row>
    <row r="589" spans="31:31" x14ac:dyDescent="0.2">
      <c r="AE589" s="190"/>
    </row>
    <row r="590" spans="31:31" x14ac:dyDescent="0.2">
      <c r="AE590" s="190"/>
    </row>
    <row r="591" spans="31:31" x14ac:dyDescent="0.2">
      <c r="AE591" s="190"/>
    </row>
    <row r="592" spans="31:31" x14ac:dyDescent="0.2">
      <c r="AE592" s="190"/>
    </row>
    <row r="593" spans="31:31" x14ac:dyDescent="0.2">
      <c r="AE593" s="190"/>
    </row>
    <row r="594" spans="31:31" x14ac:dyDescent="0.2">
      <c r="AE594" s="190"/>
    </row>
    <row r="595" spans="31:31" x14ac:dyDescent="0.2">
      <c r="AE595" s="190"/>
    </row>
    <row r="596" spans="31:31" x14ac:dyDescent="0.2">
      <c r="AE596" s="190"/>
    </row>
    <row r="597" spans="31:31" x14ac:dyDescent="0.2">
      <c r="AE597" s="190"/>
    </row>
    <row r="598" spans="31:31" x14ac:dyDescent="0.2">
      <c r="AE598" s="190"/>
    </row>
    <row r="599" spans="31:31" x14ac:dyDescent="0.2">
      <c r="AE599" s="190"/>
    </row>
    <row r="600" spans="31:31" x14ac:dyDescent="0.2">
      <c r="AE600" s="190"/>
    </row>
    <row r="601" spans="31:31" x14ac:dyDescent="0.2">
      <c r="AE601" s="190"/>
    </row>
    <row r="602" spans="31:31" x14ac:dyDescent="0.2">
      <c r="AE602" s="190"/>
    </row>
    <row r="603" spans="31:31" x14ac:dyDescent="0.2">
      <c r="AE603" s="190"/>
    </row>
    <row r="604" spans="31:31" x14ac:dyDescent="0.2">
      <c r="AE604" s="190"/>
    </row>
    <row r="605" spans="31:31" x14ac:dyDescent="0.2">
      <c r="AE605" s="190"/>
    </row>
    <row r="606" spans="31:31" x14ac:dyDescent="0.2">
      <c r="AE606" s="190"/>
    </row>
    <row r="607" spans="31:31" x14ac:dyDescent="0.2">
      <c r="AE607" s="190"/>
    </row>
    <row r="608" spans="31:31" x14ac:dyDescent="0.2">
      <c r="AE608" s="190"/>
    </row>
    <row r="609" spans="31:31" x14ac:dyDescent="0.2">
      <c r="AE609" s="190"/>
    </row>
    <row r="610" spans="31:31" x14ac:dyDescent="0.2">
      <c r="AE610" s="190"/>
    </row>
    <row r="611" spans="31:31" x14ac:dyDescent="0.2">
      <c r="AE611" s="190"/>
    </row>
    <row r="612" spans="31:31" x14ac:dyDescent="0.2">
      <c r="AE612" s="190"/>
    </row>
    <row r="613" spans="31:31" x14ac:dyDescent="0.2">
      <c r="AE613" s="190"/>
    </row>
    <row r="614" spans="31:31" x14ac:dyDescent="0.2">
      <c r="AE614" s="190"/>
    </row>
    <row r="615" spans="31:31" x14ac:dyDescent="0.2">
      <c r="AE615" s="190"/>
    </row>
    <row r="616" spans="31:31" x14ac:dyDescent="0.2">
      <c r="AE616" s="190"/>
    </row>
    <row r="617" spans="31:31" x14ac:dyDescent="0.2">
      <c r="AE617" s="190"/>
    </row>
    <row r="618" spans="31:31" x14ac:dyDescent="0.2">
      <c r="AE618" s="190"/>
    </row>
    <row r="619" spans="31:31" x14ac:dyDescent="0.2">
      <c r="AE619" s="190"/>
    </row>
    <row r="620" spans="31:31" x14ac:dyDescent="0.2">
      <c r="AE620" s="190"/>
    </row>
    <row r="621" spans="31:31" x14ac:dyDescent="0.2">
      <c r="AE621" s="190"/>
    </row>
    <row r="622" spans="31:31" x14ac:dyDescent="0.2">
      <c r="AE622" s="190"/>
    </row>
    <row r="623" spans="31:31" x14ac:dyDescent="0.2">
      <c r="AE623" s="190"/>
    </row>
    <row r="624" spans="31:31" x14ac:dyDescent="0.2">
      <c r="AE624" s="190"/>
    </row>
    <row r="625" spans="31:31" x14ac:dyDescent="0.2">
      <c r="AE625" s="190"/>
    </row>
    <row r="626" spans="31:31" x14ac:dyDescent="0.2">
      <c r="AE626" s="190"/>
    </row>
    <row r="627" spans="31:31" x14ac:dyDescent="0.2">
      <c r="AE627" s="190"/>
    </row>
    <row r="628" spans="31:31" x14ac:dyDescent="0.2">
      <c r="AE628" s="190"/>
    </row>
    <row r="629" spans="31:31" x14ac:dyDescent="0.2">
      <c r="AE629" s="190"/>
    </row>
    <row r="630" spans="31:31" x14ac:dyDescent="0.2">
      <c r="AE630" s="190"/>
    </row>
    <row r="631" spans="31:31" x14ac:dyDescent="0.2">
      <c r="AE631" s="190"/>
    </row>
    <row r="632" spans="31:31" x14ac:dyDescent="0.2">
      <c r="AE632" s="190"/>
    </row>
    <row r="633" spans="31:31" x14ac:dyDescent="0.2">
      <c r="AE633" s="190"/>
    </row>
    <row r="634" spans="31:31" x14ac:dyDescent="0.2">
      <c r="AE634" s="190"/>
    </row>
    <row r="635" spans="31:31" x14ac:dyDescent="0.2">
      <c r="AE635" s="190"/>
    </row>
    <row r="636" spans="31:31" x14ac:dyDescent="0.2">
      <c r="AE636" s="190"/>
    </row>
    <row r="637" spans="31:31" x14ac:dyDescent="0.2">
      <c r="AE637" s="190"/>
    </row>
    <row r="638" spans="31:31" x14ac:dyDescent="0.2">
      <c r="AE638" s="190"/>
    </row>
    <row r="639" spans="31:31" x14ac:dyDescent="0.2">
      <c r="AE639" s="190"/>
    </row>
    <row r="640" spans="31:31" x14ac:dyDescent="0.2">
      <c r="AE640" s="190"/>
    </row>
    <row r="641" spans="31:31" x14ac:dyDescent="0.2">
      <c r="AE641" s="190"/>
    </row>
    <row r="642" spans="31:31" x14ac:dyDescent="0.2">
      <c r="AE642" s="190"/>
    </row>
    <row r="643" spans="31:31" x14ac:dyDescent="0.2">
      <c r="AE643" s="190"/>
    </row>
    <row r="644" spans="31:31" x14ac:dyDescent="0.2">
      <c r="AE644" s="190"/>
    </row>
    <row r="645" spans="31:31" x14ac:dyDescent="0.2">
      <c r="AE645" s="190"/>
    </row>
    <row r="646" spans="31:31" x14ac:dyDescent="0.2">
      <c r="AE646" s="190"/>
    </row>
    <row r="647" spans="31:31" x14ac:dyDescent="0.2">
      <c r="AE647" s="190"/>
    </row>
    <row r="648" spans="31:31" x14ac:dyDescent="0.2">
      <c r="AE648" s="190"/>
    </row>
    <row r="649" spans="31:31" x14ac:dyDescent="0.2">
      <c r="AE649" s="190"/>
    </row>
    <row r="650" spans="31:31" x14ac:dyDescent="0.2">
      <c r="AE650" s="190"/>
    </row>
    <row r="651" spans="31:31" x14ac:dyDescent="0.2">
      <c r="AE651" s="190"/>
    </row>
    <row r="652" spans="31:31" x14ac:dyDescent="0.2">
      <c r="AE652" s="190"/>
    </row>
    <row r="653" spans="31:31" x14ac:dyDescent="0.2">
      <c r="AE653" s="190"/>
    </row>
    <row r="654" spans="31:31" x14ac:dyDescent="0.2">
      <c r="AE654" s="190"/>
    </row>
    <row r="655" spans="31:31" x14ac:dyDescent="0.2">
      <c r="AE655" s="190"/>
    </row>
    <row r="656" spans="31:31" x14ac:dyDescent="0.2">
      <c r="AE656" s="190"/>
    </row>
    <row r="657" spans="31:31" x14ac:dyDescent="0.2">
      <c r="AE657" s="190"/>
    </row>
    <row r="658" spans="31:31" x14ac:dyDescent="0.2">
      <c r="AE658" s="190"/>
    </row>
    <row r="659" spans="31:31" x14ac:dyDescent="0.2">
      <c r="AE659" s="190"/>
    </row>
    <row r="660" spans="31:31" x14ac:dyDescent="0.2">
      <c r="AE660" s="190"/>
    </row>
    <row r="661" spans="31:31" x14ac:dyDescent="0.2">
      <c r="AE661" s="190"/>
    </row>
    <row r="662" spans="31:31" x14ac:dyDescent="0.2">
      <c r="AE662" s="190"/>
    </row>
    <row r="663" spans="31:31" x14ac:dyDescent="0.2">
      <c r="AE663" s="190"/>
    </row>
    <row r="664" spans="31:31" x14ac:dyDescent="0.2">
      <c r="AE664" s="190"/>
    </row>
    <row r="665" spans="31:31" x14ac:dyDescent="0.2">
      <c r="AE665" s="190"/>
    </row>
    <row r="666" spans="31:31" x14ac:dyDescent="0.2">
      <c r="AE666" s="190"/>
    </row>
    <row r="667" spans="31:31" x14ac:dyDescent="0.2">
      <c r="AE667" s="190"/>
    </row>
    <row r="668" spans="31:31" x14ac:dyDescent="0.2">
      <c r="AE668" s="190"/>
    </row>
    <row r="669" spans="31:31" x14ac:dyDescent="0.2">
      <c r="AE669" s="190"/>
    </row>
    <row r="670" spans="31:31" x14ac:dyDescent="0.2">
      <c r="AE670" s="190"/>
    </row>
    <row r="671" spans="31:31" x14ac:dyDescent="0.2">
      <c r="AE671" s="190"/>
    </row>
    <row r="672" spans="31:31" x14ac:dyDescent="0.2">
      <c r="AE672" s="190"/>
    </row>
    <row r="673" spans="31:31" x14ac:dyDescent="0.2">
      <c r="AE673" s="190"/>
    </row>
    <row r="674" spans="31:31" x14ac:dyDescent="0.2">
      <c r="AE674" s="190"/>
    </row>
    <row r="675" spans="31:31" x14ac:dyDescent="0.2">
      <c r="AE675" s="190"/>
    </row>
    <row r="676" spans="31:31" x14ac:dyDescent="0.2">
      <c r="AE676" s="190"/>
    </row>
    <row r="677" spans="31:31" x14ac:dyDescent="0.2">
      <c r="AE677" s="190"/>
    </row>
    <row r="678" spans="31:31" x14ac:dyDescent="0.2">
      <c r="AE678" s="190"/>
    </row>
    <row r="679" spans="31:31" x14ac:dyDescent="0.2">
      <c r="AE679" s="190"/>
    </row>
    <row r="680" spans="31:31" x14ac:dyDescent="0.2">
      <c r="AE680" s="190"/>
    </row>
    <row r="681" spans="31:31" x14ac:dyDescent="0.2">
      <c r="AE681" s="190"/>
    </row>
    <row r="682" spans="31:31" x14ac:dyDescent="0.2">
      <c r="AE682" s="190"/>
    </row>
    <row r="683" spans="31:31" x14ac:dyDescent="0.2">
      <c r="AE683" s="190"/>
    </row>
    <row r="684" spans="31:31" x14ac:dyDescent="0.2">
      <c r="AE684" s="190"/>
    </row>
    <row r="685" spans="31:31" x14ac:dyDescent="0.2">
      <c r="AE685" s="190"/>
    </row>
    <row r="686" spans="31:31" x14ac:dyDescent="0.2">
      <c r="AE686" s="190"/>
    </row>
    <row r="687" spans="31:31" x14ac:dyDescent="0.2">
      <c r="AE687" s="190"/>
    </row>
    <row r="688" spans="31:31" x14ac:dyDescent="0.2">
      <c r="AE688" s="190"/>
    </row>
    <row r="689" spans="31:31" x14ac:dyDescent="0.2">
      <c r="AE689" s="190"/>
    </row>
    <row r="690" spans="31:31" x14ac:dyDescent="0.2">
      <c r="AE690" s="190"/>
    </row>
    <row r="691" spans="31:31" x14ac:dyDescent="0.2">
      <c r="AE691" s="190"/>
    </row>
    <row r="692" spans="31:31" x14ac:dyDescent="0.2">
      <c r="AE692" s="190"/>
    </row>
    <row r="693" spans="31:31" x14ac:dyDescent="0.2">
      <c r="AE693" s="190"/>
    </row>
    <row r="694" spans="31:31" x14ac:dyDescent="0.2">
      <c r="AE694" s="190"/>
    </row>
    <row r="695" spans="31:31" x14ac:dyDescent="0.2">
      <c r="AE695" s="190"/>
    </row>
    <row r="696" spans="31:31" x14ac:dyDescent="0.2">
      <c r="AE696" s="190"/>
    </row>
    <row r="697" spans="31:31" x14ac:dyDescent="0.2">
      <c r="AE697" s="190"/>
    </row>
    <row r="698" spans="31:31" x14ac:dyDescent="0.2">
      <c r="AE698" s="190"/>
    </row>
    <row r="699" spans="31:31" x14ac:dyDescent="0.2">
      <c r="AE699" s="190"/>
    </row>
    <row r="700" spans="31:31" x14ac:dyDescent="0.2">
      <c r="AE700" s="190"/>
    </row>
    <row r="701" spans="31:31" x14ac:dyDescent="0.2">
      <c r="AE701" s="190"/>
    </row>
    <row r="702" spans="31:31" x14ac:dyDescent="0.2">
      <c r="AE702" s="190"/>
    </row>
    <row r="703" spans="31:31" x14ac:dyDescent="0.2">
      <c r="AE703" s="190"/>
    </row>
    <row r="704" spans="31:31" x14ac:dyDescent="0.2">
      <c r="AE704" s="190"/>
    </row>
    <row r="705" spans="31:31" x14ac:dyDescent="0.2">
      <c r="AE705" s="190"/>
    </row>
    <row r="706" spans="31:31" x14ac:dyDescent="0.2">
      <c r="AE706" s="190"/>
    </row>
    <row r="707" spans="31:31" x14ac:dyDescent="0.2">
      <c r="AE707" s="190"/>
    </row>
    <row r="708" spans="31:31" x14ac:dyDescent="0.2">
      <c r="AE708" s="190"/>
    </row>
    <row r="709" spans="31:31" x14ac:dyDescent="0.2">
      <c r="AE709" s="190"/>
    </row>
    <row r="710" spans="31:31" x14ac:dyDescent="0.2">
      <c r="AE710" s="190"/>
    </row>
    <row r="711" spans="31:31" x14ac:dyDescent="0.2">
      <c r="AE711" s="190"/>
    </row>
    <row r="712" spans="31:31" x14ac:dyDescent="0.2">
      <c r="AE712" s="190"/>
    </row>
    <row r="713" spans="31:31" x14ac:dyDescent="0.2">
      <c r="AE713" s="190"/>
    </row>
    <row r="714" spans="31:31" x14ac:dyDescent="0.2">
      <c r="AE714" s="190"/>
    </row>
    <row r="715" spans="31:31" x14ac:dyDescent="0.2">
      <c r="AE715" s="190"/>
    </row>
    <row r="716" spans="31:31" x14ac:dyDescent="0.2">
      <c r="AE716" s="190"/>
    </row>
    <row r="717" spans="31:31" x14ac:dyDescent="0.2">
      <c r="AE717" s="190"/>
    </row>
    <row r="718" spans="31:31" x14ac:dyDescent="0.2">
      <c r="AE718" s="190"/>
    </row>
    <row r="719" spans="31:31" x14ac:dyDescent="0.2">
      <c r="AE719" s="190"/>
    </row>
    <row r="720" spans="31:31" x14ac:dyDescent="0.2">
      <c r="AE720" s="190"/>
    </row>
    <row r="721" spans="31:31" x14ac:dyDescent="0.2">
      <c r="AE721" s="190"/>
    </row>
    <row r="722" spans="31:31" x14ac:dyDescent="0.2">
      <c r="AE722" s="190"/>
    </row>
    <row r="723" spans="31:31" x14ac:dyDescent="0.2">
      <c r="AE723" s="190"/>
    </row>
    <row r="724" spans="31:31" x14ac:dyDescent="0.2">
      <c r="AE724" s="190"/>
    </row>
    <row r="725" spans="31:31" x14ac:dyDescent="0.2">
      <c r="AE725" s="190"/>
    </row>
    <row r="726" spans="31:31" x14ac:dyDescent="0.2">
      <c r="AE726" s="190"/>
    </row>
    <row r="727" spans="31:31" x14ac:dyDescent="0.2">
      <c r="AE727" s="190"/>
    </row>
    <row r="728" spans="31:31" x14ac:dyDescent="0.2">
      <c r="AE728" s="190"/>
    </row>
    <row r="729" spans="31:31" x14ac:dyDescent="0.2">
      <c r="AE729" s="190"/>
    </row>
    <row r="730" spans="31:31" x14ac:dyDescent="0.2">
      <c r="AE730" s="190"/>
    </row>
    <row r="731" spans="31:31" x14ac:dyDescent="0.2">
      <c r="AE731" s="190"/>
    </row>
    <row r="732" spans="31:31" x14ac:dyDescent="0.2">
      <c r="AE732" s="190"/>
    </row>
    <row r="733" spans="31:31" x14ac:dyDescent="0.2">
      <c r="AE733" s="190"/>
    </row>
    <row r="734" spans="31:31" x14ac:dyDescent="0.2">
      <c r="AE734" s="190"/>
    </row>
    <row r="735" spans="31:31" x14ac:dyDescent="0.2">
      <c r="AE735" s="190"/>
    </row>
    <row r="736" spans="31:31" x14ac:dyDescent="0.2">
      <c r="AE736" s="190"/>
    </row>
    <row r="737" spans="31:31" x14ac:dyDescent="0.2">
      <c r="AE737" s="190"/>
    </row>
    <row r="738" spans="31:31" x14ac:dyDescent="0.2">
      <c r="AE738" s="190"/>
    </row>
    <row r="739" spans="31:31" x14ac:dyDescent="0.2">
      <c r="AE739" s="190"/>
    </row>
    <row r="740" spans="31:31" x14ac:dyDescent="0.2">
      <c r="AE740" s="190"/>
    </row>
    <row r="741" spans="31:31" x14ac:dyDescent="0.2">
      <c r="AE741" s="190"/>
    </row>
    <row r="742" spans="31:31" x14ac:dyDescent="0.2">
      <c r="AE742" s="190"/>
    </row>
    <row r="743" spans="31:31" x14ac:dyDescent="0.2">
      <c r="AE743" s="190"/>
    </row>
    <row r="744" spans="31:31" x14ac:dyDescent="0.2">
      <c r="AE744" s="190"/>
    </row>
    <row r="745" spans="31:31" x14ac:dyDescent="0.2">
      <c r="AE745" s="190"/>
    </row>
    <row r="746" spans="31:31" x14ac:dyDescent="0.2">
      <c r="AE746" s="190"/>
    </row>
    <row r="747" spans="31:31" x14ac:dyDescent="0.2">
      <c r="AE747" s="190"/>
    </row>
    <row r="748" spans="31:31" x14ac:dyDescent="0.2">
      <c r="AE748" s="190"/>
    </row>
    <row r="749" spans="31:31" x14ac:dyDescent="0.2">
      <c r="AE749" s="190"/>
    </row>
    <row r="750" spans="31:31" x14ac:dyDescent="0.2">
      <c r="AE750" s="190"/>
    </row>
    <row r="751" spans="31:31" x14ac:dyDescent="0.2">
      <c r="AE751" s="190"/>
    </row>
    <row r="752" spans="31:31" x14ac:dyDescent="0.2">
      <c r="AE752" s="190"/>
    </row>
    <row r="753" spans="31:31" x14ac:dyDescent="0.2">
      <c r="AE753" s="190"/>
    </row>
    <row r="754" spans="31:31" x14ac:dyDescent="0.2">
      <c r="AE754" s="190"/>
    </row>
    <row r="755" spans="31:31" x14ac:dyDescent="0.2">
      <c r="AE755" s="190"/>
    </row>
    <row r="756" spans="31:31" x14ac:dyDescent="0.2">
      <c r="AE756" s="190"/>
    </row>
    <row r="757" spans="31:31" x14ac:dyDescent="0.2">
      <c r="AE757" s="190"/>
    </row>
    <row r="758" spans="31:31" x14ac:dyDescent="0.2">
      <c r="AE758" s="190"/>
    </row>
    <row r="759" spans="31:31" x14ac:dyDescent="0.2">
      <c r="AE759" s="190"/>
    </row>
    <row r="760" spans="31:31" x14ac:dyDescent="0.2">
      <c r="AE760" s="190"/>
    </row>
    <row r="761" spans="31:31" x14ac:dyDescent="0.2">
      <c r="AE761" s="190"/>
    </row>
    <row r="762" spans="31:31" x14ac:dyDescent="0.2">
      <c r="AE762" s="190"/>
    </row>
    <row r="763" spans="31:31" x14ac:dyDescent="0.2">
      <c r="AE763" s="190"/>
    </row>
    <row r="764" spans="31:31" x14ac:dyDescent="0.2">
      <c r="AE764" s="190"/>
    </row>
    <row r="765" spans="31:31" x14ac:dyDescent="0.2">
      <c r="AE765" s="190"/>
    </row>
    <row r="766" spans="31:31" x14ac:dyDescent="0.2">
      <c r="AE766" s="190"/>
    </row>
    <row r="767" spans="31:31" x14ac:dyDescent="0.2">
      <c r="AE767" s="190"/>
    </row>
    <row r="768" spans="31:31" x14ac:dyDescent="0.2">
      <c r="AE768" s="190"/>
    </row>
    <row r="769" spans="31:31" x14ac:dyDescent="0.2">
      <c r="AE769" s="190"/>
    </row>
    <row r="770" spans="31:31" x14ac:dyDescent="0.2">
      <c r="AE770" s="190"/>
    </row>
    <row r="771" spans="31:31" x14ac:dyDescent="0.2">
      <c r="AE771" s="190"/>
    </row>
    <row r="772" spans="31:31" x14ac:dyDescent="0.2">
      <c r="AE772" s="190"/>
    </row>
    <row r="773" spans="31:31" x14ac:dyDescent="0.2">
      <c r="AE773" s="190"/>
    </row>
    <row r="774" spans="31:31" x14ac:dyDescent="0.2">
      <c r="AE774" s="190"/>
    </row>
    <row r="775" spans="31:31" x14ac:dyDescent="0.2">
      <c r="AE775" s="190"/>
    </row>
    <row r="776" spans="31:31" x14ac:dyDescent="0.2">
      <c r="AE776" s="190"/>
    </row>
    <row r="777" spans="31:31" x14ac:dyDescent="0.2">
      <c r="AE777" s="190"/>
    </row>
    <row r="778" spans="31:31" x14ac:dyDescent="0.2">
      <c r="AE778" s="190"/>
    </row>
    <row r="779" spans="31:31" x14ac:dyDescent="0.2">
      <c r="AE779" s="190"/>
    </row>
    <row r="780" spans="31:31" x14ac:dyDescent="0.2">
      <c r="AE780" s="190"/>
    </row>
    <row r="781" spans="31:31" x14ac:dyDescent="0.2">
      <c r="AE781" s="190"/>
    </row>
    <row r="782" spans="31:31" x14ac:dyDescent="0.2">
      <c r="AE782" s="190"/>
    </row>
    <row r="783" spans="31:31" x14ac:dyDescent="0.2">
      <c r="AE783" s="190"/>
    </row>
    <row r="784" spans="31:31" x14ac:dyDescent="0.2">
      <c r="AE784" s="190"/>
    </row>
    <row r="785" spans="31:31" x14ac:dyDescent="0.2">
      <c r="AE785" s="190"/>
    </row>
    <row r="786" spans="31:31" x14ac:dyDescent="0.2">
      <c r="AE786" s="190"/>
    </row>
    <row r="787" spans="31:31" x14ac:dyDescent="0.2">
      <c r="AE787" s="190"/>
    </row>
    <row r="788" spans="31:31" x14ac:dyDescent="0.2">
      <c r="AE788" s="190"/>
    </row>
    <row r="789" spans="31:31" x14ac:dyDescent="0.2">
      <c r="AE789" s="190"/>
    </row>
    <row r="790" spans="31:31" x14ac:dyDescent="0.2">
      <c r="AE790" s="190"/>
    </row>
    <row r="791" spans="31:31" x14ac:dyDescent="0.2">
      <c r="AE791" s="190"/>
    </row>
    <row r="792" spans="31:31" x14ac:dyDescent="0.2">
      <c r="AE792" s="190"/>
    </row>
    <row r="793" spans="31:31" x14ac:dyDescent="0.2">
      <c r="AE793" s="190"/>
    </row>
    <row r="794" spans="31:31" x14ac:dyDescent="0.2">
      <c r="AE794" s="190"/>
    </row>
    <row r="795" spans="31:31" x14ac:dyDescent="0.2">
      <c r="AE795" s="190"/>
    </row>
    <row r="796" spans="31:31" x14ac:dyDescent="0.2">
      <c r="AE796" s="190"/>
    </row>
    <row r="797" spans="31:31" x14ac:dyDescent="0.2">
      <c r="AE797" s="190"/>
    </row>
    <row r="798" spans="31:31" x14ac:dyDescent="0.2">
      <c r="AE798" s="190"/>
    </row>
    <row r="799" spans="31:31" x14ac:dyDescent="0.2">
      <c r="AE799" s="190"/>
    </row>
    <row r="800" spans="31:31" x14ac:dyDescent="0.2">
      <c r="AE800" s="190"/>
    </row>
    <row r="801" spans="31:31" x14ac:dyDescent="0.2">
      <c r="AE801" s="190"/>
    </row>
    <row r="802" spans="31:31" x14ac:dyDescent="0.2">
      <c r="AE802" s="190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F455F28A-EF30-41C1-B8CE-A5BADE96B744}">
      <formula1>Industry_sectors</formula1>
    </dataValidation>
    <dataValidation type="list" allowBlank="1" showInputMessage="1" showErrorMessage="1" sqref="L2:L20" xr:uid="{46011B41-5230-473E-B363-BB1EB5B38B6B}">
      <formula1>Holding_interest</formula1>
    </dataValidation>
    <dataValidation type="list" allowBlank="1" showInputMessage="1" showErrorMessage="1" sqref="Q2:Q20" xr:uid="{F497EF81-CB2A-45FC-BF37-829715C7F7C3}">
      <formula1>Rating_Agency</formula1>
    </dataValidation>
    <dataValidation type="list" allowBlank="1" showInputMessage="1" showErrorMessage="1" sqref="M2:M20" xr:uid="{EA9CEA42-97B0-4D71-922D-7436A500A007}">
      <formula1>Consortium</formula1>
    </dataValidation>
    <dataValidation type="list" allowBlank="1" showInputMessage="1" showErrorMessage="1" sqref="W2:W20" xr:uid="{03F539C7-E4DF-4CB9-9888-62DA1C31C7FE}">
      <formula1>Linked_Type</formula1>
    </dataValidation>
    <dataValidation type="list" allowBlank="1" showInputMessage="1" showErrorMessage="1" sqref="AC2:AC20" xr:uid="{A8ACDB74-9F06-4DF9-BB01-80E4E98D7280}">
      <formula1>Type_of_Security</formula1>
    </dataValidation>
    <dataValidation type="list" allowBlank="1" showInputMessage="1" showErrorMessage="1" sqref="AM2:AM20" xr:uid="{8CB5A148-44DC-4B0C-8FD5-C58B481F6CAA}">
      <formula1>Dependence_Independence</formula1>
    </dataValidation>
    <dataValidation type="list" allowBlank="1" showInputMessage="1" showErrorMessage="1" sqref="J2:J20" xr:uid="{B1D79431-EE04-4ADA-8D90-3F69DC73A062}">
      <formula1>Country_list</formula1>
    </dataValidation>
    <dataValidation type="list" allowBlank="1" showInputMessage="1" showErrorMessage="1" sqref="AH2:AH20" xr:uid="{E04B2D03-76D6-48B4-8BBD-4DA96AE5C712}">
      <formula1>Amoritization</formula1>
    </dataValidation>
    <dataValidation type="list" allowBlank="1" showInputMessage="1" showErrorMessage="1" sqref="U2:U20" xr:uid="{D0551D92-1397-417A-B421-4799EDB5F3F2}">
      <formula1>Type_of_Interest_Rate</formula1>
    </dataValidation>
    <dataValidation type="list" allowBlank="1" showInputMessage="1" showErrorMessage="1" sqref="AK2:AK20" xr:uid="{662F3DB0-95B3-4395-B8ED-7E5B2F3A955F}">
      <formula1>Valuation_Loans</formula1>
    </dataValidation>
    <dataValidation type="list" allowBlank="1" showInputMessage="1" showErrorMessage="1" sqref="X2:X20" xr:uid="{16F97166-7EFC-4B7E-B7B5-793AF226C681}">
      <formula1>Underlying_Interest_Rates</formula1>
    </dataValidation>
    <dataValidation type="list" allowBlank="1" showInputMessage="1" showErrorMessage="1" sqref="AB2:AB20" xr:uid="{D4F1CF56-ADFF-4552-AC69-36ED4F8FEB76}">
      <formula1>Subordination_Risk</formula1>
    </dataValidation>
    <dataValidation type="list" allowBlank="1" showInputMessage="1" showErrorMessage="1" sqref="AX2:AX20" xr:uid="{9D497843-72EC-4DB4-91D9-56E152701BE3}">
      <formula1>Yes_No_Bad_Debt</formula1>
    </dataValidation>
    <dataValidation type="list" allowBlank="1" showInputMessage="1" showErrorMessage="1" sqref="AG2:AG20" xr:uid="{0EF3ED3C-3C4D-4D0E-A553-85DD8C93DE3C}">
      <formula1>Recourse_Nonrecourse</formula1>
    </dataValidation>
    <dataValidation type="list" allowBlank="1" showInputMessage="1" showErrorMessage="1" sqref="AJ2:AJ20" xr:uid="{74DFB0E1-D085-4D17-8752-74FC3502572B}">
      <formula1>Repayment_Rights</formula1>
    </dataValidation>
    <dataValidation type="list" allowBlank="1" showInputMessage="1" showErrorMessage="1" sqref="D2:D20" xr:uid="{886922F4-E2B1-4908-9F4E-95B346CD6F03}">
      <formula1>issuer_number_loan</formula1>
    </dataValidation>
    <dataValidation type="list" allowBlank="1" showInputMessage="1" showErrorMessage="1" sqref="H2:H20" xr:uid="{72429F24-8973-4A89-A3AC-36747AFBDACC}">
      <formula1>real_estate_loans</formula1>
    </dataValidation>
    <dataValidation type="list" allowBlank="1" showInputMessage="1" showErrorMessage="1" sqref="I2:I20" xr:uid="{253340B1-D923-4C9C-A4B6-DB5DA9715E73}">
      <formula1>israel_abroad</formula1>
    </dataValidation>
    <dataValidation type="list" allowBlank="1" showInputMessage="1" showErrorMessage="1" sqref="AY2:AY20" xr:uid="{C02526B9-D78B-4F1B-A222-95C32C0CE15E}">
      <formula1 xml:space="preserve"> In_the_books</formula1>
    </dataValidation>
    <dataValidation type="list" allowBlank="1" showInputMessage="1" showErrorMessage="1" sqref="R2:R20" xr:uid="{70E1F883-427F-4534-BF5D-8A20470AFAAB}">
      <formula1>what_is_rated_loans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>
      <selection sqref="A1:XFD1048576"/>
    </sheetView>
  </sheetViews>
  <sheetFormatPr defaultColWidth="9" defaultRowHeight="14.25" x14ac:dyDescent="0.2"/>
  <cols>
    <col min="1" max="4" width="11.625" style="6" customWidth="1"/>
    <col min="5" max="5" width="11.625" style="3" customWidth="1"/>
    <col min="6" max="16" width="11.625" style="6" customWidth="1"/>
    <col min="17" max="17" width="13.375" style="6" customWidth="1"/>
    <col min="18" max="19" width="11.625" style="6" customWidth="1"/>
    <col min="20" max="20" width="11.625" style="135" customWidth="1"/>
    <col min="21" max="30" width="11.625" style="6" customWidth="1"/>
    <col min="31" max="16384" width="9" style="6"/>
  </cols>
  <sheetData>
    <row r="1" spans="1:30" ht="51" x14ac:dyDescent="0.2">
      <c r="A1" s="13" t="s">
        <v>651</v>
      </c>
      <c r="B1" s="13" t="s">
        <v>0</v>
      </c>
      <c r="C1" s="13" t="s">
        <v>724</v>
      </c>
      <c r="D1" s="13" t="s">
        <v>2</v>
      </c>
      <c r="E1" s="13" t="s">
        <v>740</v>
      </c>
      <c r="F1" s="13" t="s">
        <v>1145</v>
      </c>
      <c r="G1" s="13" t="s">
        <v>29</v>
      </c>
      <c r="H1" s="13" t="s">
        <v>28</v>
      </c>
      <c r="I1" s="13" t="s">
        <v>1</v>
      </c>
      <c r="J1" s="13" t="s">
        <v>604</v>
      </c>
      <c r="K1" s="13" t="s">
        <v>605</v>
      </c>
      <c r="L1" s="13" t="s">
        <v>606</v>
      </c>
      <c r="M1" s="13" t="s">
        <v>10</v>
      </c>
      <c r="N1" s="162" t="s">
        <v>12</v>
      </c>
      <c r="O1" s="13" t="s">
        <v>6</v>
      </c>
      <c r="P1" s="13" t="s">
        <v>8</v>
      </c>
      <c r="Q1" s="13" t="s">
        <v>1146</v>
      </c>
      <c r="R1" s="13" t="s">
        <v>396</v>
      </c>
      <c r="S1" s="13" t="s">
        <v>13</v>
      </c>
      <c r="T1" s="125" t="s">
        <v>14</v>
      </c>
      <c r="U1" s="126" t="s">
        <v>621</v>
      </c>
      <c r="V1" s="13" t="s">
        <v>917</v>
      </c>
      <c r="W1" s="13" t="s">
        <v>372</v>
      </c>
      <c r="X1" s="162" t="s">
        <v>16</v>
      </c>
      <c r="Y1" s="13" t="s">
        <v>773</v>
      </c>
      <c r="Z1" s="124" t="s">
        <v>11</v>
      </c>
      <c r="AA1" s="136" t="s">
        <v>15</v>
      </c>
      <c r="AB1" s="13" t="s">
        <v>1153</v>
      </c>
      <c r="AC1" s="126" t="s">
        <v>19</v>
      </c>
      <c r="AD1" s="126" t="s">
        <v>30</v>
      </c>
    </row>
    <row r="2" spans="1:30" x14ac:dyDescent="0.2">
      <c r="A2" s="18">
        <v>13710</v>
      </c>
      <c r="B2" s="18">
        <v>13711</v>
      </c>
      <c r="C2" s="18" t="s">
        <v>1220</v>
      </c>
      <c r="D2" s="18" t="s">
        <v>1483</v>
      </c>
      <c r="E2" s="12" t="s">
        <v>1477</v>
      </c>
      <c r="F2" s="18" t="s">
        <v>3435</v>
      </c>
      <c r="G2" s="18" t="s">
        <v>3436</v>
      </c>
      <c r="H2" s="18" t="s">
        <v>76</v>
      </c>
      <c r="I2" s="18" t="s">
        <v>240</v>
      </c>
      <c r="J2" s="12" t="s">
        <v>53</v>
      </c>
      <c r="K2" s="12" t="s">
        <v>53</v>
      </c>
      <c r="L2" s="18" t="s">
        <v>62</v>
      </c>
      <c r="M2" s="18" t="s">
        <v>665</v>
      </c>
      <c r="N2" s="163" t="s">
        <v>3437</v>
      </c>
      <c r="O2" s="18" t="s">
        <v>298</v>
      </c>
      <c r="P2" s="18" t="s">
        <v>298</v>
      </c>
      <c r="Q2" s="18" t="s">
        <v>298</v>
      </c>
      <c r="R2" s="12" t="s">
        <v>1219</v>
      </c>
      <c r="S2" s="151">
        <v>3.98</v>
      </c>
      <c r="T2" s="154">
        <v>3.6900000000000002E-2</v>
      </c>
      <c r="U2" s="155">
        <v>3.5700000000000003E-2</v>
      </c>
      <c r="V2" s="18" t="s">
        <v>775</v>
      </c>
      <c r="W2" s="18" t="s">
        <v>3082</v>
      </c>
      <c r="X2" s="164" t="s">
        <v>2313</v>
      </c>
      <c r="Y2" s="151">
        <v>39031.43</v>
      </c>
      <c r="Z2" s="156">
        <v>1</v>
      </c>
      <c r="AA2" s="150">
        <v>102.33</v>
      </c>
      <c r="AB2" s="151">
        <v>39.941000000000003</v>
      </c>
      <c r="AC2" s="155">
        <v>0.54022468949520797</v>
      </c>
      <c r="AD2" s="155">
        <v>5.8554721011115001E-4</v>
      </c>
    </row>
    <row r="3" spans="1:30" x14ac:dyDescent="0.2">
      <c r="A3" s="18">
        <v>13710</v>
      </c>
      <c r="B3" s="18">
        <v>13711</v>
      </c>
      <c r="C3" s="18" t="s">
        <v>1220</v>
      </c>
      <c r="D3" s="18" t="s">
        <v>1483</v>
      </c>
      <c r="E3" s="12" t="s">
        <v>1477</v>
      </c>
      <c r="F3" s="18" t="s">
        <v>3438</v>
      </c>
      <c r="G3" s="18" t="s">
        <v>3439</v>
      </c>
      <c r="H3" s="18" t="s">
        <v>76</v>
      </c>
      <c r="I3" s="18" t="s">
        <v>240</v>
      </c>
      <c r="J3" s="12" t="s">
        <v>53</v>
      </c>
      <c r="K3" s="12" t="s">
        <v>53</v>
      </c>
      <c r="L3" s="18" t="s">
        <v>62</v>
      </c>
      <c r="M3" s="18" t="s">
        <v>665</v>
      </c>
      <c r="N3" s="163" t="s">
        <v>3346</v>
      </c>
      <c r="O3" s="18" t="s">
        <v>298</v>
      </c>
      <c r="P3" s="18" t="s">
        <v>298</v>
      </c>
      <c r="Q3" s="18" t="s">
        <v>298</v>
      </c>
      <c r="R3" s="12" t="s">
        <v>1219</v>
      </c>
      <c r="S3" s="151">
        <v>3.54</v>
      </c>
      <c r="T3" s="154">
        <v>6.7000000000000004E-2</v>
      </c>
      <c r="U3" s="155">
        <v>6.1600000000000002E-2</v>
      </c>
      <c r="V3" s="18" t="s">
        <v>775</v>
      </c>
      <c r="W3" s="18" t="s">
        <v>3082</v>
      </c>
      <c r="X3" s="164" t="s">
        <v>2313</v>
      </c>
      <c r="Y3" s="151">
        <v>33820.449999999997</v>
      </c>
      <c r="Z3" s="156">
        <v>1</v>
      </c>
      <c r="AA3" s="150">
        <v>100.51</v>
      </c>
      <c r="AB3" s="151">
        <v>33.993000000000002</v>
      </c>
      <c r="AC3" s="155">
        <v>0.45977531050479198</v>
      </c>
      <c r="AD3" s="155">
        <v>4.9834847532724004E-4</v>
      </c>
    </row>
    <row r="4" spans="1:30" x14ac:dyDescent="0.2">
      <c r="A4" s="18">
        <v>559</v>
      </c>
      <c r="B4" s="18">
        <v>556</v>
      </c>
      <c r="C4" s="18" t="s">
        <v>1220</v>
      </c>
      <c r="D4" s="18" t="s">
        <v>1483</v>
      </c>
      <c r="E4" s="12" t="s">
        <v>1477</v>
      </c>
      <c r="F4" s="18" t="s">
        <v>3435</v>
      </c>
      <c r="G4" s="18" t="s">
        <v>3436</v>
      </c>
      <c r="H4" s="18" t="s">
        <v>76</v>
      </c>
      <c r="I4" s="18" t="s">
        <v>240</v>
      </c>
      <c r="J4" s="12" t="s">
        <v>53</v>
      </c>
      <c r="K4" s="12" t="s">
        <v>53</v>
      </c>
      <c r="L4" s="18" t="s">
        <v>62</v>
      </c>
      <c r="M4" s="18" t="s">
        <v>665</v>
      </c>
      <c r="N4" s="163" t="s">
        <v>3437</v>
      </c>
      <c r="O4" s="18" t="s">
        <v>298</v>
      </c>
      <c r="P4" s="18" t="s">
        <v>298</v>
      </c>
      <c r="Q4" s="18" t="s">
        <v>298</v>
      </c>
      <c r="R4" s="12" t="s">
        <v>1219</v>
      </c>
      <c r="S4" s="151">
        <v>3.98</v>
      </c>
      <c r="T4" s="154">
        <v>3.6900000000000002E-2</v>
      </c>
      <c r="U4" s="155">
        <v>3.5700000000000003E-2</v>
      </c>
      <c r="V4" s="18" t="s">
        <v>775</v>
      </c>
      <c r="W4" s="18" t="s">
        <v>3082</v>
      </c>
      <c r="X4" s="164" t="s">
        <v>2313</v>
      </c>
      <c r="Y4" s="151">
        <v>192229.73</v>
      </c>
      <c r="Z4" s="156">
        <v>1</v>
      </c>
      <c r="AA4" s="150">
        <v>102.33</v>
      </c>
      <c r="AB4" s="151">
        <v>196.709</v>
      </c>
      <c r="AC4" s="155">
        <v>0.56741117270701302</v>
      </c>
      <c r="AD4" s="155">
        <v>5.8985474190092395E-4</v>
      </c>
    </row>
    <row r="5" spans="1:30" x14ac:dyDescent="0.2">
      <c r="A5" s="18">
        <v>559</v>
      </c>
      <c r="B5" s="18">
        <v>556</v>
      </c>
      <c r="C5" s="18" t="s">
        <v>1220</v>
      </c>
      <c r="D5" s="18" t="s">
        <v>1483</v>
      </c>
      <c r="E5" s="12" t="s">
        <v>1477</v>
      </c>
      <c r="F5" s="18" t="s">
        <v>3438</v>
      </c>
      <c r="G5" s="18" t="s">
        <v>3439</v>
      </c>
      <c r="H5" s="18" t="s">
        <v>76</v>
      </c>
      <c r="I5" s="18" t="s">
        <v>240</v>
      </c>
      <c r="J5" s="12" t="s">
        <v>53</v>
      </c>
      <c r="K5" s="12" t="s">
        <v>53</v>
      </c>
      <c r="L5" s="18" t="s">
        <v>62</v>
      </c>
      <c r="M5" s="18" t="s">
        <v>665</v>
      </c>
      <c r="N5" s="163" t="s">
        <v>3346</v>
      </c>
      <c r="O5" s="18" t="s">
        <v>298</v>
      </c>
      <c r="P5" s="18" t="s">
        <v>298</v>
      </c>
      <c r="Q5" s="18" t="s">
        <v>298</v>
      </c>
      <c r="R5" s="12" t="s">
        <v>1219</v>
      </c>
      <c r="S5" s="151">
        <v>3.54</v>
      </c>
      <c r="T5" s="154">
        <v>6.7000000000000004E-2</v>
      </c>
      <c r="U5" s="155">
        <v>6.1600000000000002E-2</v>
      </c>
      <c r="V5" s="18" t="s">
        <v>775</v>
      </c>
      <c r="W5" s="18" t="s">
        <v>3082</v>
      </c>
      <c r="X5" s="164" t="s">
        <v>2313</v>
      </c>
      <c r="Y5" s="151">
        <v>149207.85</v>
      </c>
      <c r="Z5" s="156">
        <v>1</v>
      </c>
      <c r="AA5" s="150">
        <v>100.51</v>
      </c>
      <c r="AB5" s="151">
        <v>149.96899999999999</v>
      </c>
      <c r="AC5" s="155">
        <v>0.43258882729298698</v>
      </c>
      <c r="AD5" s="155">
        <v>4.4969958884451603E-4</v>
      </c>
    </row>
    <row r="6" spans="1:30" x14ac:dyDescent="0.2">
      <c r="A6" s="18">
        <v>559</v>
      </c>
      <c r="B6" s="18">
        <v>7205</v>
      </c>
      <c r="C6" s="18" t="s">
        <v>1220</v>
      </c>
      <c r="D6" s="18" t="s">
        <v>1483</v>
      </c>
      <c r="E6" s="12" t="s">
        <v>1477</v>
      </c>
      <c r="F6" s="18" t="s">
        <v>3435</v>
      </c>
      <c r="G6" s="18" t="s">
        <v>3436</v>
      </c>
      <c r="H6" s="18" t="s">
        <v>76</v>
      </c>
      <c r="I6" s="18" t="s">
        <v>240</v>
      </c>
      <c r="J6" s="12" t="s">
        <v>53</v>
      </c>
      <c r="K6" s="12" t="s">
        <v>53</v>
      </c>
      <c r="L6" s="18" t="s">
        <v>62</v>
      </c>
      <c r="M6" s="18" t="s">
        <v>665</v>
      </c>
      <c r="N6" s="163" t="s">
        <v>3437</v>
      </c>
      <c r="O6" s="18" t="s">
        <v>298</v>
      </c>
      <c r="P6" s="18" t="s">
        <v>298</v>
      </c>
      <c r="Q6" s="18" t="s">
        <v>298</v>
      </c>
      <c r="R6" s="12" t="s">
        <v>1219</v>
      </c>
      <c r="S6" s="151">
        <v>3.98</v>
      </c>
      <c r="T6" s="154">
        <v>3.6900000000000002E-2</v>
      </c>
      <c r="U6" s="155">
        <v>3.5700000000000003E-2</v>
      </c>
      <c r="V6" s="18" t="s">
        <v>775</v>
      </c>
      <c r="W6" s="18" t="s">
        <v>3082</v>
      </c>
      <c r="X6" s="164" t="s">
        <v>2313</v>
      </c>
      <c r="Y6" s="151">
        <v>1022623.1</v>
      </c>
      <c r="Z6" s="156">
        <v>1</v>
      </c>
      <c r="AA6" s="150">
        <v>102.33</v>
      </c>
      <c r="AB6" s="151">
        <v>1046.45</v>
      </c>
      <c r="AC6" s="155">
        <v>0.58029966764654395</v>
      </c>
      <c r="AD6" s="155">
        <v>5.4589027474165905E-4</v>
      </c>
    </row>
    <row r="7" spans="1:30" x14ac:dyDescent="0.2">
      <c r="A7" s="18">
        <v>559</v>
      </c>
      <c r="B7" s="18">
        <v>7205</v>
      </c>
      <c r="C7" s="18" t="s">
        <v>1220</v>
      </c>
      <c r="D7" s="18" t="s">
        <v>1483</v>
      </c>
      <c r="E7" s="12" t="s">
        <v>1477</v>
      </c>
      <c r="F7" s="18" t="s">
        <v>3438</v>
      </c>
      <c r="G7" s="18" t="s">
        <v>3439</v>
      </c>
      <c r="H7" s="18" t="s">
        <v>76</v>
      </c>
      <c r="I7" s="18" t="s">
        <v>240</v>
      </c>
      <c r="J7" s="12" t="s">
        <v>53</v>
      </c>
      <c r="K7" s="12" t="s">
        <v>53</v>
      </c>
      <c r="L7" s="18" t="s">
        <v>62</v>
      </c>
      <c r="M7" s="18" t="s">
        <v>665</v>
      </c>
      <c r="N7" s="163" t="s">
        <v>3346</v>
      </c>
      <c r="O7" s="18" t="s">
        <v>298</v>
      </c>
      <c r="P7" s="18" t="s">
        <v>298</v>
      </c>
      <c r="Q7" s="18" t="s">
        <v>298</v>
      </c>
      <c r="R7" s="12" t="s">
        <v>1219</v>
      </c>
      <c r="S7" s="151">
        <v>3.54</v>
      </c>
      <c r="T7" s="154">
        <v>6.7000000000000004E-2</v>
      </c>
      <c r="U7" s="155">
        <v>6.1600000000000002E-2</v>
      </c>
      <c r="V7" s="18" t="s">
        <v>775</v>
      </c>
      <c r="W7" s="18" t="s">
        <v>3082</v>
      </c>
      <c r="X7" s="164" t="s">
        <v>2313</v>
      </c>
      <c r="Y7" s="151">
        <v>753002.28</v>
      </c>
      <c r="Z7" s="156">
        <v>1</v>
      </c>
      <c r="AA7" s="150">
        <v>100.51</v>
      </c>
      <c r="AB7" s="151">
        <v>756.84299999999996</v>
      </c>
      <c r="AC7" s="155">
        <v>0.419700332353456</v>
      </c>
      <c r="AD7" s="155">
        <v>3.94813822083977E-4</v>
      </c>
    </row>
    <row r="8" spans="1:30" x14ac:dyDescent="0.2">
      <c r="A8" s="18">
        <v>559</v>
      </c>
      <c r="B8" s="18">
        <v>7206</v>
      </c>
      <c r="C8" s="18" t="s">
        <v>1220</v>
      </c>
      <c r="D8" s="18" t="s">
        <v>1483</v>
      </c>
      <c r="E8" s="12" t="s">
        <v>1477</v>
      </c>
      <c r="F8" s="18" t="s">
        <v>3435</v>
      </c>
      <c r="G8" s="18" t="s">
        <v>3436</v>
      </c>
      <c r="H8" s="18" t="s">
        <v>76</v>
      </c>
      <c r="I8" s="18" t="s">
        <v>240</v>
      </c>
      <c r="J8" s="12" t="s">
        <v>53</v>
      </c>
      <c r="K8" s="12" t="s">
        <v>53</v>
      </c>
      <c r="L8" s="18" t="s">
        <v>62</v>
      </c>
      <c r="M8" s="18" t="s">
        <v>665</v>
      </c>
      <c r="N8" s="163" t="s">
        <v>3437</v>
      </c>
      <c r="O8" s="18" t="s">
        <v>298</v>
      </c>
      <c r="P8" s="18" t="s">
        <v>298</v>
      </c>
      <c r="Q8" s="18" t="s">
        <v>298</v>
      </c>
      <c r="R8" s="12" t="s">
        <v>1219</v>
      </c>
      <c r="S8" s="151">
        <v>3.98</v>
      </c>
      <c r="T8" s="154">
        <v>3.6900000000000002E-2</v>
      </c>
      <c r="U8" s="155">
        <v>3.5700000000000003E-2</v>
      </c>
      <c r="V8" s="18" t="s">
        <v>775</v>
      </c>
      <c r="W8" s="18" t="s">
        <v>3082</v>
      </c>
      <c r="X8" s="164" t="s">
        <v>2313</v>
      </c>
      <c r="Y8" s="151">
        <v>53668.18</v>
      </c>
      <c r="Z8" s="156">
        <v>1</v>
      </c>
      <c r="AA8" s="150">
        <v>102.33</v>
      </c>
      <c r="AB8" s="151">
        <v>54.918999999999997</v>
      </c>
      <c r="AC8" s="155">
        <v>0.54968512412081805</v>
      </c>
      <c r="AD8" s="155">
        <v>6.2912180385297405E-4</v>
      </c>
    </row>
    <row r="9" spans="1:30" x14ac:dyDescent="0.2">
      <c r="A9" s="18">
        <v>559</v>
      </c>
      <c r="B9" s="18">
        <v>7206</v>
      </c>
      <c r="C9" s="18" t="s">
        <v>1220</v>
      </c>
      <c r="D9" s="18" t="s">
        <v>1483</v>
      </c>
      <c r="E9" s="12" t="s">
        <v>1477</v>
      </c>
      <c r="F9" s="18" t="s">
        <v>3438</v>
      </c>
      <c r="G9" s="18" t="s">
        <v>3439</v>
      </c>
      <c r="H9" s="18" t="s">
        <v>76</v>
      </c>
      <c r="I9" s="18" t="s">
        <v>240</v>
      </c>
      <c r="J9" s="12" t="s">
        <v>53</v>
      </c>
      <c r="K9" s="12" t="s">
        <v>53</v>
      </c>
      <c r="L9" s="18" t="s">
        <v>62</v>
      </c>
      <c r="M9" s="18" t="s">
        <v>665</v>
      </c>
      <c r="N9" s="163" t="s">
        <v>3346</v>
      </c>
      <c r="O9" s="18" t="s">
        <v>298</v>
      </c>
      <c r="P9" s="18" t="s">
        <v>298</v>
      </c>
      <c r="Q9" s="18" t="s">
        <v>298</v>
      </c>
      <c r="R9" s="12" t="s">
        <v>1219</v>
      </c>
      <c r="S9" s="151">
        <v>3.54</v>
      </c>
      <c r="T9" s="154">
        <v>6.7000000000000004E-2</v>
      </c>
      <c r="U9" s="155">
        <v>6.1600000000000002E-2</v>
      </c>
      <c r="V9" s="18" t="s">
        <v>775</v>
      </c>
      <c r="W9" s="18" t="s">
        <v>3082</v>
      </c>
      <c r="X9" s="164" t="s">
        <v>2313</v>
      </c>
      <c r="Y9" s="151">
        <v>44762.35</v>
      </c>
      <c r="Z9" s="156">
        <v>1</v>
      </c>
      <c r="AA9" s="150">
        <v>100.51</v>
      </c>
      <c r="AB9" s="151">
        <v>44.991</v>
      </c>
      <c r="AC9" s="155">
        <v>0.45031487587918201</v>
      </c>
      <c r="AD9" s="155">
        <v>5.1539125689104601E-4</v>
      </c>
    </row>
    <row r="10" spans="1:30" x14ac:dyDescent="0.2">
      <c r="A10" s="18">
        <v>559</v>
      </c>
      <c r="B10" s="18">
        <v>7207</v>
      </c>
      <c r="C10" s="18" t="s">
        <v>1220</v>
      </c>
      <c r="D10" s="18" t="s">
        <v>1483</v>
      </c>
      <c r="E10" s="12" t="s">
        <v>1477</v>
      </c>
      <c r="F10" s="18" t="s">
        <v>3435</v>
      </c>
      <c r="G10" s="18" t="s">
        <v>3436</v>
      </c>
      <c r="H10" s="18" t="s">
        <v>76</v>
      </c>
      <c r="I10" s="18" t="s">
        <v>240</v>
      </c>
      <c r="J10" s="12" t="s">
        <v>53</v>
      </c>
      <c r="K10" s="12" t="s">
        <v>53</v>
      </c>
      <c r="L10" s="18" t="s">
        <v>62</v>
      </c>
      <c r="M10" s="18" t="s">
        <v>665</v>
      </c>
      <c r="N10" s="163" t="s">
        <v>3437</v>
      </c>
      <c r="O10" s="18" t="s">
        <v>298</v>
      </c>
      <c r="P10" s="18" t="s">
        <v>298</v>
      </c>
      <c r="Q10" s="18" t="s">
        <v>298</v>
      </c>
      <c r="R10" s="12" t="s">
        <v>1219</v>
      </c>
      <c r="S10" s="151">
        <v>3.98</v>
      </c>
      <c r="T10" s="154">
        <v>3.6900000000000002E-2</v>
      </c>
      <c r="U10" s="155">
        <v>3.5700000000000003E-2</v>
      </c>
      <c r="V10" s="18" t="s">
        <v>775</v>
      </c>
      <c r="W10" s="18" t="s">
        <v>3082</v>
      </c>
      <c r="X10" s="164" t="s">
        <v>2313</v>
      </c>
      <c r="Y10" s="151">
        <v>77087.05</v>
      </c>
      <c r="Z10" s="156">
        <v>1</v>
      </c>
      <c r="AA10" s="150">
        <v>102.33</v>
      </c>
      <c r="AB10" s="151">
        <v>78.882999999999996</v>
      </c>
      <c r="AC10" s="155">
        <v>0.55213304067126601</v>
      </c>
      <c r="AD10" s="155">
        <v>6.4904066633515798E-4</v>
      </c>
    </row>
    <row r="11" spans="1:30" x14ac:dyDescent="0.2">
      <c r="A11" s="18">
        <v>559</v>
      </c>
      <c r="B11" s="18">
        <v>7207</v>
      </c>
      <c r="C11" s="18" t="s">
        <v>1220</v>
      </c>
      <c r="D11" s="18" t="s">
        <v>1483</v>
      </c>
      <c r="E11" s="12" t="s">
        <v>1477</v>
      </c>
      <c r="F11" s="18" t="s">
        <v>3438</v>
      </c>
      <c r="G11" s="18" t="s">
        <v>3439</v>
      </c>
      <c r="H11" s="18" t="s">
        <v>76</v>
      </c>
      <c r="I11" s="18" t="s">
        <v>240</v>
      </c>
      <c r="J11" s="12" t="s">
        <v>53</v>
      </c>
      <c r="K11" s="12" t="s">
        <v>53</v>
      </c>
      <c r="L11" s="18" t="s">
        <v>62</v>
      </c>
      <c r="M11" s="18" t="s">
        <v>665</v>
      </c>
      <c r="N11" s="163" t="s">
        <v>3346</v>
      </c>
      <c r="O11" s="18" t="s">
        <v>298</v>
      </c>
      <c r="P11" s="18" t="s">
        <v>298</v>
      </c>
      <c r="Q11" s="18" t="s">
        <v>298</v>
      </c>
      <c r="R11" s="12" t="s">
        <v>1219</v>
      </c>
      <c r="S11" s="151">
        <v>3.54</v>
      </c>
      <c r="T11" s="154">
        <v>6.7000000000000004E-2</v>
      </c>
      <c r="U11" s="155">
        <v>6.1600000000000002E-2</v>
      </c>
      <c r="V11" s="18" t="s">
        <v>775</v>
      </c>
      <c r="W11" s="18" t="s">
        <v>3082</v>
      </c>
      <c r="X11" s="164" t="s">
        <v>2313</v>
      </c>
      <c r="Y11" s="151">
        <v>63662.02</v>
      </c>
      <c r="Z11" s="156">
        <v>1</v>
      </c>
      <c r="AA11" s="150">
        <v>100.51</v>
      </c>
      <c r="AB11" s="151">
        <v>63.987000000000002</v>
      </c>
      <c r="AC11" s="155">
        <v>0.44786695932873499</v>
      </c>
      <c r="AD11" s="155">
        <v>5.2647432466424902E-4</v>
      </c>
    </row>
    <row r="12" spans="1:30" x14ac:dyDescent="0.2">
      <c r="A12" s="18"/>
      <c r="B12" s="18"/>
      <c r="C12" s="18"/>
      <c r="D12" s="18"/>
      <c r="E12" s="12"/>
      <c r="F12" s="18"/>
      <c r="G12" s="18"/>
      <c r="H12" s="18"/>
      <c r="I12" s="18"/>
      <c r="J12" s="12"/>
      <c r="K12" s="12"/>
      <c r="L12" s="18"/>
      <c r="M12" s="18"/>
      <c r="N12" s="18"/>
      <c r="O12" s="18"/>
      <c r="P12" s="18"/>
      <c r="Q12" s="18"/>
      <c r="R12" s="12"/>
      <c r="S12" s="18"/>
      <c r="T12" s="165"/>
      <c r="U12" s="18"/>
      <c r="V12" s="18"/>
      <c r="W12" s="18"/>
      <c r="Y12" s="18"/>
      <c r="Z12" s="18"/>
      <c r="AA12" s="18"/>
      <c r="AB12" s="18"/>
      <c r="AC12" s="18"/>
      <c r="AD12" s="18"/>
    </row>
    <row r="13" spans="1:30" x14ac:dyDescent="0.2">
      <c r="A13" s="18"/>
      <c r="B13" s="18"/>
      <c r="C13" s="18"/>
      <c r="D13" s="18"/>
      <c r="E13" s="12"/>
      <c r="F13" s="18"/>
      <c r="G13" s="18"/>
      <c r="H13" s="18"/>
      <c r="I13" s="18"/>
      <c r="J13" s="12"/>
      <c r="K13" s="12"/>
      <c r="L13" s="18"/>
      <c r="M13" s="18"/>
      <c r="N13" s="18"/>
      <c r="O13" s="18"/>
      <c r="P13" s="18"/>
      <c r="Q13" s="18"/>
      <c r="R13" s="12"/>
      <c r="S13" s="18"/>
      <c r="T13" s="165"/>
      <c r="U13" s="18"/>
      <c r="V13" s="18"/>
      <c r="W13" s="18"/>
      <c r="Y13" s="18"/>
      <c r="Z13" s="18"/>
      <c r="AA13" s="18"/>
      <c r="AB13" s="18"/>
      <c r="AC13" s="18"/>
      <c r="AD13" s="18"/>
    </row>
    <row r="14" spans="1:30" x14ac:dyDescent="0.2">
      <c r="A14" s="18"/>
      <c r="B14" s="18"/>
      <c r="C14" s="18"/>
      <c r="D14" s="18"/>
      <c r="E14" s="12"/>
      <c r="F14" s="18"/>
      <c r="G14" s="18"/>
      <c r="H14" s="18"/>
      <c r="I14" s="18"/>
      <c r="J14" s="12"/>
      <c r="K14" s="12"/>
      <c r="L14" s="18"/>
      <c r="M14" s="18"/>
      <c r="N14" s="18"/>
      <c r="O14" s="18"/>
      <c r="P14" s="18"/>
      <c r="Q14" s="18"/>
      <c r="R14" s="12"/>
      <c r="S14" s="18"/>
      <c r="T14" s="165"/>
      <c r="U14" s="18"/>
      <c r="V14" s="18"/>
      <c r="W14" s="18"/>
      <c r="Y14" s="18"/>
      <c r="Z14" s="18"/>
      <c r="AA14" s="18"/>
      <c r="AB14" s="18"/>
      <c r="AC14" s="18"/>
      <c r="AD14" s="18"/>
    </row>
    <row r="15" spans="1:30" x14ac:dyDescent="0.2">
      <c r="A15" s="18"/>
      <c r="B15" s="18"/>
      <c r="C15" s="18"/>
      <c r="D15" s="18"/>
      <c r="E15" s="12"/>
      <c r="F15" s="18"/>
      <c r="G15" s="18"/>
      <c r="H15" s="18"/>
      <c r="I15" s="18"/>
      <c r="J15" s="12"/>
      <c r="K15" s="12"/>
      <c r="L15" s="18"/>
      <c r="M15" s="18"/>
      <c r="N15" s="18"/>
      <c r="O15" s="18"/>
      <c r="P15" s="18"/>
      <c r="Q15" s="18"/>
      <c r="R15" s="12"/>
      <c r="S15" s="18"/>
      <c r="T15" s="165"/>
      <c r="U15" s="18"/>
      <c r="V15" s="18"/>
      <c r="W15" s="18"/>
      <c r="Y15" s="18"/>
      <c r="Z15" s="18"/>
      <c r="AA15" s="18"/>
      <c r="AB15" s="18"/>
      <c r="AC15" s="18"/>
      <c r="AD15" s="18"/>
    </row>
    <row r="16" spans="1:30" x14ac:dyDescent="0.2">
      <c r="A16" s="18"/>
      <c r="B16" s="18"/>
      <c r="C16" s="18"/>
      <c r="D16" s="18"/>
      <c r="E16" s="12"/>
      <c r="F16" s="18"/>
      <c r="G16" s="18"/>
      <c r="H16" s="18"/>
      <c r="I16" s="18"/>
      <c r="J16" s="12"/>
      <c r="K16" s="12"/>
      <c r="L16" s="18"/>
      <c r="M16" s="18"/>
      <c r="N16" s="18"/>
      <c r="O16" s="18"/>
      <c r="P16" s="18"/>
      <c r="Q16" s="18"/>
      <c r="R16" s="12"/>
      <c r="S16" s="18"/>
      <c r="T16" s="165"/>
      <c r="U16" s="18"/>
      <c r="V16" s="18"/>
      <c r="W16" s="18"/>
      <c r="Y16" s="18"/>
      <c r="Z16" s="18"/>
      <c r="AA16" s="18"/>
      <c r="AB16" s="18"/>
      <c r="AC16" s="18"/>
      <c r="AD16" s="18"/>
    </row>
    <row r="17" spans="1:30" x14ac:dyDescent="0.2">
      <c r="A17" s="18"/>
      <c r="B17" s="18"/>
      <c r="C17" s="18"/>
      <c r="D17" s="18"/>
      <c r="E17" s="12"/>
      <c r="F17" s="18"/>
      <c r="G17" s="18"/>
      <c r="H17" s="18"/>
      <c r="I17" s="18"/>
      <c r="J17" s="12"/>
      <c r="K17" s="12"/>
      <c r="L17" s="18"/>
      <c r="M17" s="18"/>
      <c r="N17" s="18"/>
      <c r="O17" s="18"/>
      <c r="P17" s="18"/>
      <c r="Q17" s="18"/>
      <c r="R17" s="12"/>
      <c r="S17" s="18"/>
      <c r="T17" s="165"/>
      <c r="U17" s="18"/>
      <c r="V17" s="18"/>
      <c r="W17" s="18"/>
      <c r="Y17" s="18"/>
      <c r="Z17" s="18"/>
      <c r="AA17" s="18"/>
      <c r="AB17" s="18"/>
      <c r="AC17" s="18"/>
      <c r="AD17" s="18"/>
    </row>
    <row r="18" spans="1:30" x14ac:dyDescent="0.2">
      <c r="A18" s="18"/>
      <c r="B18" s="18"/>
      <c r="C18" s="18"/>
      <c r="D18" s="18"/>
      <c r="E18" s="12"/>
      <c r="F18" s="18"/>
      <c r="G18" s="18"/>
      <c r="H18" s="18"/>
      <c r="I18" s="18"/>
      <c r="J18" s="12"/>
      <c r="K18" s="12"/>
      <c r="L18" s="18"/>
      <c r="M18" s="18"/>
      <c r="N18" s="18"/>
      <c r="O18" s="18"/>
      <c r="P18" s="18"/>
      <c r="Q18" s="18"/>
      <c r="R18" s="12"/>
      <c r="S18" s="18"/>
      <c r="T18" s="165"/>
      <c r="U18" s="18"/>
      <c r="V18" s="18"/>
      <c r="W18" s="18"/>
      <c r="Y18" s="18"/>
      <c r="Z18" s="18"/>
      <c r="AA18" s="18"/>
      <c r="AB18" s="18"/>
      <c r="AC18" s="18"/>
      <c r="AD18" s="18"/>
    </row>
    <row r="19" spans="1:30" x14ac:dyDescent="0.2">
      <c r="A19" s="18"/>
      <c r="B19" s="18"/>
      <c r="C19" s="18"/>
      <c r="D19" s="18"/>
      <c r="E19" s="12"/>
      <c r="F19" s="18"/>
      <c r="G19" s="18"/>
      <c r="H19" s="18"/>
      <c r="I19" s="18"/>
      <c r="J19" s="12"/>
      <c r="K19" s="12"/>
      <c r="L19" s="18"/>
      <c r="M19" s="18"/>
      <c r="N19" s="18"/>
      <c r="O19" s="18"/>
      <c r="P19" s="18"/>
      <c r="Q19" s="18"/>
      <c r="R19" s="12"/>
      <c r="S19" s="18"/>
      <c r="T19" s="165"/>
      <c r="U19" s="18"/>
      <c r="V19" s="18"/>
      <c r="W19" s="18"/>
      <c r="Y19" s="18"/>
      <c r="Z19" s="18"/>
      <c r="AA19" s="18"/>
      <c r="AB19" s="18"/>
      <c r="AC19" s="18"/>
      <c r="AD19" s="18"/>
    </row>
    <row r="20" spans="1:30" x14ac:dyDescent="0.2">
      <c r="E20" s="12"/>
      <c r="H20" s="18"/>
      <c r="I20" s="18"/>
      <c r="J20" s="12"/>
      <c r="K20" s="12"/>
      <c r="L20" s="18"/>
      <c r="M20" s="18"/>
      <c r="P20" s="18"/>
      <c r="Q20" s="18"/>
      <c r="V20" s="18"/>
      <c r="W20" s="18"/>
    </row>
    <row r="21" spans="1:30" x14ac:dyDescent="0.2">
      <c r="T21" s="19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494FA540-A01A-4DBA-BB1B-769709D8615C}">
      <formula1>israel_abroad</formula1>
    </dataValidation>
    <dataValidation type="list" allowBlank="1" showInputMessage="1" showErrorMessage="1" sqref="L2:L20" xr:uid="{35124EE4-F349-4412-8E49-4FDCEC2AEC52}">
      <formula1>Holding_interest</formula1>
    </dataValidation>
    <dataValidation type="list" allowBlank="1" showInputMessage="1" showErrorMessage="1" sqref="P2:P20" xr:uid="{3FC01D6E-ACBC-4C63-A298-3008D168FD11}">
      <formula1>Rating_Agency</formula1>
    </dataValidation>
    <dataValidation type="list" allowBlank="1" showInputMessage="1" showErrorMessage="1" sqref="Q2:Q20" xr:uid="{B1567D2E-1080-471A-91E3-4FFCEF26EC44}">
      <formula1>What_is_rated</formula1>
    </dataValidation>
    <dataValidation type="list" allowBlank="1" showInputMessage="1" showErrorMessage="1" sqref="V2:V20" xr:uid="{51C9627E-414B-464F-B012-B1A92A63FA78}">
      <formula1>Valuation</formula1>
    </dataValidation>
    <dataValidation type="list" allowBlank="1" showInputMessage="1" showErrorMessage="1" sqref="W2:W20" xr:uid="{57A2B405-ACB6-47AF-B4D1-614404C314E5}">
      <formula1>Dependence_Independence</formula1>
    </dataValidation>
    <dataValidation type="list" allowBlank="1" showInputMessage="1" showErrorMessage="1" sqref="K2:K20" xr:uid="{73097F1D-64E4-48BF-A1E1-06F569ED3A78}">
      <formula1>Country_list</formula1>
    </dataValidation>
    <dataValidation type="list" allowBlank="1" showInputMessage="1" showErrorMessage="1" sqref="H2:H20" xr:uid="{758CE392-69E8-4628-92B8-CEDE589E1676}">
      <formula1>Type_of_Security_ID_Fund</formula1>
    </dataValidation>
    <dataValidation type="list" allowBlank="1" showInputMessage="1" showErrorMessage="1" sqref="M3:M20" xr:uid="{2F3A46EB-BA20-45A7-BAC3-70E459FE84AB}">
      <formula1>Underlying_Asset</formula1>
    </dataValidation>
    <dataValidation type="list" allowBlank="1" showInputMessage="1" showErrorMessage="1" sqref="E2" xr:uid="{B53B57D2-F83D-4D11-B542-6CA9DE3F37CE}">
      <formula1>Issuer_Number_Type_3</formula1>
    </dataValidation>
    <dataValidation type="list" allowBlank="1" showInputMessage="1" showErrorMessage="1" sqref="E3:E20" xr:uid="{F7948AF3-D750-4466-8D9B-39682D1F3633}">
      <formula1>Issuer_Number_Type_2</formula1>
    </dataValidation>
    <dataValidation type="list" allowBlank="1" showInputMessage="1" showErrorMessage="1" sqref="M2" xr:uid="{1D0F7072-D5E1-41E5-BC17-20EB85BFF171}">
      <formula1>Underlying_Asset_Structured</formula1>
    </dataValidation>
  </dataValidation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31"/>
  <sheetViews>
    <sheetView rightToLeft="1" workbookViewId="0">
      <selection activeCell="L26" sqref="L26"/>
    </sheetView>
  </sheetViews>
  <sheetFormatPr defaultColWidth="9" defaultRowHeight="14.25" x14ac:dyDescent="0.2"/>
  <cols>
    <col min="1" max="4" width="11.625" style="6" customWidth="1"/>
    <col min="5" max="5" width="11.625" style="3" customWidth="1"/>
    <col min="6" max="14" width="11.625" style="6" customWidth="1"/>
    <col min="15" max="15" width="11.625" style="135" customWidth="1"/>
    <col min="16" max="22" width="11.625" style="6" customWidth="1"/>
    <col min="23" max="16384" width="9" style="6"/>
  </cols>
  <sheetData>
    <row r="1" spans="1:22" ht="51" x14ac:dyDescent="0.2">
      <c r="A1" s="13" t="s">
        <v>651</v>
      </c>
      <c r="B1" s="13" t="s">
        <v>0</v>
      </c>
      <c r="C1" s="13" t="s">
        <v>723</v>
      </c>
      <c r="D1" s="13" t="s">
        <v>741</v>
      </c>
      <c r="E1" s="13" t="s">
        <v>742</v>
      </c>
      <c r="F1" s="13" t="s">
        <v>1</v>
      </c>
      <c r="G1" s="162" t="s">
        <v>625</v>
      </c>
      <c r="H1" s="13" t="s">
        <v>604</v>
      </c>
      <c r="I1" s="13" t="s">
        <v>605</v>
      </c>
      <c r="J1" s="13" t="s">
        <v>606</v>
      </c>
      <c r="K1" s="13" t="s">
        <v>772</v>
      </c>
      <c r="L1" s="13" t="s">
        <v>8</v>
      </c>
      <c r="M1" s="13" t="s">
        <v>396</v>
      </c>
      <c r="N1" s="13" t="s">
        <v>13</v>
      </c>
      <c r="O1" s="125" t="s">
        <v>14</v>
      </c>
      <c r="P1" s="126" t="s">
        <v>621</v>
      </c>
      <c r="Q1" s="13" t="s">
        <v>922</v>
      </c>
      <c r="R1" s="124" t="s">
        <v>11</v>
      </c>
      <c r="S1" s="136" t="s">
        <v>795</v>
      </c>
      <c r="T1" s="13" t="s">
        <v>1153</v>
      </c>
      <c r="U1" s="126" t="s">
        <v>19</v>
      </c>
      <c r="V1" s="126" t="s">
        <v>30</v>
      </c>
    </row>
    <row r="2" spans="1:22" x14ac:dyDescent="0.2">
      <c r="A2" s="18">
        <v>13710</v>
      </c>
      <c r="B2" s="18">
        <v>13711</v>
      </c>
      <c r="C2" s="18" t="s">
        <v>1211</v>
      </c>
      <c r="D2" s="6" t="s">
        <v>1212</v>
      </c>
      <c r="E2" s="12" t="s">
        <v>776</v>
      </c>
      <c r="F2" s="18" t="s">
        <v>246</v>
      </c>
      <c r="G2" s="163" t="s">
        <v>3440</v>
      </c>
      <c r="H2" s="12" t="s">
        <v>53</v>
      </c>
      <c r="I2" s="12" t="s">
        <v>314</v>
      </c>
      <c r="J2" s="18" t="s">
        <v>62</v>
      </c>
      <c r="K2" s="18" t="s">
        <v>1213</v>
      </c>
      <c r="L2" s="6" t="s">
        <v>65</v>
      </c>
      <c r="M2" s="12" t="s">
        <v>1217</v>
      </c>
      <c r="N2" s="151">
        <v>0.89</v>
      </c>
      <c r="O2" s="154">
        <v>5.3499999999999999E-2</v>
      </c>
      <c r="P2" s="155">
        <v>5.1819999999999998E-2</v>
      </c>
      <c r="Q2" s="131">
        <v>30</v>
      </c>
      <c r="R2" s="156">
        <v>3.3719999999999999</v>
      </c>
      <c r="S2" s="150">
        <v>100.73</v>
      </c>
      <c r="T2" s="151">
        <v>101.898</v>
      </c>
      <c r="U2" s="155">
        <v>0.16820853650390799</v>
      </c>
      <c r="V2" s="155">
        <v>1.4938676880698401E-3</v>
      </c>
    </row>
    <row r="3" spans="1:22" x14ac:dyDescent="0.2">
      <c r="A3" s="18">
        <v>13710</v>
      </c>
      <c r="B3" s="18">
        <v>13711</v>
      </c>
      <c r="C3" s="18" t="s">
        <v>1211</v>
      </c>
      <c r="D3" s="6" t="s">
        <v>1212</v>
      </c>
      <c r="E3" s="12" t="s">
        <v>776</v>
      </c>
      <c r="F3" s="18" t="s">
        <v>246</v>
      </c>
      <c r="G3" s="163" t="s">
        <v>3402</v>
      </c>
      <c r="H3" s="12" t="s">
        <v>53</v>
      </c>
      <c r="I3" s="12" t="s">
        <v>314</v>
      </c>
      <c r="J3" s="18" t="s">
        <v>62</v>
      </c>
      <c r="K3" s="18" t="s">
        <v>1213</v>
      </c>
      <c r="L3" s="6" t="s">
        <v>65</v>
      </c>
      <c r="M3" s="12" t="s">
        <v>1217</v>
      </c>
      <c r="N3" s="151">
        <v>0.37</v>
      </c>
      <c r="O3" s="154">
        <v>5.6000000000000001E-2</v>
      </c>
      <c r="P3" s="155">
        <v>5.1679999999999997E-2</v>
      </c>
      <c r="Q3" s="131">
        <v>20</v>
      </c>
      <c r="R3" s="156">
        <v>3.3719999999999999</v>
      </c>
      <c r="S3" s="157">
        <v>103.65</v>
      </c>
      <c r="T3" s="151">
        <v>69.902000000000001</v>
      </c>
      <c r="U3" s="155">
        <v>0.11538975352347899</v>
      </c>
      <c r="V3" s="155">
        <v>1.0247816662923299E-3</v>
      </c>
    </row>
    <row r="4" spans="1:22" x14ac:dyDescent="0.2">
      <c r="A4" s="18">
        <v>13710</v>
      </c>
      <c r="B4" s="18">
        <v>13711</v>
      </c>
      <c r="C4" s="18" t="s">
        <v>1211</v>
      </c>
      <c r="D4" s="6" t="s">
        <v>1212</v>
      </c>
      <c r="E4" s="12" t="s">
        <v>776</v>
      </c>
      <c r="F4" s="18" t="s">
        <v>246</v>
      </c>
      <c r="G4" s="163" t="s">
        <v>3441</v>
      </c>
      <c r="H4" s="12" t="s">
        <v>53</v>
      </c>
      <c r="I4" s="12" t="s">
        <v>314</v>
      </c>
      <c r="J4" s="18" t="s">
        <v>62</v>
      </c>
      <c r="K4" s="18" t="s">
        <v>1213</v>
      </c>
      <c r="L4" s="6" t="s">
        <v>65</v>
      </c>
      <c r="M4" s="12" t="s">
        <v>1217</v>
      </c>
      <c r="N4" s="151">
        <v>0.33</v>
      </c>
      <c r="O4" s="154">
        <v>5.6000000000000001E-2</v>
      </c>
      <c r="P4" s="155">
        <v>5.2139999999999999E-2</v>
      </c>
      <c r="Q4" s="131">
        <v>50</v>
      </c>
      <c r="R4" s="156">
        <v>3.3719999999999999</v>
      </c>
      <c r="S4" s="157">
        <v>103.85</v>
      </c>
      <c r="T4" s="151">
        <v>175.09100000000001</v>
      </c>
      <c r="U4" s="155">
        <v>0.28903101551889199</v>
      </c>
      <c r="V4" s="155">
        <v>2.56689763734824E-3</v>
      </c>
    </row>
    <row r="5" spans="1:22" x14ac:dyDescent="0.2">
      <c r="A5" s="18">
        <v>13710</v>
      </c>
      <c r="B5" s="18">
        <v>13711</v>
      </c>
      <c r="C5" s="18" t="s">
        <v>1211</v>
      </c>
      <c r="D5" s="6" t="s">
        <v>1212</v>
      </c>
      <c r="E5" s="12" t="s">
        <v>776</v>
      </c>
      <c r="F5" s="18" t="s">
        <v>246</v>
      </c>
      <c r="G5" s="163" t="s">
        <v>3442</v>
      </c>
      <c r="H5" s="12" t="s">
        <v>53</v>
      </c>
      <c r="I5" s="12" t="s">
        <v>314</v>
      </c>
      <c r="J5" s="18" t="s">
        <v>62</v>
      </c>
      <c r="K5" s="18" t="s">
        <v>1213</v>
      </c>
      <c r="L5" s="6" t="s">
        <v>65</v>
      </c>
      <c r="M5" s="12" t="s">
        <v>1217</v>
      </c>
      <c r="N5" s="151">
        <v>0.43</v>
      </c>
      <c r="O5" s="154">
        <v>5.6500000000000002E-2</v>
      </c>
      <c r="P5" s="155">
        <v>5.3449999999999998E-2</v>
      </c>
      <c r="Q5" s="131">
        <v>20</v>
      </c>
      <c r="R5" s="156">
        <v>3.3719999999999999</v>
      </c>
      <c r="S5" s="157">
        <v>103.31</v>
      </c>
      <c r="T5" s="151">
        <v>69.671999999999997</v>
      </c>
      <c r="U5" s="155">
        <v>0.115011243960546</v>
      </c>
      <c r="V5" s="155">
        <v>1.02142010559248E-3</v>
      </c>
    </row>
    <row r="6" spans="1:22" x14ac:dyDescent="0.2">
      <c r="A6" s="18">
        <v>13710</v>
      </c>
      <c r="B6" s="18">
        <v>13711</v>
      </c>
      <c r="C6" s="18" t="s">
        <v>1211</v>
      </c>
      <c r="D6" s="6" t="s">
        <v>1212</v>
      </c>
      <c r="E6" s="12" t="s">
        <v>776</v>
      </c>
      <c r="F6" s="18" t="s">
        <v>246</v>
      </c>
      <c r="G6" s="163" t="s">
        <v>3443</v>
      </c>
      <c r="H6" s="12" t="s">
        <v>53</v>
      </c>
      <c r="I6" s="12" t="s">
        <v>314</v>
      </c>
      <c r="J6" s="18" t="s">
        <v>62</v>
      </c>
      <c r="K6" s="18" t="s">
        <v>1213</v>
      </c>
      <c r="L6" s="6" t="s">
        <v>65</v>
      </c>
      <c r="M6" s="12" t="s">
        <v>1217</v>
      </c>
      <c r="N6" s="151">
        <v>0.03</v>
      </c>
      <c r="O6" s="154">
        <v>5.7500000000000002E-2</v>
      </c>
      <c r="P6" s="155">
        <v>5.484E-2</v>
      </c>
      <c r="Q6" s="131">
        <v>20</v>
      </c>
      <c r="R6" s="156">
        <v>3.3719999999999999</v>
      </c>
      <c r="S6" s="157">
        <v>105.58</v>
      </c>
      <c r="T6" s="151">
        <v>71.203000000000003</v>
      </c>
      <c r="U6" s="155">
        <v>0.117538351924832</v>
      </c>
      <c r="V6" s="155">
        <v>1.04386346673559E-3</v>
      </c>
    </row>
    <row r="7" spans="1:22" x14ac:dyDescent="0.2">
      <c r="A7" s="18">
        <v>13710</v>
      </c>
      <c r="B7" s="18">
        <v>13711</v>
      </c>
      <c r="C7" s="18" t="s">
        <v>1220</v>
      </c>
      <c r="D7" s="6" t="s">
        <v>1221</v>
      </c>
      <c r="E7" s="12" t="s">
        <v>776</v>
      </c>
      <c r="F7" s="18" t="s">
        <v>230</v>
      </c>
      <c r="G7" s="163" t="s">
        <v>3444</v>
      </c>
      <c r="H7" s="12" t="s">
        <v>61</v>
      </c>
      <c r="I7" s="12" t="s">
        <v>53</v>
      </c>
      <c r="J7" s="18" t="s">
        <v>62</v>
      </c>
      <c r="K7" s="18" t="s">
        <v>1213</v>
      </c>
      <c r="L7" s="6" t="s">
        <v>65</v>
      </c>
      <c r="M7" s="12" t="s">
        <v>1217</v>
      </c>
      <c r="N7" s="151">
        <v>0.01</v>
      </c>
      <c r="O7" s="154">
        <v>4.3900000000000002E-2</v>
      </c>
      <c r="P7" s="155">
        <v>1E-4</v>
      </c>
      <c r="Q7" s="131">
        <v>35</v>
      </c>
      <c r="R7" s="156">
        <v>3.3719999999999999</v>
      </c>
      <c r="S7" s="150">
        <v>100</v>
      </c>
      <c r="T7" s="151">
        <v>118.02</v>
      </c>
      <c r="U7" s="155">
        <v>0.19482109856834301</v>
      </c>
      <c r="V7" s="155">
        <v>1.7302150660989601E-3</v>
      </c>
    </row>
    <row r="8" spans="1:22" x14ac:dyDescent="0.2">
      <c r="A8" s="18">
        <v>559</v>
      </c>
      <c r="B8" s="18">
        <v>556</v>
      </c>
      <c r="C8" s="18" t="s">
        <v>1211</v>
      </c>
      <c r="D8" s="6" t="s">
        <v>1212</v>
      </c>
      <c r="E8" s="12" t="s">
        <v>776</v>
      </c>
      <c r="F8" s="18" t="s">
        <v>246</v>
      </c>
      <c r="G8" s="163" t="s">
        <v>3440</v>
      </c>
      <c r="H8" s="12" t="s">
        <v>53</v>
      </c>
      <c r="I8" s="12" t="s">
        <v>314</v>
      </c>
      <c r="J8" s="18" t="s">
        <v>62</v>
      </c>
      <c r="K8" s="18" t="s">
        <v>1213</v>
      </c>
      <c r="L8" s="6" t="s">
        <v>65</v>
      </c>
      <c r="M8" s="12" t="s">
        <v>1217</v>
      </c>
      <c r="N8" s="151">
        <v>0.89</v>
      </c>
      <c r="O8" s="154">
        <v>5.3499999999999999E-2</v>
      </c>
      <c r="P8" s="155">
        <v>5.1819999999999998E-2</v>
      </c>
      <c r="Q8" s="131">
        <v>140</v>
      </c>
      <c r="R8" s="156">
        <v>3.3719999999999999</v>
      </c>
      <c r="S8" s="150">
        <v>100.73</v>
      </c>
      <c r="T8" s="151">
        <v>475.52600000000001</v>
      </c>
      <c r="U8" s="155">
        <v>3.6754179223471503E-2</v>
      </c>
      <c r="V8" s="155">
        <v>1.4259226927232E-3</v>
      </c>
    </row>
    <row r="9" spans="1:22" x14ac:dyDescent="0.2">
      <c r="A9" s="18">
        <v>559</v>
      </c>
      <c r="B9" s="18">
        <v>556</v>
      </c>
      <c r="C9" s="18" t="s">
        <v>1211</v>
      </c>
      <c r="D9" s="6" t="s">
        <v>1212</v>
      </c>
      <c r="E9" s="12" t="s">
        <v>776</v>
      </c>
      <c r="F9" s="18" t="s">
        <v>246</v>
      </c>
      <c r="G9" s="163" t="s">
        <v>3402</v>
      </c>
      <c r="H9" s="12" t="s">
        <v>53</v>
      </c>
      <c r="I9" s="12" t="s">
        <v>314</v>
      </c>
      <c r="J9" s="18" t="s">
        <v>62</v>
      </c>
      <c r="K9" s="18" t="s">
        <v>1213</v>
      </c>
      <c r="L9" s="6" t="s">
        <v>65</v>
      </c>
      <c r="M9" s="12" t="s">
        <v>1217</v>
      </c>
      <c r="N9" s="151">
        <v>0.37</v>
      </c>
      <c r="O9" s="154">
        <v>5.6000000000000001E-2</v>
      </c>
      <c r="P9" s="155">
        <v>5.1679999999999997E-2</v>
      </c>
      <c r="Q9" s="131">
        <v>140</v>
      </c>
      <c r="R9" s="156">
        <v>3.3719999999999999</v>
      </c>
      <c r="S9" s="150">
        <v>103.65</v>
      </c>
      <c r="T9" s="151">
        <v>489.31099999999998</v>
      </c>
      <c r="U9" s="155">
        <v>3.7819623513479797E-2</v>
      </c>
      <c r="V9" s="155">
        <v>1.46725788842212E-3</v>
      </c>
    </row>
    <row r="10" spans="1:22" x14ac:dyDescent="0.2">
      <c r="A10" s="18">
        <v>559</v>
      </c>
      <c r="B10" s="18">
        <v>556</v>
      </c>
      <c r="C10" s="18" t="s">
        <v>1211</v>
      </c>
      <c r="D10" s="6" t="s">
        <v>1212</v>
      </c>
      <c r="E10" s="12" t="s">
        <v>776</v>
      </c>
      <c r="F10" s="18" t="s">
        <v>246</v>
      </c>
      <c r="G10" s="163" t="s">
        <v>3441</v>
      </c>
      <c r="H10" s="12" t="s">
        <v>53</v>
      </c>
      <c r="I10" s="12" t="s">
        <v>314</v>
      </c>
      <c r="J10" s="18" t="s">
        <v>62</v>
      </c>
      <c r="K10" s="18" t="s">
        <v>1213</v>
      </c>
      <c r="L10" s="6" t="s">
        <v>65</v>
      </c>
      <c r="M10" s="12" t="s">
        <v>1217</v>
      </c>
      <c r="N10" s="151">
        <v>0.33</v>
      </c>
      <c r="O10" s="154">
        <v>5.6000000000000001E-2</v>
      </c>
      <c r="P10" s="155">
        <v>5.2139999999999999E-2</v>
      </c>
      <c r="Q10" s="131">
        <v>150</v>
      </c>
      <c r="R10" s="156">
        <v>3.3719999999999999</v>
      </c>
      <c r="S10" s="150">
        <v>103.85</v>
      </c>
      <c r="T10" s="151">
        <v>525.27300000000002</v>
      </c>
      <c r="U10" s="155">
        <v>4.0599213374766102E-2</v>
      </c>
      <c r="V10" s="155">
        <v>1.57509542808184E-3</v>
      </c>
    </row>
    <row r="11" spans="1:22" x14ac:dyDescent="0.2">
      <c r="A11" s="18">
        <v>559</v>
      </c>
      <c r="B11" s="18">
        <v>556</v>
      </c>
      <c r="C11" s="18" t="s">
        <v>1211</v>
      </c>
      <c r="D11" s="6" t="s">
        <v>1212</v>
      </c>
      <c r="E11" s="12" t="s">
        <v>776</v>
      </c>
      <c r="F11" s="18" t="s">
        <v>246</v>
      </c>
      <c r="G11" s="163" t="s">
        <v>3442</v>
      </c>
      <c r="H11" s="12" t="s">
        <v>53</v>
      </c>
      <c r="I11" s="12" t="s">
        <v>314</v>
      </c>
      <c r="J11" s="18" t="s">
        <v>62</v>
      </c>
      <c r="K11" s="18" t="s">
        <v>1213</v>
      </c>
      <c r="L11" s="6" t="s">
        <v>65</v>
      </c>
      <c r="M11" s="12" t="s">
        <v>1217</v>
      </c>
      <c r="N11" s="151">
        <v>0.43</v>
      </c>
      <c r="O11" s="154">
        <v>5.6500000000000002E-2</v>
      </c>
      <c r="P11" s="155">
        <v>5.3449999999999998E-2</v>
      </c>
      <c r="Q11" s="131">
        <v>200</v>
      </c>
      <c r="R11" s="156">
        <v>3.3719999999999999</v>
      </c>
      <c r="S11" s="150">
        <v>103.31</v>
      </c>
      <c r="T11" s="151">
        <v>696.72299999999996</v>
      </c>
      <c r="U11" s="155">
        <v>5.38508070453807E-2</v>
      </c>
      <c r="V11" s="155">
        <v>2.08920698026172E-3</v>
      </c>
    </row>
    <row r="12" spans="1:22" x14ac:dyDescent="0.2">
      <c r="A12" s="18">
        <v>559</v>
      </c>
      <c r="B12" s="18">
        <v>556</v>
      </c>
      <c r="C12" s="18" t="s">
        <v>1211</v>
      </c>
      <c r="D12" s="6" t="s">
        <v>1212</v>
      </c>
      <c r="E12" s="12" t="s">
        <v>776</v>
      </c>
      <c r="F12" s="18" t="s">
        <v>246</v>
      </c>
      <c r="G12" s="163" t="s">
        <v>3443</v>
      </c>
      <c r="H12" s="12" t="s">
        <v>53</v>
      </c>
      <c r="I12" s="12" t="s">
        <v>314</v>
      </c>
      <c r="J12" s="18" t="s">
        <v>62</v>
      </c>
      <c r="K12" s="18" t="s">
        <v>1213</v>
      </c>
      <c r="L12" s="6" t="s">
        <v>65</v>
      </c>
      <c r="M12" s="12" t="s">
        <v>1217</v>
      </c>
      <c r="N12" s="151">
        <v>0.03</v>
      </c>
      <c r="O12" s="154">
        <v>5.7500000000000002E-2</v>
      </c>
      <c r="P12" s="155">
        <v>5.484E-2</v>
      </c>
      <c r="Q12" s="131">
        <v>150</v>
      </c>
      <c r="R12" s="156">
        <v>3.3719999999999999</v>
      </c>
      <c r="S12" s="150">
        <v>105.58</v>
      </c>
      <c r="T12" s="151">
        <v>534.024</v>
      </c>
      <c r="U12" s="155">
        <v>4.1275541146921599E-2</v>
      </c>
      <c r="V12" s="155">
        <v>1.6013343793633201E-3</v>
      </c>
    </row>
    <row r="13" spans="1:22" x14ac:dyDescent="0.2">
      <c r="A13" s="18">
        <v>559</v>
      </c>
      <c r="B13" s="18">
        <v>556</v>
      </c>
      <c r="C13" s="18" t="s">
        <v>1220</v>
      </c>
      <c r="D13" s="6" t="s">
        <v>1221</v>
      </c>
      <c r="E13" s="12" t="s">
        <v>776</v>
      </c>
      <c r="F13" s="18" t="s">
        <v>230</v>
      </c>
      <c r="G13" s="163" t="s">
        <v>3444</v>
      </c>
      <c r="H13" s="12" t="s">
        <v>61</v>
      </c>
      <c r="I13" s="12" t="s">
        <v>53</v>
      </c>
      <c r="J13" s="18" t="s">
        <v>62</v>
      </c>
      <c r="K13" s="18" t="s">
        <v>1213</v>
      </c>
      <c r="L13" s="6" t="s">
        <v>65</v>
      </c>
      <c r="M13" s="12" t="s">
        <v>1217</v>
      </c>
      <c r="N13" s="151">
        <v>0.01</v>
      </c>
      <c r="O13" s="154">
        <v>4.3900000000000002E-2</v>
      </c>
      <c r="P13" s="155">
        <v>1E-4</v>
      </c>
      <c r="Q13" s="131">
        <v>3030</v>
      </c>
      <c r="R13" s="156">
        <v>3.3719999999999999</v>
      </c>
      <c r="S13" s="150">
        <v>100</v>
      </c>
      <c r="T13" s="151">
        <v>10217.16</v>
      </c>
      <c r="U13" s="155">
        <v>0.78970063569598004</v>
      </c>
      <c r="V13" s="155">
        <v>3.0637388201495499E-2</v>
      </c>
    </row>
    <row r="14" spans="1:22" x14ac:dyDescent="0.2">
      <c r="A14" s="18">
        <v>559</v>
      </c>
      <c r="B14" s="18">
        <v>7205</v>
      </c>
      <c r="C14" s="18" t="s">
        <v>1211</v>
      </c>
      <c r="D14" s="6" t="s">
        <v>1212</v>
      </c>
      <c r="E14" s="12" t="s">
        <v>776</v>
      </c>
      <c r="F14" s="18" t="s">
        <v>246</v>
      </c>
      <c r="G14" s="163" t="s">
        <v>3440</v>
      </c>
      <c r="H14" s="12" t="s">
        <v>53</v>
      </c>
      <c r="I14" s="12" t="s">
        <v>314</v>
      </c>
      <c r="J14" s="18" t="s">
        <v>62</v>
      </c>
      <c r="K14" s="18" t="s">
        <v>1213</v>
      </c>
      <c r="L14" s="6" t="s">
        <v>65</v>
      </c>
      <c r="M14" s="12" t="s">
        <v>1217</v>
      </c>
      <c r="N14" s="151">
        <v>0.89</v>
      </c>
      <c r="O14" s="154">
        <v>5.3499999999999999E-2</v>
      </c>
      <c r="P14" s="155">
        <v>5.1819999999999998E-2</v>
      </c>
      <c r="Q14" s="131">
        <v>730</v>
      </c>
      <c r="R14" s="156">
        <v>3.3719999999999999</v>
      </c>
      <c r="S14" s="150">
        <v>100.73</v>
      </c>
      <c r="T14" s="151">
        <v>2479.529</v>
      </c>
      <c r="U14" s="155">
        <v>2.6854041786571699E-2</v>
      </c>
      <c r="V14" s="155">
        <v>1.29346905879076E-3</v>
      </c>
    </row>
    <row r="15" spans="1:22" x14ac:dyDescent="0.2">
      <c r="A15" s="18">
        <v>559</v>
      </c>
      <c r="B15" s="18">
        <v>7205</v>
      </c>
      <c r="C15" s="18" t="s">
        <v>1211</v>
      </c>
      <c r="D15" s="6" t="s">
        <v>1212</v>
      </c>
      <c r="E15" s="12" t="s">
        <v>776</v>
      </c>
      <c r="F15" s="18" t="s">
        <v>246</v>
      </c>
      <c r="G15" s="163" t="s">
        <v>3402</v>
      </c>
      <c r="H15" s="12" t="s">
        <v>53</v>
      </c>
      <c r="I15" s="12" t="s">
        <v>314</v>
      </c>
      <c r="J15" s="18" t="s">
        <v>62</v>
      </c>
      <c r="K15" s="18" t="s">
        <v>1213</v>
      </c>
      <c r="L15" s="6" t="s">
        <v>65</v>
      </c>
      <c r="M15" s="12" t="s">
        <v>1217</v>
      </c>
      <c r="N15" s="151">
        <v>0.37</v>
      </c>
      <c r="O15" s="154">
        <v>5.6000000000000001E-2</v>
      </c>
      <c r="P15" s="155">
        <v>5.1679999999999997E-2</v>
      </c>
      <c r="Q15" s="131">
        <v>750</v>
      </c>
      <c r="R15" s="156">
        <v>3.3719999999999999</v>
      </c>
      <c r="S15" s="150">
        <v>103.65</v>
      </c>
      <c r="T15" s="151">
        <v>2621.3090000000002</v>
      </c>
      <c r="U15" s="155">
        <v>2.83895517976799E-2</v>
      </c>
      <c r="V15" s="155">
        <v>1.3674294221735601E-3</v>
      </c>
    </row>
    <row r="16" spans="1:22" x14ac:dyDescent="0.2">
      <c r="A16" s="18">
        <v>559</v>
      </c>
      <c r="B16" s="18">
        <v>7205</v>
      </c>
      <c r="C16" s="18" t="s">
        <v>1211</v>
      </c>
      <c r="D16" s="6" t="s">
        <v>1212</v>
      </c>
      <c r="E16" s="12" t="s">
        <v>776</v>
      </c>
      <c r="F16" s="18" t="s">
        <v>246</v>
      </c>
      <c r="G16" s="163" t="s">
        <v>3441</v>
      </c>
      <c r="H16" s="12" t="s">
        <v>53</v>
      </c>
      <c r="I16" s="12" t="s">
        <v>314</v>
      </c>
      <c r="J16" s="18" t="s">
        <v>62</v>
      </c>
      <c r="K16" s="18" t="s">
        <v>1213</v>
      </c>
      <c r="L16" s="6" t="s">
        <v>65</v>
      </c>
      <c r="M16" s="12" t="s">
        <v>1217</v>
      </c>
      <c r="N16" s="151">
        <v>0.33</v>
      </c>
      <c r="O16" s="154">
        <v>5.6000000000000001E-2</v>
      </c>
      <c r="P16" s="155">
        <v>5.2139999999999999E-2</v>
      </c>
      <c r="Q16" s="131">
        <v>850</v>
      </c>
      <c r="R16" s="156">
        <v>3.3719999999999999</v>
      </c>
      <c r="S16" s="150">
        <v>103.85</v>
      </c>
      <c r="T16" s="151">
        <v>2976.549</v>
      </c>
      <c r="U16" s="155">
        <v>3.2236908970068499E-2</v>
      </c>
      <c r="V16" s="155">
        <v>1.55274370373135E-3</v>
      </c>
    </row>
    <row r="17" spans="1:22" x14ac:dyDescent="0.2">
      <c r="A17" s="18">
        <v>559</v>
      </c>
      <c r="B17" s="18">
        <v>7205</v>
      </c>
      <c r="C17" s="18" t="s">
        <v>1211</v>
      </c>
      <c r="D17" s="6" t="s">
        <v>1212</v>
      </c>
      <c r="E17" s="12" t="s">
        <v>776</v>
      </c>
      <c r="F17" s="18" t="s">
        <v>246</v>
      </c>
      <c r="G17" s="163" t="s">
        <v>3442</v>
      </c>
      <c r="H17" s="12" t="s">
        <v>53</v>
      </c>
      <c r="I17" s="12" t="s">
        <v>314</v>
      </c>
      <c r="J17" s="18" t="s">
        <v>62</v>
      </c>
      <c r="K17" s="18" t="s">
        <v>1213</v>
      </c>
      <c r="L17" s="6" t="s">
        <v>65</v>
      </c>
      <c r="M17" s="12" t="s">
        <v>1217</v>
      </c>
      <c r="N17" s="151">
        <v>0.43</v>
      </c>
      <c r="O17" s="154">
        <v>5.6500000000000002E-2</v>
      </c>
      <c r="P17" s="155">
        <v>5.3449999999999998E-2</v>
      </c>
      <c r="Q17" s="131">
        <v>1700</v>
      </c>
      <c r="R17" s="156">
        <v>3.3719999999999999</v>
      </c>
      <c r="S17" s="150">
        <v>103.31</v>
      </c>
      <c r="T17" s="151">
        <v>5922.1419999999998</v>
      </c>
      <c r="U17" s="155">
        <v>6.4138566503568195E-2</v>
      </c>
      <c r="V17" s="155">
        <v>3.0893394710156102E-3</v>
      </c>
    </row>
    <row r="18" spans="1:22" x14ac:dyDescent="0.2">
      <c r="A18" s="18">
        <v>559</v>
      </c>
      <c r="B18" s="18">
        <v>7205</v>
      </c>
      <c r="C18" s="18" t="s">
        <v>1211</v>
      </c>
      <c r="D18" s="6" t="s">
        <v>1212</v>
      </c>
      <c r="E18" s="12" t="s">
        <v>776</v>
      </c>
      <c r="F18" s="18" t="s">
        <v>246</v>
      </c>
      <c r="G18" s="163" t="s">
        <v>3443</v>
      </c>
      <c r="H18" s="12" t="s">
        <v>53</v>
      </c>
      <c r="I18" s="12" t="s">
        <v>314</v>
      </c>
      <c r="J18" s="18" t="s">
        <v>62</v>
      </c>
      <c r="K18" s="18" t="s">
        <v>1213</v>
      </c>
      <c r="L18" s="6" t="s">
        <v>65</v>
      </c>
      <c r="M18" s="12" t="s">
        <v>1217</v>
      </c>
      <c r="N18" s="151">
        <v>0.03</v>
      </c>
      <c r="O18" s="154">
        <v>5.7500000000000002E-2</v>
      </c>
      <c r="P18" s="155">
        <v>5.484E-2</v>
      </c>
      <c r="Q18" s="131">
        <v>730</v>
      </c>
      <c r="R18" s="156">
        <v>3.3719999999999999</v>
      </c>
      <c r="S18" s="150">
        <v>105.58</v>
      </c>
      <c r="T18" s="151">
        <v>2598.915</v>
      </c>
      <c r="U18" s="155">
        <v>2.8147024042750299E-2</v>
      </c>
      <c r="V18" s="155">
        <v>1.35574767424926E-3</v>
      </c>
    </row>
    <row r="19" spans="1:22" x14ac:dyDescent="0.2">
      <c r="A19" s="18">
        <v>559</v>
      </c>
      <c r="B19" s="18">
        <v>7205</v>
      </c>
      <c r="C19" s="18" t="s">
        <v>1220</v>
      </c>
      <c r="D19" s="6" t="s">
        <v>1221</v>
      </c>
      <c r="E19" s="12" t="s">
        <v>776</v>
      </c>
      <c r="F19" s="18" t="s">
        <v>230</v>
      </c>
      <c r="G19" s="163" t="s">
        <v>3444</v>
      </c>
      <c r="H19" s="12" t="s">
        <v>61</v>
      </c>
      <c r="I19" s="12" t="s">
        <v>53</v>
      </c>
      <c r="J19" s="18" t="s">
        <v>62</v>
      </c>
      <c r="K19" s="18" t="s">
        <v>1213</v>
      </c>
      <c r="L19" s="6" t="s">
        <v>65</v>
      </c>
      <c r="M19" s="12" t="s">
        <v>1217</v>
      </c>
      <c r="N19" s="151">
        <v>0.01</v>
      </c>
      <c r="O19" s="154">
        <v>4.3900000000000002E-2</v>
      </c>
      <c r="P19" s="155">
        <v>1E-4</v>
      </c>
      <c r="Q19" s="131">
        <v>22460</v>
      </c>
      <c r="R19" s="156">
        <v>3.3719999999999999</v>
      </c>
      <c r="S19" s="150">
        <v>100</v>
      </c>
      <c r="T19" s="151">
        <v>75735.12</v>
      </c>
      <c r="U19" s="155">
        <v>0.82023390689936104</v>
      </c>
      <c r="V19" s="155">
        <v>3.9507914226748E-2</v>
      </c>
    </row>
    <row r="20" spans="1:22" x14ac:dyDescent="0.2">
      <c r="A20" s="6">
        <v>559</v>
      </c>
      <c r="B20" s="6">
        <v>7206</v>
      </c>
      <c r="C20" s="6" t="s">
        <v>1211</v>
      </c>
      <c r="D20" s="6" t="s">
        <v>1212</v>
      </c>
      <c r="E20" s="12" t="s">
        <v>776</v>
      </c>
      <c r="F20" s="18" t="s">
        <v>246</v>
      </c>
      <c r="G20" s="164" t="s">
        <v>3440</v>
      </c>
      <c r="H20" s="12" t="s">
        <v>53</v>
      </c>
      <c r="I20" s="12" t="s">
        <v>314</v>
      </c>
      <c r="J20" s="18" t="s">
        <v>62</v>
      </c>
      <c r="K20" s="6" t="s">
        <v>1213</v>
      </c>
      <c r="L20" s="6" t="s">
        <v>65</v>
      </c>
      <c r="M20" s="6" t="s">
        <v>1217</v>
      </c>
      <c r="N20" s="131">
        <v>0.89</v>
      </c>
      <c r="O20" s="134">
        <v>5.3499999999999999E-2</v>
      </c>
      <c r="P20" s="132">
        <v>5.1819999999999998E-2</v>
      </c>
      <c r="Q20" s="131">
        <v>40</v>
      </c>
      <c r="R20" s="129">
        <v>3.3719999999999999</v>
      </c>
      <c r="S20" s="157">
        <v>100.73</v>
      </c>
      <c r="T20" s="131">
        <v>135.86500000000001</v>
      </c>
      <c r="U20" s="132">
        <v>0.145162917381217</v>
      </c>
      <c r="V20" s="132">
        <v>1.5564002305043E-3</v>
      </c>
    </row>
    <row r="21" spans="1:22" x14ac:dyDescent="0.2">
      <c r="A21" s="6">
        <v>559</v>
      </c>
      <c r="B21" s="6">
        <v>7206</v>
      </c>
      <c r="C21" s="6" t="s">
        <v>1211</v>
      </c>
      <c r="D21" s="6" t="s">
        <v>1212</v>
      </c>
      <c r="E21" s="3" t="s">
        <v>776</v>
      </c>
      <c r="F21" s="6" t="s">
        <v>246</v>
      </c>
      <c r="G21" s="164" t="s">
        <v>3402</v>
      </c>
      <c r="H21" s="6" t="s">
        <v>53</v>
      </c>
      <c r="I21" s="6" t="s">
        <v>314</v>
      </c>
      <c r="J21" s="6" t="s">
        <v>62</v>
      </c>
      <c r="K21" s="6" t="s">
        <v>1213</v>
      </c>
      <c r="L21" s="6" t="s">
        <v>65</v>
      </c>
      <c r="M21" s="6" t="s">
        <v>1217</v>
      </c>
      <c r="N21" s="131">
        <v>0.37</v>
      </c>
      <c r="O21" s="134">
        <v>5.6000000000000001E-2</v>
      </c>
      <c r="P21" s="132">
        <v>5.1679999999999997E-2</v>
      </c>
      <c r="Q21" s="131">
        <v>40</v>
      </c>
      <c r="R21" s="129">
        <v>3.3719999999999999</v>
      </c>
      <c r="S21" s="157">
        <v>103.65</v>
      </c>
      <c r="T21" s="131">
        <v>139.803</v>
      </c>
      <c r="U21" s="132">
        <v>0.14937095588765101</v>
      </c>
      <c r="V21" s="132">
        <v>1.6015177592750001E-3</v>
      </c>
    </row>
    <row r="22" spans="1:22" x14ac:dyDescent="0.2">
      <c r="A22" s="6">
        <v>559</v>
      </c>
      <c r="B22" s="6">
        <v>7206</v>
      </c>
      <c r="C22" s="6" t="s">
        <v>1211</v>
      </c>
      <c r="D22" s="6" t="s">
        <v>1212</v>
      </c>
      <c r="E22" s="3" t="s">
        <v>776</v>
      </c>
      <c r="F22" s="6" t="s">
        <v>246</v>
      </c>
      <c r="G22" s="164" t="s">
        <v>3441</v>
      </c>
      <c r="H22" s="6" t="s">
        <v>53</v>
      </c>
      <c r="I22" s="6" t="s">
        <v>314</v>
      </c>
      <c r="J22" s="6" t="s">
        <v>62</v>
      </c>
      <c r="K22" s="6" t="s">
        <v>1213</v>
      </c>
      <c r="L22" s="6" t="s">
        <v>65</v>
      </c>
      <c r="M22" s="6" t="s">
        <v>1217</v>
      </c>
      <c r="N22" s="131">
        <v>0.33</v>
      </c>
      <c r="O22" s="134">
        <v>5.6000000000000001E-2</v>
      </c>
      <c r="P22" s="132">
        <v>5.2139999999999999E-2</v>
      </c>
      <c r="Q22" s="131">
        <v>50</v>
      </c>
      <c r="R22" s="129">
        <v>3.3719999999999999</v>
      </c>
      <c r="S22" s="157">
        <v>103.85</v>
      </c>
      <c r="T22" s="131">
        <v>175.09100000000001</v>
      </c>
      <c r="U22" s="132">
        <v>0.18707397212894999</v>
      </c>
      <c r="V22" s="132">
        <v>2.0057600012145199E-3</v>
      </c>
    </row>
    <row r="23" spans="1:22" x14ac:dyDescent="0.2">
      <c r="A23" s="6">
        <v>559</v>
      </c>
      <c r="B23" s="6">
        <v>7206</v>
      </c>
      <c r="C23" s="6" t="s">
        <v>1211</v>
      </c>
      <c r="D23" s="6" t="s">
        <v>1212</v>
      </c>
      <c r="E23" s="3" t="s">
        <v>776</v>
      </c>
      <c r="F23" s="6" t="s">
        <v>246</v>
      </c>
      <c r="G23" s="164" t="s">
        <v>3442</v>
      </c>
      <c r="H23" s="6" t="s">
        <v>53</v>
      </c>
      <c r="I23" s="6" t="s">
        <v>314</v>
      </c>
      <c r="J23" s="6" t="s">
        <v>62</v>
      </c>
      <c r="K23" s="6" t="s">
        <v>1213</v>
      </c>
      <c r="L23" s="6" t="s">
        <v>65</v>
      </c>
      <c r="M23" s="6" t="s">
        <v>1217</v>
      </c>
      <c r="N23" s="131">
        <v>0.43</v>
      </c>
      <c r="O23" s="134">
        <v>5.6500000000000002E-2</v>
      </c>
      <c r="P23" s="132">
        <v>5.3449999999999998E-2</v>
      </c>
      <c r="Q23" s="131">
        <v>50</v>
      </c>
      <c r="R23" s="129">
        <v>3.3719999999999999</v>
      </c>
      <c r="S23" s="157">
        <v>103.31</v>
      </c>
      <c r="T23" s="131">
        <v>174.18100000000001</v>
      </c>
      <c r="U23" s="132">
        <v>0.18610122350160699</v>
      </c>
      <c r="V23" s="132">
        <v>1.9953304354884201E-3</v>
      </c>
    </row>
    <row r="24" spans="1:22" x14ac:dyDescent="0.2">
      <c r="A24" s="6">
        <v>559</v>
      </c>
      <c r="B24" s="6">
        <v>7206</v>
      </c>
      <c r="C24" s="6" t="s">
        <v>1211</v>
      </c>
      <c r="D24" s="6" t="s">
        <v>1212</v>
      </c>
      <c r="E24" s="3" t="s">
        <v>776</v>
      </c>
      <c r="F24" s="6" t="s">
        <v>246</v>
      </c>
      <c r="G24" s="164" t="s">
        <v>3443</v>
      </c>
      <c r="H24" s="6" t="s">
        <v>53</v>
      </c>
      <c r="I24" s="6" t="s">
        <v>314</v>
      </c>
      <c r="J24" s="6" t="s">
        <v>62</v>
      </c>
      <c r="K24" s="6" t="s">
        <v>1213</v>
      </c>
      <c r="L24" s="6" t="s">
        <v>65</v>
      </c>
      <c r="M24" s="6" t="s">
        <v>1217</v>
      </c>
      <c r="N24" s="131">
        <v>0.03</v>
      </c>
      <c r="O24" s="134">
        <v>5.7500000000000002E-2</v>
      </c>
      <c r="P24" s="132">
        <v>5.484E-2</v>
      </c>
      <c r="Q24" s="131">
        <v>40</v>
      </c>
      <c r="R24" s="129">
        <v>3.3719999999999999</v>
      </c>
      <c r="S24" s="157">
        <v>105.58</v>
      </c>
      <c r="T24" s="131">
        <v>142.40600000000001</v>
      </c>
      <c r="U24" s="132">
        <v>0.15215229640731501</v>
      </c>
      <c r="V24" s="132">
        <v>1.6313385916474101E-3</v>
      </c>
    </row>
    <row r="25" spans="1:22" x14ac:dyDescent="0.2">
      <c r="A25" s="6">
        <v>559</v>
      </c>
      <c r="B25" s="6">
        <v>7206</v>
      </c>
      <c r="C25" s="6" t="s">
        <v>1220</v>
      </c>
      <c r="D25" s="6" t="s">
        <v>1221</v>
      </c>
      <c r="E25" s="3" t="s">
        <v>776</v>
      </c>
      <c r="F25" s="6" t="s">
        <v>230</v>
      </c>
      <c r="G25" s="164" t="s">
        <v>3444</v>
      </c>
      <c r="H25" s="6" t="s">
        <v>61</v>
      </c>
      <c r="I25" s="6" t="s">
        <v>53</v>
      </c>
      <c r="J25" s="6" t="s">
        <v>62</v>
      </c>
      <c r="K25" s="6" t="s">
        <v>1213</v>
      </c>
      <c r="L25" s="6" t="s">
        <v>65</v>
      </c>
      <c r="M25" s="6" t="s">
        <v>1217</v>
      </c>
      <c r="N25" s="131">
        <v>0.01</v>
      </c>
      <c r="O25" s="134">
        <v>4.3900000000000002E-2</v>
      </c>
      <c r="P25" s="132">
        <v>1E-4</v>
      </c>
      <c r="Q25" s="131">
        <v>50</v>
      </c>
      <c r="R25" s="129">
        <v>3.3719999999999999</v>
      </c>
      <c r="S25" s="157">
        <v>100</v>
      </c>
      <c r="T25" s="131">
        <v>168.6</v>
      </c>
      <c r="U25" s="132">
        <v>0.18013863469326</v>
      </c>
      <c r="V25" s="132">
        <v>1.9314010603895301E-3</v>
      </c>
    </row>
    <row r="26" spans="1:22" x14ac:dyDescent="0.2">
      <c r="A26" s="6">
        <v>559</v>
      </c>
      <c r="B26" s="6">
        <v>7207</v>
      </c>
      <c r="C26" s="6" t="s">
        <v>1211</v>
      </c>
      <c r="D26" s="6" t="s">
        <v>1212</v>
      </c>
      <c r="E26" s="3" t="s">
        <v>776</v>
      </c>
      <c r="F26" s="6" t="s">
        <v>246</v>
      </c>
      <c r="G26" s="164" t="s">
        <v>3440</v>
      </c>
      <c r="H26" s="6" t="s">
        <v>53</v>
      </c>
      <c r="I26" s="6" t="s">
        <v>314</v>
      </c>
      <c r="J26" s="6" t="s">
        <v>62</v>
      </c>
      <c r="K26" s="6" t="s">
        <v>1213</v>
      </c>
      <c r="L26" s="6" t="s">
        <v>65</v>
      </c>
      <c r="M26" s="6" t="s">
        <v>1217</v>
      </c>
      <c r="N26" s="131">
        <v>0.89</v>
      </c>
      <c r="O26" s="134">
        <v>5.3499999999999999E-2</v>
      </c>
      <c r="P26" s="132">
        <v>5.1819999999999998E-2</v>
      </c>
      <c r="Q26" s="131">
        <v>60</v>
      </c>
      <c r="R26" s="129">
        <v>3.3719999999999999</v>
      </c>
      <c r="S26" s="157">
        <v>100.73</v>
      </c>
      <c r="T26" s="131">
        <v>203.797</v>
      </c>
      <c r="U26" s="132">
        <v>0.19589082387717199</v>
      </c>
      <c r="V26" s="132">
        <v>1.6768150326568699E-3</v>
      </c>
    </row>
    <row r="27" spans="1:22" x14ac:dyDescent="0.2">
      <c r="A27" s="6">
        <v>559</v>
      </c>
      <c r="B27" s="6">
        <v>7207</v>
      </c>
      <c r="C27" s="6" t="s">
        <v>1211</v>
      </c>
      <c r="D27" s="6" t="s">
        <v>1212</v>
      </c>
      <c r="E27" s="3" t="s">
        <v>776</v>
      </c>
      <c r="F27" s="6" t="s">
        <v>246</v>
      </c>
      <c r="G27" s="164" t="s">
        <v>3402</v>
      </c>
      <c r="H27" s="6" t="s">
        <v>53</v>
      </c>
      <c r="I27" s="6" t="s">
        <v>314</v>
      </c>
      <c r="J27" s="6" t="s">
        <v>62</v>
      </c>
      <c r="K27" s="6" t="s">
        <v>1213</v>
      </c>
      <c r="L27" s="6" t="s">
        <v>65</v>
      </c>
      <c r="M27" s="6" t="s">
        <v>1217</v>
      </c>
      <c r="N27" s="131">
        <v>0.37</v>
      </c>
      <c r="O27" s="134">
        <v>5.6000000000000001E-2</v>
      </c>
      <c r="P27" s="132">
        <v>5.1679999999999997E-2</v>
      </c>
      <c r="Q27" s="131">
        <v>50</v>
      </c>
      <c r="R27" s="129">
        <v>3.3719999999999999</v>
      </c>
      <c r="S27" s="157">
        <v>103.65</v>
      </c>
      <c r="T27" s="131">
        <v>174.75399999999999</v>
      </c>
      <c r="U27" s="132">
        <v>0.16797448538062901</v>
      </c>
      <c r="V27" s="132">
        <v>1.4378526600390799E-3</v>
      </c>
    </row>
    <row r="28" spans="1:22" x14ac:dyDescent="0.2">
      <c r="A28" s="6">
        <v>559</v>
      </c>
      <c r="B28" s="6">
        <v>7207</v>
      </c>
      <c r="C28" s="6" t="s">
        <v>1211</v>
      </c>
      <c r="D28" s="6" t="s">
        <v>1212</v>
      </c>
      <c r="E28" s="3" t="s">
        <v>776</v>
      </c>
      <c r="F28" s="6" t="s">
        <v>246</v>
      </c>
      <c r="G28" s="164" t="s">
        <v>3441</v>
      </c>
      <c r="H28" s="6" t="s">
        <v>53</v>
      </c>
      <c r="I28" s="6" t="s">
        <v>314</v>
      </c>
      <c r="J28" s="6" t="s">
        <v>62</v>
      </c>
      <c r="K28" s="6" t="s">
        <v>1213</v>
      </c>
      <c r="L28" s="6" t="s">
        <v>65</v>
      </c>
      <c r="M28" s="6" t="s">
        <v>1217</v>
      </c>
      <c r="N28" s="131">
        <v>0.33</v>
      </c>
      <c r="O28" s="134">
        <v>5.6000000000000001E-2</v>
      </c>
      <c r="P28" s="132">
        <v>5.2139999999999999E-2</v>
      </c>
      <c r="Q28" s="131">
        <v>50</v>
      </c>
      <c r="R28" s="129">
        <v>3.3719999999999999</v>
      </c>
      <c r="S28" s="157">
        <v>103.85</v>
      </c>
      <c r="T28" s="131">
        <v>175.09100000000001</v>
      </c>
      <c r="U28" s="132">
        <v>0.16829860402101601</v>
      </c>
      <c r="V28" s="132">
        <v>1.4406270983604299E-3</v>
      </c>
    </row>
    <row r="29" spans="1:22" x14ac:dyDescent="0.2">
      <c r="A29" s="6">
        <v>559</v>
      </c>
      <c r="B29" s="6">
        <v>7207</v>
      </c>
      <c r="C29" s="6" t="s">
        <v>1211</v>
      </c>
      <c r="D29" s="6" t="s">
        <v>1212</v>
      </c>
      <c r="E29" s="3" t="s">
        <v>776</v>
      </c>
      <c r="F29" s="6" t="s">
        <v>246</v>
      </c>
      <c r="G29" s="164" t="s">
        <v>3442</v>
      </c>
      <c r="H29" s="6" t="s">
        <v>53</v>
      </c>
      <c r="I29" s="6" t="s">
        <v>314</v>
      </c>
      <c r="J29" s="6" t="s">
        <v>62</v>
      </c>
      <c r="K29" s="6" t="s">
        <v>1213</v>
      </c>
      <c r="L29" s="6" t="s">
        <v>65</v>
      </c>
      <c r="M29" s="6" t="s">
        <v>1217</v>
      </c>
      <c r="N29" s="131">
        <v>0.43</v>
      </c>
      <c r="O29" s="134">
        <v>5.6500000000000002E-2</v>
      </c>
      <c r="P29" s="132">
        <v>5.3449999999999998E-2</v>
      </c>
      <c r="Q29" s="131">
        <v>30</v>
      </c>
      <c r="R29" s="129">
        <v>3.3719999999999999</v>
      </c>
      <c r="S29" s="157">
        <v>103.31</v>
      </c>
      <c r="T29" s="131">
        <v>104.508</v>
      </c>
      <c r="U29" s="132">
        <v>0.10045409021518199</v>
      </c>
      <c r="V29" s="132">
        <v>8.5988166893567503E-4</v>
      </c>
    </row>
    <row r="30" spans="1:22" x14ac:dyDescent="0.2">
      <c r="A30" s="6">
        <v>559</v>
      </c>
      <c r="B30" s="6">
        <v>7207</v>
      </c>
      <c r="C30" s="6" t="s">
        <v>1211</v>
      </c>
      <c r="D30" s="6" t="s">
        <v>1212</v>
      </c>
      <c r="E30" s="3" t="s">
        <v>776</v>
      </c>
      <c r="F30" s="6" t="s">
        <v>246</v>
      </c>
      <c r="G30" s="164" t="s">
        <v>3443</v>
      </c>
      <c r="H30" s="6" t="s">
        <v>53</v>
      </c>
      <c r="I30" s="6" t="s">
        <v>314</v>
      </c>
      <c r="J30" s="6" t="s">
        <v>62</v>
      </c>
      <c r="K30" s="6" t="s">
        <v>1213</v>
      </c>
      <c r="L30" s="6" t="s">
        <v>65</v>
      </c>
      <c r="M30" s="6" t="s">
        <v>1217</v>
      </c>
      <c r="N30" s="131">
        <v>0.03</v>
      </c>
      <c r="O30" s="134">
        <v>5.7500000000000002E-2</v>
      </c>
      <c r="P30" s="132">
        <v>5.484E-2</v>
      </c>
      <c r="Q30" s="131">
        <v>60</v>
      </c>
      <c r="R30" s="129">
        <v>3.3719999999999999</v>
      </c>
      <c r="S30" s="157">
        <v>105.58</v>
      </c>
      <c r="T30" s="131">
        <v>213.60900000000001</v>
      </c>
      <c r="U30" s="132">
        <v>0.205322676312437</v>
      </c>
      <c r="V30" s="132">
        <v>1.75755118780812E-3</v>
      </c>
    </row>
    <row r="31" spans="1:22" x14ac:dyDescent="0.2">
      <c r="A31" s="6">
        <v>559</v>
      </c>
      <c r="B31" s="6">
        <v>7207</v>
      </c>
      <c r="C31" s="6" t="s">
        <v>1220</v>
      </c>
      <c r="D31" s="6" t="s">
        <v>1221</v>
      </c>
      <c r="E31" s="3" t="s">
        <v>776</v>
      </c>
      <c r="F31" s="6" t="s">
        <v>230</v>
      </c>
      <c r="G31" s="164" t="s">
        <v>3444</v>
      </c>
      <c r="H31" s="6" t="s">
        <v>61</v>
      </c>
      <c r="I31" s="6" t="s">
        <v>53</v>
      </c>
      <c r="J31" s="6" t="s">
        <v>62</v>
      </c>
      <c r="K31" s="6" t="s">
        <v>1213</v>
      </c>
      <c r="L31" s="6" t="s">
        <v>65</v>
      </c>
      <c r="M31" s="6" t="s">
        <v>1217</v>
      </c>
      <c r="N31" s="131">
        <v>0.01</v>
      </c>
      <c r="O31" s="134">
        <v>4.3900000000000002E-2</v>
      </c>
      <c r="P31" s="132">
        <v>1E-4</v>
      </c>
      <c r="Q31" s="131">
        <v>50</v>
      </c>
      <c r="R31" s="129">
        <v>3.3719999999999999</v>
      </c>
      <c r="S31" s="157">
        <v>100</v>
      </c>
      <c r="T31" s="131">
        <v>168.6</v>
      </c>
      <c r="U31" s="132">
        <v>0.162059320193564</v>
      </c>
      <c r="V31" s="132">
        <v>1.3872191606744699E-3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59078C2C-CA1D-445C-89B3-61D62CBC5889}">
      <formula1>israel_abroad</formula1>
    </dataValidation>
    <dataValidation type="list" allowBlank="1" showInputMessage="1" showErrorMessage="1" sqref="J2:J20" xr:uid="{03C5CD90-B165-4E1E-8B45-CC99AAA97C7F}">
      <formula1>Holding_interest</formula1>
    </dataValidation>
    <dataValidation type="list" allowBlank="1" showInputMessage="1" showErrorMessage="1" sqref="I2:I20" xr:uid="{216B4EDF-8985-4A1B-AB48-D135CB850D54}">
      <formula1>Country_list</formula1>
    </dataValidation>
    <dataValidation type="list" allowBlank="1" showInputMessage="1" showErrorMessage="1" sqref="E2:E20" xr:uid="{9F4620C1-F0E1-4424-9F15-0CDAFF271F40}">
      <formula1>Issuer_Number_Banks</formula1>
    </dataValidation>
    <dataValidation type="list" allowBlank="1" showInputMessage="1" showErrorMessage="1" sqref="L2:L20" xr:uid="{8412A9BC-FA11-490D-A4A3-1793E26AF8B4}">
      <formula1>Rating_Agency</formula1>
    </dataValidation>
  </dataValidation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workbookViewId="0">
      <selection sqref="A1:XFD1048576"/>
    </sheetView>
  </sheetViews>
  <sheetFormatPr defaultColWidth="9" defaultRowHeight="14.25" x14ac:dyDescent="0.2"/>
  <cols>
    <col min="1" max="24" width="11.625" style="6" customWidth="1"/>
    <col min="25" max="16384" width="9" style="6"/>
  </cols>
  <sheetData>
    <row r="1" spans="1:24" ht="51" x14ac:dyDescent="0.2">
      <c r="A1" s="13" t="s">
        <v>651</v>
      </c>
      <c r="B1" s="13" t="s">
        <v>0</v>
      </c>
      <c r="C1" s="13" t="s">
        <v>299</v>
      </c>
      <c r="D1" s="13" t="s">
        <v>1</v>
      </c>
      <c r="E1" s="13" t="s">
        <v>782</v>
      </c>
      <c r="F1" s="13" t="s">
        <v>606</v>
      </c>
      <c r="G1" s="162" t="s">
        <v>12</v>
      </c>
      <c r="H1" s="13" t="s">
        <v>24</v>
      </c>
      <c r="I1" s="13" t="s">
        <v>286</v>
      </c>
      <c r="J1" s="13" t="s">
        <v>25</v>
      </c>
      <c r="K1" s="188" t="s">
        <v>949</v>
      </c>
      <c r="L1" s="13" t="s">
        <v>1149</v>
      </c>
      <c r="M1" s="13" t="s">
        <v>917</v>
      </c>
      <c r="N1" s="13" t="s">
        <v>731</v>
      </c>
      <c r="O1" s="13" t="s">
        <v>372</v>
      </c>
      <c r="P1" s="162" t="s">
        <v>16</v>
      </c>
      <c r="Q1" s="13" t="s">
        <v>396</v>
      </c>
      <c r="R1" s="13" t="s">
        <v>787</v>
      </c>
      <c r="S1" s="13" t="s">
        <v>1153</v>
      </c>
      <c r="T1" s="13" t="s">
        <v>1154</v>
      </c>
      <c r="U1" s="13" t="s">
        <v>788</v>
      </c>
      <c r="V1" s="13" t="s">
        <v>26</v>
      </c>
      <c r="W1" s="126" t="s">
        <v>19</v>
      </c>
      <c r="X1" s="126" t="s">
        <v>30</v>
      </c>
    </row>
    <row r="2" spans="1:24" x14ac:dyDescent="0.2">
      <c r="A2" s="18">
        <v>559</v>
      </c>
      <c r="B2" s="18">
        <v>556</v>
      </c>
      <c r="C2" s="18" t="s">
        <v>3445</v>
      </c>
      <c r="D2" s="18" t="s">
        <v>734</v>
      </c>
      <c r="E2" s="18" t="s">
        <v>53</v>
      </c>
      <c r="F2" s="18" t="s">
        <v>62</v>
      </c>
      <c r="G2" s="163" t="s">
        <v>3121</v>
      </c>
      <c r="H2" s="18" t="s">
        <v>102</v>
      </c>
      <c r="I2" s="18" t="s">
        <v>102</v>
      </c>
      <c r="J2" s="18" t="s">
        <v>3446</v>
      </c>
      <c r="K2" s="18"/>
      <c r="L2" s="18" t="s">
        <v>102</v>
      </c>
      <c r="M2" s="18" t="s">
        <v>102</v>
      </c>
      <c r="N2" s="18" t="s">
        <v>3447</v>
      </c>
      <c r="O2" s="18"/>
      <c r="P2" s="163" t="s">
        <v>3448</v>
      </c>
      <c r="Q2" s="12" t="s">
        <v>1219</v>
      </c>
      <c r="R2" s="151">
        <v>1480</v>
      </c>
      <c r="S2" s="151">
        <v>1480</v>
      </c>
      <c r="T2" s="18"/>
      <c r="U2" s="18"/>
      <c r="V2" s="18" t="s">
        <v>17</v>
      </c>
      <c r="W2" s="155">
        <v>1</v>
      </c>
      <c r="X2" s="155">
        <v>4.43795864972708E-3</v>
      </c>
    </row>
    <row r="3" spans="1:24" x14ac:dyDescent="0.2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2"/>
      <c r="R3" s="18"/>
      <c r="S3" s="18"/>
      <c r="T3" s="18"/>
      <c r="U3" s="18"/>
      <c r="V3" s="18"/>
      <c r="W3" s="18"/>
      <c r="X3" s="18"/>
    </row>
    <row r="4" spans="1:24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2"/>
      <c r="R4" s="18"/>
      <c r="S4" s="18"/>
      <c r="T4" s="18"/>
      <c r="U4" s="18"/>
      <c r="V4" s="18"/>
      <c r="W4" s="18"/>
      <c r="X4" s="18"/>
    </row>
    <row r="5" spans="1:24" x14ac:dyDescent="0.2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2"/>
      <c r="R5" s="18"/>
      <c r="S5" s="18"/>
      <c r="T5" s="18"/>
      <c r="U5" s="18"/>
      <c r="V5" s="18"/>
      <c r="W5" s="18"/>
      <c r="X5" s="18"/>
    </row>
    <row r="6" spans="1:24" x14ac:dyDescent="0.2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2"/>
      <c r="R6" s="18"/>
      <c r="S6" s="18"/>
      <c r="T6" s="18"/>
      <c r="U6" s="18"/>
      <c r="V6" s="18"/>
      <c r="W6" s="18"/>
      <c r="X6" s="18"/>
    </row>
    <row r="7" spans="1:24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2"/>
      <c r="R7" s="18"/>
      <c r="S7" s="18"/>
      <c r="T7" s="18"/>
      <c r="U7" s="18"/>
      <c r="V7" s="18"/>
      <c r="W7" s="18"/>
      <c r="X7" s="18"/>
    </row>
    <row r="8" spans="1:24" x14ac:dyDescent="0.2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2"/>
      <c r="R8" s="18"/>
      <c r="S8" s="18"/>
      <c r="T8" s="18"/>
      <c r="U8" s="18"/>
      <c r="V8" s="18"/>
      <c r="W8" s="18"/>
      <c r="X8" s="18"/>
    </row>
    <row r="9" spans="1:24" x14ac:dyDescent="0.2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2"/>
      <c r="R9" s="18"/>
      <c r="S9" s="18"/>
      <c r="T9" s="18"/>
      <c r="U9" s="18"/>
      <c r="V9" s="18"/>
      <c r="W9" s="18"/>
      <c r="X9" s="18"/>
    </row>
    <row r="10" spans="1:24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2"/>
      <c r="R10" s="18"/>
      <c r="S10" s="18"/>
      <c r="T10" s="18"/>
      <c r="U10" s="18"/>
      <c r="V10" s="18"/>
      <c r="W10" s="18"/>
      <c r="X10" s="18"/>
    </row>
    <row r="11" spans="1:24" x14ac:dyDescent="0.2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2"/>
      <c r="R11" s="18"/>
      <c r="S11" s="18"/>
      <c r="T11" s="18"/>
      <c r="U11" s="18"/>
      <c r="V11" s="18"/>
      <c r="W11" s="18"/>
      <c r="X11" s="18"/>
    </row>
    <row r="12" spans="1:24" x14ac:dyDescent="0.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2"/>
      <c r="R12" s="18"/>
      <c r="S12" s="18"/>
      <c r="T12" s="18"/>
      <c r="U12" s="18"/>
      <c r="V12" s="18"/>
      <c r="W12" s="18"/>
      <c r="X12" s="18"/>
    </row>
    <row r="13" spans="1:24" x14ac:dyDescent="0.2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2"/>
      <c r="R13" s="18"/>
      <c r="S13" s="18"/>
      <c r="T13" s="18"/>
      <c r="U13" s="18"/>
      <c r="V13" s="18"/>
      <c r="W13" s="18"/>
      <c r="X13" s="18"/>
    </row>
    <row r="14" spans="1:24" x14ac:dyDescent="0.2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2"/>
      <c r="R14" s="18"/>
      <c r="S14" s="18"/>
      <c r="T14" s="18"/>
      <c r="U14" s="18"/>
      <c r="V14" s="18"/>
      <c r="W14" s="18"/>
      <c r="X14" s="18"/>
    </row>
    <row r="15" spans="1:24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2"/>
      <c r="R15" s="18"/>
      <c r="S15" s="18"/>
      <c r="T15" s="18"/>
      <c r="U15" s="18"/>
      <c r="V15" s="18"/>
      <c r="W15" s="18"/>
      <c r="X15" s="18"/>
    </row>
    <row r="16" spans="1:24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2"/>
      <c r="R16" s="18"/>
      <c r="S16" s="18"/>
      <c r="T16" s="18"/>
      <c r="U16" s="18"/>
      <c r="V16" s="18"/>
      <c r="W16" s="18"/>
      <c r="X16" s="18"/>
    </row>
    <row r="17" spans="1:24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2"/>
      <c r="R17" s="18"/>
      <c r="S17" s="18"/>
      <c r="T17" s="18"/>
      <c r="U17" s="18"/>
      <c r="V17" s="18"/>
      <c r="W17" s="18"/>
      <c r="X17" s="18"/>
    </row>
    <row r="18" spans="1:24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2"/>
      <c r="R18" s="18"/>
      <c r="S18" s="18"/>
      <c r="T18" s="18"/>
      <c r="U18" s="18"/>
      <c r="V18" s="18"/>
      <c r="W18" s="18"/>
      <c r="X18" s="18"/>
    </row>
    <row r="19" spans="1:24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2"/>
      <c r="R19" s="18"/>
      <c r="S19" s="18"/>
      <c r="T19" s="18"/>
      <c r="U19" s="18"/>
      <c r="V19" s="18"/>
      <c r="W19" s="18"/>
      <c r="X19" s="18"/>
    </row>
    <row r="20" spans="1:24" x14ac:dyDescent="0.2">
      <c r="D20" s="18"/>
      <c r="E20" s="18"/>
      <c r="F20" s="18"/>
      <c r="H20" s="18"/>
      <c r="I20" s="18"/>
      <c r="L20" s="18"/>
      <c r="M20" s="18"/>
      <c r="O20" s="18"/>
      <c r="V20" s="18"/>
    </row>
    <row r="21" spans="1:24" x14ac:dyDescent="0.2">
      <c r="D21" s="18"/>
      <c r="E21" s="18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97439AA8-43E5-4AC9-B579-1FAAE0725708}">
      <formula1>Holding_interest</formula1>
    </dataValidation>
    <dataValidation type="list" allowBlank="1" showInputMessage="1" showErrorMessage="1" sqref="V2:V20" xr:uid="{710199DD-B029-4BA4-A83A-3A4833E4E0D2}">
      <formula1>In_the_books</formula1>
    </dataValidation>
    <dataValidation type="list" allowBlank="1" showInputMessage="1" showErrorMessage="1" sqref="L2:L20" xr:uid="{9A57B242-156E-4F36-BEC3-8B98B5C7225A}">
      <formula1>Valuation_Method</formula1>
    </dataValidation>
    <dataValidation type="list" allowBlank="1" showInputMessage="1" showErrorMessage="1" sqref="O2:O20" xr:uid="{A5842880-C34E-4C7D-BD72-F4A396A52D92}">
      <formula1>Dependence_Independence</formula1>
    </dataValidation>
    <dataValidation type="list" allowBlank="1" showInputMessage="1" showErrorMessage="1" sqref="E2:E21" xr:uid="{19F96374-E164-4578-B573-A9631EC11E9A}">
      <formula1>Country_list</formula1>
    </dataValidation>
    <dataValidation type="list" allowBlank="1" showInputMessage="1" showErrorMessage="1" sqref="I2:I20" xr:uid="{E8C1BB2C-0F1F-4508-B01F-7C656FA4BD18}">
      <formula1>real_estate_lifestage</formula1>
    </dataValidation>
    <dataValidation type="list" allowBlank="1" showInputMessage="1" showErrorMessage="1" sqref="M2:M20" xr:uid="{D5EEEE1E-10B9-4B16-A5CA-DF4E5352328E}">
      <formula1>Valuation_Realestate</formula1>
    </dataValidation>
    <dataValidation type="list" allowBlank="1" showInputMessage="1" showErrorMessage="1" sqref="H2:H20" xr:uid="{BBE4CD42-6DDB-4A66-9735-107EB8C0F883}">
      <formula1>Real_Estate_Main_Use</formula1>
    </dataValidation>
  </dataValidation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3" customWidth="1"/>
    <col min="6" max="23" width="11.625" style="2" customWidth="1"/>
    <col min="24" max="16384" width="9" style="2" hidden="1"/>
  </cols>
  <sheetData>
    <row r="1" spans="1:23" ht="51" x14ac:dyDescent="0.2">
      <c r="A1" s="13" t="s">
        <v>651</v>
      </c>
      <c r="B1" s="13" t="s">
        <v>0</v>
      </c>
      <c r="C1" s="13" t="s">
        <v>724</v>
      </c>
      <c r="D1" s="13" t="s">
        <v>2</v>
      </c>
      <c r="E1" s="13" t="s">
        <v>740</v>
      </c>
      <c r="F1" s="13" t="s">
        <v>1145</v>
      </c>
      <c r="G1" s="13" t="s">
        <v>29</v>
      </c>
      <c r="H1" s="13" t="s">
        <v>28</v>
      </c>
      <c r="I1" s="13" t="s">
        <v>1</v>
      </c>
      <c r="J1" s="13" t="s">
        <v>604</v>
      </c>
      <c r="K1" s="13" t="s">
        <v>605</v>
      </c>
      <c r="L1" s="13" t="s">
        <v>9</v>
      </c>
      <c r="M1" s="13" t="s">
        <v>606</v>
      </c>
      <c r="N1" s="13" t="s">
        <v>396</v>
      </c>
      <c r="O1" s="13" t="s">
        <v>917</v>
      </c>
      <c r="P1" s="13" t="s">
        <v>372</v>
      </c>
      <c r="Q1" s="13" t="s">
        <v>16</v>
      </c>
      <c r="R1" s="13" t="s">
        <v>1147</v>
      </c>
      <c r="S1" s="13" t="s">
        <v>618</v>
      </c>
      <c r="T1" s="13" t="s">
        <v>1156</v>
      </c>
      <c r="U1" s="13" t="s">
        <v>1153</v>
      </c>
      <c r="V1" s="13" t="s">
        <v>19</v>
      </c>
      <c r="W1" s="13" t="s">
        <v>30</v>
      </c>
    </row>
    <row r="2" spans="1:23" x14ac:dyDescent="0.2">
      <c r="A2" s="14"/>
      <c r="B2" s="14"/>
      <c r="C2" s="14"/>
      <c r="D2" s="14"/>
      <c r="E2" s="12"/>
      <c r="F2" s="14"/>
      <c r="G2" s="14"/>
      <c r="H2" s="14"/>
      <c r="I2" s="14"/>
      <c r="J2" s="12"/>
      <c r="K2" s="12"/>
      <c r="L2" s="14"/>
      <c r="M2" s="14"/>
      <c r="N2" s="12"/>
      <c r="O2" s="14"/>
      <c r="P2" s="14"/>
      <c r="Q2" s="14"/>
      <c r="R2" s="14"/>
      <c r="S2" s="14"/>
      <c r="T2" s="14"/>
      <c r="U2" s="14"/>
      <c r="V2" s="14"/>
      <c r="W2" s="14"/>
    </row>
    <row r="3" spans="1:23" x14ac:dyDescent="0.2">
      <c r="A3" s="14"/>
      <c r="B3" s="14"/>
      <c r="C3" s="14"/>
      <c r="D3" s="14"/>
      <c r="E3" s="12"/>
      <c r="F3" s="14"/>
      <c r="G3" s="14"/>
      <c r="H3" s="14"/>
      <c r="I3" s="14"/>
      <c r="J3" s="12"/>
      <c r="K3" s="12"/>
      <c r="L3" s="14"/>
      <c r="M3" s="14"/>
      <c r="N3" s="12"/>
      <c r="O3" s="14"/>
      <c r="P3" s="14"/>
      <c r="Q3" s="14"/>
      <c r="R3" s="14"/>
      <c r="S3" s="14"/>
      <c r="T3" s="14"/>
      <c r="U3" s="14"/>
      <c r="V3" s="14"/>
      <c r="W3" s="14"/>
    </row>
    <row r="4" spans="1:23" x14ac:dyDescent="0.2">
      <c r="A4" s="14"/>
      <c r="B4" s="14"/>
      <c r="C4" s="14"/>
      <c r="D4" s="14"/>
      <c r="E4" s="12"/>
      <c r="F4" s="14"/>
      <c r="G4" s="14"/>
      <c r="H4" s="14"/>
      <c r="I4" s="14"/>
      <c r="J4" s="12"/>
      <c r="K4" s="12"/>
      <c r="L4" s="14"/>
      <c r="M4" s="14"/>
      <c r="N4" s="12"/>
      <c r="O4" s="14"/>
      <c r="P4" s="14"/>
      <c r="Q4" s="14"/>
      <c r="R4" s="14"/>
      <c r="S4" s="14"/>
      <c r="T4" s="14"/>
      <c r="U4" s="14"/>
      <c r="V4" s="14"/>
      <c r="W4" s="14"/>
    </row>
    <row r="5" spans="1:23" x14ac:dyDescent="0.2">
      <c r="A5" s="14"/>
      <c r="B5" s="14"/>
      <c r="C5" s="14"/>
      <c r="D5" s="14"/>
      <c r="E5" s="12"/>
      <c r="F5" s="14"/>
      <c r="G5" s="14"/>
      <c r="H5" s="14"/>
      <c r="I5" s="14"/>
      <c r="J5" s="12"/>
      <c r="K5" s="12"/>
      <c r="L5" s="14"/>
      <c r="M5" s="14"/>
      <c r="N5" s="12"/>
      <c r="O5" s="14"/>
      <c r="P5" s="14"/>
      <c r="Q5" s="14"/>
      <c r="R5" s="14"/>
      <c r="S5" s="14"/>
      <c r="T5" s="14"/>
      <c r="U5" s="14"/>
      <c r="V5" s="14"/>
      <c r="W5" s="14"/>
    </row>
    <row r="6" spans="1:23" x14ac:dyDescent="0.2">
      <c r="A6" s="14"/>
      <c r="B6" s="14"/>
      <c r="C6" s="14"/>
      <c r="D6" s="14"/>
      <c r="E6" s="12"/>
      <c r="F6" s="14"/>
      <c r="G6" s="14"/>
      <c r="H6" s="14"/>
      <c r="I6" s="14"/>
      <c r="J6" s="12"/>
      <c r="K6" s="12"/>
      <c r="L6" s="14"/>
      <c r="M6" s="14"/>
      <c r="N6" s="12"/>
      <c r="O6" s="14"/>
      <c r="P6" s="14"/>
      <c r="Q6" s="14"/>
      <c r="R6" s="14"/>
      <c r="S6" s="14"/>
      <c r="T6" s="14"/>
      <c r="U6" s="14"/>
      <c r="V6" s="14"/>
      <c r="W6" s="14"/>
    </row>
    <row r="7" spans="1:23" x14ac:dyDescent="0.2">
      <c r="A7" s="14"/>
      <c r="B7" s="14"/>
      <c r="C7" s="14"/>
      <c r="D7" s="14"/>
      <c r="E7" s="12"/>
      <c r="F7" s="14"/>
      <c r="G7" s="14"/>
      <c r="H7" s="14"/>
      <c r="I7" s="14"/>
      <c r="J7" s="12"/>
      <c r="K7" s="12"/>
      <c r="L7" s="14"/>
      <c r="M7" s="14"/>
      <c r="N7" s="12"/>
      <c r="O7" s="14"/>
      <c r="P7" s="14"/>
      <c r="Q7" s="14"/>
      <c r="R7" s="14"/>
      <c r="S7" s="14"/>
      <c r="T7" s="14"/>
      <c r="U7" s="14"/>
      <c r="V7" s="14"/>
      <c r="W7" s="14"/>
    </row>
    <row r="8" spans="1:23" x14ac:dyDescent="0.2">
      <c r="A8" s="14"/>
      <c r="B8" s="14"/>
      <c r="C8" s="14"/>
      <c r="D8" s="14"/>
      <c r="E8" s="12"/>
      <c r="F8" s="14"/>
      <c r="G8" s="14"/>
      <c r="H8" s="14"/>
      <c r="I8" s="14"/>
      <c r="J8" s="12"/>
      <c r="K8" s="12"/>
      <c r="L8" s="14"/>
      <c r="M8" s="14"/>
      <c r="N8" s="12"/>
      <c r="O8" s="14"/>
      <c r="P8" s="14"/>
      <c r="Q8" s="14"/>
      <c r="R8" s="14"/>
      <c r="S8" s="14"/>
      <c r="T8" s="14"/>
      <c r="U8" s="14"/>
      <c r="V8" s="14"/>
      <c r="W8" s="14"/>
    </row>
    <row r="9" spans="1:23" x14ac:dyDescent="0.2">
      <c r="A9" s="14"/>
      <c r="B9" s="14"/>
      <c r="C9" s="14"/>
      <c r="D9" s="14"/>
      <c r="E9" s="12"/>
      <c r="F9" s="14"/>
      <c r="G9" s="14"/>
      <c r="H9" s="14"/>
      <c r="I9" s="14"/>
      <c r="J9" s="12"/>
      <c r="K9" s="12"/>
      <c r="L9" s="14"/>
      <c r="M9" s="14"/>
      <c r="N9" s="12"/>
      <c r="O9" s="14"/>
      <c r="P9" s="14"/>
      <c r="Q9" s="14"/>
      <c r="R9" s="14"/>
      <c r="S9" s="14"/>
      <c r="T9" s="14"/>
      <c r="U9" s="14"/>
      <c r="V9" s="14"/>
      <c r="W9" s="14"/>
    </row>
    <row r="10" spans="1:23" x14ac:dyDescent="0.2">
      <c r="A10" s="14"/>
      <c r="B10" s="14"/>
      <c r="C10" s="14"/>
      <c r="D10" s="14"/>
      <c r="E10" s="12"/>
      <c r="F10" s="14"/>
      <c r="G10" s="14"/>
      <c r="H10" s="14"/>
      <c r="I10" s="14"/>
      <c r="J10" s="12"/>
      <c r="K10" s="12"/>
      <c r="L10" s="14"/>
      <c r="M10" s="14"/>
      <c r="N10" s="12"/>
      <c r="O10" s="14"/>
      <c r="P10" s="14"/>
      <c r="Q10" s="14"/>
      <c r="R10" s="14"/>
      <c r="S10" s="14"/>
      <c r="T10" s="14"/>
      <c r="U10" s="14"/>
      <c r="V10" s="14"/>
      <c r="W10" s="14"/>
    </row>
    <row r="11" spans="1:23" x14ac:dyDescent="0.2">
      <c r="A11" s="14"/>
      <c r="B11" s="14"/>
      <c r="C11" s="14"/>
      <c r="D11" s="14"/>
      <c r="E11" s="12"/>
      <c r="F11" s="14"/>
      <c r="G11" s="14"/>
      <c r="H11" s="14"/>
      <c r="I11" s="14"/>
      <c r="J11" s="12"/>
      <c r="K11" s="12"/>
      <c r="L11" s="14"/>
      <c r="M11" s="14"/>
      <c r="N11" s="12"/>
      <c r="O11" s="14"/>
      <c r="P11" s="14"/>
      <c r="Q11" s="14"/>
      <c r="R11" s="14"/>
      <c r="S11" s="14"/>
      <c r="T11" s="14"/>
      <c r="U11" s="14"/>
      <c r="V11" s="14"/>
      <c r="W11" s="14"/>
    </row>
    <row r="12" spans="1:23" x14ac:dyDescent="0.2">
      <c r="A12" s="14"/>
      <c r="B12" s="14"/>
      <c r="C12" s="14"/>
      <c r="D12" s="14"/>
      <c r="E12" s="12"/>
      <c r="F12" s="14"/>
      <c r="G12" s="14"/>
      <c r="H12" s="14"/>
      <c r="I12" s="14"/>
      <c r="J12" s="12"/>
      <c r="K12" s="12"/>
      <c r="L12" s="14"/>
      <c r="M12" s="14"/>
      <c r="N12" s="12"/>
      <c r="O12" s="14"/>
      <c r="P12" s="14"/>
      <c r="Q12" s="14"/>
      <c r="R12" s="14"/>
      <c r="S12" s="14"/>
      <c r="T12" s="14"/>
      <c r="U12" s="14"/>
      <c r="V12" s="14"/>
      <c r="W12" s="14"/>
    </row>
    <row r="13" spans="1:23" x14ac:dyDescent="0.2">
      <c r="A13" s="14"/>
      <c r="B13" s="14"/>
      <c r="C13" s="14"/>
      <c r="D13" s="14"/>
      <c r="E13" s="12"/>
      <c r="F13" s="14"/>
      <c r="G13" s="14"/>
      <c r="H13" s="14"/>
      <c r="I13" s="14"/>
      <c r="J13" s="12"/>
      <c r="K13" s="12"/>
      <c r="L13" s="14"/>
      <c r="M13" s="14"/>
      <c r="N13" s="12"/>
      <c r="O13" s="14"/>
      <c r="P13" s="14"/>
      <c r="Q13" s="14"/>
      <c r="R13" s="14"/>
      <c r="S13" s="14"/>
      <c r="T13" s="14"/>
      <c r="U13" s="14"/>
      <c r="V13" s="14"/>
      <c r="W13" s="14"/>
    </row>
    <row r="14" spans="1:23" x14ac:dyDescent="0.2">
      <c r="A14" s="14"/>
      <c r="B14" s="14"/>
      <c r="C14" s="14"/>
      <c r="D14" s="14"/>
      <c r="E14" s="12"/>
      <c r="F14" s="14"/>
      <c r="G14" s="14"/>
      <c r="H14" s="14"/>
      <c r="I14" s="14"/>
      <c r="J14" s="12"/>
      <c r="K14" s="12"/>
      <c r="L14" s="14"/>
      <c r="M14" s="14"/>
      <c r="N14" s="12"/>
      <c r="O14" s="14"/>
      <c r="P14" s="14"/>
      <c r="Q14" s="14"/>
      <c r="R14" s="14"/>
      <c r="S14" s="14"/>
      <c r="T14" s="14"/>
      <c r="U14" s="14"/>
      <c r="V14" s="14"/>
      <c r="W14" s="14"/>
    </row>
    <row r="15" spans="1:23" x14ac:dyDescent="0.2">
      <c r="A15" s="14"/>
      <c r="B15" s="14"/>
      <c r="C15" s="14"/>
      <c r="D15" s="14"/>
      <c r="E15" s="12"/>
      <c r="F15" s="14"/>
      <c r="G15" s="14"/>
      <c r="H15" s="14"/>
      <c r="I15" s="14"/>
      <c r="J15" s="12"/>
      <c r="K15" s="12"/>
      <c r="L15" s="14"/>
      <c r="M15" s="14"/>
      <c r="N15" s="12"/>
      <c r="O15" s="14"/>
      <c r="P15" s="14"/>
      <c r="Q15" s="14"/>
      <c r="R15" s="14"/>
      <c r="S15" s="14"/>
      <c r="T15" s="14"/>
      <c r="U15" s="14"/>
      <c r="V15" s="14"/>
      <c r="W15" s="14"/>
    </row>
    <row r="16" spans="1:23" ht="15" x14ac:dyDescent="0.25">
      <c r="A16" s="19"/>
      <c r="B16" s="14"/>
      <c r="C16" s="14"/>
      <c r="D16" s="14"/>
      <c r="E16" s="12"/>
      <c r="F16" s="14"/>
      <c r="G16" s="14"/>
      <c r="H16" s="14"/>
      <c r="I16" s="14"/>
      <c r="J16" s="12"/>
      <c r="K16" s="12"/>
      <c r="L16" s="14"/>
      <c r="M16" s="14"/>
      <c r="N16" s="12"/>
      <c r="O16" s="14"/>
      <c r="P16" s="14"/>
      <c r="Q16" s="14"/>
      <c r="R16" s="14"/>
      <c r="S16" s="14"/>
      <c r="T16" s="14"/>
      <c r="U16" s="14"/>
      <c r="V16" s="14"/>
      <c r="W16" s="14"/>
    </row>
    <row r="17" spans="1:23" x14ac:dyDescent="0.2">
      <c r="A17" s="14"/>
      <c r="B17" s="14"/>
      <c r="C17" s="14"/>
      <c r="D17" s="14"/>
      <c r="E17" s="12"/>
      <c r="F17" s="14"/>
      <c r="G17" s="14"/>
      <c r="H17" s="14"/>
      <c r="I17" s="14"/>
      <c r="J17" s="12"/>
      <c r="K17" s="12"/>
      <c r="L17" s="14"/>
      <c r="M17" s="14"/>
      <c r="N17" s="12"/>
      <c r="O17" s="14"/>
      <c r="P17" s="14"/>
      <c r="Q17" s="14"/>
      <c r="R17" s="14"/>
      <c r="S17" s="14"/>
      <c r="T17" s="14"/>
      <c r="U17" s="14"/>
      <c r="V17" s="14"/>
      <c r="W17" s="14"/>
    </row>
    <row r="18" spans="1:23" x14ac:dyDescent="0.2">
      <c r="A18" s="14"/>
      <c r="B18" s="14"/>
      <c r="C18" s="14"/>
      <c r="D18" s="14"/>
      <c r="E18" s="12"/>
      <c r="F18" s="14"/>
      <c r="G18" s="14"/>
      <c r="H18" s="14"/>
      <c r="I18" s="14"/>
      <c r="J18" s="12"/>
      <c r="K18" s="12"/>
      <c r="L18" s="14"/>
      <c r="M18" s="14"/>
      <c r="N18" s="12"/>
      <c r="O18" s="14"/>
      <c r="P18" s="14"/>
      <c r="Q18" s="14"/>
      <c r="R18" s="14"/>
      <c r="S18" s="14"/>
      <c r="T18" s="14"/>
      <c r="U18" s="14"/>
      <c r="V18" s="14"/>
      <c r="W18" s="14"/>
    </row>
    <row r="19" spans="1:23" x14ac:dyDescent="0.2">
      <c r="A19" s="18"/>
      <c r="B19" s="14"/>
      <c r="C19" s="14"/>
      <c r="D19" s="14"/>
      <c r="E19" s="12"/>
      <c r="F19" s="14"/>
      <c r="G19" s="14"/>
      <c r="H19" s="14"/>
      <c r="J19" s="12"/>
      <c r="K19" s="12"/>
      <c r="L19" s="14"/>
      <c r="M19" s="14"/>
      <c r="N19" s="12"/>
      <c r="O19" s="14"/>
      <c r="P19" s="14"/>
      <c r="Q19" s="14"/>
      <c r="R19" s="14"/>
      <c r="S19" s="14"/>
      <c r="T19" s="14"/>
      <c r="U19" s="14"/>
      <c r="V19" s="14"/>
      <c r="W19" s="14"/>
    </row>
    <row r="20" spans="1:23" x14ac:dyDescent="0.2">
      <c r="A20" s="6"/>
      <c r="E20" s="12"/>
      <c r="H20" s="14"/>
      <c r="I20" s="14"/>
      <c r="J20" s="12"/>
      <c r="K20" s="12"/>
      <c r="L20" s="14"/>
      <c r="M20" s="14"/>
      <c r="O20" s="14"/>
      <c r="P20" s="14"/>
    </row>
    <row r="21" spans="1:23" customFormat="1" x14ac:dyDescent="0.2"/>
    <row r="22" spans="1:23" x14ac:dyDescent="0.2">
      <c r="A2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9000000}">
      <formula1>Industry_Sector</formula1>
    </dataValidation>
    <dataValidation type="list" allowBlank="1" showInputMessage="1" showErrorMessage="1" sqref="I20" xr:uid="{00000000-0002-0000-1B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>
      <selection activeCell="I11" sqref="I11"/>
    </sheetView>
  </sheetViews>
  <sheetFormatPr defaultColWidth="9" defaultRowHeight="14.25" x14ac:dyDescent="0.2"/>
  <cols>
    <col min="1" max="18" width="11.625" style="6" customWidth="1"/>
    <col min="19" max="16384" width="9" style="6"/>
  </cols>
  <sheetData>
    <row r="1" spans="1:18" ht="51" x14ac:dyDescent="0.2">
      <c r="A1" s="13" t="s">
        <v>651</v>
      </c>
      <c r="B1" s="13" t="s">
        <v>0</v>
      </c>
      <c r="C1" s="13" t="s">
        <v>785</v>
      </c>
      <c r="D1" s="13" t="s">
        <v>786</v>
      </c>
      <c r="E1" s="13" t="s">
        <v>1</v>
      </c>
      <c r="F1" s="13" t="s">
        <v>604</v>
      </c>
      <c r="G1" s="13" t="s">
        <v>605</v>
      </c>
      <c r="H1" s="13" t="s">
        <v>606</v>
      </c>
      <c r="I1" s="162" t="s">
        <v>794</v>
      </c>
      <c r="J1" s="13" t="s">
        <v>396</v>
      </c>
      <c r="K1" s="162" t="s">
        <v>16</v>
      </c>
      <c r="L1" s="13" t="s">
        <v>922</v>
      </c>
      <c r="M1" s="124" t="s">
        <v>11</v>
      </c>
      <c r="N1" s="13" t="s">
        <v>1153</v>
      </c>
      <c r="O1" s="13" t="s">
        <v>1154</v>
      </c>
      <c r="P1" s="13" t="s">
        <v>26</v>
      </c>
      <c r="Q1" s="126" t="s">
        <v>19</v>
      </c>
      <c r="R1" s="126" t="s">
        <v>30</v>
      </c>
    </row>
    <row r="2" spans="1:18" x14ac:dyDescent="0.2">
      <c r="A2" s="18">
        <v>13710</v>
      </c>
      <c r="B2" s="18">
        <v>13711</v>
      </c>
      <c r="C2" s="18" t="s">
        <v>3449</v>
      </c>
      <c r="D2" s="18" t="s">
        <v>3450</v>
      </c>
      <c r="E2" s="18" t="s">
        <v>705</v>
      </c>
      <c r="F2" s="12" t="s">
        <v>53</v>
      </c>
      <c r="G2" s="12" t="s">
        <v>53</v>
      </c>
      <c r="H2" s="18" t="s">
        <v>62</v>
      </c>
      <c r="I2" s="18"/>
      <c r="J2" s="12" t="s">
        <v>1219</v>
      </c>
      <c r="K2" s="163" t="s">
        <v>2313</v>
      </c>
      <c r="L2" s="131">
        <v>-9.67</v>
      </c>
      <c r="M2" s="156">
        <v>1</v>
      </c>
      <c r="N2" s="151">
        <v>-9.67</v>
      </c>
      <c r="O2" s="18"/>
      <c r="P2" s="12" t="s">
        <v>17</v>
      </c>
      <c r="Q2" s="155">
        <v>0.54342211297571996</v>
      </c>
      <c r="R2" s="155">
        <v>-1.41765483706374E-4</v>
      </c>
    </row>
    <row r="3" spans="1:18" x14ac:dyDescent="0.2">
      <c r="A3" s="18">
        <v>13710</v>
      </c>
      <c r="B3" s="18">
        <v>13711</v>
      </c>
      <c r="C3" s="18" t="s">
        <v>3451</v>
      </c>
      <c r="D3" s="18" t="s">
        <v>3452</v>
      </c>
      <c r="E3" s="18" t="s">
        <v>705</v>
      </c>
      <c r="F3" s="12" t="s">
        <v>53</v>
      </c>
      <c r="G3" s="12" t="s">
        <v>53</v>
      </c>
      <c r="H3" s="18" t="s">
        <v>62</v>
      </c>
      <c r="I3" s="18"/>
      <c r="J3" s="12" t="s">
        <v>1219</v>
      </c>
      <c r="K3" s="163" t="s">
        <v>2313</v>
      </c>
      <c r="L3" s="131">
        <v>0.64900000000000002</v>
      </c>
      <c r="M3" s="156">
        <v>1</v>
      </c>
      <c r="N3" s="151">
        <v>0.64900000000000002</v>
      </c>
      <c r="O3" s="18"/>
      <c r="P3" s="12" t="s">
        <v>17</v>
      </c>
      <c r="Q3" s="155">
        <v>-3.6495300264911497E-2</v>
      </c>
      <c r="R3" s="155">
        <v>9.5207275735128295E-6</v>
      </c>
    </row>
    <row r="4" spans="1:18" x14ac:dyDescent="0.2">
      <c r="A4" s="18">
        <v>13710</v>
      </c>
      <c r="B4" s="18">
        <v>13711</v>
      </c>
      <c r="C4" s="18" t="s">
        <v>3453</v>
      </c>
      <c r="D4" s="18" t="s">
        <v>3454</v>
      </c>
      <c r="E4" s="18" t="s">
        <v>707</v>
      </c>
      <c r="F4" s="12" t="s">
        <v>53</v>
      </c>
      <c r="G4" s="12" t="s">
        <v>53</v>
      </c>
      <c r="H4" s="18" t="s">
        <v>62</v>
      </c>
      <c r="I4" s="18"/>
      <c r="J4" s="12" t="s">
        <v>1219</v>
      </c>
      <c r="K4" s="163" t="s">
        <v>2313</v>
      </c>
      <c r="L4" s="131">
        <v>-8.7739999999999991</v>
      </c>
      <c r="M4" s="156">
        <v>1</v>
      </c>
      <c r="N4" s="151">
        <v>-8.7739999999999991</v>
      </c>
      <c r="O4" s="18"/>
      <c r="P4" s="12" t="s">
        <v>17</v>
      </c>
      <c r="Q4" s="155">
        <v>0.49307318728919203</v>
      </c>
      <c r="R4" s="155">
        <v>-1.2863068548301599E-4</v>
      </c>
    </row>
    <row r="5" spans="1:18" x14ac:dyDescent="0.2">
      <c r="A5" s="18">
        <v>13710</v>
      </c>
      <c r="B5" s="18">
        <v>15444</v>
      </c>
      <c r="C5" s="18" t="s">
        <v>3449</v>
      </c>
      <c r="D5" s="18" t="s">
        <v>3450</v>
      </c>
      <c r="E5" s="18" t="s">
        <v>705</v>
      </c>
      <c r="F5" s="12" t="s">
        <v>53</v>
      </c>
      <c r="G5" s="12" t="s">
        <v>53</v>
      </c>
      <c r="H5" s="18" t="s">
        <v>62</v>
      </c>
      <c r="I5" s="18"/>
      <c r="J5" s="12" t="s">
        <v>1219</v>
      </c>
      <c r="K5" s="163" t="s">
        <v>2313</v>
      </c>
      <c r="L5" s="131">
        <v>-1.117</v>
      </c>
      <c r="M5" s="156">
        <v>1</v>
      </c>
      <c r="N5" s="151">
        <v>-1.117</v>
      </c>
      <c r="O5" s="18"/>
      <c r="P5" s="12" t="s">
        <v>17</v>
      </c>
      <c r="Q5" s="155">
        <v>0.40034327320677399</v>
      </c>
      <c r="R5" s="155">
        <v>-1.33830116588551E-4</v>
      </c>
    </row>
    <row r="6" spans="1:18" x14ac:dyDescent="0.2">
      <c r="A6" s="18">
        <v>13710</v>
      </c>
      <c r="B6" s="18">
        <v>15444</v>
      </c>
      <c r="C6" s="18" t="s">
        <v>3453</v>
      </c>
      <c r="D6" s="18" t="s">
        <v>3454</v>
      </c>
      <c r="E6" s="18" t="s">
        <v>707</v>
      </c>
      <c r="F6" s="12" t="s">
        <v>53</v>
      </c>
      <c r="G6" s="12" t="s">
        <v>53</v>
      </c>
      <c r="H6" s="18" t="s">
        <v>62</v>
      </c>
      <c r="I6" s="18"/>
      <c r="J6" s="12" t="s">
        <v>1219</v>
      </c>
      <c r="K6" s="163" t="s">
        <v>2313</v>
      </c>
      <c r="L6" s="131">
        <v>-1.6739999999999999</v>
      </c>
      <c r="M6" s="156">
        <v>1</v>
      </c>
      <c r="N6" s="151">
        <v>-1.6739999999999999</v>
      </c>
      <c r="O6" s="18"/>
      <c r="P6" s="12" t="s">
        <v>17</v>
      </c>
      <c r="Q6" s="155">
        <v>0.59965672679322601</v>
      </c>
      <c r="R6" s="155">
        <v>-2.0045829424589001E-4</v>
      </c>
    </row>
    <row r="7" spans="1:18" x14ac:dyDescent="0.2">
      <c r="A7" s="18">
        <v>559</v>
      </c>
      <c r="B7" s="18">
        <v>556</v>
      </c>
      <c r="C7" s="18" t="s">
        <v>3449</v>
      </c>
      <c r="D7" s="18" t="s">
        <v>3450</v>
      </c>
      <c r="E7" s="18" t="s">
        <v>705</v>
      </c>
      <c r="F7" s="12" t="s">
        <v>53</v>
      </c>
      <c r="G7" s="12" t="s">
        <v>53</v>
      </c>
      <c r="H7" s="18" t="s">
        <v>62</v>
      </c>
      <c r="I7" s="18"/>
      <c r="J7" s="12" t="s">
        <v>1219</v>
      </c>
      <c r="K7" s="163" t="s">
        <v>2313</v>
      </c>
      <c r="L7" s="131">
        <v>-51.295999999999999</v>
      </c>
      <c r="M7" s="156">
        <v>1</v>
      </c>
      <c r="N7" s="151">
        <v>-51.295999999999999</v>
      </c>
      <c r="O7" s="18"/>
      <c r="P7" s="12" t="s">
        <v>17</v>
      </c>
      <c r="Q7" s="155">
        <v>0.80768675429169801</v>
      </c>
      <c r="R7" s="155">
        <v>-1.5381599167291801E-4</v>
      </c>
    </row>
    <row r="8" spans="1:18" x14ac:dyDescent="0.2">
      <c r="A8" s="18">
        <v>559</v>
      </c>
      <c r="B8" s="18">
        <v>556</v>
      </c>
      <c r="C8" s="18" t="s">
        <v>3451</v>
      </c>
      <c r="D8" s="18" t="s">
        <v>3452</v>
      </c>
      <c r="E8" s="18" t="s">
        <v>705</v>
      </c>
      <c r="F8" s="12" t="s">
        <v>53</v>
      </c>
      <c r="G8" s="12" t="s">
        <v>53</v>
      </c>
      <c r="H8" s="18" t="s">
        <v>62</v>
      </c>
      <c r="I8" s="18"/>
      <c r="J8" s="12" t="s">
        <v>1219</v>
      </c>
      <c r="K8" s="163" t="s">
        <v>2313</v>
      </c>
      <c r="L8" s="131">
        <v>30.885000000000002</v>
      </c>
      <c r="M8" s="156">
        <v>1</v>
      </c>
      <c r="N8" s="151">
        <v>30.885000000000002</v>
      </c>
      <c r="O8" s="18"/>
      <c r="P8" s="12" t="s">
        <v>17</v>
      </c>
      <c r="Q8" s="155">
        <v>-0.48630632545652802</v>
      </c>
      <c r="R8" s="155">
        <v>9.2612252596003102E-5</v>
      </c>
    </row>
    <row r="9" spans="1:18" x14ac:dyDescent="0.2">
      <c r="A9" s="18">
        <v>559</v>
      </c>
      <c r="B9" s="18">
        <v>556</v>
      </c>
      <c r="C9" s="18" t="s">
        <v>3453</v>
      </c>
      <c r="D9" s="18" t="s">
        <v>3454</v>
      </c>
      <c r="E9" s="18" t="s">
        <v>707</v>
      </c>
      <c r="F9" s="12" t="s">
        <v>53</v>
      </c>
      <c r="G9" s="12" t="s">
        <v>53</v>
      </c>
      <c r="H9" s="18" t="s">
        <v>62</v>
      </c>
      <c r="I9" s="18" t="s">
        <v>3455</v>
      </c>
      <c r="J9" s="12" t="s">
        <v>1219</v>
      </c>
      <c r="K9" s="163" t="s">
        <v>2313</v>
      </c>
      <c r="L9" s="131">
        <v>-43.098999999999997</v>
      </c>
      <c r="M9" s="156">
        <v>1</v>
      </c>
      <c r="N9" s="151">
        <v>-43.098999999999997</v>
      </c>
      <c r="O9" s="18"/>
      <c r="P9" s="12" t="s">
        <v>17</v>
      </c>
      <c r="Q9" s="155">
        <v>0.67861957116482996</v>
      </c>
      <c r="R9" s="155">
        <v>-1.2923641715395899E-4</v>
      </c>
    </row>
    <row r="10" spans="1:18" x14ac:dyDescent="0.2">
      <c r="A10" s="18">
        <v>559</v>
      </c>
      <c r="B10" s="18">
        <v>7205</v>
      </c>
      <c r="C10" s="18" t="s">
        <v>3449</v>
      </c>
      <c r="D10" s="18" t="s">
        <v>3450</v>
      </c>
      <c r="E10" s="18" t="s">
        <v>705</v>
      </c>
      <c r="F10" s="12" t="s">
        <v>53</v>
      </c>
      <c r="G10" s="12" t="s">
        <v>53</v>
      </c>
      <c r="H10" s="18" t="s">
        <v>62</v>
      </c>
      <c r="I10" s="18" t="s">
        <v>3455</v>
      </c>
      <c r="J10" s="12" t="s">
        <v>1219</v>
      </c>
      <c r="K10" s="163" t="s">
        <v>2313</v>
      </c>
      <c r="L10" s="131">
        <v>-278.25400000000002</v>
      </c>
      <c r="M10" s="156">
        <v>1</v>
      </c>
      <c r="N10" s="151">
        <v>-278.25400000000002</v>
      </c>
      <c r="O10" s="18"/>
      <c r="P10" s="12" t="s">
        <v>17</v>
      </c>
      <c r="Q10" s="155">
        <v>2.6367052250159402</v>
      </c>
      <c r="R10" s="155">
        <v>-1.45153761368892E-4</v>
      </c>
    </row>
    <row r="11" spans="1:18" x14ac:dyDescent="0.2">
      <c r="A11" s="18">
        <v>559</v>
      </c>
      <c r="B11" s="18">
        <v>7205</v>
      </c>
      <c r="C11" s="18" t="s">
        <v>3451</v>
      </c>
      <c r="D11" s="18" t="s">
        <v>3452</v>
      </c>
      <c r="E11" s="18" t="s">
        <v>705</v>
      </c>
      <c r="F11" s="12" t="s">
        <v>53</v>
      </c>
      <c r="G11" s="12" t="s">
        <v>53</v>
      </c>
      <c r="H11" s="18" t="s">
        <v>62</v>
      </c>
      <c r="I11" s="18" t="s">
        <v>3456</v>
      </c>
      <c r="J11" s="12" t="s">
        <v>1219</v>
      </c>
      <c r="K11" s="163" t="s">
        <v>2313</v>
      </c>
      <c r="L11" s="131">
        <v>208.196</v>
      </c>
      <c r="M11" s="156">
        <v>1</v>
      </c>
      <c r="N11" s="151">
        <v>208.196</v>
      </c>
      <c r="O11" s="18"/>
      <c r="P11" s="12" t="s">
        <v>17</v>
      </c>
      <c r="Q11" s="155">
        <v>-1.9728468334935201</v>
      </c>
      <c r="R11" s="155">
        <v>1.08607566659091E-4</v>
      </c>
    </row>
    <row r="12" spans="1:18" x14ac:dyDescent="0.2">
      <c r="A12" s="18">
        <v>559</v>
      </c>
      <c r="B12" s="18">
        <v>7205</v>
      </c>
      <c r="C12" s="18" t="s">
        <v>3453</v>
      </c>
      <c r="D12" s="18" t="s">
        <v>3454</v>
      </c>
      <c r="E12" s="18" t="s">
        <v>707</v>
      </c>
      <c r="F12" s="12" t="s">
        <v>53</v>
      </c>
      <c r="G12" s="12" t="s">
        <v>53</v>
      </c>
      <c r="H12" s="18" t="s">
        <v>62</v>
      </c>
      <c r="I12" s="18" t="s">
        <v>3455</v>
      </c>
      <c r="J12" s="12" t="s">
        <v>1219</v>
      </c>
      <c r="K12" s="163" t="s">
        <v>2313</v>
      </c>
      <c r="L12" s="131">
        <v>-35.472999999999999</v>
      </c>
      <c r="M12" s="156">
        <v>1</v>
      </c>
      <c r="N12" s="151">
        <v>-35.472999999999999</v>
      </c>
      <c r="O12" s="18"/>
      <c r="P12" s="12" t="s">
        <v>17</v>
      </c>
      <c r="Q12" s="155">
        <v>0.33614160847758701</v>
      </c>
      <c r="R12" s="155">
        <v>-1.85049956893897E-5</v>
      </c>
    </row>
    <row r="13" spans="1:18" x14ac:dyDescent="0.2">
      <c r="A13" s="18">
        <v>559</v>
      </c>
      <c r="B13" s="18">
        <v>7206</v>
      </c>
      <c r="C13" s="18" t="s">
        <v>3449</v>
      </c>
      <c r="D13" s="18" t="s">
        <v>3450</v>
      </c>
      <c r="E13" s="18" t="s">
        <v>705</v>
      </c>
      <c r="F13" s="12" t="s">
        <v>53</v>
      </c>
      <c r="G13" s="12" t="s">
        <v>53</v>
      </c>
      <c r="H13" s="18" t="s">
        <v>62</v>
      </c>
      <c r="I13" s="18"/>
      <c r="J13" s="12" t="s">
        <v>1219</v>
      </c>
      <c r="K13" s="163" t="s">
        <v>2313</v>
      </c>
      <c r="L13" s="131">
        <v>-12.557</v>
      </c>
      <c r="M13" s="156">
        <v>1</v>
      </c>
      <c r="N13" s="151">
        <v>-12.557</v>
      </c>
      <c r="O13" s="18"/>
      <c r="P13" s="12" t="s">
        <v>17</v>
      </c>
      <c r="Q13" s="155">
        <v>0.96615317856367999</v>
      </c>
      <c r="R13" s="155">
        <v>-1.43852263106756E-4</v>
      </c>
    </row>
    <row r="14" spans="1:18" x14ac:dyDescent="0.2">
      <c r="A14" s="18">
        <v>559</v>
      </c>
      <c r="B14" s="18">
        <v>7206</v>
      </c>
      <c r="C14" s="18" t="s">
        <v>3451</v>
      </c>
      <c r="D14" s="18" t="s">
        <v>3452</v>
      </c>
      <c r="E14" s="18" t="s">
        <v>705</v>
      </c>
      <c r="F14" s="12" t="s">
        <v>53</v>
      </c>
      <c r="G14" s="12" t="s">
        <v>53</v>
      </c>
      <c r="H14" s="18" t="s">
        <v>62</v>
      </c>
      <c r="I14" s="18"/>
      <c r="J14" s="12" t="s">
        <v>1219</v>
      </c>
      <c r="K14" s="163" t="s">
        <v>2313</v>
      </c>
      <c r="L14" s="131">
        <v>2.794</v>
      </c>
      <c r="M14" s="156">
        <v>1</v>
      </c>
      <c r="N14" s="151">
        <v>2.794</v>
      </c>
      <c r="O14" s="18"/>
      <c r="P14" s="12" t="s">
        <v>17</v>
      </c>
      <c r="Q14" s="155">
        <v>-0.21494947443254001</v>
      </c>
      <c r="R14" s="155">
        <v>3.2004209101394098E-5</v>
      </c>
    </row>
    <row r="15" spans="1:18" x14ac:dyDescent="0.2">
      <c r="A15" s="18">
        <v>559</v>
      </c>
      <c r="B15" s="18">
        <v>7206</v>
      </c>
      <c r="C15" s="18" t="s">
        <v>3453</v>
      </c>
      <c r="D15" s="18" t="s">
        <v>3454</v>
      </c>
      <c r="E15" s="18" t="s">
        <v>707</v>
      </c>
      <c r="F15" s="12" t="s">
        <v>53</v>
      </c>
      <c r="G15" s="12" t="s">
        <v>53</v>
      </c>
      <c r="H15" s="18" t="s">
        <v>62</v>
      </c>
      <c r="I15" s="18" t="s">
        <v>3155</v>
      </c>
      <c r="J15" s="12" t="s">
        <v>1219</v>
      </c>
      <c r="K15" s="163" t="s">
        <v>2313</v>
      </c>
      <c r="L15" s="131">
        <v>-3.234</v>
      </c>
      <c r="M15" s="156">
        <v>1</v>
      </c>
      <c r="N15" s="151">
        <v>-3.234</v>
      </c>
      <c r="O15" s="18"/>
      <c r="P15" s="12" t="s">
        <v>17</v>
      </c>
      <c r="Q15" s="155">
        <v>0.24879629586886001</v>
      </c>
      <c r="R15" s="155">
        <v>-3.7043722473200498E-5</v>
      </c>
    </row>
    <row r="16" spans="1:18" x14ac:dyDescent="0.2">
      <c r="A16" s="18">
        <v>559</v>
      </c>
      <c r="B16" s="18">
        <v>7207</v>
      </c>
      <c r="C16" s="18" t="s">
        <v>3449</v>
      </c>
      <c r="D16" s="18" t="s">
        <v>3450</v>
      </c>
      <c r="E16" s="18" t="s">
        <v>705</v>
      </c>
      <c r="F16" s="12" t="s">
        <v>53</v>
      </c>
      <c r="G16" s="12" t="s">
        <v>53</v>
      </c>
      <c r="H16" s="18" t="s">
        <v>62</v>
      </c>
      <c r="I16" s="18"/>
      <c r="J16" s="12" t="s">
        <v>1219</v>
      </c>
      <c r="K16" s="163" t="s">
        <v>2313</v>
      </c>
      <c r="L16" s="131">
        <v>-17.047000000000001</v>
      </c>
      <c r="M16" s="156">
        <v>1</v>
      </c>
      <c r="N16" s="151">
        <v>-17.047000000000001</v>
      </c>
      <c r="O16" s="18"/>
      <c r="P16" s="12" t="s">
        <v>17</v>
      </c>
      <c r="Q16" s="155">
        <v>1.2371970960997101</v>
      </c>
      <c r="R16" s="155">
        <v>-1.4026036350910101E-4</v>
      </c>
    </row>
    <row r="17" spans="1:18" x14ac:dyDescent="0.2">
      <c r="A17" s="18">
        <v>559</v>
      </c>
      <c r="B17" s="18">
        <v>7207</v>
      </c>
      <c r="C17" s="18" t="s">
        <v>3451</v>
      </c>
      <c r="D17" s="18" t="s">
        <v>3452</v>
      </c>
      <c r="E17" s="18" t="s">
        <v>705</v>
      </c>
      <c r="F17" s="12" t="s">
        <v>53</v>
      </c>
      <c r="G17" s="12" t="s">
        <v>53</v>
      </c>
      <c r="H17" s="18" t="s">
        <v>62</v>
      </c>
      <c r="I17" s="18"/>
      <c r="J17" s="12" t="s">
        <v>1219</v>
      </c>
      <c r="K17" s="163" t="s">
        <v>2313</v>
      </c>
      <c r="L17" s="131">
        <v>3.7589999999999999</v>
      </c>
      <c r="M17" s="156">
        <v>1</v>
      </c>
      <c r="N17" s="151">
        <v>3.7589999999999999</v>
      </c>
      <c r="O17" s="18"/>
      <c r="P17" s="12" t="s">
        <v>17</v>
      </c>
      <c r="Q17" s="155">
        <v>-0.27281436360878503</v>
      </c>
      <c r="R17" s="155">
        <v>3.0928816379300898E-5</v>
      </c>
    </row>
    <row r="18" spans="1:18" x14ac:dyDescent="0.2">
      <c r="A18" s="18">
        <v>559</v>
      </c>
      <c r="B18" s="18">
        <v>7207</v>
      </c>
      <c r="C18" s="18" t="s">
        <v>3453</v>
      </c>
      <c r="D18" s="18" t="s">
        <v>3454</v>
      </c>
      <c r="E18" s="18" t="s">
        <v>707</v>
      </c>
      <c r="F18" s="12" t="s">
        <v>53</v>
      </c>
      <c r="G18" s="12" t="s">
        <v>53</v>
      </c>
      <c r="H18" s="18" t="s">
        <v>62</v>
      </c>
      <c r="I18" s="18" t="s">
        <v>3455</v>
      </c>
      <c r="J18" s="12" t="s">
        <v>1219</v>
      </c>
      <c r="K18" s="163" t="s">
        <v>2313</v>
      </c>
      <c r="L18" s="131">
        <v>-0.49099999999999999</v>
      </c>
      <c r="M18" s="156">
        <v>1</v>
      </c>
      <c r="N18" s="151">
        <v>-0.49099999999999999</v>
      </c>
      <c r="O18" s="18"/>
      <c r="P18" s="12" t="s">
        <v>17</v>
      </c>
      <c r="Q18" s="155">
        <v>3.5617267509077399E-2</v>
      </c>
      <c r="R18" s="155">
        <v>-4.0379102923641797E-6</v>
      </c>
    </row>
    <row r="19" spans="1:18" x14ac:dyDescent="0.2">
      <c r="A19" s="18"/>
      <c r="B19" s="18"/>
      <c r="C19" s="18"/>
      <c r="D19" s="18"/>
      <c r="E19" s="18"/>
      <c r="F19" s="12"/>
      <c r="G19" s="12"/>
      <c r="H19" s="18"/>
      <c r="I19" s="18"/>
      <c r="J19" s="12"/>
      <c r="K19" s="18"/>
      <c r="M19" s="18"/>
      <c r="N19" s="18"/>
      <c r="O19" s="18"/>
      <c r="P19" s="12"/>
      <c r="Q19" s="18"/>
      <c r="R19" s="18"/>
    </row>
    <row r="20" spans="1:18" x14ac:dyDescent="0.2">
      <c r="E20" s="18"/>
      <c r="F20" s="12"/>
      <c r="G20" s="12"/>
      <c r="H20" s="18"/>
      <c r="P20" s="12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CF512F03-FCA1-4905-9F13-919DA332DFA7}">
      <formula1>israel_abroad</formula1>
    </dataValidation>
    <dataValidation type="list" allowBlank="1" showInputMessage="1" showErrorMessage="1" sqref="H2:H20" xr:uid="{0972D607-46F8-4246-A93D-CB0879B7FE79}">
      <formula1>Holding_interest</formula1>
    </dataValidation>
    <dataValidation type="list" allowBlank="1" showInputMessage="1" showErrorMessage="1" sqref="P2:P20" xr:uid="{772B85E6-B46E-466D-BAD0-03EB6AB52897}">
      <formula1>In_the_books</formula1>
    </dataValidation>
    <dataValidation type="list" allowBlank="1" showInputMessage="1" showErrorMessage="1" sqref="G2:G20" xr:uid="{FA7BD8CC-E13A-4997-89A9-9C1B2C39E3C4}">
      <formula1>Country_list</formula1>
    </dataValidation>
    <dataValidation type="list" allowBlank="1" showInputMessage="1" showErrorMessage="1" sqref="E2:E20" xr:uid="{1FBAEF4B-ED5E-4C99-8BFA-26FEBB03C9BE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 x14ac:dyDescent="0.2"/>
  <cols>
    <col min="1" max="20" width="11.625" style="2" customWidth="1"/>
    <col min="21" max="16384" width="11.625" style="2" hidden="1"/>
  </cols>
  <sheetData>
    <row r="1" spans="1:20" ht="63.75" x14ac:dyDescent="0.2">
      <c r="A1" s="13" t="s">
        <v>651</v>
      </c>
      <c r="B1" s="13" t="s">
        <v>0</v>
      </c>
      <c r="C1" s="13" t="s">
        <v>725</v>
      </c>
      <c r="D1" s="13" t="s">
        <v>726</v>
      </c>
      <c r="E1" s="13" t="s">
        <v>727</v>
      </c>
      <c r="F1" s="13" t="s">
        <v>728</v>
      </c>
      <c r="G1" s="13" t="s">
        <v>733</v>
      </c>
      <c r="H1" s="13" t="s">
        <v>604</v>
      </c>
      <c r="I1" s="13" t="s">
        <v>605</v>
      </c>
      <c r="J1" s="13" t="s">
        <v>606</v>
      </c>
      <c r="K1" s="13" t="s">
        <v>6</v>
      </c>
      <c r="L1" s="13" t="s">
        <v>8</v>
      </c>
      <c r="M1" s="13" t="s">
        <v>1148</v>
      </c>
      <c r="N1" s="13" t="s">
        <v>396</v>
      </c>
      <c r="O1" s="13" t="s">
        <v>11</v>
      </c>
      <c r="P1" s="13" t="s">
        <v>14</v>
      </c>
      <c r="Q1" s="13" t="s">
        <v>440</v>
      </c>
      <c r="R1" s="13" t="s">
        <v>796</v>
      </c>
      <c r="S1" s="13" t="s">
        <v>1157</v>
      </c>
      <c r="T1" s="13" t="s">
        <v>748</v>
      </c>
    </row>
    <row r="2" spans="1:20" ht="14.1" customHeight="1" x14ac:dyDescent="0.2">
      <c r="D2" s="14"/>
      <c r="G2" s="12"/>
      <c r="H2" s="12"/>
      <c r="I2" s="12"/>
      <c r="J2" s="14"/>
      <c r="K2" s="14"/>
      <c r="L2" s="14"/>
      <c r="M2" s="14"/>
      <c r="P2"/>
      <c r="Q2" s="14"/>
      <c r="R2" s="12"/>
      <c r="S2" s="12"/>
      <c r="T2" s="12"/>
    </row>
    <row r="3" spans="1:20" ht="14.1" customHeight="1" x14ac:dyDescent="0.2">
      <c r="D3" s="14"/>
      <c r="G3"/>
      <c r="H3" s="12"/>
      <c r="I3" s="12"/>
      <c r="J3" s="14"/>
      <c r="K3" s="14"/>
      <c r="L3" s="14"/>
      <c r="M3" s="14"/>
      <c r="Q3" s="14"/>
    </row>
    <row r="4" spans="1:20" ht="14.1" customHeight="1" x14ac:dyDescent="0.2">
      <c r="D4" s="14"/>
      <c r="G4"/>
      <c r="H4" s="12"/>
      <c r="I4" s="12"/>
      <c r="J4" s="14"/>
      <c r="K4" s="14"/>
      <c r="L4" s="14"/>
      <c r="M4" s="14"/>
      <c r="Q4" s="14"/>
    </row>
    <row r="5" spans="1:20" ht="14.1" customHeight="1" x14ac:dyDescent="0.2">
      <c r="D5" s="14"/>
      <c r="G5"/>
      <c r="H5" s="12"/>
      <c r="I5" s="12"/>
      <c r="J5" s="14"/>
      <c r="K5" s="14"/>
      <c r="L5" s="14"/>
      <c r="M5" s="14"/>
      <c r="O5" s="6"/>
      <c r="Q5" s="14"/>
    </row>
    <row r="6" spans="1:20" ht="14.1" customHeight="1" x14ac:dyDescent="0.2">
      <c r="D6" s="14"/>
      <c r="G6"/>
      <c r="H6" s="12"/>
      <c r="I6" s="12"/>
      <c r="J6" s="14"/>
      <c r="K6" s="14"/>
      <c r="L6" s="14"/>
      <c r="M6" s="14"/>
      <c r="O6" s="6"/>
      <c r="Q6" s="14"/>
    </row>
    <row r="7" spans="1:20" ht="14.1" customHeight="1" x14ac:dyDescent="0.2">
      <c r="D7" s="14"/>
      <c r="G7"/>
      <c r="H7" s="12"/>
      <c r="I7" s="12"/>
      <c r="J7" s="14"/>
      <c r="K7" s="14"/>
      <c r="L7" s="14"/>
      <c r="M7" s="14"/>
      <c r="Q7" s="14"/>
    </row>
    <row r="8" spans="1:20" ht="14.1" customHeight="1" x14ac:dyDescent="0.2">
      <c r="D8" s="14"/>
      <c r="G8"/>
      <c r="H8" s="12"/>
      <c r="I8" s="12"/>
      <c r="J8" s="14"/>
      <c r="K8" s="14"/>
      <c r="L8" s="14"/>
      <c r="M8" s="14"/>
      <c r="N8" s="6"/>
      <c r="Q8" s="14"/>
    </row>
    <row r="9" spans="1:20" ht="14.1" customHeight="1" x14ac:dyDescent="0.2">
      <c r="D9" s="14"/>
      <c r="G9"/>
      <c r="H9" s="12"/>
      <c r="I9" s="12"/>
      <c r="J9" s="14"/>
      <c r="K9" s="14"/>
      <c r="L9" s="14"/>
      <c r="M9" s="14"/>
      <c r="Q9" s="14"/>
    </row>
    <row r="10" spans="1:20" ht="13.7" customHeight="1" x14ac:dyDescent="0.2">
      <c r="D10" s="14"/>
      <c r="G10"/>
      <c r="H10" s="12"/>
      <c r="I10" s="12"/>
      <c r="J10" s="14"/>
      <c r="K10" s="14"/>
      <c r="L10" s="14"/>
      <c r="M10" s="14"/>
      <c r="Q10" s="14"/>
    </row>
    <row r="11" spans="1:20" ht="13.7" customHeight="1" x14ac:dyDescent="0.2">
      <c r="D11" s="14"/>
      <c r="G11"/>
      <c r="H11" s="12"/>
      <c r="I11" s="12"/>
      <c r="J11" s="14"/>
      <c r="K11" s="14"/>
      <c r="L11" s="14"/>
      <c r="M11" s="14"/>
      <c r="Q11" s="14"/>
    </row>
    <row r="12" spans="1:20" ht="14.1" customHeight="1" x14ac:dyDescent="0.2">
      <c r="D12" s="14"/>
      <c r="G12"/>
      <c r="H12" s="12"/>
      <c r="I12" s="12"/>
      <c r="J12" s="14"/>
      <c r="K12" s="14"/>
      <c r="L12" s="14"/>
      <c r="M12" s="14"/>
      <c r="Q12" s="14"/>
    </row>
    <row r="13" spans="1:20" ht="14.1" customHeight="1" x14ac:dyDescent="0.2">
      <c r="D13" s="14"/>
      <c r="G13"/>
      <c r="H13" s="12"/>
      <c r="I13" s="12"/>
      <c r="J13" s="14"/>
      <c r="K13" s="14"/>
      <c r="L13" s="14"/>
      <c r="M13" s="14"/>
      <c r="Q13" s="14"/>
    </row>
    <row r="14" spans="1:20" ht="14.1" customHeight="1" x14ac:dyDescent="0.2">
      <c r="D14" s="14"/>
      <c r="G14"/>
      <c r="H14" s="12"/>
      <c r="I14" s="12"/>
      <c r="J14" s="14"/>
      <c r="K14" s="14"/>
      <c r="L14" s="14"/>
      <c r="M14" s="14"/>
      <c r="Q14" s="14"/>
    </row>
    <row r="15" spans="1:20" ht="14.1" customHeight="1" x14ac:dyDescent="0.2">
      <c r="D15" s="14"/>
      <c r="G15"/>
      <c r="H15" s="12"/>
      <c r="I15" s="12"/>
      <c r="J15" s="14"/>
      <c r="K15" s="14"/>
      <c r="L15" s="14"/>
      <c r="M15" s="14"/>
      <c r="Q15" s="14"/>
    </row>
    <row r="16" spans="1:20" ht="14.1" customHeight="1" x14ac:dyDescent="0.2">
      <c r="D16" s="14"/>
      <c r="G16"/>
      <c r="H16" s="12"/>
      <c r="I16" s="12"/>
      <c r="J16" s="14"/>
      <c r="K16" s="14"/>
      <c r="L16" s="14"/>
      <c r="M16" s="14"/>
      <c r="Q16" s="14"/>
    </row>
    <row r="17" spans="4:17" ht="14.1" customHeight="1" x14ac:dyDescent="0.2">
      <c r="D17" s="14"/>
      <c r="G17"/>
      <c r="H17" s="12"/>
      <c r="I17" s="12"/>
      <c r="J17" s="14"/>
      <c r="K17" s="14"/>
      <c r="L17" s="14"/>
      <c r="M17" s="14"/>
      <c r="Q17" s="14"/>
    </row>
    <row r="18" spans="4:17" ht="14.1" customHeight="1" x14ac:dyDescent="0.2">
      <c r="D18" s="14"/>
      <c r="G18"/>
      <c r="H18" s="12"/>
      <c r="I18" s="12"/>
      <c r="J18" s="14"/>
      <c r="K18" s="14"/>
      <c r="L18" s="14"/>
      <c r="M18" s="14"/>
      <c r="Q18" s="14"/>
    </row>
    <row r="19" spans="4:17" ht="14.1" customHeight="1" x14ac:dyDescent="0.2">
      <c r="D19" s="14"/>
      <c r="G19"/>
      <c r="H19" s="12"/>
      <c r="I19" s="12"/>
      <c r="J19" s="14"/>
      <c r="K19" s="14"/>
      <c r="L19" s="14"/>
      <c r="M19" s="14"/>
      <c r="Q19" s="14"/>
    </row>
    <row r="20" spans="4:17" ht="14.1" customHeight="1" x14ac:dyDescent="0.2">
      <c r="D20" s="14"/>
      <c r="G20"/>
      <c r="H20" s="12"/>
      <c r="I20" s="12"/>
      <c r="J20" s="14"/>
      <c r="L20" s="14"/>
      <c r="M20" s="14"/>
      <c r="Q20" s="14"/>
    </row>
    <row r="21" spans="4:17" ht="14.1" customHeight="1" x14ac:dyDescent="0.2">
      <c r="D21" s="3"/>
      <c r="J21"/>
    </row>
    <row r="22" spans="4:17" ht="14.1" customHeight="1" x14ac:dyDescent="0.2">
      <c r="D22" s="3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87"/>
  <sheetViews>
    <sheetView rightToLeft="1" workbookViewId="0">
      <selection activeCell="I14" sqref="I14"/>
    </sheetView>
  </sheetViews>
  <sheetFormatPr defaultColWidth="11.625" defaultRowHeight="14.1" customHeight="1" x14ac:dyDescent="0.2"/>
  <cols>
    <col min="1" max="8" width="11.625" style="6" customWidth="1"/>
    <col min="9" max="9" width="12.625" style="6" customWidth="1"/>
    <col min="10" max="17" width="11.625" style="6" customWidth="1"/>
    <col min="18" max="16384" width="11.625" style="6"/>
  </cols>
  <sheetData>
    <row r="1" spans="1:22" ht="66.75" customHeight="1" x14ac:dyDescent="0.2">
      <c r="A1" s="13" t="s">
        <v>651</v>
      </c>
      <c r="B1" s="13" t="s">
        <v>0</v>
      </c>
      <c r="C1" s="13" t="s">
        <v>1</v>
      </c>
      <c r="D1" s="13" t="s">
        <v>780</v>
      </c>
      <c r="E1" s="13" t="s">
        <v>793</v>
      </c>
      <c r="F1" s="13" t="s">
        <v>781</v>
      </c>
      <c r="G1" s="13" t="s">
        <v>747</v>
      </c>
      <c r="H1" s="13" t="s">
        <v>746</v>
      </c>
      <c r="I1" s="13" t="s">
        <v>751</v>
      </c>
      <c r="J1" s="13" t="s">
        <v>396</v>
      </c>
      <c r="K1" s="162" t="s">
        <v>745</v>
      </c>
      <c r="L1" s="13" t="s">
        <v>923</v>
      </c>
      <c r="M1" s="13" t="s">
        <v>1158</v>
      </c>
      <c r="N1" s="13" t="s">
        <v>924</v>
      </c>
      <c r="O1" s="13" t="s">
        <v>1159</v>
      </c>
      <c r="P1" s="13" t="s">
        <v>22</v>
      </c>
      <c r="Q1" s="162" t="s">
        <v>797</v>
      </c>
    </row>
    <row r="2" spans="1:22" ht="14.1" customHeight="1" x14ac:dyDescent="0.2">
      <c r="A2" s="6">
        <v>512362914</v>
      </c>
      <c r="B2" s="6">
        <v>556</v>
      </c>
      <c r="C2" s="6" t="s">
        <v>749</v>
      </c>
      <c r="D2" s="6" t="s">
        <v>3280</v>
      </c>
      <c r="E2" s="6" t="s">
        <v>3457</v>
      </c>
      <c r="F2" s="18" t="s">
        <v>1477</v>
      </c>
      <c r="G2" s="6" t="s">
        <v>3458</v>
      </c>
      <c r="H2" s="6" t="s">
        <v>3459</v>
      </c>
      <c r="I2" s="18" t="s">
        <v>78</v>
      </c>
      <c r="J2" s="6" t="s">
        <v>1219</v>
      </c>
      <c r="K2" s="163">
        <v>41990</v>
      </c>
      <c r="L2" s="131">
        <v>662625.15</v>
      </c>
      <c r="M2" s="131">
        <v>662.62</v>
      </c>
      <c r="N2" s="131">
        <v>65330.1</v>
      </c>
      <c r="O2" s="131">
        <v>65.33</v>
      </c>
      <c r="P2" s="151">
        <v>0.09</v>
      </c>
      <c r="Q2" s="164">
        <v>45658</v>
      </c>
      <c r="V2" s="12"/>
    </row>
    <row r="3" spans="1:22" ht="14.1" customHeight="1" x14ac:dyDescent="0.2">
      <c r="A3" s="6">
        <v>512362914</v>
      </c>
      <c r="B3" s="6">
        <v>556</v>
      </c>
      <c r="C3" s="6" t="s">
        <v>241</v>
      </c>
      <c r="D3" s="6" t="s">
        <v>3460</v>
      </c>
      <c r="E3" s="6" t="s">
        <v>3461</v>
      </c>
      <c r="F3" s="18" t="s">
        <v>78</v>
      </c>
      <c r="G3" s="6" t="s">
        <v>3462</v>
      </c>
      <c r="H3" s="6" t="s">
        <v>3463</v>
      </c>
      <c r="I3" s="18" t="s">
        <v>78</v>
      </c>
      <c r="J3" s="6" t="s">
        <v>1219</v>
      </c>
      <c r="K3" s="163">
        <v>42235</v>
      </c>
      <c r="L3" s="131">
        <v>1300000</v>
      </c>
      <c r="M3" s="131">
        <v>1300</v>
      </c>
      <c r="N3" s="131">
        <v>283812.09999999998</v>
      </c>
      <c r="O3" s="131">
        <v>283.81</v>
      </c>
      <c r="P3" s="151">
        <v>0</v>
      </c>
      <c r="Q3" s="164">
        <v>45657</v>
      </c>
      <c r="V3" s="12"/>
    </row>
    <row r="4" spans="1:22" ht="13.5" customHeight="1" x14ac:dyDescent="0.2">
      <c r="A4" s="6">
        <v>512362914</v>
      </c>
      <c r="B4" s="6">
        <v>556</v>
      </c>
      <c r="C4" s="6" t="s">
        <v>241</v>
      </c>
      <c r="D4" s="6" t="s">
        <v>3460</v>
      </c>
      <c r="E4" s="6" t="s">
        <v>3461</v>
      </c>
      <c r="F4" s="18" t="s">
        <v>78</v>
      </c>
      <c r="G4" s="6" t="s">
        <v>3464</v>
      </c>
      <c r="H4" s="6" t="s">
        <v>3465</v>
      </c>
      <c r="I4" s="18" t="s">
        <v>78</v>
      </c>
      <c r="J4" s="6" t="s">
        <v>1219</v>
      </c>
      <c r="K4" s="163">
        <v>42235</v>
      </c>
      <c r="L4" s="131">
        <v>1300000</v>
      </c>
      <c r="M4" s="131">
        <v>1300</v>
      </c>
      <c r="N4" s="131">
        <v>500520.63</v>
      </c>
      <c r="O4" s="131">
        <v>500.52</v>
      </c>
      <c r="P4" s="151">
        <v>0.38</v>
      </c>
      <c r="Q4" s="164">
        <v>45657</v>
      </c>
      <c r="V4" s="12"/>
    </row>
    <row r="5" spans="1:22" ht="13.5" customHeight="1" x14ac:dyDescent="0.2">
      <c r="A5" s="6">
        <v>512362914</v>
      </c>
      <c r="B5" s="6">
        <v>556</v>
      </c>
      <c r="C5" s="6" t="s">
        <v>241</v>
      </c>
      <c r="D5" s="6" t="s">
        <v>3285</v>
      </c>
      <c r="E5" s="6" t="s">
        <v>3286</v>
      </c>
      <c r="F5" s="18" t="s">
        <v>78</v>
      </c>
      <c r="G5" s="6" t="s">
        <v>3466</v>
      </c>
      <c r="H5" s="6" t="s">
        <v>3467</v>
      </c>
      <c r="I5" s="18" t="s">
        <v>78</v>
      </c>
      <c r="J5" s="6" t="s">
        <v>1219</v>
      </c>
      <c r="K5" s="163">
        <v>42445</v>
      </c>
      <c r="L5" s="131">
        <v>780000</v>
      </c>
      <c r="M5" s="131">
        <v>780</v>
      </c>
      <c r="N5" s="131">
        <v>337777.2</v>
      </c>
      <c r="O5" s="131">
        <v>337.77</v>
      </c>
      <c r="P5" s="151">
        <v>0.43</v>
      </c>
      <c r="Q5" s="164">
        <v>45366</v>
      </c>
      <c r="V5" s="12"/>
    </row>
    <row r="6" spans="1:22" ht="14.1" customHeight="1" x14ac:dyDescent="0.2">
      <c r="A6" s="6">
        <v>512362914</v>
      </c>
      <c r="B6" s="6">
        <v>556</v>
      </c>
      <c r="C6" s="6" t="s">
        <v>241</v>
      </c>
      <c r="D6" s="6" t="s">
        <v>3285</v>
      </c>
      <c r="E6" s="6" t="s">
        <v>3286</v>
      </c>
      <c r="F6" s="18" t="s">
        <v>78</v>
      </c>
      <c r="G6" s="6" t="s">
        <v>3468</v>
      </c>
      <c r="H6" s="6" t="s">
        <v>3469</v>
      </c>
      <c r="I6" s="18" t="s">
        <v>78</v>
      </c>
      <c r="J6" s="6" t="s">
        <v>1219</v>
      </c>
      <c r="K6" s="163">
        <v>42445</v>
      </c>
      <c r="L6" s="131">
        <v>420000</v>
      </c>
      <c r="M6" s="131">
        <v>420</v>
      </c>
      <c r="N6" s="131">
        <v>420000</v>
      </c>
      <c r="O6" s="131">
        <v>420</v>
      </c>
      <c r="P6" s="151">
        <v>1</v>
      </c>
      <c r="Q6" s="164">
        <v>45664</v>
      </c>
      <c r="V6" s="12"/>
    </row>
    <row r="7" spans="1:22" ht="14.1" customHeight="1" x14ac:dyDescent="0.2">
      <c r="A7" s="6">
        <v>512362914</v>
      </c>
      <c r="B7" s="6">
        <v>556</v>
      </c>
      <c r="C7" s="6" t="s">
        <v>749</v>
      </c>
      <c r="D7" s="6" t="s">
        <v>3295</v>
      </c>
      <c r="E7" s="6" t="s">
        <v>3470</v>
      </c>
      <c r="F7" s="18" t="s">
        <v>78</v>
      </c>
      <c r="G7" s="6" t="s">
        <v>3471</v>
      </c>
      <c r="H7" s="6" t="s">
        <v>3472</v>
      </c>
      <c r="I7" s="18" t="s">
        <v>78</v>
      </c>
      <c r="J7" s="6" t="s">
        <v>1217</v>
      </c>
      <c r="K7" s="163">
        <v>42354</v>
      </c>
      <c r="L7" s="131">
        <v>225000</v>
      </c>
      <c r="M7" s="131">
        <v>758.7</v>
      </c>
      <c r="N7" s="131">
        <v>3425</v>
      </c>
      <c r="O7" s="131">
        <v>8.65</v>
      </c>
      <c r="P7" s="151">
        <v>0.01</v>
      </c>
      <c r="Q7" s="164">
        <v>46752</v>
      </c>
      <c r="V7" s="12"/>
    </row>
    <row r="8" spans="1:22" ht="14.1" customHeight="1" x14ac:dyDescent="0.2">
      <c r="A8" s="6">
        <v>512362914</v>
      </c>
      <c r="B8" s="6">
        <v>556</v>
      </c>
      <c r="C8" s="6" t="s">
        <v>749</v>
      </c>
      <c r="D8" s="6" t="s">
        <v>3259</v>
      </c>
      <c r="E8" s="6" t="s">
        <v>3473</v>
      </c>
      <c r="F8" s="18" t="s">
        <v>78</v>
      </c>
      <c r="G8" s="6" t="s">
        <v>3474</v>
      </c>
      <c r="H8" s="6" t="s">
        <v>3475</v>
      </c>
      <c r="I8" s="18" t="s">
        <v>78</v>
      </c>
      <c r="J8" s="6" t="s">
        <v>1219</v>
      </c>
      <c r="K8" s="163">
        <v>43125</v>
      </c>
      <c r="L8" s="131">
        <v>1800000</v>
      </c>
      <c r="M8" s="131">
        <v>1800</v>
      </c>
      <c r="N8" s="131">
        <v>138682.65</v>
      </c>
      <c r="O8" s="131">
        <v>138.68</v>
      </c>
      <c r="P8" s="151">
        <v>7.0000000000000007E-2</v>
      </c>
      <c r="Q8" s="164">
        <v>47143</v>
      </c>
      <c r="V8" s="12"/>
    </row>
    <row r="9" spans="1:22" ht="14.1" customHeight="1" x14ac:dyDescent="0.2">
      <c r="A9" s="6">
        <v>512362914</v>
      </c>
      <c r="B9" s="6">
        <v>556</v>
      </c>
      <c r="C9" s="6" t="s">
        <v>241</v>
      </c>
      <c r="D9" s="6" t="s">
        <v>3275</v>
      </c>
      <c r="E9" s="6" t="s">
        <v>3476</v>
      </c>
      <c r="F9" s="18" t="s">
        <v>78</v>
      </c>
      <c r="G9" s="6" t="s">
        <v>3477</v>
      </c>
      <c r="H9" s="6" t="s">
        <v>3478</v>
      </c>
      <c r="I9" s="18" t="s">
        <v>78</v>
      </c>
      <c r="J9" s="6" t="s">
        <v>1217</v>
      </c>
      <c r="K9" s="163">
        <v>43272</v>
      </c>
      <c r="L9" s="131">
        <v>750000</v>
      </c>
      <c r="M9" s="131">
        <v>2529</v>
      </c>
      <c r="N9" s="131">
        <v>97093.08</v>
      </c>
      <c r="O9" s="131">
        <v>327.39</v>
      </c>
      <c r="P9" s="151">
        <v>0.12</v>
      </c>
      <c r="Q9" s="164">
        <v>45749</v>
      </c>
      <c r="V9" s="12"/>
    </row>
    <row r="10" spans="1:22" ht="14.1" customHeight="1" x14ac:dyDescent="0.2">
      <c r="A10" s="6">
        <v>512362914</v>
      </c>
      <c r="B10" s="6">
        <v>556</v>
      </c>
      <c r="C10" s="6" t="s">
        <v>241</v>
      </c>
      <c r="D10" s="6" t="s">
        <v>3275</v>
      </c>
      <c r="E10" s="6" t="s">
        <v>3476</v>
      </c>
      <c r="F10" s="18" t="s">
        <v>78</v>
      </c>
      <c r="G10" s="6" t="s">
        <v>3479</v>
      </c>
      <c r="H10" s="6" t="s">
        <v>3480</v>
      </c>
      <c r="I10" s="18" t="s">
        <v>78</v>
      </c>
      <c r="J10" s="6" t="s">
        <v>1217</v>
      </c>
      <c r="K10" s="163">
        <v>43272</v>
      </c>
      <c r="L10" s="131">
        <v>560000</v>
      </c>
      <c r="M10" s="131">
        <v>1888.32</v>
      </c>
      <c r="N10" s="131">
        <v>133565.32</v>
      </c>
      <c r="O10" s="131">
        <v>450.38</v>
      </c>
      <c r="P10" s="151">
        <v>0.23</v>
      </c>
      <c r="Q10" s="164">
        <v>46989</v>
      </c>
      <c r="V10" s="12"/>
    </row>
    <row r="11" spans="1:22" ht="14.1" customHeight="1" x14ac:dyDescent="0.2">
      <c r="A11" s="6">
        <v>512362914</v>
      </c>
      <c r="B11" s="6">
        <v>556</v>
      </c>
      <c r="C11" s="6" t="s">
        <v>280</v>
      </c>
      <c r="D11" s="6" t="s">
        <v>3275</v>
      </c>
      <c r="E11" s="6" t="s">
        <v>3476</v>
      </c>
      <c r="F11" s="18" t="s">
        <v>78</v>
      </c>
      <c r="G11" s="6" t="s">
        <v>3481</v>
      </c>
      <c r="H11" s="6" t="s">
        <v>3482</v>
      </c>
      <c r="I11" s="18" t="s">
        <v>78</v>
      </c>
      <c r="J11" s="6" t="s">
        <v>1217</v>
      </c>
      <c r="K11" s="163">
        <v>43272</v>
      </c>
      <c r="L11" s="131">
        <v>330000</v>
      </c>
      <c r="M11" s="131">
        <v>1112.76</v>
      </c>
      <c r="N11" s="131">
        <v>169472</v>
      </c>
      <c r="O11" s="131">
        <v>582.38</v>
      </c>
      <c r="P11" s="131">
        <v>0.52</v>
      </c>
      <c r="Q11" s="164">
        <v>47856</v>
      </c>
    </row>
    <row r="12" spans="1:22" ht="14.1" customHeight="1" x14ac:dyDescent="0.2">
      <c r="A12" s="6">
        <v>512362914</v>
      </c>
      <c r="B12" s="6">
        <v>556</v>
      </c>
      <c r="C12" s="6" t="s">
        <v>749</v>
      </c>
      <c r="D12" s="6" t="s">
        <v>3263</v>
      </c>
      <c r="E12" s="6" t="s">
        <v>3483</v>
      </c>
      <c r="F12" s="18" t="s">
        <v>78</v>
      </c>
      <c r="G12" s="6" t="s">
        <v>3484</v>
      </c>
      <c r="H12" s="6" t="s">
        <v>3485</v>
      </c>
      <c r="I12" s="18" t="s">
        <v>78</v>
      </c>
      <c r="J12" s="6" t="s">
        <v>1217</v>
      </c>
      <c r="K12" s="163">
        <v>44679</v>
      </c>
      <c r="L12" s="131">
        <v>420000</v>
      </c>
      <c r="M12" s="131">
        <v>1416.24</v>
      </c>
      <c r="N12" s="131">
        <v>0</v>
      </c>
      <c r="O12" s="131">
        <v>0</v>
      </c>
      <c r="P12" s="131">
        <v>0</v>
      </c>
      <c r="Q12" s="164">
        <v>47784</v>
      </c>
    </row>
    <row r="13" spans="1:22" ht="14.1" customHeight="1" x14ac:dyDescent="0.2">
      <c r="A13" s="6">
        <v>512362914</v>
      </c>
      <c r="B13" s="6">
        <v>556</v>
      </c>
      <c r="C13" s="6" t="s">
        <v>749</v>
      </c>
      <c r="D13" s="6" t="s">
        <v>3263</v>
      </c>
      <c r="E13" s="6" t="s">
        <v>3483</v>
      </c>
      <c r="F13" s="18" t="s">
        <v>78</v>
      </c>
      <c r="G13" s="6" t="s">
        <v>3486</v>
      </c>
      <c r="H13" s="6" t="s">
        <v>3487</v>
      </c>
      <c r="I13" s="18" t="s">
        <v>78</v>
      </c>
      <c r="J13" s="6" t="s">
        <v>1217</v>
      </c>
      <c r="K13" s="163">
        <v>44679</v>
      </c>
      <c r="L13" s="131">
        <v>420000</v>
      </c>
      <c r="M13" s="131">
        <v>1416.24</v>
      </c>
      <c r="N13" s="131">
        <v>42000</v>
      </c>
      <c r="O13" s="131">
        <v>141.62</v>
      </c>
      <c r="P13" s="131">
        <v>0.1</v>
      </c>
      <c r="Q13" s="164">
        <v>47784</v>
      </c>
    </row>
    <row r="14" spans="1:22" ht="14.1" customHeight="1" x14ac:dyDescent="0.2">
      <c r="A14" s="6">
        <v>512362914</v>
      </c>
      <c r="B14" s="6">
        <v>556</v>
      </c>
      <c r="C14" s="6" t="s">
        <v>749</v>
      </c>
      <c r="D14" s="6" t="s">
        <v>3303</v>
      </c>
      <c r="E14" s="6" t="s">
        <v>3488</v>
      </c>
      <c r="F14" s="18" t="s">
        <v>78</v>
      </c>
      <c r="G14" s="6" t="s">
        <v>3489</v>
      </c>
      <c r="H14" s="6" t="s">
        <v>3490</v>
      </c>
      <c r="I14" s="18" t="s">
        <v>78</v>
      </c>
      <c r="J14" s="6" t="s">
        <v>1217</v>
      </c>
      <c r="K14" s="163">
        <v>42730</v>
      </c>
      <c r="L14" s="131">
        <v>450000</v>
      </c>
      <c r="M14" s="131">
        <v>1517.4</v>
      </c>
      <c r="N14" s="131">
        <v>22500</v>
      </c>
      <c r="O14" s="131">
        <v>75.87</v>
      </c>
      <c r="P14" s="131">
        <v>0.05</v>
      </c>
      <c r="Q14" s="164">
        <v>46025</v>
      </c>
    </row>
    <row r="15" spans="1:22" ht="14.1" customHeight="1" x14ac:dyDescent="0.2">
      <c r="A15" s="6">
        <v>512362914</v>
      </c>
      <c r="B15" s="6">
        <v>556</v>
      </c>
      <c r="C15" s="6" t="s">
        <v>749</v>
      </c>
      <c r="D15" s="6" t="s">
        <v>3291</v>
      </c>
      <c r="E15" s="6" t="s">
        <v>3491</v>
      </c>
      <c r="F15" s="18" t="s">
        <v>78</v>
      </c>
      <c r="G15" s="6" t="s">
        <v>3492</v>
      </c>
      <c r="H15" s="6" t="s">
        <v>3493</v>
      </c>
      <c r="I15" s="18" t="s">
        <v>78</v>
      </c>
      <c r="J15" s="6" t="s">
        <v>1219</v>
      </c>
      <c r="K15" s="163">
        <v>43730</v>
      </c>
      <c r="L15" s="131">
        <v>4500000</v>
      </c>
      <c r="M15" s="131">
        <v>4500</v>
      </c>
      <c r="N15" s="131">
        <v>1549160</v>
      </c>
      <c r="O15" s="131">
        <v>1198.55</v>
      </c>
      <c r="P15" s="131">
        <v>0.26</v>
      </c>
      <c r="Q15" s="164">
        <v>46415</v>
      </c>
    </row>
    <row r="16" spans="1:22" ht="14.1" customHeight="1" x14ac:dyDescent="0.2">
      <c r="A16" s="6">
        <v>512362914</v>
      </c>
      <c r="B16" s="6">
        <v>556</v>
      </c>
      <c r="C16" s="6" t="s">
        <v>280</v>
      </c>
      <c r="D16" s="6" t="s">
        <v>3494</v>
      </c>
      <c r="E16" s="6" t="s">
        <v>3495</v>
      </c>
      <c r="F16" s="18" t="s">
        <v>767</v>
      </c>
      <c r="G16" s="6" t="s">
        <v>3496</v>
      </c>
      <c r="H16" s="6" t="s">
        <v>3497</v>
      </c>
      <c r="I16" s="18" t="s">
        <v>78</v>
      </c>
      <c r="J16" s="6" t="s">
        <v>1217</v>
      </c>
      <c r="K16" s="179" t="s">
        <v>3355</v>
      </c>
      <c r="L16" s="131">
        <v>360000</v>
      </c>
      <c r="M16" s="131">
        <v>1213.92</v>
      </c>
      <c r="N16" s="131">
        <v>0</v>
      </c>
      <c r="O16" s="131">
        <v>0</v>
      </c>
      <c r="P16" s="131">
        <v>0</v>
      </c>
      <c r="Q16" s="164">
        <v>47027</v>
      </c>
    </row>
    <row r="17" spans="1:17" ht="14.1" customHeight="1" x14ac:dyDescent="0.2">
      <c r="A17" s="6">
        <v>512362914</v>
      </c>
      <c r="B17" s="6">
        <v>556</v>
      </c>
      <c r="C17" s="6" t="s">
        <v>280</v>
      </c>
      <c r="D17" s="6" t="s">
        <v>3308</v>
      </c>
      <c r="E17" s="6" t="s">
        <v>3498</v>
      </c>
      <c r="F17" s="18" t="s">
        <v>78</v>
      </c>
      <c r="G17" s="6" t="s">
        <v>3499</v>
      </c>
      <c r="H17" s="6" t="s">
        <v>3500</v>
      </c>
      <c r="I17" s="18" t="s">
        <v>78</v>
      </c>
      <c r="J17" s="6" t="s">
        <v>1215</v>
      </c>
      <c r="K17" s="163">
        <v>44448</v>
      </c>
      <c r="L17" s="131">
        <v>250000</v>
      </c>
      <c r="M17" s="131">
        <v>988.8</v>
      </c>
      <c r="N17" s="131">
        <v>12500</v>
      </c>
      <c r="O17" s="131">
        <v>49.44</v>
      </c>
      <c r="P17" s="131">
        <v>0.05</v>
      </c>
      <c r="Q17" s="164">
        <v>47410</v>
      </c>
    </row>
    <row r="18" spans="1:17" ht="14.1" customHeight="1" x14ac:dyDescent="0.2">
      <c r="A18" s="6">
        <v>512362914</v>
      </c>
      <c r="B18" s="6">
        <v>556</v>
      </c>
      <c r="C18" s="6" t="s">
        <v>280</v>
      </c>
      <c r="D18" s="6" t="s">
        <v>3339</v>
      </c>
      <c r="E18" s="6" t="s">
        <v>3501</v>
      </c>
      <c r="F18" s="18" t="s">
        <v>78</v>
      </c>
      <c r="G18" s="6" t="s">
        <v>3502</v>
      </c>
      <c r="H18" s="6" t="s">
        <v>3503</v>
      </c>
      <c r="I18" s="18" t="s">
        <v>78</v>
      </c>
      <c r="J18" s="6" t="s">
        <v>1217</v>
      </c>
      <c r="K18" s="163">
        <v>44545</v>
      </c>
      <c r="L18" s="131">
        <v>360000</v>
      </c>
      <c r="M18" s="131">
        <v>1213.92</v>
      </c>
      <c r="N18" s="131">
        <v>75143</v>
      </c>
      <c r="O18" s="131">
        <v>253.38</v>
      </c>
      <c r="P18" s="131">
        <v>0.2</v>
      </c>
      <c r="Q18" s="164">
        <v>48333</v>
      </c>
    </row>
    <row r="19" spans="1:17" ht="14.1" customHeight="1" x14ac:dyDescent="0.2">
      <c r="A19" s="6">
        <v>512362914</v>
      </c>
      <c r="B19" s="6">
        <v>556</v>
      </c>
      <c r="C19" s="6" t="s">
        <v>241</v>
      </c>
      <c r="D19" s="6" t="s">
        <v>3300</v>
      </c>
      <c r="E19" s="6" t="s">
        <v>3504</v>
      </c>
      <c r="F19" s="18" t="s">
        <v>1477</v>
      </c>
      <c r="G19" s="6" t="s">
        <v>3505</v>
      </c>
      <c r="H19" s="6" t="s">
        <v>3506</v>
      </c>
      <c r="I19" s="18" t="s">
        <v>78</v>
      </c>
      <c r="J19" s="6" t="s">
        <v>1219</v>
      </c>
      <c r="K19" s="163">
        <v>44560</v>
      </c>
      <c r="L19" s="131">
        <v>1500000</v>
      </c>
      <c r="M19" s="131">
        <v>1500</v>
      </c>
      <c r="N19" s="131">
        <v>801423</v>
      </c>
      <c r="O19" s="131">
        <v>793.69</v>
      </c>
      <c r="P19" s="131">
        <v>0.52</v>
      </c>
      <c r="Q19" s="164">
        <v>46021</v>
      </c>
    </row>
    <row r="20" spans="1:17" ht="14.1" customHeight="1" x14ac:dyDescent="0.2">
      <c r="A20" s="6">
        <v>512362914</v>
      </c>
      <c r="B20" s="6">
        <v>556</v>
      </c>
      <c r="C20" s="6" t="s">
        <v>280</v>
      </c>
      <c r="D20" s="6" t="s">
        <v>3313</v>
      </c>
      <c r="E20" s="6" t="s">
        <v>3507</v>
      </c>
      <c r="F20" s="18" t="s">
        <v>767</v>
      </c>
      <c r="G20" s="6" t="s">
        <v>3508</v>
      </c>
      <c r="H20" s="6" t="s">
        <v>3509</v>
      </c>
      <c r="I20" s="18" t="s">
        <v>78</v>
      </c>
      <c r="J20" s="6" t="s">
        <v>1217</v>
      </c>
      <c r="K20" s="163">
        <v>44680</v>
      </c>
      <c r="L20" s="131">
        <v>240000</v>
      </c>
      <c r="M20" s="131">
        <v>809.28</v>
      </c>
      <c r="N20" s="131">
        <v>41518</v>
      </c>
      <c r="O20" s="131">
        <v>118</v>
      </c>
      <c r="P20" s="131">
        <v>0.14000000000000001</v>
      </c>
      <c r="Q20" s="164">
        <v>46640</v>
      </c>
    </row>
    <row r="21" spans="1:17" ht="14.1" customHeight="1" x14ac:dyDescent="0.2">
      <c r="A21" s="6">
        <v>512362914</v>
      </c>
      <c r="B21" s="6">
        <v>556</v>
      </c>
      <c r="C21" s="6" t="s">
        <v>280</v>
      </c>
      <c r="D21" s="6" t="s">
        <v>3324</v>
      </c>
      <c r="E21" s="6" t="s">
        <v>3510</v>
      </c>
      <c r="F21" s="6" t="s">
        <v>430</v>
      </c>
      <c r="G21" s="6" t="s">
        <v>3326</v>
      </c>
      <c r="H21" s="6" t="s">
        <v>3511</v>
      </c>
      <c r="I21" s="6" t="s">
        <v>78</v>
      </c>
      <c r="J21" s="6" t="s">
        <v>1217</v>
      </c>
      <c r="K21" s="163">
        <v>44559</v>
      </c>
      <c r="L21" s="131">
        <v>250000</v>
      </c>
      <c r="M21" s="131">
        <v>843</v>
      </c>
      <c r="N21" s="131">
        <v>200875</v>
      </c>
      <c r="O21" s="131">
        <v>643.63</v>
      </c>
      <c r="P21" s="131">
        <v>0.76</v>
      </c>
      <c r="Q21" s="164">
        <v>47666</v>
      </c>
    </row>
    <row r="22" spans="1:17" ht="14.1" customHeight="1" x14ac:dyDescent="0.2">
      <c r="A22" s="6">
        <v>512362914</v>
      </c>
      <c r="B22" s="6">
        <v>556</v>
      </c>
      <c r="C22" s="6" t="s">
        <v>280</v>
      </c>
      <c r="D22" s="6" t="s">
        <v>3335</v>
      </c>
      <c r="E22" s="6" t="s">
        <v>3512</v>
      </c>
      <c r="F22" s="6" t="s">
        <v>78</v>
      </c>
      <c r="G22" s="6" t="s">
        <v>3513</v>
      </c>
      <c r="H22" s="6" t="s">
        <v>3514</v>
      </c>
      <c r="I22" s="6" t="s">
        <v>78</v>
      </c>
      <c r="J22" s="6" t="s">
        <v>1217</v>
      </c>
      <c r="K22" s="163">
        <v>44796</v>
      </c>
      <c r="L22" s="131">
        <v>350000</v>
      </c>
      <c r="M22" s="131">
        <v>1180.2</v>
      </c>
      <c r="N22" s="131">
        <v>254953</v>
      </c>
      <c r="O22" s="131">
        <v>863.79</v>
      </c>
      <c r="P22" s="131">
        <v>0.73</v>
      </c>
      <c r="Q22" s="164">
        <v>48519</v>
      </c>
    </row>
    <row r="23" spans="1:17" ht="14.1" customHeight="1" x14ac:dyDescent="0.2">
      <c r="A23" s="6">
        <v>512362914</v>
      </c>
      <c r="B23" s="6">
        <v>556</v>
      </c>
      <c r="C23" s="6" t="s">
        <v>749</v>
      </c>
      <c r="D23" s="6" t="s">
        <v>3316</v>
      </c>
      <c r="E23" s="6" t="s">
        <v>3515</v>
      </c>
      <c r="F23" s="6" t="s">
        <v>78</v>
      </c>
      <c r="G23" s="6" t="s">
        <v>3318</v>
      </c>
      <c r="H23" s="6" t="s">
        <v>3516</v>
      </c>
      <c r="I23" s="6" t="s">
        <v>78</v>
      </c>
      <c r="J23" s="6" t="s">
        <v>1217</v>
      </c>
      <c r="K23" s="163">
        <v>44893</v>
      </c>
      <c r="L23" s="131">
        <v>350000</v>
      </c>
      <c r="M23" s="131">
        <v>1180.2</v>
      </c>
      <c r="N23" s="131">
        <v>304500</v>
      </c>
      <c r="O23" s="131">
        <v>932.35</v>
      </c>
      <c r="P23" s="131">
        <v>0.79</v>
      </c>
      <c r="Q23" s="164">
        <v>49457</v>
      </c>
    </row>
    <row r="24" spans="1:17" ht="14.1" customHeight="1" x14ac:dyDescent="0.2">
      <c r="A24" s="6">
        <v>512362914</v>
      </c>
      <c r="B24" s="6">
        <v>556</v>
      </c>
      <c r="C24" s="6" t="s">
        <v>280</v>
      </c>
      <c r="D24" s="6" t="s">
        <v>3347</v>
      </c>
      <c r="E24" s="6" t="s">
        <v>3517</v>
      </c>
      <c r="F24" s="6" t="s">
        <v>78</v>
      </c>
      <c r="G24" s="6" t="s">
        <v>3349</v>
      </c>
      <c r="H24" s="6" t="s">
        <v>3518</v>
      </c>
      <c r="I24" s="6" t="s">
        <v>78</v>
      </c>
      <c r="J24" s="6" t="s">
        <v>1217</v>
      </c>
      <c r="K24" s="163">
        <v>45007</v>
      </c>
      <c r="L24" s="131">
        <v>400000</v>
      </c>
      <c r="M24" s="131">
        <v>1348.8</v>
      </c>
      <c r="N24" s="131">
        <v>257182.66</v>
      </c>
      <c r="O24" s="131">
        <v>805.09</v>
      </c>
      <c r="P24" s="131">
        <v>0.59</v>
      </c>
      <c r="Q24" s="164">
        <v>48304</v>
      </c>
    </row>
    <row r="25" spans="1:17" ht="14.1" customHeight="1" x14ac:dyDescent="0.2">
      <c r="A25" s="6">
        <v>512362914</v>
      </c>
      <c r="B25" s="6">
        <v>556</v>
      </c>
      <c r="C25" s="6" t="s">
        <v>280</v>
      </c>
      <c r="D25" s="6" t="s">
        <v>3339</v>
      </c>
      <c r="E25" s="6" t="s">
        <v>3340</v>
      </c>
      <c r="F25" s="6" t="s">
        <v>430</v>
      </c>
      <c r="G25" s="6" t="s">
        <v>3519</v>
      </c>
      <c r="H25" s="6" t="s">
        <v>3520</v>
      </c>
      <c r="I25" s="6" t="s">
        <v>78</v>
      </c>
      <c r="J25" s="6" t="s">
        <v>1217</v>
      </c>
      <c r="K25" s="179" t="s">
        <v>3521</v>
      </c>
      <c r="L25" s="131">
        <v>390000</v>
      </c>
      <c r="M25" s="131">
        <v>1315.08</v>
      </c>
      <c r="N25" s="131">
        <v>332835</v>
      </c>
      <c r="O25" s="131">
        <v>1027.67</v>
      </c>
      <c r="P25" s="131">
        <v>0.78</v>
      </c>
      <c r="Q25" s="164">
        <v>46758</v>
      </c>
    </row>
    <row r="26" spans="1:17" ht="14.1" customHeight="1" x14ac:dyDescent="0.2">
      <c r="A26" s="6">
        <v>512362914</v>
      </c>
      <c r="B26" s="6">
        <v>556</v>
      </c>
      <c r="C26" s="6" t="s">
        <v>280</v>
      </c>
      <c r="D26" s="6" t="s">
        <v>3494</v>
      </c>
      <c r="E26" s="6" t="s">
        <v>3495</v>
      </c>
      <c r="F26" s="6" t="s">
        <v>767</v>
      </c>
      <c r="G26" s="6" t="s">
        <v>3522</v>
      </c>
      <c r="H26" s="6" t="s">
        <v>3523</v>
      </c>
      <c r="I26" s="6" t="s">
        <v>78</v>
      </c>
      <c r="J26" s="6" t="s">
        <v>1217</v>
      </c>
      <c r="K26" s="179" t="s">
        <v>3355</v>
      </c>
      <c r="L26" s="131">
        <v>360000</v>
      </c>
      <c r="M26" s="131">
        <v>1213.92</v>
      </c>
      <c r="N26" s="131">
        <v>111600</v>
      </c>
      <c r="O26" s="131">
        <v>376.31</v>
      </c>
      <c r="P26" s="131">
        <v>0.31</v>
      </c>
      <c r="Q26" s="164">
        <v>47027</v>
      </c>
    </row>
    <row r="27" spans="1:17" ht="14.1" customHeight="1" x14ac:dyDescent="0.2">
      <c r="A27" s="6">
        <v>512362914</v>
      </c>
      <c r="B27" s="6">
        <v>556</v>
      </c>
      <c r="C27" s="6" t="s">
        <v>280</v>
      </c>
      <c r="D27" s="6" t="s">
        <v>3524</v>
      </c>
      <c r="E27" s="6" t="s">
        <v>3343</v>
      </c>
      <c r="F27" s="6" t="s">
        <v>767</v>
      </c>
      <c r="G27" s="6" t="s">
        <v>3525</v>
      </c>
      <c r="H27" s="6" t="s">
        <v>3526</v>
      </c>
      <c r="I27" s="6" t="s">
        <v>78</v>
      </c>
      <c r="J27" s="6" t="s">
        <v>1215</v>
      </c>
      <c r="K27" s="179" t="s">
        <v>3527</v>
      </c>
      <c r="L27" s="131">
        <v>260000</v>
      </c>
      <c r="M27" s="131">
        <v>1028.3499999999999</v>
      </c>
      <c r="N27" s="131">
        <v>246345</v>
      </c>
      <c r="O27" s="131">
        <v>925.81</v>
      </c>
      <c r="P27" s="131">
        <v>0.9</v>
      </c>
      <c r="Q27" s="164">
        <v>47701</v>
      </c>
    </row>
    <row r="28" spans="1:17" ht="14.1" customHeight="1" x14ac:dyDescent="0.2">
      <c r="A28" s="6">
        <v>512362914</v>
      </c>
      <c r="B28" s="6">
        <v>7205</v>
      </c>
      <c r="C28" s="6" t="s">
        <v>749</v>
      </c>
      <c r="D28" s="6" t="s">
        <v>3280</v>
      </c>
      <c r="E28" s="6" t="s">
        <v>3457</v>
      </c>
      <c r="F28" s="6" t="s">
        <v>1477</v>
      </c>
      <c r="G28" s="6" t="s">
        <v>3458</v>
      </c>
      <c r="H28" s="6" t="s">
        <v>3459</v>
      </c>
      <c r="I28" s="6" t="s">
        <v>78</v>
      </c>
      <c r="J28" s="6" t="s">
        <v>1219</v>
      </c>
      <c r="K28" s="163">
        <v>41990</v>
      </c>
      <c r="L28" s="131">
        <v>3754875.85</v>
      </c>
      <c r="M28" s="131">
        <v>3754.87</v>
      </c>
      <c r="N28" s="131">
        <v>370203.9</v>
      </c>
      <c r="O28" s="131">
        <v>370.2</v>
      </c>
      <c r="P28" s="131">
        <v>0.09</v>
      </c>
      <c r="Q28" s="164">
        <v>45658</v>
      </c>
    </row>
    <row r="29" spans="1:17" ht="14.1" customHeight="1" x14ac:dyDescent="0.2">
      <c r="A29" s="6">
        <v>512362914</v>
      </c>
      <c r="B29" s="6">
        <v>7205</v>
      </c>
      <c r="C29" s="6" t="s">
        <v>241</v>
      </c>
      <c r="D29" s="6" t="s">
        <v>3460</v>
      </c>
      <c r="E29" s="6" t="s">
        <v>3461</v>
      </c>
      <c r="F29" s="6" t="s">
        <v>78</v>
      </c>
      <c r="G29" s="6" t="s">
        <v>3462</v>
      </c>
      <c r="H29" s="6" t="s">
        <v>3463</v>
      </c>
      <c r="I29" s="6" t="s">
        <v>78</v>
      </c>
      <c r="J29" s="6" t="s">
        <v>1219</v>
      </c>
      <c r="K29" s="163">
        <v>42235</v>
      </c>
      <c r="L29" s="131">
        <v>6700000</v>
      </c>
      <c r="M29" s="131">
        <v>6700</v>
      </c>
      <c r="N29" s="131">
        <v>1462723.9</v>
      </c>
      <c r="O29" s="131">
        <v>1462.72</v>
      </c>
      <c r="P29" s="131">
        <v>0</v>
      </c>
      <c r="Q29" s="164">
        <v>45657</v>
      </c>
    </row>
    <row r="30" spans="1:17" ht="14.1" customHeight="1" x14ac:dyDescent="0.2">
      <c r="A30" s="6">
        <v>512362914</v>
      </c>
      <c r="B30" s="6">
        <v>7205</v>
      </c>
      <c r="C30" s="6" t="s">
        <v>241</v>
      </c>
      <c r="D30" s="6" t="s">
        <v>3460</v>
      </c>
      <c r="E30" s="6" t="s">
        <v>3461</v>
      </c>
      <c r="F30" s="6" t="s">
        <v>78</v>
      </c>
      <c r="G30" s="6" t="s">
        <v>3464</v>
      </c>
      <c r="H30" s="6" t="s">
        <v>3465</v>
      </c>
      <c r="I30" s="6" t="s">
        <v>78</v>
      </c>
      <c r="J30" s="6" t="s">
        <v>1219</v>
      </c>
      <c r="K30" s="163">
        <v>42235</v>
      </c>
      <c r="L30" s="131">
        <v>6700000</v>
      </c>
      <c r="M30" s="131">
        <v>6700</v>
      </c>
      <c r="N30" s="131">
        <v>2579606.36</v>
      </c>
      <c r="O30" s="131">
        <v>2579.6</v>
      </c>
      <c r="P30" s="131">
        <v>0.38</v>
      </c>
      <c r="Q30" s="164">
        <v>45657</v>
      </c>
    </row>
    <row r="31" spans="1:17" ht="14.1" customHeight="1" x14ac:dyDescent="0.2">
      <c r="A31" s="6">
        <v>512362914</v>
      </c>
      <c r="B31" s="6">
        <v>7205</v>
      </c>
      <c r="C31" s="6" t="s">
        <v>241</v>
      </c>
      <c r="D31" s="6" t="s">
        <v>3285</v>
      </c>
      <c r="E31" s="6" t="s">
        <v>3286</v>
      </c>
      <c r="F31" s="6" t="s">
        <v>78</v>
      </c>
      <c r="G31" s="6" t="s">
        <v>3466</v>
      </c>
      <c r="H31" s="6" t="s">
        <v>3467</v>
      </c>
      <c r="I31" s="6" t="s">
        <v>78</v>
      </c>
      <c r="J31" s="6" t="s">
        <v>1219</v>
      </c>
      <c r="K31" s="163">
        <v>42445</v>
      </c>
      <c r="L31" s="131">
        <v>4420000</v>
      </c>
      <c r="M31" s="131">
        <v>4420</v>
      </c>
      <c r="N31" s="131">
        <v>1914070.8</v>
      </c>
      <c r="O31" s="131">
        <v>1914.07</v>
      </c>
      <c r="P31" s="131">
        <v>0.43</v>
      </c>
      <c r="Q31" s="164">
        <v>45366</v>
      </c>
    </row>
    <row r="32" spans="1:17" ht="14.1" customHeight="1" x14ac:dyDescent="0.2">
      <c r="A32" s="6">
        <v>512362914</v>
      </c>
      <c r="B32" s="6">
        <v>7205</v>
      </c>
      <c r="C32" s="6" t="s">
        <v>241</v>
      </c>
      <c r="D32" s="6" t="s">
        <v>3285</v>
      </c>
      <c r="E32" s="6" t="s">
        <v>3286</v>
      </c>
      <c r="F32" s="6" t="s">
        <v>78</v>
      </c>
      <c r="G32" s="6" t="s">
        <v>3468</v>
      </c>
      <c r="H32" s="6" t="s">
        <v>3469</v>
      </c>
      <c r="I32" s="6" t="s">
        <v>78</v>
      </c>
      <c r="J32" s="6" t="s">
        <v>1219</v>
      </c>
      <c r="K32" s="163">
        <v>42445</v>
      </c>
      <c r="L32" s="131">
        <v>2380000</v>
      </c>
      <c r="M32" s="131">
        <v>2380</v>
      </c>
      <c r="N32" s="131">
        <v>2380000</v>
      </c>
      <c r="O32" s="131">
        <v>2380</v>
      </c>
      <c r="P32" s="131">
        <v>1</v>
      </c>
      <c r="Q32" s="192">
        <v>45664</v>
      </c>
    </row>
    <row r="33" spans="1:17" ht="14.25" x14ac:dyDescent="0.2">
      <c r="A33" s="6">
        <v>512362914</v>
      </c>
      <c r="B33" s="6">
        <v>7205</v>
      </c>
      <c r="C33" s="6" t="s">
        <v>749</v>
      </c>
      <c r="D33" s="6" t="s">
        <v>3295</v>
      </c>
      <c r="E33" s="6" t="s">
        <v>3470</v>
      </c>
      <c r="F33" s="6" t="s">
        <v>78</v>
      </c>
      <c r="G33" s="6" t="s">
        <v>3471</v>
      </c>
      <c r="H33" s="6" t="s">
        <v>3472</v>
      </c>
      <c r="I33" s="6" t="s">
        <v>78</v>
      </c>
      <c r="J33" s="6" t="s">
        <v>1217</v>
      </c>
      <c r="K33" s="163">
        <v>42354</v>
      </c>
      <c r="L33" s="131">
        <v>1275000</v>
      </c>
      <c r="M33" s="131">
        <v>4299.3</v>
      </c>
      <c r="N33" s="131">
        <v>14540.1</v>
      </c>
      <c r="O33" s="131">
        <v>49.02</v>
      </c>
      <c r="P33" s="131">
        <v>0.01</v>
      </c>
      <c r="Q33" s="164">
        <v>46752</v>
      </c>
    </row>
    <row r="34" spans="1:17" ht="14.25" x14ac:dyDescent="0.2">
      <c r="A34" s="6">
        <v>512362914</v>
      </c>
      <c r="B34" s="6">
        <v>7205</v>
      </c>
      <c r="C34" s="6" t="s">
        <v>749</v>
      </c>
      <c r="D34" s="6" t="s">
        <v>3259</v>
      </c>
      <c r="E34" s="6" t="s">
        <v>3473</v>
      </c>
      <c r="F34" s="6" t="s">
        <v>78</v>
      </c>
      <c r="G34" s="6" t="s">
        <v>3474</v>
      </c>
      <c r="H34" s="6" t="s">
        <v>3475</v>
      </c>
      <c r="I34" s="6" t="s">
        <v>78</v>
      </c>
      <c r="J34" s="6" t="s">
        <v>1219</v>
      </c>
      <c r="K34" s="163">
        <v>43125</v>
      </c>
      <c r="L34" s="131">
        <v>10200000</v>
      </c>
      <c r="M34" s="131">
        <v>10200</v>
      </c>
      <c r="N34" s="131">
        <v>785868.35</v>
      </c>
      <c r="O34" s="131">
        <v>785.86</v>
      </c>
      <c r="P34" s="131">
        <v>7.0000000000000007E-2</v>
      </c>
      <c r="Q34" s="164">
        <v>47143</v>
      </c>
    </row>
    <row r="35" spans="1:17" ht="14.25" x14ac:dyDescent="0.2">
      <c r="A35" s="6">
        <v>512362914</v>
      </c>
      <c r="B35" s="6">
        <v>7205</v>
      </c>
      <c r="C35" s="6" t="s">
        <v>241</v>
      </c>
      <c r="D35" s="6" t="s">
        <v>3275</v>
      </c>
      <c r="E35" s="6" t="s">
        <v>3476</v>
      </c>
      <c r="F35" s="6" t="s">
        <v>78</v>
      </c>
      <c r="G35" s="6" t="s">
        <v>3477</v>
      </c>
      <c r="H35" s="6" t="s">
        <v>3478</v>
      </c>
      <c r="I35" s="6" t="s">
        <v>78</v>
      </c>
      <c r="J35" s="6" t="s">
        <v>1217</v>
      </c>
      <c r="K35" s="163">
        <v>43272</v>
      </c>
      <c r="L35" s="131">
        <v>4250000</v>
      </c>
      <c r="M35" s="131">
        <v>14331</v>
      </c>
      <c r="N35" s="131">
        <v>550193.94999999995</v>
      </c>
      <c r="O35" s="131">
        <v>1855.25</v>
      </c>
      <c r="P35" s="131">
        <v>0.12</v>
      </c>
      <c r="Q35" s="164">
        <v>45749</v>
      </c>
    </row>
    <row r="36" spans="1:17" ht="14.25" x14ac:dyDescent="0.2">
      <c r="A36" s="6">
        <v>512362914</v>
      </c>
      <c r="B36" s="6">
        <v>7205</v>
      </c>
      <c r="C36" s="6" t="s">
        <v>241</v>
      </c>
      <c r="D36" s="6" t="s">
        <v>3275</v>
      </c>
      <c r="E36" s="6" t="s">
        <v>3476</v>
      </c>
      <c r="F36" s="6" t="s">
        <v>78</v>
      </c>
      <c r="G36" s="6" t="s">
        <v>3479</v>
      </c>
      <c r="H36" s="6" t="s">
        <v>3480</v>
      </c>
      <c r="I36" s="6" t="s">
        <v>78</v>
      </c>
      <c r="J36" s="6" t="s">
        <v>1217</v>
      </c>
      <c r="K36" s="163">
        <v>43272</v>
      </c>
      <c r="L36" s="131">
        <v>3333000</v>
      </c>
      <c r="M36" s="131">
        <v>11238.87</v>
      </c>
      <c r="N36" s="131">
        <v>794952.16</v>
      </c>
      <c r="O36" s="131">
        <v>2680.57</v>
      </c>
      <c r="P36" s="131">
        <v>0.23</v>
      </c>
      <c r="Q36" s="164">
        <v>46989</v>
      </c>
    </row>
    <row r="37" spans="1:17" ht="14.25" x14ac:dyDescent="0.2">
      <c r="A37" s="6">
        <v>512362914</v>
      </c>
      <c r="B37" s="6">
        <v>7205</v>
      </c>
      <c r="C37" s="6" t="s">
        <v>280</v>
      </c>
      <c r="D37" s="6" t="s">
        <v>3275</v>
      </c>
      <c r="E37" s="6" t="s">
        <v>3476</v>
      </c>
      <c r="F37" s="6" t="s">
        <v>78</v>
      </c>
      <c r="G37" s="6" t="s">
        <v>3481</v>
      </c>
      <c r="H37" s="6" t="s">
        <v>3482</v>
      </c>
      <c r="I37" s="6" t="s">
        <v>78</v>
      </c>
      <c r="J37" s="6" t="s">
        <v>1217</v>
      </c>
      <c r="K37" s="163">
        <v>43272</v>
      </c>
      <c r="L37" s="131">
        <v>2450000</v>
      </c>
      <c r="M37" s="131">
        <v>8261.4</v>
      </c>
      <c r="N37" s="131">
        <v>1282245.8799999999</v>
      </c>
      <c r="O37" s="131">
        <v>4323.7299999999996</v>
      </c>
      <c r="P37" s="131">
        <v>0.52</v>
      </c>
      <c r="Q37" s="164">
        <v>47856</v>
      </c>
    </row>
    <row r="38" spans="1:17" ht="14.25" x14ac:dyDescent="0.2">
      <c r="A38" s="6">
        <v>512362914</v>
      </c>
      <c r="B38" s="6">
        <v>7205</v>
      </c>
      <c r="C38" s="6" t="s">
        <v>749</v>
      </c>
      <c r="D38" s="6" t="s">
        <v>3263</v>
      </c>
      <c r="E38" s="6" t="s">
        <v>3483</v>
      </c>
      <c r="F38" s="6" t="s">
        <v>78</v>
      </c>
      <c r="G38" s="6" t="s">
        <v>3484</v>
      </c>
      <c r="H38" s="6" t="s">
        <v>3485</v>
      </c>
      <c r="I38" s="6" t="s">
        <v>78</v>
      </c>
      <c r="J38" s="6" t="s">
        <v>1217</v>
      </c>
      <c r="K38" s="163">
        <v>44679</v>
      </c>
      <c r="L38" s="131">
        <v>2490000</v>
      </c>
      <c r="M38" s="131">
        <v>8396.2800000000007</v>
      </c>
      <c r="N38" s="131">
        <v>0</v>
      </c>
      <c r="O38" s="131">
        <v>0</v>
      </c>
      <c r="P38" s="131">
        <v>0</v>
      </c>
      <c r="Q38" s="164">
        <v>47784</v>
      </c>
    </row>
    <row r="39" spans="1:17" ht="14.25" x14ac:dyDescent="0.2">
      <c r="A39" s="6">
        <v>512362914</v>
      </c>
      <c r="B39" s="6">
        <v>7205</v>
      </c>
      <c r="C39" s="6" t="s">
        <v>749</v>
      </c>
      <c r="D39" s="6" t="s">
        <v>3263</v>
      </c>
      <c r="E39" s="6" t="s">
        <v>3483</v>
      </c>
      <c r="F39" s="6" t="s">
        <v>78</v>
      </c>
      <c r="G39" s="6" t="s">
        <v>3486</v>
      </c>
      <c r="H39" s="6" t="s">
        <v>3487</v>
      </c>
      <c r="I39" s="6" t="s">
        <v>78</v>
      </c>
      <c r="J39" s="6" t="s">
        <v>1217</v>
      </c>
      <c r="K39" s="163">
        <v>44679</v>
      </c>
      <c r="L39" s="131">
        <v>2490000</v>
      </c>
      <c r="M39" s="131">
        <v>8396.2800000000007</v>
      </c>
      <c r="N39" s="131">
        <v>249000</v>
      </c>
      <c r="O39" s="131">
        <v>839.62</v>
      </c>
      <c r="P39" s="131">
        <v>0.1</v>
      </c>
      <c r="Q39" s="164">
        <v>47784</v>
      </c>
    </row>
    <row r="40" spans="1:17" ht="14.25" x14ac:dyDescent="0.2">
      <c r="A40" s="6">
        <v>512362914</v>
      </c>
      <c r="B40" s="6">
        <v>7205</v>
      </c>
      <c r="C40" s="6" t="s">
        <v>749</v>
      </c>
      <c r="D40" s="6" t="s">
        <v>3303</v>
      </c>
      <c r="E40" s="6" t="s">
        <v>3488</v>
      </c>
      <c r="F40" s="6" t="s">
        <v>78</v>
      </c>
      <c r="G40" s="6" t="s">
        <v>3489</v>
      </c>
      <c r="H40" s="6" t="s">
        <v>3490</v>
      </c>
      <c r="I40" s="6" t="s">
        <v>78</v>
      </c>
      <c r="J40" s="6" t="s">
        <v>1217</v>
      </c>
      <c r="K40" s="163">
        <v>42730</v>
      </c>
      <c r="L40" s="131">
        <v>2550000</v>
      </c>
      <c r="M40" s="131">
        <v>8598.6</v>
      </c>
      <c r="N40" s="131">
        <v>127500</v>
      </c>
      <c r="O40" s="131">
        <v>429.93</v>
      </c>
      <c r="P40" s="131">
        <v>0.05</v>
      </c>
      <c r="Q40" s="164">
        <v>46025</v>
      </c>
    </row>
    <row r="41" spans="1:17" ht="14.25" x14ac:dyDescent="0.2">
      <c r="A41" s="6">
        <v>512362914</v>
      </c>
      <c r="B41" s="6">
        <v>7205</v>
      </c>
      <c r="C41" s="6" t="s">
        <v>749</v>
      </c>
      <c r="D41" s="6" t="s">
        <v>3291</v>
      </c>
      <c r="E41" s="6" t="s">
        <v>3491</v>
      </c>
      <c r="F41" s="6" t="s">
        <v>78</v>
      </c>
      <c r="G41" s="6" t="s">
        <v>3492</v>
      </c>
      <c r="H41" s="6" t="s">
        <v>3493</v>
      </c>
      <c r="I41" s="6" t="s">
        <v>78</v>
      </c>
      <c r="J41" s="6" t="s">
        <v>1219</v>
      </c>
      <c r="K41" s="163">
        <v>43730</v>
      </c>
      <c r="L41" s="131">
        <v>24600000</v>
      </c>
      <c r="M41" s="131">
        <v>24600</v>
      </c>
      <c r="N41" s="131">
        <v>6552093.5599999996</v>
      </c>
      <c r="O41" s="131">
        <v>6552.09</v>
      </c>
      <c r="P41" s="131">
        <v>0.26</v>
      </c>
      <c r="Q41" s="164">
        <v>46415</v>
      </c>
    </row>
    <row r="42" spans="1:17" ht="14.25" x14ac:dyDescent="0.2">
      <c r="A42" s="6">
        <v>512362914</v>
      </c>
      <c r="B42" s="6">
        <v>7205</v>
      </c>
      <c r="C42" s="6" t="s">
        <v>280</v>
      </c>
      <c r="D42" s="6" t="s">
        <v>3494</v>
      </c>
      <c r="E42" s="6" t="s">
        <v>3495</v>
      </c>
      <c r="F42" s="6" t="s">
        <v>767</v>
      </c>
      <c r="G42" s="6" t="s">
        <v>3496</v>
      </c>
      <c r="H42" s="6" t="s">
        <v>3497</v>
      </c>
      <c r="I42" s="6" t="s">
        <v>78</v>
      </c>
      <c r="J42" s="6" t="s">
        <v>1217</v>
      </c>
      <c r="K42" s="179" t="s">
        <v>3355</v>
      </c>
      <c r="L42" s="131">
        <v>2520000</v>
      </c>
      <c r="M42" s="131">
        <v>8497.44</v>
      </c>
      <c r="N42" s="131">
        <v>0</v>
      </c>
      <c r="O42" s="131">
        <v>0</v>
      </c>
      <c r="P42" s="131">
        <v>0</v>
      </c>
      <c r="Q42" s="164">
        <v>47027</v>
      </c>
    </row>
    <row r="43" spans="1:17" ht="14.25" x14ac:dyDescent="0.2">
      <c r="A43" s="6">
        <v>512362914</v>
      </c>
      <c r="B43" s="6">
        <v>7205</v>
      </c>
      <c r="C43" s="6" t="s">
        <v>280</v>
      </c>
      <c r="D43" s="6" t="s">
        <v>3308</v>
      </c>
      <c r="E43" s="6" t="s">
        <v>3498</v>
      </c>
      <c r="F43" s="6" t="s">
        <v>78</v>
      </c>
      <c r="G43" s="6" t="s">
        <v>3499</v>
      </c>
      <c r="H43" s="6" t="s">
        <v>3500</v>
      </c>
      <c r="I43" s="6" t="s">
        <v>78</v>
      </c>
      <c r="J43" s="6" t="s">
        <v>1215</v>
      </c>
      <c r="K43" s="163">
        <v>44448</v>
      </c>
      <c r="L43" s="131">
        <v>1650000</v>
      </c>
      <c r="M43" s="131">
        <v>6526.08</v>
      </c>
      <c r="N43" s="131">
        <v>82500</v>
      </c>
      <c r="O43" s="131">
        <v>326.3</v>
      </c>
      <c r="P43" s="131">
        <v>0.05</v>
      </c>
      <c r="Q43" s="164">
        <v>47410</v>
      </c>
    </row>
    <row r="44" spans="1:17" ht="14.25" x14ac:dyDescent="0.2">
      <c r="A44" s="6">
        <v>512362914</v>
      </c>
      <c r="B44" s="6">
        <v>7205</v>
      </c>
      <c r="C44" s="6" t="s">
        <v>280</v>
      </c>
      <c r="D44" s="6" t="s">
        <v>3339</v>
      </c>
      <c r="E44" s="6" t="s">
        <v>3501</v>
      </c>
      <c r="F44" s="6" t="s">
        <v>78</v>
      </c>
      <c r="G44" s="6" t="s">
        <v>3502</v>
      </c>
      <c r="H44" s="6" t="s">
        <v>3503</v>
      </c>
      <c r="I44" s="6" t="s">
        <v>78</v>
      </c>
      <c r="J44" s="6" t="s">
        <v>1217</v>
      </c>
      <c r="K44" s="163">
        <v>44545</v>
      </c>
      <c r="L44" s="131">
        <v>2520000</v>
      </c>
      <c r="M44" s="131">
        <v>8497.44</v>
      </c>
      <c r="N44" s="131">
        <v>526003.80000000005</v>
      </c>
      <c r="O44" s="131">
        <v>1773.68</v>
      </c>
      <c r="P44" s="131">
        <v>0.2</v>
      </c>
      <c r="Q44" s="164">
        <v>48333</v>
      </c>
    </row>
    <row r="45" spans="1:17" ht="14.25" x14ac:dyDescent="0.2">
      <c r="A45" s="6">
        <v>512362914</v>
      </c>
      <c r="B45" s="6">
        <v>7205</v>
      </c>
      <c r="C45" s="6" t="s">
        <v>241</v>
      </c>
      <c r="D45" s="6" t="s">
        <v>3300</v>
      </c>
      <c r="E45" s="6" t="s">
        <v>3504</v>
      </c>
      <c r="F45" s="6" t="s">
        <v>1477</v>
      </c>
      <c r="G45" s="6" t="s">
        <v>3505</v>
      </c>
      <c r="H45" s="6" t="s">
        <v>3506</v>
      </c>
      <c r="I45" s="6" t="s">
        <v>78</v>
      </c>
      <c r="J45" s="6" t="s">
        <v>1219</v>
      </c>
      <c r="K45" s="163">
        <v>44560</v>
      </c>
      <c r="L45" s="131">
        <v>12700000</v>
      </c>
      <c r="M45" s="131">
        <v>12700</v>
      </c>
      <c r="N45" s="131">
        <v>6719949.2999999998</v>
      </c>
      <c r="O45" s="131">
        <v>6719.94</v>
      </c>
      <c r="P45" s="131">
        <v>0.52</v>
      </c>
      <c r="Q45" s="164">
        <v>46021</v>
      </c>
    </row>
    <row r="46" spans="1:17" ht="14.25" x14ac:dyDescent="0.2">
      <c r="A46" s="6">
        <v>512362914</v>
      </c>
      <c r="B46" s="6">
        <v>7205</v>
      </c>
      <c r="C46" s="6" t="s">
        <v>280</v>
      </c>
      <c r="D46" s="6" t="s">
        <v>3313</v>
      </c>
      <c r="E46" s="6" t="s">
        <v>3507</v>
      </c>
      <c r="F46" s="6" t="s">
        <v>767</v>
      </c>
      <c r="G46" s="6" t="s">
        <v>3508</v>
      </c>
      <c r="H46" s="6" t="s">
        <v>3509</v>
      </c>
      <c r="I46" s="6" t="s">
        <v>78</v>
      </c>
      <c r="J46" s="6" t="s">
        <v>1217</v>
      </c>
      <c r="K46" s="163">
        <v>44680</v>
      </c>
      <c r="L46" s="131">
        <v>1670000</v>
      </c>
      <c r="M46" s="131">
        <v>5631.24</v>
      </c>
      <c r="N46" s="131">
        <v>243502.7</v>
      </c>
      <c r="O46" s="131">
        <v>821.09</v>
      </c>
      <c r="P46" s="131">
        <v>0.14000000000000001</v>
      </c>
      <c r="Q46" s="164">
        <v>46640</v>
      </c>
    </row>
    <row r="47" spans="1:17" ht="14.25" x14ac:dyDescent="0.2">
      <c r="A47" s="6">
        <v>512362914</v>
      </c>
      <c r="B47" s="6">
        <v>7205</v>
      </c>
      <c r="C47" s="6" t="s">
        <v>280</v>
      </c>
      <c r="D47" s="6" t="s">
        <v>3324</v>
      </c>
      <c r="E47" s="6" t="s">
        <v>3510</v>
      </c>
      <c r="F47" s="6" t="s">
        <v>430</v>
      </c>
      <c r="G47" s="6" t="s">
        <v>3326</v>
      </c>
      <c r="H47" s="6" t="s">
        <v>3511</v>
      </c>
      <c r="I47" s="6" t="s">
        <v>78</v>
      </c>
      <c r="J47" s="6" t="s">
        <v>1217</v>
      </c>
      <c r="K47" s="163">
        <v>44559</v>
      </c>
      <c r="L47" s="131">
        <v>1650000</v>
      </c>
      <c r="M47" s="131">
        <v>5563.8</v>
      </c>
      <c r="N47" s="131">
        <v>1259775</v>
      </c>
      <c r="O47" s="131">
        <v>4247.96</v>
      </c>
      <c r="P47" s="131">
        <v>0.76</v>
      </c>
      <c r="Q47" s="164">
        <v>47666</v>
      </c>
    </row>
    <row r="48" spans="1:17" ht="14.25" x14ac:dyDescent="0.2">
      <c r="A48" s="6">
        <v>512362914</v>
      </c>
      <c r="B48" s="6">
        <v>7205</v>
      </c>
      <c r="C48" s="6" t="s">
        <v>280</v>
      </c>
      <c r="D48" s="6" t="s">
        <v>3335</v>
      </c>
      <c r="E48" s="6" t="s">
        <v>3512</v>
      </c>
      <c r="F48" s="6" t="s">
        <v>78</v>
      </c>
      <c r="G48" s="6" t="s">
        <v>3513</v>
      </c>
      <c r="H48" s="6" t="s">
        <v>3514</v>
      </c>
      <c r="I48" s="6" t="s">
        <v>78</v>
      </c>
      <c r="J48" s="6" t="s">
        <v>1217</v>
      </c>
      <c r="K48" s="163">
        <v>44796</v>
      </c>
      <c r="L48" s="131">
        <v>2000000</v>
      </c>
      <c r="M48" s="131">
        <v>6744</v>
      </c>
      <c r="N48" s="131">
        <v>1463804.8</v>
      </c>
      <c r="O48" s="131">
        <v>4935.9399999999996</v>
      </c>
      <c r="P48" s="131">
        <v>0.73</v>
      </c>
      <c r="Q48" s="164">
        <v>48519</v>
      </c>
    </row>
    <row r="49" spans="1:17" ht="14.25" x14ac:dyDescent="0.2">
      <c r="A49" s="6">
        <v>512362914</v>
      </c>
      <c r="B49" s="6">
        <v>7205</v>
      </c>
      <c r="C49" s="6" t="s">
        <v>749</v>
      </c>
      <c r="D49" s="6" t="s">
        <v>3316</v>
      </c>
      <c r="E49" s="6" t="s">
        <v>3515</v>
      </c>
      <c r="F49" s="6" t="s">
        <v>78</v>
      </c>
      <c r="G49" s="6" t="s">
        <v>3318</v>
      </c>
      <c r="H49" s="6" t="s">
        <v>3516</v>
      </c>
      <c r="I49" s="6" t="s">
        <v>78</v>
      </c>
      <c r="J49" s="6" t="s">
        <v>1217</v>
      </c>
      <c r="K49" s="163">
        <v>44893</v>
      </c>
      <c r="L49" s="131">
        <v>2400000</v>
      </c>
      <c r="M49" s="131">
        <v>8092.8</v>
      </c>
      <c r="N49" s="131">
        <v>1896000</v>
      </c>
      <c r="O49" s="131">
        <v>6393.31</v>
      </c>
      <c r="P49" s="131">
        <v>0.79</v>
      </c>
      <c r="Q49" s="164">
        <v>49457</v>
      </c>
    </row>
    <row r="50" spans="1:17" ht="14.25" x14ac:dyDescent="0.2">
      <c r="A50" s="6">
        <v>512362914</v>
      </c>
      <c r="B50" s="6">
        <v>7205</v>
      </c>
      <c r="C50" s="6" t="s">
        <v>280</v>
      </c>
      <c r="D50" s="6" t="s">
        <v>3347</v>
      </c>
      <c r="E50" s="6" t="s">
        <v>3517</v>
      </c>
      <c r="F50" s="6" t="s">
        <v>78</v>
      </c>
      <c r="G50" s="6" t="s">
        <v>3349</v>
      </c>
      <c r="H50" s="6" t="s">
        <v>3518</v>
      </c>
      <c r="I50" s="6" t="s">
        <v>78</v>
      </c>
      <c r="J50" s="6" t="s">
        <v>1217</v>
      </c>
      <c r="K50" s="163">
        <v>45007</v>
      </c>
      <c r="L50" s="131">
        <v>2380000</v>
      </c>
      <c r="M50" s="131">
        <v>8025.36</v>
      </c>
      <c r="N50" s="131">
        <v>1420621.2</v>
      </c>
      <c r="O50" s="131">
        <v>4790.33</v>
      </c>
      <c r="P50" s="131">
        <v>0.59</v>
      </c>
      <c r="Q50" s="164">
        <v>48304</v>
      </c>
    </row>
    <row r="51" spans="1:17" ht="14.25" x14ac:dyDescent="0.2">
      <c r="A51" s="6">
        <v>512362914</v>
      </c>
      <c r="B51" s="6">
        <v>7205</v>
      </c>
      <c r="C51" s="6" t="s">
        <v>280</v>
      </c>
      <c r="D51" s="6" t="s">
        <v>3339</v>
      </c>
      <c r="E51" s="6" t="s">
        <v>3340</v>
      </c>
      <c r="F51" s="6" t="s">
        <v>430</v>
      </c>
      <c r="G51" s="6" t="s">
        <v>3519</v>
      </c>
      <c r="H51" s="6" t="s">
        <v>3520</v>
      </c>
      <c r="I51" s="6" t="s">
        <v>78</v>
      </c>
      <c r="J51" s="6" t="s">
        <v>1217</v>
      </c>
      <c r="K51" s="179" t="s">
        <v>3521</v>
      </c>
      <c r="L51" s="131">
        <v>2370000</v>
      </c>
      <c r="M51" s="131">
        <v>7991.64</v>
      </c>
      <c r="N51" s="131">
        <v>1852039.66</v>
      </c>
      <c r="O51" s="131">
        <v>6245.07</v>
      </c>
      <c r="P51" s="131">
        <v>0.78</v>
      </c>
      <c r="Q51" s="164">
        <v>46758</v>
      </c>
    </row>
    <row r="52" spans="1:17" ht="14.25" x14ac:dyDescent="0.2">
      <c r="A52" s="6">
        <v>512362914</v>
      </c>
      <c r="B52" s="6">
        <v>7205</v>
      </c>
      <c r="C52" s="6" t="s">
        <v>280</v>
      </c>
      <c r="D52" s="6" t="s">
        <v>3494</v>
      </c>
      <c r="E52" s="6" t="s">
        <v>3495</v>
      </c>
      <c r="F52" s="6" t="s">
        <v>767</v>
      </c>
      <c r="G52" s="6" t="s">
        <v>3522</v>
      </c>
      <c r="H52" s="6" t="s">
        <v>3523</v>
      </c>
      <c r="I52" s="6" t="s">
        <v>78</v>
      </c>
      <c r="J52" s="6" t="s">
        <v>1217</v>
      </c>
      <c r="K52" s="179" t="s">
        <v>3355</v>
      </c>
      <c r="L52" s="131">
        <v>2370000</v>
      </c>
      <c r="M52" s="131">
        <v>7991.64</v>
      </c>
      <c r="N52" s="131">
        <v>734700</v>
      </c>
      <c r="O52" s="131">
        <v>2477.4</v>
      </c>
      <c r="P52" s="131">
        <v>0.31</v>
      </c>
      <c r="Q52" s="164">
        <v>47027</v>
      </c>
    </row>
    <row r="53" spans="1:17" ht="14.25" x14ac:dyDescent="0.2">
      <c r="A53" s="6">
        <v>512362914</v>
      </c>
      <c r="B53" s="6">
        <v>7205</v>
      </c>
      <c r="C53" s="6" t="s">
        <v>280</v>
      </c>
      <c r="D53" s="6" t="s">
        <v>3524</v>
      </c>
      <c r="E53" s="6" t="s">
        <v>3343</v>
      </c>
      <c r="F53" s="6" t="s">
        <v>767</v>
      </c>
      <c r="G53" s="6" t="s">
        <v>3525</v>
      </c>
      <c r="H53" s="6" t="s">
        <v>3526</v>
      </c>
      <c r="I53" s="6" t="s">
        <v>78</v>
      </c>
      <c r="J53" s="6" t="s">
        <v>1215</v>
      </c>
      <c r="K53" s="179" t="s">
        <v>3527</v>
      </c>
      <c r="L53" s="131">
        <v>1570000</v>
      </c>
      <c r="M53" s="131">
        <v>6209.66</v>
      </c>
      <c r="N53" s="131">
        <v>1413456.08</v>
      </c>
      <c r="O53" s="131">
        <v>5590.5</v>
      </c>
      <c r="P53" s="131">
        <v>0.9</v>
      </c>
      <c r="Q53" s="164">
        <v>47701</v>
      </c>
    </row>
    <row r="54" spans="1:17" ht="14.25" x14ac:dyDescent="0.2">
      <c r="A54" s="6">
        <v>512362914</v>
      </c>
      <c r="B54" s="6">
        <v>7206</v>
      </c>
      <c r="C54" s="6" t="s">
        <v>241</v>
      </c>
      <c r="D54" s="6" t="s">
        <v>3275</v>
      </c>
      <c r="E54" s="6" t="s">
        <v>3476</v>
      </c>
      <c r="F54" s="6" t="s">
        <v>78</v>
      </c>
      <c r="G54" s="6" t="s">
        <v>3479</v>
      </c>
      <c r="H54" s="6" t="s">
        <v>3480</v>
      </c>
      <c r="I54" s="6" t="s">
        <v>78</v>
      </c>
      <c r="J54" s="6" t="s">
        <v>1217</v>
      </c>
      <c r="K54" s="163">
        <v>43272</v>
      </c>
      <c r="L54" s="131">
        <v>40000</v>
      </c>
      <c r="M54" s="131">
        <v>134.88</v>
      </c>
      <c r="N54" s="131">
        <v>9540.3799999999992</v>
      </c>
      <c r="O54" s="131">
        <v>32.17</v>
      </c>
      <c r="P54" s="131">
        <v>0.23</v>
      </c>
      <c r="Q54" s="164">
        <v>46989</v>
      </c>
    </row>
    <row r="55" spans="1:17" ht="14.25" x14ac:dyDescent="0.2">
      <c r="A55" s="6">
        <v>512362914</v>
      </c>
      <c r="B55" s="6">
        <v>7206</v>
      </c>
      <c r="C55" s="6" t="s">
        <v>280</v>
      </c>
      <c r="D55" s="6" t="s">
        <v>3275</v>
      </c>
      <c r="E55" s="6" t="s">
        <v>3476</v>
      </c>
      <c r="F55" s="6" t="s">
        <v>78</v>
      </c>
      <c r="G55" s="6" t="s">
        <v>3481</v>
      </c>
      <c r="H55" s="6" t="s">
        <v>3482</v>
      </c>
      <c r="I55" s="6" t="s">
        <v>78</v>
      </c>
      <c r="J55" s="6" t="s">
        <v>1217</v>
      </c>
      <c r="K55" s="163">
        <v>43272</v>
      </c>
      <c r="L55" s="131">
        <v>80000</v>
      </c>
      <c r="M55" s="131">
        <v>269.76</v>
      </c>
      <c r="N55" s="131">
        <v>41869.25</v>
      </c>
      <c r="O55" s="131">
        <v>141.18</v>
      </c>
      <c r="P55" s="131">
        <v>0.52</v>
      </c>
      <c r="Q55" s="164">
        <v>47856</v>
      </c>
    </row>
    <row r="56" spans="1:17" ht="14.25" x14ac:dyDescent="0.2">
      <c r="A56" s="6">
        <v>512362914</v>
      </c>
      <c r="B56" s="6">
        <v>7206</v>
      </c>
      <c r="C56" s="6" t="s">
        <v>749</v>
      </c>
      <c r="D56" s="6" t="s">
        <v>3263</v>
      </c>
      <c r="E56" s="6" t="s">
        <v>3483</v>
      </c>
      <c r="F56" s="6" t="s">
        <v>78</v>
      </c>
      <c r="G56" s="6" t="s">
        <v>3484</v>
      </c>
      <c r="H56" s="6" t="s">
        <v>3485</v>
      </c>
      <c r="I56" s="6" t="s">
        <v>78</v>
      </c>
      <c r="J56" s="6" t="s">
        <v>1217</v>
      </c>
      <c r="K56" s="163">
        <v>44679</v>
      </c>
      <c r="L56" s="131">
        <v>30000</v>
      </c>
      <c r="M56" s="131">
        <v>101.16</v>
      </c>
      <c r="N56" s="131">
        <v>0</v>
      </c>
      <c r="O56" s="131">
        <v>0</v>
      </c>
      <c r="P56" s="131">
        <v>0</v>
      </c>
      <c r="Q56" s="164">
        <v>47784</v>
      </c>
    </row>
    <row r="57" spans="1:17" ht="14.25" x14ac:dyDescent="0.2">
      <c r="A57" s="6">
        <v>512362914</v>
      </c>
      <c r="B57" s="6">
        <v>7206</v>
      </c>
      <c r="C57" s="6" t="s">
        <v>749</v>
      </c>
      <c r="D57" s="6" t="s">
        <v>3263</v>
      </c>
      <c r="E57" s="6" t="s">
        <v>3483</v>
      </c>
      <c r="F57" s="6" t="s">
        <v>78</v>
      </c>
      <c r="G57" s="6" t="s">
        <v>3486</v>
      </c>
      <c r="H57" s="6" t="s">
        <v>3487</v>
      </c>
      <c r="I57" s="6" t="s">
        <v>78</v>
      </c>
      <c r="J57" s="6" t="s">
        <v>1217</v>
      </c>
      <c r="K57" s="163">
        <v>44679</v>
      </c>
      <c r="L57" s="131">
        <v>30000</v>
      </c>
      <c r="M57" s="131">
        <v>101.16</v>
      </c>
      <c r="N57" s="131">
        <v>3000</v>
      </c>
      <c r="O57" s="131">
        <v>10.11</v>
      </c>
      <c r="P57" s="131">
        <v>0.1</v>
      </c>
      <c r="Q57" s="164">
        <v>47784</v>
      </c>
    </row>
    <row r="58" spans="1:17" ht="14.25" x14ac:dyDescent="0.2">
      <c r="A58" s="6">
        <v>512362914</v>
      </c>
      <c r="B58" s="6">
        <v>7206</v>
      </c>
      <c r="C58" s="6" t="s">
        <v>749</v>
      </c>
      <c r="D58" s="6" t="s">
        <v>3291</v>
      </c>
      <c r="E58" s="6" t="s">
        <v>3491</v>
      </c>
      <c r="F58" s="6" t="s">
        <v>78</v>
      </c>
      <c r="G58" s="6" t="s">
        <v>3492</v>
      </c>
      <c r="H58" s="6" t="s">
        <v>3493</v>
      </c>
      <c r="I58" s="6" t="s">
        <v>78</v>
      </c>
      <c r="J58" s="6" t="s">
        <v>1219</v>
      </c>
      <c r="K58" s="163">
        <v>43730</v>
      </c>
      <c r="L58" s="131">
        <v>300000</v>
      </c>
      <c r="M58" s="131">
        <v>300</v>
      </c>
      <c r="N58" s="131">
        <v>79903.58</v>
      </c>
      <c r="O58" s="131">
        <v>79.900000000000006</v>
      </c>
      <c r="P58" s="131">
        <v>0.26</v>
      </c>
      <c r="Q58" s="164">
        <v>46415</v>
      </c>
    </row>
    <row r="59" spans="1:17" ht="14.25" x14ac:dyDescent="0.2">
      <c r="A59" s="6">
        <v>512362914</v>
      </c>
      <c r="B59" s="6">
        <v>7206</v>
      </c>
      <c r="C59" s="6" t="s">
        <v>280</v>
      </c>
      <c r="D59" s="6" t="s">
        <v>3494</v>
      </c>
      <c r="E59" s="6" t="s">
        <v>3495</v>
      </c>
      <c r="F59" s="6" t="s">
        <v>767</v>
      </c>
      <c r="G59" s="6" t="s">
        <v>3496</v>
      </c>
      <c r="H59" s="6" t="s">
        <v>3497</v>
      </c>
      <c r="I59" s="6" t="s">
        <v>78</v>
      </c>
      <c r="J59" s="6" t="s">
        <v>1217</v>
      </c>
      <c r="K59" s="193" t="s">
        <v>3355</v>
      </c>
      <c r="L59" s="131">
        <v>40000</v>
      </c>
      <c r="M59" s="131">
        <v>134.88</v>
      </c>
      <c r="N59" s="131">
        <v>0</v>
      </c>
      <c r="O59" s="131">
        <v>0</v>
      </c>
      <c r="P59" s="131">
        <v>0</v>
      </c>
      <c r="Q59" s="164">
        <v>47027</v>
      </c>
    </row>
    <row r="60" spans="1:17" ht="14.25" x14ac:dyDescent="0.2">
      <c r="A60" s="6">
        <v>512362914</v>
      </c>
      <c r="B60" s="6">
        <v>7206</v>
      </c>
      <c r="C60" s="6" t="s">
        <v>280</v>
      </c>
      <c r="D60" s="6" t="s">
        <v>3308</v>
      </c>
      <c r="E60" s="6" t="s">
        <v>3498</v>
      </c>
      <c r="F60" s="6" t="s">
        <v>78</v>
      </c>
      <c r="G60" s="6" t="s">
        <v>3499</v>
      </c>
      <c r="H60" s="6" t="s">
        <v>3500</v>
      </c>
      <c r="I60" s="6" t="s">
        <v>78</v>
      </c>
      <c r="J60" s="6" t="s">
        <v>1215</v>
      </c>
      <c r="K60" s="163">
        <v>44448</v>
      </c>
      <c r="L60" s="131">
        <v>40000</v>
      </c>
      <c r="M60" s="131">
        <v>158.19999999999999</v>
      </c>
      <c r="N60" s="131">
        <v>2000</v>
      </c>
      <c r="O60" s="131">
        <v>7.91</v>
      </c>
      <c r="P60" s="131">
        <v>0.05</v>
      </c>
      <c r="Q60" s="164">
        <v>47410</v>
      </c>
    </row>
    <row r="61" spans="1:17" ht="14.25" x14ac:dyDescent="0.2">
      <c r="A61" s="6">
        <v>512362914</v>
      </c>
      <c r="B61" s="6">
        <v>7206</v>
      </c>
      <c r="C61" s="6" t="s">
        <v>280</v>
      </c>
      <c r="D61" s="6" t="s">
        <v>3339</v>
      </c>
      <c r="E61" s="6" t="s">
        <v>3501</v>
      </c>
      <c r="F61" s="6" t="s">
        <v>78</v>
      </c>
      <c r="G61" s="6" t="s">
        <v>3502</v>
      </c>
      <c r="H61" s="6" t="s">
        <v>3503</v>
      </c>
      <c r="I61" s="6" t="s">
        <v>78</v>
      </c>
      <c r="J61" s="6" t="s">
        <v>1217</v>
      </c>
      <c r="K61" s="163">
        <v>44545</v>
      </c>
      <c r="L61" s="131">
        <v>40000</v>
      </c>
      <c r="M61" s="131">
        <v>134.88</v>
      </c>
      <c r="N61" s="131">
        <v>8349.26</v>
      </c>
      <c r="O61" s="131">
        <v>28.15</v>
      </c>
      <c r="P61" s="131">
        <v>0.2</v>
      </c>
      <c r="Q61" s="164">
        <v>48333</v>
      </c>
    </row>
    <row r="62" spans="1:17" ht="14.25" x14ac:dyDescent="0.2">
      <c r="A62" s="6">
        <v>512362914</v>
      </c>
      <c r="B62" s="6">
        <v>7206</v>
      </c>
      <c r="C62" s="6" t="s">
        <v>241</v>
      </c>
      <c r="D62" s="6" t="s">
        <v>3300</v>
      </c>
      <c r="E62" s="6" t="s">
        <v>3504</v>
      </c>
      <c r="F62" s="6" t="s">
        <v>1477</v>
      </c>
      <c r="G62" s="6" t="s">
        <v>3505</v>
      </c>
      <c r="H62" s="6" t="s">
        <v>3506</v>
      </c>
      <c r="I62" s="6" t="s">
        <v>78</v>
      </c>
      <c r="J62" s="6" t="s">
        <v>1219</v>
      </c>
      <c r="K62" s="163">
        <v>44560</v>
      </c>
      <c r="L62" s="131">
        <v>300000</v>
      </c>
      <c r="M62" s="131">
        <v>300</v>
      </c>
      <c r="N62" s="131">
        <v>158738.96</v>
      </c>
      <c r="O62" s="131">
        <v>158.72999999999999</v>
      </c>
      <c r="P62" s="131">
        <v>0.52</v>
      </c>
      <c r="Q62" s="164">
        <v>46021</v>
      </c>
    </row>
    <row r="63" spans="1:17" ht="14.25" x14ac:dyDescent="0.2">
      <c r="A63" s="6">
        <v>512362914</v>
      </c>
      <c r="B63" s="6">
        <v>7206</v>
      </c>
      <c r="C63" s="6" t="s">
        <v>280</v>
      </c>
      <c r="D63" s="6" t="s">
        <v>3313</v>
      </c>
      <c r="E63" s="6" t="s">
        <v>3507</v>
      </c>
      <c r="F63" s="6" t="s">
        <v>767</v>
      </c>
      <c r="G63" s="6" t="s">
        <v>3508</v>
      </c>
      <c r="H63" s="6" t="s">
        <v>3509</v>
      </c>
      <c r="I63" s="6" t="s">
        <v>78</v>
      </c>
      <c r="J63" s="6" t="s">
        <v>1217</v>
      </c>
      <c r="K63" s="163">
        <v>44680</v>
      </c>
      <c r="L63" s="131">
        <v>30000</v>
      </c>
      <c r="M63" s="131">
        <v>101.16</v>
      </c>
      <c r="N63" s="131">
        <v>4374.3</v>
      </c>
      <c r="O63" s="131">
        <v>14.75</v>
      </c>
      <c r="P63" s="131">
        <v>0.14000000000000001</v>
      </c>
      <c r="Q63" s="164">
        <v>46640</v>
      </c>
    </row>
    <row r="64" spans="1:17" ht="14.25" x14ac:dyDescent="0.2">
      <c r="A64" s="6">
        <v>512362914</v>
      </c>
      <c r="B64" s="6">
        <v>7206</v>
      </c>
      <c r="C64" s="6" t="s">
        <v>280</v>
      </c>
      <c r="D64" s="6" t="s">
        <v>3324</v>
      </c>
      <c r="E64" s="6" t="s">
        <v>3510</v>
      </c>
      <c r="F64" s="6" t="s">
        <v>430</v>
      </c>
      <c r="G64" s="6" t="s">
        <v>3326</v>
      </c>
      <c r="H64" s="6" t="s">
        <v>3511</v>
      </c>
      <c r="I64" s="6" t="s">
        <v>78</v>
      </c>
      <c r="J64" s="6" t="s">
        <v>1217</v>
      </c>
      <c r="K64" s="163">
        <v>44559</v>
      </c>
      <c r="L64" s="131">
        <v>40000</v>
      </c>
      <c r="M64" s="131">
        <v>134.88</v>
      </c>
      <c r="N64" s="131">
        <v>30540</v>
      </c>
      <c r="O64" s="131">
        <v>102.98</v>
      </c>
      <c r="P64" s="131">
        <v>0.76</v>
      </c>
      <c r="Q64" s="164">
        <v>47666</v>
      </c>
    </row>
    <row r="65" spans="1:17" ht="14.25" x14ac:dyDescent="0.2">
      <c r="A65" s="6">
        <v>512362914</v>
      </c>
      <c r="B65" s="6">
        <v>7206</v>
      </c>
      <c r="C65" s="6" t="s">
        <v>280</v>
      </c>
      <c r="D65" s="6" t="s">
        <v>3335</v>
      </c>
      <c r="E65" s="6" t="s">
        <v>3512</v>
      </c>
      <c r="F65" s="6" t="s">
        <v>78</v>
      </c>
      <c r="G65" s="6" t="s">
        <v>3513</v>
      </c>
      <c r="H65" s="6" t="s">
        <v>3514</v>
      </c>
      <c r="I65" s="6" t="s">
        <v>78</v>
      </c>
      <c r="J65" s="6" t="s">
        <v>1217</v>
      </c>
      <c r="K65" s="163">
        <v>44796</v>
      </c>
      <c r="L65" s="131">
        <v>50000</v>
      </c>
      <c r="M65" s="131">
        <v>168.6</v>
      </c>
      <c r="N65" s="131">
        <v>36595.120000000003</v>
      </c>
      <c r="O65" s="131">
        <v>123.39</v>
      </c>
      <c r="P65" s="131">
        <v>0.73</v>
      </c>
      <c r="Q65" s="164">
        <v>48519</v>
      </c>
    </row>
    <row r="66" spans="1:17" ht="14.25" x14ac:dyDescent="0.2">
      <c r="A66" s="6">
        <v>512362914</v>
      </c>
      <c r="B66" s="6">
        <v>7206</v>
      </c>
      <c r="C66" s="6" t="s">
        <v>749</v>
      </c>
      <c r="D66" s="6" t="s">
        <v>3316</v>
      </c>
      <c r="E66" s="6" t="s">
        <v>3515</v>
      </c>
      <c r="F66" s="6" t="s">
        <v>78</v>
      </c>
      <c r="G66" s="6" t="s">
        <v>3318</v>
      </c>
      <c r="H66" s="6" t="s">
        <v>3516</v>
      </c>
      <c r="I66" s="6" t="s">
        <v>78</v>
      </c>
      <c r="J66" s="6" t="s">
        <v>1217</v>
      </c>
      <c r="K66" s="163">
        <v>44893</v>
      </c>
      <c r="L66" s="131">
        <v>100000</v>
      </c>
      <c r="M66" s="131">
        <v>337.2</v>
      </c>
      <c r="N66" s="131">
        <v>79000</v>
      </c>
      <c r="O66" s="131">
        <v>266.38</v>
      </c>
      <c r="P66" s="131">
        <v>0.79</v>
      </c>
      <c r="Q66" s="164">
        <v>49457</v>
      </c>
    </row>
    <row r="67" spans="1:17" ht="14.25" x14ac:dyDescent="0.2">
      <c r="A67" s="6">
        <v>512362914</v>
      </c>
      <c r="B67" s="6">
        <v>7206</v>
      </c>
      <c r="C67" s="6" t="s">
        <v>280</v>
      </c>
      <c r="D67" s="6" t="s">
        <v>3347</v>
      </c>
      <c r="E67" s="6" t="s">
        <v>3517</v>
      </c>
      <c r="F67" s="6" t="s">
        <v>78</v>
      </c>
      <c r="G67" s="6" t="s">
        <v>3349</v>
      </c>
      <c r="H67" s="6" t="s">
        <v>3518</v>
      </c>
      <c r="I67" s="6" t="s">
        <v>78</v>
      </c>
      <c r="J67" s="6" t="s">
        <v>1217</v>
      </c>
      <c r="K67" s="163">
        <v>45007</v>
      </c>
      <c r="L67" s="131">
        <v>80000</v>
      </c>
      <c r="M67" s="131">
        <v>269.76</v>
      </c>
      <c r="N67" s="131">
        <v>47751.97</v>
      </c>
      <c r="O67" s="131">
        <v>161.01</v>
      </c>
      <c r="P67" s="131">
        <v>0.59</v>
      </c>
      <c r="Q67" s="164">
        <v>48304</v>
      </c>
    </row>
    <row r="68" spans="1:17" ht="14.25" x14ac:dyDescent="0.2">
      <c r="A68" s="6">
        <v>512362914</v>
      </c>
      <c r="B68" s="6">
        <v>7206</v>
      </c>
      <c r="C68" s="6" t="s">
        <v>280</v>
      </c>
      <c r="D68" s="6" t="s">
        <v>3339</v>
      </c>
      <c r="E68" s="6" t="s">
        <v>3340</v>
      </c>
      <c r="F68" s="6" t="s">
        <v>430</v>
      </c>
      <c r="G68" s="6" t="s">
        <v>3519</v>
      </c>
      <c r="H68" s="6" t="s">
        <v>3520</v>
      </c>
      <c r="I68" s="6" t="s">
        <v>78</v>
      </c>
      <c r="J68" s="6" t="s">
        <v>1217</v>
      </c>
      <c r="K68" s="193" t="s">
        <v>3521</v>
      </c>
      <c r="L68" s="131">
        <v>110000</v>
      </c>
      <c r="M68" s="131">
        <v>370.92</v>
      </c>
      <c r="N68" s="131">
        <v>85959.64</v>
      </c>
      <c r="O68" s="131">
        <v>289.85000000000002</v>
      </c>
      <c r="P68" s="131">
        <v>0.78</v>
      </c>
      <c r="Q68" s="164">
        <v>46758</v>
      </c>
    </row>
    <row r="69" spans="1:17" ht="14.25" x14ac:dyDescent="0.2">
      <c r="A69" s="6">
        <v>512362914</v>
      </c>
      <c r="B69" s="6">
        <v>7206</v>
      </c>
      <c r="C69" s="6" t="s">
        <v>280</v>
      </c>
      <c r="D69" s="6" t="s">
        <v>3494</v>
      </c>
      <c r="E69" s="6" t="s">
        <v>3495</v>
      </c>
      <c r="F69" s="6" t="s">
        <v>767</v>
      </c>
      <c r="G69" s="6" t="s">
        <v>3522</v>
      </c>
      <c r="H69" s="6" t="s">
        <v>3523</v>
      </c>
      <c r="I69" s="6" t="s">
        <v>78</v>
      </c>
      <c r="J69" s="6" t="s">
        <v>1217</v>
      </c>
      <c r="K69" s="193" t="s">
        <v>3355</v>
      </c>
      <c r="L69" s="131">
        <v>120000</v>
      </c>
      <c r="M69" s="131">
        <v>404.64</v>
      </c>
      <c r="N69" s="131">
        <v>37200</v>
      </c>
      <c r="O69" s="131">
        <v>125.43</v>
      </c>
      <c r="P69" s="131">
        <v>0.31</v>
      </c>
      <c r="Q69" s="164">
        <v>47027</v>
      </c>
    </row>
    <row r="70" spans="1:17" ht="14.25" x14ac:dyDescent="0.2">
      <c r="A70" s="6">
        <v>512362914</v>
      </c>
      <c r="B70" s="6">
        <v>7206</v>
      </c>
      <c r="C70" s="6" t="s">
        <v>280</v>
      </c>
      <c r="D70" s="6" t="s">
        <v>3524</v>
      </c>
      <c r="E70" s="6" t="s">
        <v>3343</v>
      </c>
      <c r="F70" s="6" t="s">
        <v>767</v>
      </c>
      <c r="G70" s="6" t="s">
        <v>3525</v>
      </c>
      <c r="H70" s="6" t="s">
        <v>3526</v>
      </c>
      <c r="I70" s="6" t="s">
        <v>78</v>
      </c>
      <c r="J70" s="6" t="s">
        <v>1215</v>
      </c>
      <c r="K70" s="193" t="s">
        <v>3527</v>
      </c>
      <c r="L70" s="131">
        <v>80000</v>
      </c>
      <c r="M70" s="131">
        <v>316.41000000000003</v>
      </c>
      <c r="N70" s="131">
        <v>72023.240000000005</v>
      </c>
      <c r="O70" s="131">
        <v>284.86</v>
      </c>
      <c r="P70" s="131">
        <v>0.9</v>
      </c>
      <c r="Q70" s="164">
        <v>47701</v>
      </c>
    </row>
    <row r="71" spans="1:17" ht="14.25" x14ac:dyDescent="0.2">
      <c r="A71" s="6">
        <v>512362914</v>
      </c>
      <c r="B71" s="6">
        <v>7207</v>
      </c>
      <c r="C71" s="6" t="s">
        <v>241</v>
      </c>
      <c r="D71" s="6" t="s">
        <v>3275</v>
      </c>
      <c r="E71" s="6" t="s">
        <v>3476</v>
      </c>
      <c r="F71" s="6" t="s">
        <v>78</v>
      </c>
      <c r="G71" s="6" t="s">
        <v>3479</v>
      </c>
      <c r="H71" s="6" t="s">
        <v>3480</v>
      </c>
      <c r="I71" s="6" t="s">
        <v>78</v>
      </c>
      <c r="J71" s="6" t="s">
        <v>1217</v>
      </c>
      <c r="K71" s="163">
        <v>43272</v>
      </c>
      <c r="L71" s="131">
        <v>67000</v>
      </c>
      <c r="M71" s="131">
        <v>225.92</v>
      </c>
      <c r="N71" s="131">
        <v>15980.13</v>
      </c>
      <c r="O71" s="131">
        <v>53.88</v>
      </c>
      <c r="P71" s="131">
        <v>0.23</v>
      </c>
      <c r="Q71" s="164">
        <v>46989</v>
      </c>
    </row>
    <row r="72" spans="1:17" ht="14.25" x14ac:dyDescent="0.2">
      <c r="A72" s="6">
        <v>512362914</v>
      </c>
      <c r="B72" s="6">
        <v>7207</v>
      </c>
      <c r="C72" s="6" t="s">
        <v>280</v>
      </c>
      <c r="D72" s="6" t="s">
        <v>3275</v>
      </c>
      <c r="E72" s="6" t="s">
        <v>3476</v>
      </c>
      <c r="F72" s="6" t="s">
        <v>78</v>
      </c>
      <c r="G72" s="6" t="s">
        <v>3481</v>
      </c>
      <c r="H72" s="6" t="s">
        <v>3482</v>
      </c>
      <c r="I72" s="6" t="s">
        <v>78</v>
      </c>
      <c r="J72" s="6" t="s">
        <v>1217</v>
      </c>
      <c r="K72" s="163">
        <v>43272</v>
      </c>
      <c r="L72" s="131">
        <v>140000</v>
      </c>
      <c r="M72" s="131">
        <v>472.08</v>
      </c>
      <c r="N72" s="131">
        <v>73271.19</v>
      </c>
      <c r="O72" s="131">
        <v>247.07</v>
      </c>
      <c r="P72" s="131">
        <v>0.52</v>
      </c>
      <c r="Q72" s="164">
        <v>47856</v>
      </c>
    </row>
    <row r="73" spans="1:17" ht="14.25" x14ac:dyDescent="0.2">
      <c r="A73" s="6">
        <v>512362914</v>
      </c>
      <c r="B73" s="6">
        <v>7207</v>
      </c>
      <c r="C73" s="6" t="s">
        <v>749</v>
      </c>
      <c r="D73" s="6" t="s">
        <v>3263</v>
      </c>
      <c r="E73" s="6" t="s">
        <v>3483</v>
      </c>
      <c r="F73" s="6" t="s">
        <v>78</v>
      </c>
      <c r="G73" s="6" t="s">
        <v>3484</v>
      </c>
      <c r="H73" s="6" t="s">
        <v>3485</v>
      </c>
      <c r="I73" s="6" t="s">
        <v>78</v>
      </c>
      <c r="J73" s="6" t="s">
        <v>1217</v>
      </c>
      <c r="K73" s="163">
        <v>44679</v>
      </c>
      <c r="L73" s="131">
        <v>60000</v>
      </c>
      <c r="M73" s="131">
        <v>202.32</v>
      </c>
      <c r="N73" s="131">
        <v>0</v>
      </c>
      <c r="O73" s="131">
        <v>0</v>
      </c>
      <c r="P73" s="131">
        <v>0</v>
      </c>
      <c r="Q73" s="164">
        <v>47784</v>
      </c>
    </row>
    <row r="74" spans="1:17" ht="14.25" x14ac:dyDescent="0.2">
      <c r="A74" s="6">
        <v>512362914</v>
      </c>
      <c r="B74" s="6">
        <v>7207</v>
      </c>
      <c r="C74" s="6" t="s">
        <v>749</v>
      </c>
      <c r="D74" s="6" t="s">
        <v>3263</v>
      </c>
      <c r="E74" s="6" t="s">
        <v>3483</v>
      </c>
      <c r="F74" s="6" t="s">
        <v>78</v>
      </c>
      <c r="G74" s="6" t="s">
        <v>3486</v>
      </c>
      <c r="H74" s="6" t="s">
        <v>3487</v>
      </c>
      <c r="I74" s="6" t="s">
        <v>78</v>
      </c>
      <c r="J74" s="6" t="s">
        <v>1217</v>
      </c>
      <c r="K74" s="163">
        <v>44679</v>
      </c>
      <c r="L74" s="131">
        <v>60000</v>
      </c>
      <c r="M74" s="131">
        <v>202.32</v>
      </c>
      <c r="N74" s="131">
        <v>6000</v>
      </c>
      <c r="O74" s="131">
        <v>20.23</v>
      </c>
      <c r="P74" s="131">
        <v>0.1</v>
      </c>
      <c r="Q74" s="164">
        <v>47784</v>
      </c>
    </row>
    <row r="75" spans="1:17" ht="14.25" x14ac:dyDescent="0.2">
      <c r="A75" s="6">
        <v>512362914</v>
      </c>
      <c r="B75" s="6">
        <v>7207</v>
      </c>
      <c r="C75" s="6" t="s">
        <v>749</v>
      </c>
      <c r="D75" s="6" t="s">
        <v>3291</v>
      </c>
      <c r="E75" s="6" t="s">
        <v>3491</v>
      </c>
      <c r="F75" s="6" t="s">
        <v>78</v>
      </c>
      <c r="G75" s="6" t="s">
        <v>3492</v>
      </c>
      <c r="H75" s="6" t="s">
        <v>3493</v>
      </c>
      <c r="I75" s="6" t="s">
        <v>78</v>
      </c>
      <c r="J75" s="6" t="s">
        <v>1219</v>
      </c>
      <c r="K75" s="163">
        <v>43730</v>
      </c>
      <c r="L75" s="131">
        <v>600000</v>
      </c>
      <c r="M75" s="131">
        <v>600</v>
      </c>
      <c r="N75" s="131">
        <v>159807.16</v>
      </c>
      <c r="O75" s="131">
        <v>159.80000000000001</v>
      </c>
      <c r="P75" s="131">
        <v>0.26</v>
      </c>
      <c r="Q75" s="164">
        <v>46415</v>
      </c>
    </row>
    <row r="76" spans="1:17" ht="14.25" x14ac:dyDescent="0.2">
      <c r="A76" s="6">
        <v>512362914</v>
      </c>
      <c r="B76" s="6">
        <v>7207</v>
      </c>
      <c r="C76" s="6" t="s">
        <v>280</v>
      </c>
      <c r="D76" s="6" t="s">
        <v>3494</v>
      </c>
      <c r="E76" s="6" t="s">
        <v>3495</v>
      </c>
      <c r="F76" s="6" t="s">
        <v>767</v>
      </c>
      <c r="G76" s="6" t="s">
        <v>3496</v>
      </c>
      <c r="H76" s="6" t="s">
        <v>3497</v>
      </c>
      <c r="I76" s="6" t="s">
        <v>78</v>
      </c>
      <c r="J76" s="6" t="s">
        <v>1217</v>
      </c>
      <c r="K76" s="117" t="s">
        <v>3355</v>
      </c>
      <c r="L76" s="131">
        <v>80000</v>
      </c>
      <c r="M76" s="131">
        <v>269.76</v>
      </c>
      <c r="N76" s="131">
        <v>0</v>
      </c>
      <c r="O76" s="131">
        <v>0</v>
      </c>
      <c r="P76" s="131">
        <v>0</v>
      </c>
      <c r="Q76" s="164">
        <v>47027</v>
      </c>
    </row>
    <row r="77" spans="1:17" ht="14.25" x14ac:dyDescent="0.2">
      <c r="A77" s="6">
        <v>512362914</v>
      </c>
      <c r="B77" s="6">
        <v>7207</v>
      </c>
      <c r="C77" s="6" t="s">
        <v>280</v>
      </c>
      <c r="D77" s="6" t="s">
        <v>3308</v>
      </c>
      <c r="E77" s="6" t="s">
        <v>3498</v>
      </c>
      <c r="F77" s="6" t="s">
        <v>78</v>
      </c>
      <c r="G77" s="6" t="s">
        <v>3499</v>
      </c>
      <c r="H77" s="6" t="s">
        <v>3500</v>
      </c>
      <c r="I77" s="6" t="s">
        <v>78</v>
      </c>
      <c r="J77" s="6" t="s">
        <v>1215</v>
      </c>
      <c r="K77" s="163">
        <v>44448</v>
      </c>
      <c r="L77" s="131">
        <v>60000</v>
      </c>
      <c r="M77" s="131">
        <v>237.31</v>
      </c>
      <c r="N77" s="131">
        <v>3000</v>
      </c>
      <c r="O77" s="131">
        <v>11.86</v>
      </c>
      <c r="P77" s="131">
        <v>0.05</v>
      </c>
      <c r="Q77" s="164">
        <v>47410</v>
      </c>
    </row>
    <row r="78" spans="1:17" ht="14.25" x14ac:dyDescent="0.2">
      <c r="A78" s="6">
        <v>512362914</v>
      </c>
      <c r="B78" s="6">
        <v>7207</v>
      </c>
      <c r="C78" s="6" t="s">
        <v>280</v>
      </c>
      <c r="D78" s="6" t="s">
        <v>3339</v>
      </c>
      <c r="E78" s="6" t="s">
        <v>3501</v>
      </c>
      <c r="F78" s="6" t="s">
        <v>78</v>
      </c>
      <c r="G78" s="6" t="s">
        <v>3502</v>
      </c>
      <c r="H78" s="6" t="s">
        <v>3503</v>
      </c>
      <c r="I78" s="6" t="s">
        <v>78</v>
      </c>
      <c r="J78" s="6" t="s">
        <v>1217</v>
      </c>
      <c r="K78" s="163">
        <v>44545</v>
      </c>
      <c r="L78" s="131">
        <v>80000</v>
      </c>
      <c r="M78" s="131">
        <v>269.76</v>
      </c>
      <c r="N78" s="131">
        <v>16698.53</v>
      </c>
      <c r="O78" s="131">
        <v>56.3</v>
      </c>
      <c r="P78" s="131">
        <v>0.2</v>
      </c>
      <c r="Q78" s="164">
        <v>48333</v>
      </c>
    </row>
    <row r="79" spans="1:17" ht="14.25" x14ac:dyDescent="0.2">
      <c r="A79" s="6">
        <v>512362914</v>
      </c>
      <c r="B79" s="6">
        <v>7207</v>
      </c>
      <c r="C79" s="6" t="s">
        <v>241</v>
      </c>
      <c r="D79" s="6" t="s">
        <v>3300</v>
      </c>
      <c r="E79" s="6" t="s">
        <v>3504</v>
      </c>
      <c r="F79" s="6" t="s">
        <v>1477</v>
      </c>
      <c r="G79" s="6" t="s">
        <v>3505</v>
      </c>
      <c r="H79" s="6" t="s">
        <v>3506</v>
      </c>
      <c r="I79" s="6" t="s">
        <v>78</v>
      </c>
      <c r="J79" s="6" t="s">
        <v>1219</v>
      </c>
      <c r="K79" s="163">
        <v>44560</v>
      </c>
      <c r="L79" s="131">
        <v>500000</v>
      </c>
      <c r="M79" s="131">
        <v>500</v>
      </c>
      <c r="N79" s="131">
        <v>264564.93</v>
      </c>
      <c r="O79" s="131">
        <v>264.56</v>
      </c>
      <c r="P79" s="131">
        <v>0.52</v>
      </c>
      <c r="Q79" s="164">
        <v>46021</v>
      </c>
    </row>
    <row r="80" spans="1:17" ht="14.25" x14ac:dyDescent="0.2">
      <c r="A80" s="6">
        <v>512362914</v>
      </c>
      <c r="B80" s="6">
        <v>7207</v>
      </c>
      <c r="C80" s="6" t="s">
        <v>280</v>
      </c>
      <c r="D80" s="6" t="s">
        <v>3313</v>
      </c>
      <c r="E80" s="6" t="s">
        <v>3507</v>
      </c>
      <c r="F80" s="6" t="s">
        <v>767</v>
      </c>
      <c r="G80" s="6" t="s">
        <v>3508</v>
      </c>
      <c r="H80" s="6" t="s">
        <v>3509</v>
      </c>
      <c r="I80" s="6" t="s">
        <v>78</v>
      </c>
      <c r="J80" s="6" t="s">
        <v>1217</v>
      </c>
      <c r="K80" s="163">
        <v>44680</v>
      </c>
      <c r="L80" s="131">
        <v>60000</v>
      </c>
      <c r="M80" s="131">
        <v>202.32</v>
      </c>
      <c r="N80" s="131">
        <v>8748.6</v>
      </c>
      <c r="O80" s="131">
        <v>29.5</v>
      </c>
      <c r="P80" s="131">
        <v>0.14000000000000001</v>
      </c>
      <c r="Q80" s="164">
        <v>46640</v>
      </c>
    </row>
    <row r="81" spans="1:17" ht="14.25" x14ac:dyDescent="0.2">
      <c r="A81" s="6">
        <v>512362914</v>
      </c>
      <c r="B81" s="6">
        <v>7207</v>
      </c>
      <c r="C81" s="6" t="s">
        <v>280</v>
      </c>
      <c r="D81" s="6" t="s">
        <v>3324</v>
      </c>
      <c r="E81" s="6" t="s">
        <v>3510</v>
      </c>
      <c r="F81" s="6" t="s">
        <v>430</v>
      </c>
      <c r="G81" s="6" t="s">
        <v>3326</v>
      </c>
      <c r="H81" s="6" t="s">
        <v>3511</v>
      </c>
      <c r="I81" s="6" t="s">
        <v>78</v>
      </c>
      <c r="J81" s="6" t="s">
        <v>1217</v>
      </c>
      <c r="K81" s="163">
        <v>44559</v>
      </c>
      <c r="L81" s="131">
        <v>60000</v>
      </c>
      <c r="M81" s="131">
        <v>202.32</v>
      </c>
      <c r="N81" s="131">
        <v>45810</v>
      </c>
      <c r="O81" s="131">
        <v>154.47</v>
      </c>
      <c r="P81" s="131">
        <v>0.76</v>
      </c>
      <c r="Q81" s="164">
        <v>47666</v>
      </c>
    </row>
    <row r="82" spans="1:17" ht="14.25" x14ac:dyDescent="0.2">
      <c r="A82" s="6">
        <v>512362914</v>
      </c>
      <c r="B82" s="6">
        <v>7207</v>
      </c>
      <c r="C82" s="6" t="s">
        <v>280</v>
      </c>
      <c r="D82" s="6" t="s">
        <v>3335</v>
      </c>
      <c r="E82" s="6" t="s">
        <v>3512</v>
      </c>
      <c r="F82" s="6" t="s">
        <v>78</v>
      </c>
      <c r="G82" s="6" t="s">
        <v>3513</v>
      </c>
      <c r="H82" s="6" t="s">
        <v>3514</v>
      </c>
      <c r="I82" s="6" t="s">
        <v>78</v>
      </c>
      <c r="J82" s="6" t="s">
        <v>1217</v>
      </c>
      <c r="K82" s="163">
        <v>44796</v>
      </c>
      <c r="L82" s="131">
        <v>100000</v>
      </c>
      <c r="M82" s="131">
        <v>337.2</v>
      </c>
      <c r="N82" s="131">
        <v>73190.240000000005</v>
      </c>
      <c r="O82" s="131">
        <v>246.79</v>
      </c>
      <c r="P82" s="131">
        <v>0.73</v>
      </c>
      <c r="Q82" s="164">
        <v>48519</v>
      </c>
    </row>
    <row r="83" spans="1:17" ht="14.25" x14ac:dyDescent="0.2">
      <c r="A83" s="6">
        <v>512362914</v>
      </c>
      <c r="B83" s="6">
        <v>7207</v>
      </c>
      <c r="C83" s="6" t="s">
        <v>749</v>
      </c>
      <c r="D83" s="6" t="s">
        <v>3316</v>
      </c>
      <c r="E83" s="6" t="s">
        <v>3515</v>
      </c>
      <c r="F83" s="6" t="s">
        <v>78</v>
      </c>
      <c r="G83" s="6" t="s">
        <v>3318</v>
      </c>
      <c r="H83" s="6" t="s">
        <v>3516</v>
      </c>
      <c r="I83" s="6" t="s">
        <v>78</v>
      </c>
      <c r="J83" s="6" t="s">
        <v>1217</v>
      </c>
      <c r="K83" s="163">
        <v>44893</v>
      </c>
      <c r="L83" s="131">
        <v>150000</v>
      </c>
      <c r="M83" s="131">
        <v>505.8</v>
      </c>
      <c r="N83" s="131">
        <v>118500</v>
      </c>
      <c r="O83" s="131">
        <v>399.58</v>
      </c>
      <c r="P83" s="131">
        <v>0.79</v>
      </c>
      <c r="Q83" s="164">
        <v>49457</v>
      </c>
    </row>
    <row r="84" spans="1:17" ht="14.25" x14ac:dyDescent="0.2">
      <c r="A84" s="6">
        <v>512362914</v>
      </c>
      <c r="B84" s="6">
        <v>7207</v>
      </c>
      <c r="C84" s="6" t="s">
        <v>280</v>
      </c>
      <c r="D84" s="6" t="s">
        <v>3347</v>
      </c>
      <c r="E84" s="6" t="s">
        <v>3517</v>
      </c>
      <c r="F84" s="6" t="s">
        <v>78</v>
      </c>
      <c r="G84" s="6" t="s">
        <v>3349</v>
      </c>
      <c r="H84" s="6" t="s">
        <v>3518</v>
      </c>
      <c r="I84" s="6" t="s">
        <v>78</v>
      </c>
      <c r="J84" s="6" t="s">
        <v>1217</v>
      </c>
      <c r="K84" s="163">
        <v>45007</v>
      </c>
      <c r="L84" s="131">
        <v>140000</v>
      </c>
      <c r="M84" s="131">
        <v>472.08</v>
      </c>
      <c r="N84" s="131">
        <v>83565.95</v>
      </c>
      <c r="O84" s="131">
        <v>281.77999999999997</v>
      </c>
      <c r="P84" s="131">
        <v>0.59</v>
      </c>
      <c r="Q84" s="164">
        <v>48304</v>
      </c>
    </row>
    <row r="85" spans="1:17" ht="14.25" x14ac:dyDescent="0.2">
      <c r="A85" s="6">
        <v>512362914</v>
      </c>
      <c r="B85" s="6">
        <v>7207</v>
      </c>
      <c r="C85" s="6" t="s">
        <v>280</v>
      </c>
      <c r="D85" s="6" t="s">
        <v>3339</v>
      </c>
      <c r="E85" s="6" t="s">
        <v>3340</v>
      </c>
      <c r="F85" s="6" t="s">
        <v>430</v>
      </c>
      <c r="G85" s="6" t="s">
        <v>3519</v>
      </c>
      <c r="H85" s="6" t="s">
        <v>3520</v>
      </c>
      <c r="I85" s="6" t="s">
        <v>78</v>
      </c>
      <c r="J85" s="6" t="s">
        <v>1217</v>
      </c>
      <c r="K85" s="117" t="s">
        <v>3521</v>
      </c>
      <c r="L85" s="131">
        <v>130000</v>
      </c>
      <c r="M85" s="131">
        <v>438.36</v>
      </c>
      <c r="N85" s="131">
        <v>101588.67</v>
      </c>
      <c r="O85" s="131">
        <v>342.55</v>
      </c>
      <c r="P85" s="131">
        <v>0.78</v>
      </c>
      <c r="Q85" s="164">
        <v>46758</v>
      </c>
    </row>
    <row r="86" spans="1:17" ht="14.25" x14ac:dyDescent="0.2">
      <c r="A86" s="6">
        <v>512362914</v>
      </c>
      <c r="B86" s="6">
        <v>7207</v>
      </c>
      <c r="C86" s="6" t="s">
        <v>280</v>
      </c>
      <c r="D86" s="6" t="s">
        <v>3494</v>
      </c>
      <c r="E86" s="6" t="s">
        <v>3495</v>
      </c>
      <c r="F86" s="6" t="s">
        <v>767</v>
      </c>
      <c r="G86" s="6" t="s">
        <v>3522</v>
      </c>
      <c r="H86" s="6" t="s">
        <v>3523</v>
      </c>
      <c r="I86" s="6" t="s">
        <v>78</v>
      </c>
      <c r="J86" s="6" t="s">
        <v>1217</v>
      </c>
      <c r="K86" s="117" t="s">
        <v>3355</v>
      </c>
      <c r="L86" s="131">
        <v>150000</v>
      </c>
      <c r="M86" s="131">
        <v>505.8</v>
      </c>
      <c r="N86" s="131">
        <v>46500</v>
      </c>
      <c r="O86" s="131">
        <v>156.79</v>
      </c>
      <c r="P86" s="131">
        <v>0.31</v>
      </c>
      <c r="Q86" s="164">
        <v>47027</v>
      </c>
    </row>
    <row r="87" spans="1:17" ht="14.25" x14ac:dyDescent="0.2">
      <c r="A87" s="6">
        <v>512362914</v>
      </c>
      <c r="B87" s="6">
        <v>7207</v>
      </c>
      <c r="C87" s="6" t="s">
        <v>280</v>
      </c>
      <c r="D87" s="6" t="s">
        <v>3524</v>
      </c>
      <c r="E87" s="6" t="s">
        <v>3343</v>
      </c>
      <c r="F87" s="6" t="s">
        <v>767</v>
      </c>
      <c r="G87" s="6" t="s">
        <v>3525</v>
      </c>
      <c r="H87" s="6" t="s">
        <v>3526</v>
      </c>
      <c r="I87" s="6" t="s">
        <v>78</v>
      </c>
      <c r="J87" s="6" t="s">
        <v>1215</v>
      </c>
      <c r="K87" s="117" t="s">
        <v>3527</v>
      </c>
      <c r="L87" s="131">
        <v>90000</v>
      </c>
      <c r="M87" s="131">
        <v>355.96</v>
      </c>
      <c r="N87" s="131">
        <v>81026.14</v>
      </c>
      <c r="O87" s="131">
        <v>320.47000000000003</v>
      </c>
      <c r="P87" s="131">
        <v>0.9</v>
      </c>
      <c r="Q87" s="164">
        <v>47701</v>
      </c>
    </row>
  </sheetData>
  <sheetProtection formatColumns="0"/>
  <dataConsolidate/>
  <dataValidations count="2">
    <dataValidation type="list" allowBlank="1" showInputMessage="1" showErrorMessage="1" sqref="F2:F20" xr:uid="{DDAC1FB2-D78C-4182-90CF-495EA9CA2222}">
      <formula1>Issuer_Number_Fund</formula1>
    </dataValidation>
    <dataValidation type="list" allowBlank="1" showInputMessage="1" showErrorMessage="1" sqref="I2:I20" xr:uid="{6C5259C8-88D1-44E7-838C-FFDB0BB70E0A}">
      <formula1>Type_of_Security_ID_Fund</formula1>
    </dataValidation>
  </dataValidation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6" customWidth="1"/>
    <col min="2" max="2" width="30.375" customWidth="1"/>
    <col min="3" max="3" width="90.875" style="9" customWidth="1"/>
    <col min="4" max="4" width="68.875" style="6" customWidth="1"/>
    <col min="5" max="5" width="29.75" bestFit="1" customWidth="1"/>
    <col min="6" max="16384" width="9" hidden="1"/>
  </cols>
  <sheetData>
    <row r="1" spans="1:5" s="38" customFormat="1" ht="45" x14ac:dyDescent="0.2">
      <c r="A1" s="37" t="s">
        <v>590</v>
      </c>
      <c r="B1" s="37" t="s">
        <v>334</v>
      </c>
      <c r="C1" s="37" t="s">
        <v>335</v>
      </c>
      <c r="D1" s="37" t="s">
        <v>373</v>
      </c>
      <c r="E1"/>
    </row>
    <row r="2" spans="1:5" x14ac:dyDescent="0.2">
      <c r="A2" s="72"/>
      <c r="B2" s="72" t="s">
        <v>670</v>
      </c>
      <c r="C2" s="15" t="s">
        <v>53</v>
      </c>
      <c r="D2" s="15"/>
    </row>
    <row r="3" spans="1:5" x14ac:dyDescent="0.2">
      <c r="A3" s="73"/>
      <c r="B3" s="73"/>
      <c r="C3" s="15" t="s">
        <v>61</v>
      </c>
      <c r="D3" s="15"/>
    </row>
    <row r="4" spans="1:5" ht="42.75" x14ac:dyDescent="0.2">
      <c r="A4" s="65"/>
      <c r="B4" s="86" t="s">
        <v>783</v>
      </c>
      <c r="C4" s="16" t="s">
        <v>53</v>
      </c>
      <c r="D4" s="16"/>
    </row>
    <row r="5" spans="1:5" x14ac:dyDescent="0.2">
      <c r="A5" s="66"/>
      <c r="B5" s="87"/>
      <c r="C5" s="16" t="s">
        <v>59</v>
      </c>
      <c r="D5" s="16"/>
    </row>
    <row r="6" spans="1:5" x14ac:dyDescent="0.2">
      <c r="A6" s="66"/>
      <c r="B6" s="87"/>
      <c r="C6" s="16" t="s">
        <v>67</v>
      </c>
      <c r="D6" s="16"/>
    </row>
    <row r="7" spans="1:5" x14ac:dyDescent="0.2">
      <c r="A7" s="66"/>
      <c r="B7" s="87"/>
      <c r="C7" s="16" t="s">
        <v>74</v>
      </c>
      <c r="D7" s="16"/>
    </row>
    <row r="8" spans="1:5" x14ac:dyDescent="0.2">
      <c r="A8" s="66"/>
      <c r="B8" s="87"/>
      <c r="C8" s="16" t="s">
        <v>81</v>
      </c>
      <c r="D8" s="16"/>
    </row>
    <row r="9" spans="1:5" x14ac:dyDescent="0.2">
      <c r="A9" s="66"/>
      <c r="B9" s="87"/>
      <c r="C9" s="16" t="s">
        <v>929</v>
      </c>
      <c r="D9" s="16"/>
    </row>
    <row r="10" spans="1:5" x14ac:dyDescent="0.2">
      <c r="A10" s="66"/>
      <c r="B10" s="87"/>
      <c r="C10" s="16" t="s">
        <v>92</v>
      </c>
      <c r="D10" s="16"/>
    </row>
    <row r="11" spans="1:5" x14ac:dyDescent="0.2">
      <c r="A11" s="66"/>
      <c r="B11" s="87"/>
      <c r="C11" s="16" t="s">
        <v>960</v>
      </c>
      <c r="D11" s="16"/>
      <c r="E11" t="s">
        <v>1182</v>
      </c>
    </row>
    <row r="12" spans="1:5" x14ac:dyDescent="0.2">
      <c r="A12" s="66"/>
      <c r="B12" s="87"/>
      <c r="C12" s="16" t="s">
        <v>961</v>
      </c>
      <c r="D12" s="16"/>
      <c r="E12" t="s">
        <v>1182</v>
      </c>
    </row>
    <row r="13" spans="1:5" x14ac:dyDescent="0.2">
      <c r="A13" s="66"/>
      <c r="B13" s="87"/>
      <c r="C13" s="16" t="s">
        <v>104</v>
      </c>
      <c r="D13" s="16"/>
    </row>
    <row r="14" spans="1:5" x14ac:dyDescent="0.2">
      <c r="A14" s="66"/>
      <c r="B14" s="87"/>
      <c r="C14" s="16" t="s">
        <v>109</v>
      </c>
      <c r="D14" s="16"/>
    </row>
    <row r="15" spans="1:5" x14ac:dyDescent="0.2">
      <c r="A15" s="66"/>
      <c r="B15" s="87"/>
      <c r="C15" s="16" t="s">
        <v>111</v>
      </c>
      <c r="D15" s="16"/>
    </row>
    <row r="16" spans="1:5" x14ac:dyDescent="0.2">
      <c r="A16" s="66"/>
      <c r="B16" s="87"/>
      <c r="C16" s="16" t="s">
        <v>114</v>
      </c>
      <c r="D16" s="16"/>
    </row>
    <row r="17" spans="1:4" x14ac:dyDescent="0.2">
      <c r="A17" s="66"/>
      <c r="B17" s="87"/>
      <c r="C17" s="16" t="s">
        <v>117</v>
      </c>
      <c r="D17" s="16"/>
    </row>
    <row r="18" spans="1:4" x14ac:dyDescent="0.2">
      <c r="A18" s="66"/>
      <c r="B18" s="87"/>
      <c r="C18" s="16" t="s">
        <v>120</v>
      </c>
      <c r="D18" s="16"/>
    </row>
    <row r="19" spans="1:4" x14ac:dyDescent="0.2">
      <c r="A19" s="66"/>
      <c r="B19" s="87"/>
      <c r="C19" s="16" t="s">
        <v>123</v>
      </c>
      <c r="D19" s="16"/>
    </row>
    <row r="20" spans="1:4" x14ac:dyDescent="0.2">
      <c r="A20" s="66"/>
      <c r="B20" s="87"/>
      <c r="C20" s="16" t="s">
        <v>125</v>
      </c>
      <c r="D20" s="16"/>
    </row>
    <row r="21" spans="1:4" x14ac:dyDescent="0.2">
      <c r="A21" s="66"/>
      <c r="B21" s="87"/>
      <c r="C21" s="16" t="s">
        <v>314</v>
      </c>
      <c r="D21" s="16"/>
    </row>
    <row r="22" spans="1:4" x14ac:dyDescent="0.2">
      <c r="A22" s="66"/>
      <c r="B22" s="87"/>
      <c r="C22" s="16" t="s">
        <v>128</v>
      </c>
      <c r="D22" s="16"/>
    </row>
    <row r="23" spans="1:4" x14ac:dyDescent="0.2">
      <c r="A23" s="66"/>
      <c r="B23" s="87"/>
      <c r="C23" s="16" t="s">
        <v>131</v>
      </c>
      <c r="D23" s="16"/>
    </row>
    <row r="24" spans="1:4" x14ac:dyDescent="0.2">
      <c r="A24" s="66"/>
      <c r="B24" s="87"/>
      <c r="C24" s="16" t="s">
        <v>132</v>
      </c>
      <c r="D24" s="16"/>
    </row>
    <row r="25" spans="1:4" x14ac:dyDescent="0.2">
      <c r="A25" s="66"/>
      <c r="B25" s="87"/>
      <c r="C25" s="16" t="s">
        <v>134</v>
      </c>
      <c r="D25" s="16"/>
    </row>
    <row r="26" spans="1:4" x14ac:dyDescent="0.2">
      <c r="A26" s="66"/>
      <c r="B26" s="87"/>
      <c r="C26" s="16" t="s">
        <v>136</v>
      </c>
      <c r="D26" s="16"/>
    </row>
    <row r="27" spans="1:4" x14ac:dyDescent="0.2">
      <c r="A27" s="66"/>
      <c r="B27" s="87"/>
      <c r="C27" s="16" t="s">
        <v>138</v>
      </c>
      <c r="D27" s="16"/>
    </row>
    <row r="28" spans="1:4" x14ac:dyDescent="0.2">
      <c r="A28" s="66"/>
      <c r="B28" s="87"/>
      <c r="C28" s="16" t="s">
        <v>141</v>
      </c>
      <c r="D28" s="16"/>
    </row>
    <row r="29" spans="1:4" x14ac:dyDescent="0.2">
      <c r="A29" s="66"/>
      <c r="B29" s="87"/>
      <c r="C29" s="16" t="s">
        <v>143</v>
      </c>
      <c r="D29" s="16"/>
    </row>
    <row r="30" spans="1:4" x14ac:dyDescent="0.2">
      <c r="A30" s="66"/>
      <c r="B30" s="87"/>
      <c r="C30" s="16" t="s">
        <v>315</v>
      </c>
      <c r="D30" s="16"/>
    </row>
    <row r="31" spans="1:4" x14ac:dyDescent="0.2">
      <c r="A31" s="66"/>
      <c r="B31" s="87"/>
      <c r="C31" s="16" t="s">
        <v>145</v>
      </c>
      <c r="D31" s="16"/>
    </row>
    <row r="32" spans="1:4" x14ac:dyDescent="0.2">
      <c r="A32" s="66"/>
      <c r="B32" s="87"/>
      <c r="C32" s="16" t="s">
        <v>147</v>
      </c>
      <c r="D32" s="16"/>
    </row>
    <row r="33" spans="1:5" x14ac:dyDescent="0.2">
      <c r="A33" s="66"/>
      <c r="B33" s="87"/>
      <c r="C33" s="16" t="s">
        <v>149</v>
      </c>
      <c r="D33" s="16"/>
    </row>
    <row r="34" spans="1:5" x14ac:dyDescent="0.2">
      <c r="A34" s="66"/>
      <c r="B34" s="87"/>
      <c r="C34" s="16" t="s">
        <v>151</v>
      </c>
      <c r="D34" s="16"/>
    </row>
    <row r="35" spans="1:5" x14ac:dyDescent="0.2">
      <c r="A35" s="66"/>
      <c r="B35" s="87"/>
      <c r="C35" s="16" t="s">
        <v>153</v>
      </c>
      <c r="D35" s="16"/>
    </row>
    <row r="36" spans="1:5" x14ac:dyDescent="0.2">
      <c r="A36" s="66"/>
      <c r="B36" s="87"/>
      <c r="C36" s="16" t="s">
        <v>1124</v>
      </c>
      <c r="D36" s="16"/>
      <c r="E36" t="s">
        <v>1182</v>
      </c>
    </row>
    <row r="37" spans="1:5" x14ac:dyDescent="0.2">
      <c r="A37" s="66"/>
      <c r="B37" s="87"/>
      <c r="C37" s="6" t="s">
        <v>1123</v>
      </c>
      <c r="D37" s="16"/>
      <c r="E37" t="s">
        <v>1182</v>
      </c>
    </row>
    <row r="38" spans="1:5" x14ac:dyDescent="0.2">
      <c r="A38" s="66"/>
      <c r="B38" s="87"/>
      <c r="C38" s="16" t="s">
        <v>154</v>
      </c>
      <c r="D38" s="16"/>
    </row>
    <row r="39" spans="1:5" x14ac:dyDescent="0.2">
      <c r="A39" s="66"/>
      <c r="B39" s="87"/>
      <c r="C39" s="16" t="s">
        <v>155</v>
      </c>
      <c r="D39" s="16"/>
    </row>
    <row r="40" spans="1:5" x14ac:dyDescent="0.2">
      <c r="A40" s="66"/>
      <c r="B40" s="87"/>
      <c r="C40" s="16" t="s">
        <v>954</v>
      </c>
      <c r="D40" s="16"/>
      <c r="E40" t="s">
        <v>1182</v>
      </c>
    </row>
    <row r="41" spans="1:5" x14ac:dyDescent="0.2">
      <c r="A41" s="66"/>
      <c r="B41" s="87"/>
      <c r="C41" s="16" t="s">
        <v>157</v>
      </c>
      <c r="D41" s="16"/>
    </row>
    <row r="42" spans="1:5" x14ac:dyDescent="0.2">
      <c r="A42" s="66"/>
      <c r="B42" s="87"/>
      <c r="C42" s="16" t="s">
        <v>158</v>
      </c>
      <c r="D42" s="16"/>
    </row>
    <row r="43" spans="1:5" x14ac:dyDescent="0.2">
      <c r="A43" s="66"/>
      <c r="B43" s="87"/>
      <c r="C43" s="16" t="s">
        <v>159</v>
      </c>
      <c r="D43" s="16"/>
    </row>
    <row r="44" spans="1:5" x14ac:dyDescent="0.2">
      <c r="A44" s="66"/>
      <c r="B44" s="87"/>
      <c r="C44" s="16" t="s">
        <v>160</v>
      </c>
      <c r="D44" s="16"/>
    </row>
    <row r="45" spans="1:5" x14ac:dyDescent="0.2">
      <c r="A45" s="66"/>
      <c r="B45" s="87"/>
      <c r="C45" s="16" t="s">
        <v>161</v>
      </c>
      <c r="D45" s="16"/>
    </row>
    <row r="46" spans="1:5" x14ac:dyDescent="0.2">
      <c r="A46" s="66"/>
      <c r="B46" s="87"/>
      <c r="C46" s="16" t="s">
        <v>956</v>
      </c>
      <c r="D46" s="16"/>
      <c r="E46" t="s">
        <v>1182</v>
      </c>
    </row>
    <row r="47" spans="1:5" x14ac:dyDescent="0.2">
      <c r="A47" s="66"/>
      <c r="B47" s="87"/>
      <c r="C47" s="16" t="s">
        <v>164</v>
      </c>
      <c r="D47" s="16"/>
    </row>
    <row r="48" spans="1:5" x14ac:dyDescent="0.2">
      <c r="A48" s="66"/>
      <c r="B48" s="87"/>
      <c r="C48" s="16" t="s">
        <v>166</v>
      </c>
      <c r="D48" s="16"/>
    </row>
    <row r="49" spans="1:5" x14ac:dyDescent="0.2">
      <c r="A49" s="66"/>
      <c r="B49" s="87"/>
      <c r="C49" s="16" t="s">
        <v>168</v>
      </c>
      <c r="D49" s="16"/>
    </row>
    <row r="50" spans="1:5" x14ac:dyDescent="0.2">
      <c r="A50" s="66"/>
      <c r="B50" s="87"/>
      <c r="C50" s="16" t="s">
        <v>173</v>
      </c>
      <c r="D50" s="16"/>
    </row>
    <row r="51" spans="1:5" x14ac:dyDescent="0.2">
      <c r="A51" s="66"/>
      <c r="B51" s="87"/>
      <c r="C51" s="16" t="s">
        <v>175</v>
      </c>
      <c r="D51" s="16"/>
    </row>
    <row r="52" spans="1:5" x14ac:dyDescent="0.2">
      <c r="A52" s="66"/>
      <c r="B52" s="87"/>
      <c r="C52" s="16" t="s">
        <v>177</v>
      </c>
      <c r="D52" s="16"/>
    </row>
    <row r="53" spans="1:5" x14ac:dyDescent="0.2">
      <c r="A53" s="66"/>
      <c r="B53" s="87"/>
      <c r="C53" s="16" t="s">
        <v>178</v>
      </c>
      <c r="D53" s="16"/>
    </row>
    <row r="54" spans="1:5" x14ac:dyDescent="0.2">
      <c r="A54" s="66"/>
      <c r="B54" s="87"/>
      <c r="C54" s="16" t="s">
        <v>179</v>
      </c>
      <c r="D54" s="16"/>
    </row>
    <row r="55" spans="1:5" x14ac:dyDescent="0.2">
      <c r="A55" s="66"/>
      <c r="B55" s="87"/>
      <c r="C55" s="16" t="s">
        <v>180</v>
      </c>
      <c r="D55" s="16"/>
    </row>
    <row r="56" spans="1:5" x14ac:dyDescent="0.2">
      <c r="A56" s="66"/>
      <c r="B56" s="87"/>
      <c r="C56" s="16" t="s">
        <v>181</v>
      </c>
      <c r="D56" s="16"/>
    </row>
    <row r="57" spans="1:5" x14ac:dyDescent="0.2">
      <c r="A57" s="66"/>
      <c r="B57" s="87"/>
      <c r="C57" s="16" t="s">
        <v>182</v>
      </c>
      <c r="D57" s="16"/>
    </row>
    <row r="58" spans="1:5" x14ac:dyDescent="0.2">
      <c r="A58" s="66"/>
      <c r="B58" s="87"/>
      <c r="C58" s="16" t="s">
        <v>183</v>
      </c>
      <c r="D58" s="16"/>
    </row>
    <row r="59" spans="1:5" x14ac:dyDescent="0.2">
      <c r="A59" s="66"/>
      <c r="B59" s="87"/>
      <c r="C59" s="16" t="s">
        <v>510</v>
      </c>
      <c r="D59" s="16"/>
    </row>
    <row r="60" spans="1:5" x14ac:dyDescent="0.2">
      <c r="A60" s="66"/>
      <c r="B60" s="87"/>
      <c r="C60" s="16" t="s">
        <v>184</v>
      </c>
      <c r="D60" s="16"/>
    </row>
    <row r="61" spans="1:5" x14ac:dyDescent="0.2">
      <c r="A61" s="66"/>
      <c r="B61" s="87"/>
      <c r="C61" s="16" t="s">
        <v>185</v>
      </c>
      <c r="D61" s="16"/>
    </row>
    <row r="62" spans="1:5" x14ac:dyDescent="0.2">
      <c r="A62" s="66"/>
      <c r="B62" s="87"/>
      <c r="C62" s="16" t="s">
        <v>186</v>
      </c>
      <c r="D62" s="16"/>
    </row>
    <row r="63" spans="1:5" x14ac:dyDescent="0.2">
      <c r="A63" s="66"/>
      <c r="B63" s="87"/>
      <c r="C63" s="16" t="s">
        <v>955</v>
      </c>
      <c r="D63" s="16"/>
      <c r="E63" t="s">
        <v>1182</v>
      </c>
    </row>
    <row r="64" spans="1:5" x14ac:dyDescent="0.2">
      <c r="A64" s="66"/>
      <c r="B64" s="87"/>
      <c r="C64" s="16" t="s">
        <v>187</v>
      </c>
      <c r="D64" s="16"/>
    </row>
    <row r="65" spans="1:4" x14ac:dyDescent="0.2">
      <c r="A65" s="66"/>
      <c r="B65" s="87"/>
      <c r="C65" s="16" t="s">
        <v>188</v>
      </c>
      <c r="D65" s="16"/>
    </row>
    <row r="66" spans="1:4" x14ac:dyDescent="0.2">
      <c r="A66" s="66"/>
      <c r="B66" s="87"/>
      <c r="C66" s="16" t="s">
        <v>189</v>
      </c>
      <c r="D66" s="16"/>
    </row>
    <row r="67" spans="1:4" x14ac:dyDescent="0.2">
      <c r="A67" s="66"/>
      <c r="B67" s="87"/>
      <c r="C67" s="16" t="s">
        <v>190</v>
      </c>
      <c r="D67" s="16"/>
    </row>
    <row r="68" spans="1:4" x14ac:dyDescent="0.2">
      <c r="A68" s="66"/>
      <c r="B68" s="87"/>
      <c r="C68" s="16" t="s">
        <v>191</v>
      </c>
      <c r="D68" s="16"/>
    </row>
    <row r="69" spans="1:4" x14ac:dyDescent="0.2">
      <c r="A69" s="66"/>
      <c r="B69" s="87"/>
      <c r="C69" s="16" t="s">
        <v>192</v>
      </c>
      <c r="D69" s="16"/>
    </row>
    <row r="70" spans="1:4" x14ac:dyDescent="0.2">
      <c r="A70" s="66"/>
      <c r="B70" s="87"/>
      <c r="C70" s="16" t="s">
        <v>193</v>
      </c>
      <c r="D70" s="16"/>
    </row>
    <row r="71" spans="1:4" x14ac:dyDescent="0.2">
      <c r="A71" s="66"/>
      <c r="B71" s="87"/>
      <c r="C71" s="16" t="s">
        <v>194</v>
      </c>
      <c r="D71" s="16"/>
    </row>
    <row r="72" spans="1:4" x14ac:dyDescent="0.2">
      <c r="A72" s="66"/>
      <c r="B72" s="87"/>
      <c r="C72" s="16" t="s">
        <v>196</v>
      </c>
      <c r="D72" s="16"/>
    </row>
    <row r="73" spans="1:4" x14ac:dyDescent="0.2">
      <c r="A73" s="66"/>
      <c r="B73" s="87"/>
      <c r="C73" s="16" t="s">
        <v>197</v>
      </c>
      <c r="D73" s="16"/>
    </row>
    <row r="74" spans="1:4" x14ac:dyDescent="0.2">
      <c r="A74" s="66"/>
      <c r="B74" s="87"/>
      <c r="C74" s="16" t="s">
        <v>198</v>
      </c>
      <c r="D74" s="16"/>
    </row>
    <row r="75" spans="1:4" x14ac:dyDescent="0.2">
      <c r="A75" s="66"/>
      <c r="B75" s="87"/>
      <c r="C75" s="16" t="s">
        <v>199</v>
      </c>
      <c r="D75" s="16"/>
    </row>
    <row r="76" spans="1:4" x14ac:dyDescent="0.2">
      <c r="A76" s="66"/>
      <c r="B76" s="87"/>
      <c r="C76" s="16" t="s">
        <v>200</v>
      </c>
      <c r="D76" s="16"/>
    </row>
    <row r="77" spans="1:4" x14ac:dyDescent="0.2">
      <c r="A77" s="66"/>
      <c r="B77" s="87"/>
      <c r="C77" s="16" t="s">
        <v>201</v>
      </c>
      <c r="D77" s="16"/>
    </row>
    <row r="78" spans="1:4" x14ac:dyDescent="0.2">
      <c r="A78" s="66"/>
      <c r="B78" s="87"/>
      <c r="C78" s="16" t="s">
        <v>203</v>
      </c>
      <c r="D78" s="16"/>
    </row>
    <row r="79" spans="1:4" x14ac:dyDescent="0.2">
      <c r="A79" s="66"/>
      <c r="B79" s="87"/>
      <c r="C79" s="16" t="s">
        <v>204</v>
      </c>
      <c r="D79" s="16"/>
    </row>
    <row r="80" spans="1:4" x14ac:dyDescent="0.2">
      <c r="A80" s="66"/>
      <c r="B80" s="87"/>
      <c r="C80" s="16" t="s">
        <v>205</v>
      </c>
      <c r="D80" s="16"/>
    </row>
    <row r="81" spans="1:5" x14ac:dyDescent="0.2">
      <c r="A81" s="66"/>
      <c r="B81" s="87"/>
      <c r="C81" s="16" t="s">
        <v>206</v>
      </c>
      <c r="D81" s="16"/>
    </row>
    <row r="82" spans="1:5" x14ac:dyDescent="0.2">
      <c r="A82" s="66"/>
      <c r="B82" s="87"/>
      <c r="C82" s="16" t="s">
        <v>207</v>
      </c>
      <c r="D82" s="16"/>
    </row>
    <row r="83" spans="1:5" x14ac:dyDescent="0.2">
      <c r="A83" s="66"/>
      <c r="B83" s="87"/>
      <c r="C83" s="16" t="s">
        <v>208</v>
      </c>
      <c r="D83" s="16"/>
    </row>
    <row r="84" spans="1:5" x14ac:dyDescent="0.2">
      <c r="A84" s="66"/>
      <c r="B84" s="87"/>
      <c r="C84" s="16" t="s">
        <v>209</v>
      </c>
      <c r="D84" s="16"/>
    </row>
    <row r="85" spans="1:5" x14ac:dyDescent="0.2">
      <c r="A85" s="66"/>
      <c r="B85" s="87"/>
      <c r="C85" s="16" t="s">
        <v>210</v>
      </c>
      <c r="D85" s="16"/>
    </row>
    <row r="86" spans="1:5" x14ac:dyDescent="0.2">
      <c r="A86" s="66"/>
      <c r="B86" s="87"/>
      <c r="C86" s="16" t="s">
        <v>316</v>
      </c>
      <c r="D86" s="16"/>
    </row>
    <row r="87" spans="1:5" x14ac:dyDescent="0.2">
      <c r="A87" s="66"/>
      <c r="B87" s="87"/>
      <c r="C87" s="16" t="s">
        <v>318</v>
      </c>
      <c r="D87" s="16"/>
    </row>
    <row r="88" spans="1:5" x14ac:dyDescent="0.2">
      <c r="A88" s="66"/>
      <c r="B88" s="87"/>
      <c r="C88" s="16" t="s">
        <v>930</v>
      </c>
      <c r="D88" s="16"/>
    </row>
    <row r="89" spans="1:5" x14ac:dyDescent="0.2">
      <c r="A89" s="66"/>
      <c r="B89" s="87"/>
      <c r="C89" s="16" t="s">
        <v>931</v>
      </c>
      <c r="D89" s="16"/>
    </row>
    <row r="90" spans="1:5" x14ac:dyDescent="0.2">
      <c r="A90" s="66"/>
      <c r="B90" s="87"/>
      <c r="C90" s="16" t="s">
        <v>313</v>
      </c>
      <c r="D90" s="16"/>
    </row>
    <row r="91" spans="1:5" x14ac:dyDescent="0.2">
      <c r="A91" s="66"/>
      <c r="B91" s="87"/>
      <c r="C91" s="16" t="s">
        <v>932</v>
      </c>
      <c r="D91" s="16"/>
    </row>
    <row r="92" spans="1:5" x14ac:dyDescent="0.2">
      <c r="A92" s="66"/>
      <c r="B92" s="87"/>
      <c r="C92" s="16" t="s">
        <v>940</v>
      </c>
      <c r="D92" s="16"/>
    </row>
    <row r="93" spans="1:5" x14ac:dyDescent="0.2">
      <c r="A93" s="66"/>
      <c r="B93" s="87"/>
      <c r="C93" s="16" t="s">
        <v>317</v>
      </c>
      <c r="D93" s="16"/>
    </row>
    <row r="94" spans="1:5" x14ac:dyDescent="0.2">
      <c r="A94" s="66"/>
      <c r="B94" s="87"/>
      <c r="C94" s="16" t="s">
        <v>1168</v>
      </c>
      <c r="D94" s="16" t="s">
        <v>1167</v>
      </c>
      <c r="E94" t="s">
        <v>1182</v>
      </c>
    </row>
    <row r="95" spans="1:5" x14ac:dyDescent="0.2">
      <c r="A95" s="66"/>
      <c r="B95" s="87"/>
      <c r="C95" s="16" t="s">
        <v>1169</v>
      </c>
      <c r="D95" s="16" t="s">
        <v>946</v>
      </c>
      <c r="E95" t="s">
        <v>1182</v>
      </c>
    </row>
    <row r="96" spans="1:5" x14ac:dyDescent="0.2">
      <c r="A96" s="66"/>
      <c r="B96" s="87"/>
      <c r="C96" s="16" t="s">
        <v>1170</v>
      </c>
      <c r="D96" s="16" t="s">
        <v>946</v>
      </c>
      <c r="E96" t="s">
        <v>1182</v>
      </c>
    </row>
    <row r="97" spans="1:5" x14ac:dyDescent="0.2">
      <c r="A97" s="66"/>
      <c r="B97" s="87"/>
      <c r="C97" s="16" t="s">
        <v>1164</v>
      </c>
      <c r="D97" s="16" t="s">
        <v>946</v>
      </c>
      <c r="E97" t="s">
        <v>1182</v>
      </c>
    </row>
    <row r="98" spans="1:5" x14ac:dyDescent="0.2">
      <c r="A98" s="66"/>
      <c r="B98" s="87"/>
      <c r="C98" s="16" t="s">
        <v>1165</v>
      </c>
      <c r="D98" s="16" t="s">
        <v>946</v>
      </c>
      <c r="E98" t="s">
        <v>1182</v>
      </c>
    </row>
    <row r="99" spans="1:5" x14ac:dyDescent="0.2">
      <c r="A99" s="66"/>
      <c r="B99" s="87"/>
      <c r="C99" s="16" t="s">
        <v>1166</v>
      </c>
      <c r="D99" s="16" t="s">
        <v>946</v>
      </c>
      <c r="E99" t="s">
        <v>1182</v>
      </c>
    </row>
    <row r="100" spans="1:5" x14ac:dyDescent="0.2">
      <c r="A100" s="66"/>
      <c r="B100" s="87"/>
      <c r="C100" s="16" t="s">
        <v>1171</v>
      </c>
      <c r="D100" s="16" t="s">
        <v>946</v>
      </c>
      <c r="E100" t="s">
        <v>1182</v>
      </c>
    </row>
    <row r="101" spans="1:5" x14ac:dyDescent="0.2">
      <c r="A101" s="66"/>
      <c r="B101" s="87"/>
      <c r="C101" s="16" t="s">
        <v>1172</v>
      </c>
      <c r="D101" s="16" t="s">
        <v>946</v>
      </c>
      <c r="E101" t="s">
        <v>1182</v>
      </c>
    </row>
    <row r="102" spans="1:5" x14ac:dyDescent="0.2">
      <c r="A102" s="66"/>
      <c r="B102" s="87"/>
      <c r="C102" s="16" t="s">
        <v>1173</v>
      </c>
      <c r="D102" s="16" t="s">
        <v>946</v>
      </c>
      <c r="E102" t="s">
        <v>1182</v>
      </c>
    </row>
    <row r="103" spans="1:5" x14ac:dyDescent="0.2">
      <c r="A103" s="66"/>
      <c r="B103" s="87"/>
      <c r="C103" s="16" t="s">
        <v>1174</v>
      </c>
      <c r="D103" s="16" t="s">
        <v>946</v>
      </c>
      <c r="E103" t="s">
        <v>1182</v>
      </c>
    </row>
    <row r="104" spans="1:5" x14ac:dyDescent="0.2">
      <c r="A104" s="61"/>
      <c r="B104" s="61" t="s">
        <v>740</v>
      </c>
      <c r="C104" s="15" t="s">
        <v>429</v>
      </c>
      <c r="D104" s="15"/>
    </row>
    <row r="105" spans="1:5" x14ac:dyDescent="0.2">
      <c r="A105" s="62"/>
      <c r="B105" s="62"/>
      <c r="C105" s="15" t="s">
        <v>2</v>
      </c>
      <c r="D105" s="15"/>
    </row>
    <row r="106" spans="1:5" x14ac:dyDescent="0.2">
      <c r="A106" s="62"/>
      <c r="B106" s="62"/>
      <c r="C106" s="15" t="s">
        <v>432</v>
      </c>
      <c r="D106" s="15"/>
    </row>
    <row r="107" spans="1:5" x14ac:dyDescent="0.2">
      <c r="A107" s="62"/>
      <c r="B107" s="62"/>
      <c r="C107" s="15" t="s">
        <v>767</v>
      </c>
      <c r="D107" s="15"/>
    </row>
    <row r="108" spans="1:5" x14ac:dyDescent="0.2">
      <c r="A108" s="62"/>
      <c r="B108" s="62"/>
      <c r="C108" s="15" t="s">
        <v>78</v>
      </c>
      <c r="D108" s="15"/>
    </row>
    <row r="109" spans="1:5" x14ac:dyDescent="0.2">
      <c r="A109" s="62"/>
      <c r="B109" s="62"/>
      <c r="C109" s="15" t="s">
        <v>430</v>
      </c>
      <c r="D109" s="15"/>
    </row>
    <row r="110" spans="1:5" x14ac:dyDescent="0.2">
      <c r="A110" s="63"/>
      <c r="B110" s="63"/>
      <c r="C110" s="15" t="s">
        <v>102</v>
      </c>
      <c r="D110" s="15"/>
    </row>
    <row r="111" spans="1:5" x14ac:dyDescent="0.2">
      <c r="A111" s="66"/>
      <c r="B111" s="52" t="s">
        <v>742</v>
      </c>
      <c r="C111" s="16" t="s">
        <v>429</v>
      </c>
      <c r="D111" s="16"/>
    </row>
    <row r="112" spans="1:5" x14ac:dyDescent="0.2">
      <c r="A112" s="66"/>
      <c r="B112" s="53"/>
      <c r="C112" s="16" t="s">
        <v>776</v>
      </c>
      <c r="D112" s="16"/>
    </row>
    <row r="113" spans="1:4" x14ac:dyDescent="0.2">
      <c r="A113" s="66"/>
      <c r="B113" s="54"/>
      <c r="C113" s="16" t="s">
        <v>431</v>
      </c>
      <c r="D113" s="16"/>
    </row>
    <row r="114" spans="1:4" x14ac:dyDescent="0.2">
      <c r="A114" s="79"/>
      <c r="B114" s="79" t="s">
        <v>752</v>
      </c>
      <c r="C114" s="15" t="s">
        <v>429</v>
      </c>
      <c r="D114" s="15"/>
    </row>
    <row r="115" spans="1:4" x14ac:dyDescent="0.2">
      <c r="A115" s="79"/>
      <c r="B115" s="79"/>
      <c r="C115" s="15" t="s">
        <v>432</v>
      </c>
      <c r="D115" s="15"/>
    </row>
    <row r="116" spans="1:4" x14ac:dyDescent="0.2">
      <c r="A116" s="79"/>
      <c r="B116" s="79"/>
      <c r="C116" s="15" t="s">
        <v>767</v>
      </c>
      <c r="D116" s="15"/>
    </row>
    <row r="117" spans="1:4" x14ac:dyDescent="0.2">
      <c r="A117" s="79"/>
      <c r="B117" s="79"/>
      <c r="C117" s="15" t="s">
        <v>430</v>
      </c>
      <c r="D117" s="15"/>
    </row>
    <row r="118" spans="1:4" x14ac:dyDescent="0.2">
      <c r="A118" s="65"/>
      <c r="B118" s="80" t="s">
        <v>726</v>
      </c>
      <c r="C118" s="16" t="s">
        <v>429</v>
      </c>
      <c r="D118" s="16"/>
    </row>
    <row r="119" spans="1:4" x14ac:dyDescent="0.2">
      <c r="A119" s="102"/>
      <c r="B119" s="101"/>
      <c r="C119" s="16" t="s">
        <v>433</v>
      </c>
      <c r="D119" s="16"/>
    </row>
    <row r="120" spans="1:4" x14ac:dyDescent="0.2">
      <c r="A120" s="102"/>
      <c r="B120" s="101"/>
      <c r="C120" s="16" t="s">
        <v>767</v>
      </c>
      <c r="D120" s="16"/>
    </row>
    <row r="121" spans="1:4" x14ac:dyDescent="0.2">
      <c r="A121" s="102"/>
      <c r="B121" s="101"/>
      <c r="C121" s="16" t="s">
        <v>78</v>
      </c>
      <c r="D121" s="16"/>
    </row>
    <row r="122" spans="1:4" x14ac:dyDescent="0.2">
      <c r="A122" s="102"/>
      <c r="B122" s="101"/>
      <c r="C122" s="16" t="s">
        <v>432</v>
      </c>
      <c r="D122" s="16"/>
    </row>
    <row r="123" spans="1:4" x14ac:dyDescent="0.2">
      <c r="A123" s="102"/>
      <c r="B123" s="101"/>
      <c r="C123" s="16" t="s">
        <v>435</v>
      </c>
      <c r="D123" s="16"/>
    </row>
    <row r="124" spans="1:4" x14ac:dyDescent="0.2">
      <c r="A124" s="102"/>
      <c r="B124" s="101"/>
      <c r="C124" s="16" t="s">
        <v>434</v>
      </c>
      <c r="D124" s="16"/>
    </row>
    <row r="125" spans="1:4" x14ac:dyDescent="0.2">
      <c r="A125" s="102"/>
      <c r="B125" s="101"/>
      <c r="C125" s="16" t="s">
        <v>430</v>
      </c>
      <c r="D125" s="16"/>
    </row>
    <row r="126" spans="1:4" x14ac:dyDescent="0.2">
      <c r="A126" s="66"/>
      <c r="B126" s="81"/>
      <c r="C126" s="16" t="s">
        <v>102</v>
      </c>
      <c r="D126" s="16"/>
    </row>
    <row r="127" spans="1:4" x14ac:dyDescent="0.2">
      <c r="A127" s="61"/>
      <c r="B127" s="61" t="s">
        <v>28</v>
      </c>
      <c r="C127" s="15" t="s">
        <v>76</v>
      </c>
      <c r="D127" s="15"/>
    </row>
    <row r="128" spans="1:4" x14ac:dyDescent="0.2">
      <c r="A128" s="62"/>
      <c r="B128" s="62"/>
      <c r="C128" s="15" t="s">
        <v>88</v>
      </c>
      <c r="D128" s="15"/>
    </row>
    <row r="129" spans="1:5" x14ac:dyDescent="0.2">
      <c r="A129" s="62"/>
      <c r="B129" s="62"/>
      <c r="C129" s="15" t="s">
        <v>94</v>
      </c>
      <c r="D129" s="15"/>
    </row>
    <row r="130" spans="1:5" x14ac:dyDescent="0.2">
      <c r="A130" s="62"/>
      <c r="B130" s="62"/>
      <c r="C130" s="15" t="s">
        <v>99</v>
      </c>
      <c r="D130" s="15"/>
    </row>
    <row r="131" spans="1:5" x14ac:dyDescent="0.2">
      <c r="A131" s="62"/>
      <c r="B131" s="62"/>
      <c r="C131" s="15" t="s">
        <v>78</v>
      </c>
      <c r="D131" s="15"/>
    </row>
    <row r="132" spans="1:5" x14ac:dyDescent="0.2">
      <c r="A132" s="66"/>
      <c r="B132" s="53" t="s">
        <v>753</v>
      </c>
      <c r="C132" s="16" t="s">
        <v>76</v>
      </c>
      <c r="D132" s="16"/>
    </row>
    <row r="133" spans="1:5" x14ac:dyDescent="0.2">
      <c r="A133" s="66"/>
      <c r="B133" s="53"/>
      <c r="C133" s="16" t="s">
        <v>78</v>
      </c>
      <c r="D133" s="16"/>
    </row>
    <row r="134" spans="1:5" x14ac:dyDescent="0.2">
      <c r="A134" s="67"/>
      <c r="B134" s="54"/>
      <c r="C134" s="16" t="s">
        <v>102</v>
      </c>
      <c r="D134" s="16"/>
    </row>
    <row r="135" spans="1:5" x14ac:dyDescent="0.2">
      <c r="A135" s="68"/>
      <c r="B135" s="68" t="s">
        <v>609</v>
      </c>
      <c r="C135" s="15" t="s">
        <v>805</v>
      </c>
      <c r="D135" s="15"/>
    </row>
    <row r="136" spans="1:5" x14ac:dyDescent="0.2">
      <c r="A136" s="69"/>
      <c r="B136" s="69"/>
      <c r="C136" s="15" t="s">
        <v>958</v>
      </c>
      <c r="D136" s="15"/>
      <c r="E136" t="s">
        <v>1182</v>
      </c>
    </row>
    <row r="137" spans="1:5" x14ac:dyDescent="0.2">
      <c r="A137" s="69"/>
      <c r="B137" s="69"/>
      <c r="C137" s="15" t="s">
        <v>54</v>
      </c>
      <c r="D137" s="15" t="s">
        <v>682</v>
      </c>
    </row>
    <row r="138" spans="1:5" x14ac:dyDescent="0.2">
      <c r="A138" s="69"/>
      <c r="B138" s="69"/>
      <c r="C138" s="15" t="s">
        <v>69</v>
      </c>
      <c r="D138" s="15" t="s">
        <v>683</v>
      </c>
    </row>
    <row r="139" spans="1:5" x14ac:dyDescent="0.2">
      <c r="A139" s="69"/>
      <c r="B139" s="69"/>
      <c r="C139" s="15" t="s">
        <v>608</v>
      </c>
      <c r="D139" s="15"/>
    </row>
    <row r="140" spans="1:5" x14ac:dyDescent="0.2">
      <c r="A140" s="69"/>
      <c r="B140" s="69"/>
      <c r="C140" s="15" t="s">
        <v>678</v>
      </c>
      <c r="D140" s="15"/>
    </row>
    <row r="141" spans="1:5" x14ac:dyDescent="0.2">
      <c r="A141" s="69"/>
      <c r="B141" s="69"/>
      <c r="C141" s="15" t="s">
        <v>679</v>
      </c>
      <c r="D141" s="15"/>
    </row>
    <row r="142" spans="1:5" x14ac:dyDescent="0.2">
      <c r="A142" s="69"/>
      <c r="B142" s="69"/>
      <c r="C142" s="15" t="s">
        <v>680</v>
      </c>
      <c r="D142" s="15"/>
    </row>
    <row r="143" spans="1:5" x14ac:dyDescent="0.2">
      <c r="A143" s="69"/>
      <c r="B143" s="69"/>
      <c r="C143" s="15" t="s">
        <v>681</v>
      </c>
      <c r="D143" s="15"/>
    </row>
    <row r="144" spans="1:5" x14ac:dyDescent="0.2">
      <c r="A144" s="69"/>
      <c r="B144" s="69"/>
      <c r="C144" s="15" t="s">
        <v>939</v>
      </c>
      <c r="D144" s="15"/>
    </row>
    <row r="145" spans="1:4" x14ac:dyDescent="0.2">
      <c r="A145" s="69"/>
      <c r="B145" s="69"/>
      <c r="C145" s="15" t="s">
        <v>102</v>
      </c>
      <c r="D145" s="15"/>
    </row>
    <row r="146" spans="1:4" x14ac:dyDescent="0.2">
      <c r="A146" s="65"/>
      <c r="B146" s="58" t="s">
        <v>4</v>
      </c>
      <c r="C146" s="16" t="s">
        <v>55</v>
      </c>
      <c r="D146" s="16"/>
    </row>
    <row r="147" spans="1:4" x14ac:dyDescent="0.2">
      <c r="A147" s="67"/>
      <c r="B147" s="60"/>
      <c r="C147" s="16" t="s">
        <v>62</v>
      </c>
      <c r="D147" s="16"/>
    </row>
    <row r="148" spans="1:4" x14ac:dyDescent="0.2">
      <c r="A148" s="47"/>
      <c r="B148" s="100" t="s">
        <v>5</v>
      </c>
      <c r="C148" s="15" t="s">
        <v>311</v>
      </c>
      <c r="D148" s="15" t="s">
        <v>56</v>
      </c>
    </row>
    <row r="149" spans="1:4" x14ac:dyDescent="0.2">
      <c r="A149" s="48"/>
      <c r="B149" s="48"/>
      <c r="C149" s="15" t="s">
        <v>927</v>
      </c>
      <c r="D149" s="15" t="s">
        <v>933</v>
      </c>
    </row>
    <row r="150" spans="1:4" x14ac:dyDescent="0.2">
      <c r="A150" s="48"/>
      <c r="B150" s="48"/>
      <c r="C150" s="15" t="s">
        <v>476</v>
      </c>
      <c r="D150" s="15" t="s">
        <v>63</v>
      </c>
    </row>
    <row r="151" spans="1:4" x14ac:dyDescent="0.2">
      <c r="A151" s="48"/>
      <c r="B151" s="48"/>
      <c r="C151" s="15" t="s">
        <v>479</v>
      </c>
      <c r="D151" s="15" t="s">
        <v>250</v>
      </c>
    </row>
    <row r="152" spans="1:4" x14ac:dyDescent="0.2">
      <c r="A152" s="48"/>
      <c r="B152" s="48"/>
      <c r="C152" s="15" t="s">
        <v>480</v>
      </c>
      <c r="D152" s="15" t="s">
        <v>77</v>
      </c>
    </row>
    <row r="153" spans="1:4" x14ac:dyDescent="0.2">
      <c r="A153" s="48"/>
      <c r="B153" s="48"/>
      <c r="C153" s="15" t="s">
        <v>477</v>
      </c>
      <c r="D153" s="15" t="s">
        <v>83</v>
      </c>
    </row>
    <row r="154" spans="1:4" x14ac:dyDescent="0.2">
      <c r="A154" s="48"/>
      <c r="B154" s="48"/>
      <c r="C154" s="15" t="s">
        <v>481</v>
      </c>
      <c r="D154" s="15" t="s">
        <v>89</v>
      </c>
    </row>
    <row r="155" spans="1:4" x14ac:dyDescent="0.2">
      <c r="A155" s="48"/>
      <c r="B155" s="48"/>
      <c r="C155" s="15" t="s">
        <v>478</v>
      </c>
      <c r="D155" s="15" t="s">
        <v>95</v>
      </c>
    </row>
    <row r="156" spans="1:4" x14ac:dyDescent="0.2">
      <c r="A156" s="48"/>
      <c r="B156" s="48"/>
      <c r="C156" s="15" t="s">
        <v>482</v>
      </c>
      <c r="D156" s="15" t="s">
        <v>100</v>
      </c>
    </row>
    <row r="157" spans="1:4" x14ac:dyDescent="0.2">
      <c r="A157" s="48"/>
      <c r="B157" s="48"/>
      <c r="C157" s="15" t="s">
        <v>483</v>
      </c>
      <c r="D157" s="15" t="s">
        <v>106</v>
      </c>
    </row>
    <row r="158" spans="1:4" x14ac:dyDescent="0.2">
      <c r="A158" s="48"/>
      <c r="B158" s="48"/>
      <c r="C158" s="15" t="s">
        <v>485</v>
      </c>
      <c r="D158" s="15" t="s">
        <v>374</v>
      </c>
    </row>
    <row r="159" spans="1:4" x14ac:dyDescent="0.2">
      <c r="A159" s="48"/>
      <c r="B159" s="48"/>
      <c r="C159" s="15" t="s">
        <v>484</v>
      </c>
      <c r="D159" s="15" t="s">
        <v>110</v>
      </c>
    </row>
    <row r="160" spans="1:4" x14ac:dyDescent="0.2">
      <c r="A160" s="48"/>
      <c r="B160" s="48"/>
      <c r="C160" s="15" t="s">
        <v>486</v>
      </c>
      <c r="D160" s="15" t="s">
        <v>113</v>
      </c>
    </row>
    <row r="161" spans="1:4" x14ac:dyDescent="0.2">
      <c r="A161" s="48"/>
      <c r="B161" s="48"/>
      <c r="C161" s="15" t="s">
        <v>487</v>
      </c>
      <c r="D161" s="15" t="s">
        <v>115</v>
      </c>
    </row>
    <row r="162" spans="1:4" x14ac:dyDescent="0.2">
      <c r="A162" s="48"/>
      <c r="B162" s="48"/>
      <c r="C162" s="15" t="s">
        <v>488</v>
      </c>
      <c r="D162" s="15" t="s">
        <v>118</v>
      </c>
    </row>
    <row r="163" spans="1:4" x14ac:dyDescent="0.2">
      <c r="A163" s="48"/>
      <c r="B163" s="48"/>
      <c r="C163" s="15" t="s">
        <v>489</v>
      </c>
      <c r="D163" s="15" t="s">
        <v>121</v>
      </c>
    </row>
    <row r="164" spans="1:4" x14ac:dyDescent="0.2">
      <c r="A164" s="48"/>
      <c r="B164" s="48"/>
      <c r="C164" s="15" t="s">
        <v>490</v>
      </c>
      <c r="D164" s="15" t="s">
        <v>375</v>
      </c>
    </row>
    <row r="165" spans="1:4" x14ac:dyDescent="0.2">
      <c r="A165" s="48"/>
      <c r="B165" s="48"/>
      <c r="C165" s="15" t="s">
        <v>491</v>
      </c>
      <c r="D165" s="15" t="s">
        <v>124</v>
      </c>
    </row>
    <row r="166" spans="1:4" x14ac:dyDescent="0.2">
      <c r="A166" s="48"/>
      <c r="B166" s="48"/>
      <c r="C166" s="15" t="s">
        <v>492</v>
      </c>
      <c r="D166" s="15" t="s">
        <v>126</v>
      </c>
    </row>
    <row r="167" spans="1:4" x14ac:dyDescent="0.2">
      <c r="A167" s="48"/>
      <c r="B167" s="48"/>
      <c r="C167" s="15" t="s">
        <v>493</v>
      </c>
      <c r="D167" s="15" t="s">
        <v>127</v>
      </c>
    </row>
    <row r="168" spans="1:4" x14ac:dyDescent="0.2">
      <c r="A168" s="48"/>
      <c r="B168" s="48"/>
      <c r="C168" s="15" t="s">
        <v>494</v>
      </c>
      <c r="D168" s="15" t="s">
        <v>129</v>
      </c>
    </row>
    <row r="169" spans="1:4" x14ac:dyDescent="0.2">
      <c r="A169" s="48"/>
      <c r="B169" s="48"/>
      <c r="C169" s="15" t="s">
        <v>495</v>
      </c>
      <c r="D169" s="15" t="s">
        <v>251</v>
      </c>
    </row>
    <row r="170" spans="1:4" x14ac:dyDescent="0.2">
      <c r="A170" s="48"/>
      <c r="B170" s="48"/>
      <c r="C170" s="15" t="s">
        <v>593</v>
      </c>
      <c r="D170" s="15" t="s">
        <v>133</v>
      </c>
    </row>
    <row r="171" spans="1:4" x14ac:dyDescent="0.2">
      <c r="A171" s="48"/>
      <c r="B171" s="48"/>
      <c r="C171" s="15" t="s">
        <v>496</v>
      </c>
      <c r="D171" s="15" t="s">
        <v>135</v>
      </c>
    </row>
    <row r="172" spans="1:4" x14ac:dyDescent="0.2">
      <c r="A172" s="48"/>
      <c r="B172" s="48"/>
      <c r="C172" s="15" t="s">
        <v>497</v>
      </c>
      <c r="D172" s="15" t="s">
        <v>137</v>
      </c>
    </row>
    <row r="173" spans="1:4" x14ac:dyDescent="0.2">
      <c r="A173" s="48"/>
      <c r="B173" s="48"/>
      <c r="C173" s="15" t="s">
        <v>498</v>
      </c>
      <c r="D173" s="15" t="s">
        <v>139</v>
      </c>
    </row>
    <row r="174" spans="1:4" x14ac:dyDescent="0.2">
      <c r="A174" s="48"/>
      <c r="B174" s="48"/>
      <c r="C174" s="15" t="s">
        <v>499</v>
      </c>
      <c r="D174" s="15" t="s">
        <v>142</v>
      </c>
    </row>
    <row r="175" spans="1:4" x14ac:dyDescent="0.2">
      <c r="A175" s="48"/>
      <c r="B175" s="48"/>
      <c r="C175" s="15" t="s">
        <v>500</v>
      </c>
      <c r="D175" s="15" t="s">
        <v>144</v>
      </c>
    </row>
    <row r="176" spans="1:4" x14ac:dyDescent="0.2">
      <c r="A176" s="48"/>
      <c r="B176" s="48"/>
      <c r="C176" s="15" t="s">
        <v>501</v>
      </c>
      <c r="D176" s="15" t="s">
        <v>146</v>
      </c>
    </row>
    <row r="177" spans="1:5" x14ac:dyDescent="0.2">
      <c r="A177" s="48"/>
      <c r="B177" s="48"/>
      <c r="C177" s="15" t="s">
        <v>502</v>
      </c>
      <c r="D177" s="15" t="s">
        <v>148</v>
      </c>
    </row>
    <row r="178" spans="1:5" x14ac:dyDescent="0.2">
      <c r="A178" s="48"/>
      <c r="B178" s="48"/>
      <c r="C178" s="15" t="s">
        <v>503</v>
      </c>
      <c r="D178" s="15" t="s">
        <v>150</v>
      </c>
    </row>
    <row r="179" spans="1:5" x14ac:dyDescent="0.2">
      <c r="A179" s="48"/>
      <c r="B179" s="48"/>
      <c r="C179" s="15" t="s">
        <v>504</v>
      </c>
      <c r="D179" s="15" t="s">
        <v>152</v>
      </c>
    </row>
    <row r="180" spans="1:5" x14ac:dyDescent="0.2">
      <c r="A180" s="48"/>
      <c r="B180" s="48"/>
      <c r="C180" s="15" t="s">
        <v>1150</v>
      </c>
      <c r="D180" s="15" t="s">
        <v>1125</v>
      </c>
      <c r="E180" t="s">
        <v>1182</v>
      </c>
    </row>
    <row r="181" spans="1:5" x14ac:dyDescent="0.2">
      <c r="A181" s="48"/>
      <c r="B181" s="48"/>
      <c r="C181" s="15" t="s">
        <v>102</v>
      </c>
      <c r="D181" s="15" t="s">
        <v>102</v>
      </c>
    </row>
    <row r="182" spans="1:5" x14ac:dyDescent="0.2">
      <c r="A182" s="65"/>
      <c r="B182" s="58" t="s">
        <v>778</v>
      </c>
      <c r="C182" s="40" t="s">
        <v>57</v>
      </c>
      <c r="D182" s="40"/>
    </row>
    <row r="183" spans="1:5" x14ac:dyDescent="0.2">
      <c r="A183" s="66"/>
      <c r="B183" s="59"/>
      <c r="C183" s="40" t="s">
        <v>779</v>
      </c>
      <c r="D183" s="40"/>
    </row>
    <row r="184" spans="1:5" x14ac:dyDescent="0.2">
      <c r="A184" s="66"/>
      <c r="B184" s="59"/>
      <c r="C184" s="40" t="s">
        <v>64</v>
      </c>
      <c r="D184" s="40"/>
    </row>
    <row r="185" spans="1:5" x14ac:dyDescent="0.2">
      <c r="A185" s="67"/>
      <c r="B185" s="60"/>
      <c r="C185" s="41" t="s">
        <v>298</v>
      </c>
      <c r="D185" s="41"/>
    </row>
    <row r="186" spans="1:5" x14ac:dyDescent="0.2">
      <c r="A186" s="61"/>
      <c r="B186" s="61" t="s">
        <v>925</v>
      </c>
      <c r="C186" s="39" t="s">
        <v>619</v>
      </c>
      <c r="D186" s="39"/>
    </row>
    <row r="187" spans="1:5" x14ac:dyDescent="0.2">
      <c r="A187" s="62"/>
      <c r="B187" s="62"/>
      <c r="C187" s="39" t="s">
        <v>620</v>
      </c>
      <c r="D187" s="39"/>
    </row>
    <row r="188" spans="1:5" x14ac:dyDescent="0.2">
      <c r="A188" s="65"/>
      <c r="B188" s="58" t="s">
        <v>8</v>
      </c>
      <c r="C188" s="41" t="s">
        <v>65</v>
      </c>
      <c r="D188" s="41" t="s">
        <v>401</v>
      </c>
    </row>
    <row r="189" spans="1:5" x14ac:dyDescent="0.2">
      <c r="A189" s="66"/>
      <c r="B189" s="59"/>
      <c r="C189" s="41" t="s">
        <v>70</v>
      </c>
      <c r="D189" s="41" t="s">
        <v>402</v>
      </c>
    </row>
    <row r="190" spans="1:5" x14ac:dyDescent="0.2">
      <c r="A190" s="66"/>
      <c r="B190" s="59"/>
      <c r="C190" s="41" t="s">
        <v>78</v>
      </c>
      <c r="D190" s="41" t="s">
        <v>78</v>
      </c>
    </row>
    <row r="191" spans="1:5" x14ac:dyDescent="0.2">
      <c r="A191" s="66"/>
      <c r="B191" s="59"/>
      <c r="C191" s="41" t="s">
        <v>90</v>
      </c>
      <c r="D191" s="41" t="s">
        <v>404</v>
      </c>
    </row>
    <row r="192" spans="1:5" x14ac:dyDescent="0.2">
      <c r="A192" s="66"/>
      <c r="B192" s="59"/>
      <c r="C192" s="41" t="s">
        <v>107</v>
      </c>
      <c r="D192" s="41" t="s">
        <v>407</v>
      </c>
    </row>
    <row r="193" spans="1:4" x14ac:dyDescent="0.2">
      <c r="A193" s="66"/>
      <c r="B193" s="59"/>
      <c r="C193" s="41" t="s">
        <v>413</v>
      </c>
      <c r="D193" s="41" t="s">
        <v>408</v>
      </c>
    </row>
    <row r="194" spans="1:4" x14ac:dyDescent="0.2">
      <c r="A194" s="66"/>
      <c r="B194" s="59"/>
      <c r="C194" s="41" t="s">
        <v>101</v>
      </c>
      <c r="D194" s="41" t="s">
        <v>406</v>
      </c>
    </row>
    <row r="195" spans="1:4" x14ac:dyDescent="0.2">
      <c r="A195" s="66"/>
      <c r="B195" s="59"/>
      <c r="C195" s="41" t="s">
        <v>438</v>
      </c>
      <c r="D195" s="41" t="s">
        <v>409</v>
      </c>
    </row>
    <row r="196" spans="1:4" x14ac:dyDescent="0.2">
      <c r="A196" s="66"/>
      <c r="B196" s="59"/>
      <c r="C196" s="41" t="s">
        <v>119</v>
      </c>
      <c r="D196" s="41" t="s">
        <v>411</v>
      </c>
    </row>
    <row r="197" spans="1:4" x14ac:dyDescent="0.2">
      <c r="A197" s="66"/>
      <c r="B197" s="59"/>
      <c r="C197" s="41" t="s">
        <v>116</v>
      </c>
      <c r="D197" s="41" t="s">
        <v>410</v>
      </c>
    </row>
    <row r="198" spans="1:4" x14ac:dyDescent="0.2">
      <c r="A198" s="66"/>
      <c r="B198" s="59"/>
      <c r="C198" s="41" t="s">
        <v>84</v>
      </c>
      <c r="D198" s="41" t="s">
        <v>403</v>
      </c>
    </row>
    <row r="199" spans="1:4" x14ac:dyDescent="0.2">
      <c r="A199" s="66"/>
      <c r="B199" s="59"/>
      <c r="C199" s="41" t="s">
        <v>96</v>
      </c>
      <c r="D199" s="41" t="s">
        <v>405</v>
      </c>
    </row>
    <row r="200" spans="1:4" x14ac:dyDescent="0.2">
      <c r="A200" s="66"/>
      <c r="B200" s="59"/>
      <c r="C200" s="41" t="s">
        <v>102</v>
      </c>
      <c r="D200" s="41" t="s">
        <v>102</v>
      </c>
    </row>
    <row r="201" spans="1:4" x14ac:dyDescent="0.2">
      <c r="A201" s="67"/>
      <c r="B201" s="60"/>
      <c r="C201" s="41" t="s">
        <v>298</v>
      </c>
      <c r="D201" s="41" t="s">
        <v>412</v>
      </c>
    </row>
    <row r="202" spans="1:4" x14ac:dyDescent="0.2">
      <c r="A202" s="100"/>
      <c r="B202" s="100" t="s">
        <v>9</v>
      </c>
      <c r="C202" s="15" t="s">
        <v>414</v>
      </c>
      <c r="D202" s="15"/>
    </row>
    <row r="203" spans="1:4" x14ac:dyDescent="0.2">
      <c r="A203" s="48"/>
      <c r="B203" s="48"/>
      <c r="C203" s="15" t="s">
        <v>262</v>
      </c>
      <c r="D203" s="15"/>
    </row>
    <row r="204" spans="1:4" x14ac:dyDescent="0.2">
      <c r="A204" s="48"/>
      <c r="B204" s="48"/>
      <c r="C204" s="15" t="s">
        <v>172</v>
      </c>
      <c r="D204" s="15"/>
    </row>
    <row r="205" spans="1:4" x14ac:dyDescent="0.2">
      <c r="A205" s="48"/>
      <c r="B205" s="48"/>
      <c r="C205" s="15" t="s">
        <v>637</v>
      </c>
      <c r="D205" s="15"/>
    </row>
    <row r="206" spans="1:4" x14ac:dyDescent="0.2">
      <c r="A206" s="48"/>
      <c r="B206" s="48"/>
      <c r="C206" s="15" t="s">
        <v>156</v>
      </c>
      <c r="D206" s="15"/>
    </row>
    <row r="207" spans="1:4" x14ac:dyDescent="0.2">
      <c r="A207" s="48"/>
      <c r="B207" s="48"/>
      <c r="C207" s="15" t="s">
        <v>631</v>
      </c>
      <c r="D207" s="15"/>
    </row>
    <row r="208" spans="1:4" x14ac:dyDescent="0.2">
      <c r="A208" s="48"/>
      <c r="B208" s="48"/>
      <c r="C208" s="15" t="s">
        <v>176</v>
      </c>
      <c r="D208" s="15"/>
    </row>
    <row r="209" spans="1:5" x14ac:dyDescent="0.2">
      <c r="A209" s="48"/>
      <c r="B209" s="48"/>
      <c r="C209" s="15" t="s">
        <v>633</v>
      </c>
      <c r="D209" s="15"/>
    </row>
    <row r="210" spans="1:5" x14ac:dyDescent="0.2">
      <c r="A210" s="48"/>
      <c r="B210" s="48"/>
      <c r="C210" s="15" t="s">
        <v>66</v>
      </c>
      <c r="D210" s="15"/>
    </row>
    <row r="211" spans="1:5" x14ac:dyDescent="0.2">
      <c r="A211" s="48"/>
      <c r="B211" s="48"/>
      <c r="C211" s="15" t="s">
        <v>269</v>
      </c>
      <c r="D211" s="15"/>
    </row>
    <row r="212" spans="1:5" x14ac:dyDescent="0.2">
      <c r="A212" s="48"/>
      <c r="B212" s="48"/>
      <c r="C212" s="15" t="s">
        <v>638</v>
      </c>
      <c r="D212" s="15"/>
    </row>
    <row r="213" spans="1:5" x14ac:dyDescent="0.2">
      <c r="A213" s="48"/>
      <c r="B213" s="48"/>
      <c r="C213" s="15" t="s">
        <v>140</v>
      </c>
      <c r="D213" s="15"/>
    </row>
    <row r="214" spans="1:5" x14ac:dyDescent="0.2">
      <c r="A214" s="48"/>
      <c r="B214" s="48"/>
      <c r="C214" s="15" t="s">
        <v>256</v>
      </c>
      <c r="D214" s="15"/>
    </row>
    <row r="215" spans="1:5" x14ac:dyDescent="0.2">
      <c r="A215" s="48"/>
      <c r="B215" s="48"/>
      <c r="C215" s="15" t="s">
        <v>122</v>
      </c>
      <c r="D215" s="15"/>
    </row>
    <row r="216" spans="1:5" x14ac:dyDescent="0.2">
      <c r="A216" s="48"/>
      <c r="B216" s="48"/>
      <c r="C216" s="15" t="s">
        <v>270</v>
      </c>
      <c r="D216" s="15"/>
    </row>
    <row r="217" spans="1:5" x14ac:dyDescent="0.2">
      <c r="A217" s="48"/>
      <c r="B217" s="48"/>
      <c r="C217" s="15" t="s">
        <v>692</v>
      </c>
      <c r="D217" s="15"/>
    </row>
    <row r="218" spans="1:5" x14ac:dyDescent="0.2">
      <c r="A218" s="48"/>
      <c r="B218" s="48"/>
      <c r="C218" s="15" t="s">
        <v>1152</v>
      </c>
      <c r="D218" s="15" t="s">
        <v>639</v>
      </c>
      <c r="E218" t="s">
        <v>1182</v>
      </c>
    </row>
    <row r="219" spans="1:5" x14ac:dyDescent="0.2">
      <c r="A219" s="48"/>
      <c r="B219" s="48"/>
      <c r="C219" s="15" t="s">
        <v>267</v>
      </c>
      <c r="D219" s="15"/>
    </row>
    <row r="220" spans="1:5" x14ac:dyDescent="0.2">
      <c r="A220" s="48"/>
      <c r="B220" s="48"/>
      <c r="C220" s="15" t="s">
        <v>264</v>
      </c>
      <c r="D220" s="15"/>
    </row>
    <row r="221" spans="1:5" x14ac:dyDescent="0.2">
      <c r="A221" s="48"/>
      <c r="B221" s="48"/>
      <c r="C221" s="15" t="s">
        <v>265</v>
      </c>
      <c r="D221" s="15"/>
    </row>
    <row r="222" spans="1:5" x14ac:dyDescent="0.2">
      <c r="A222" s="48"/>
      <c r="B222" s="48"/>
      <c r="C222" s="15" t="s">
        <v>167</v>
      </c>
      <c r="D222" s="15"/>
    </row>
    <row r="223" spans="1:5" x14ac:dyDescent="0.2">
      <c r="A223" s="48"/>
      <c r="B223" s="48"/>
      <c r="C223" s="15" t="s">
        <v>254</v>
      </c>
      <c r="D223" s="15"/>
    </row>
    <row r="224" spans="1:5" x14ac:dyDescent="0.2">
      <c r="A224" s="48"/>
      <c r="B224" s="48"/>
      <c r="C224" s="15" t="s">
        <v>261</v>
      </c>
      <c r="D224" s="15"/>
    </row>
    <row r="225" spans="1:4" x14ac:dyDescent="0.2">
      <c r="A225" s="48"/>
      <c r="B225" s="48"/>
      <c r="C225" s="15" t="s">
        <v>71</v>
      </c>
      <c r="D225" s="15"/>
    </row>
    <row r="226" spans="1:4" x14ac:dyDescent="0.2">
      <c r="A226" s="48"/>
      <c r="B226" s="48"/>
      <c r="C226" s="15" t="s">
        <v>259</v>
      </c>
      <c r="D226" s="15"/>
    </row>
    <row r="227" spans="1:4" x14ac:dyDescent="0.2">
      <c r="A227" s="48"/>
      <c r="B227" s="48"/>
      <c r="C227" s="15" t="s">
        <v>75</v>
      </c>
      <c r="D227" s="15"/>
    </row>
    <row r="228" spans="1:4" x14ac:dyDescent="0.2">
      <c r="A228" s="48"/>
      <c r="B228" s="48"/>
      <c r="C228" s="15" t="s">
        <v>263</v>
      </c>
      <c r="D228" s="15"/>
    </row>
    <row r="229" spans="1:4" x14ac:dyDescent="0.2">
      <c r="A229" s="48"/>
      <c r="B229" s="48"/>
      <c r="C229" s="15" t="s">
        <v>635</v>
      </c>
      <c r="D229" s="15"/>
    </row>
    <row r="230" spans="1:4" x14ac:dyDescent="0.2">
      <c r="A230" s="48"/>
      <c r="B230" s="48"/>
      <c r="C230" s="15" t="s">
        <v>636</v>
      </c>
      <c r="D230" s="15"/>
    </row>
    <row r="231" spans="1:4" x14ac:dyDescent="0.2">
      <c r="A231" s="48"/>
      <c r="B231" s="48"/>
      <c r="C231" s="15" t="s">
        <v>266</v>
      </c>
      <c r="D231" s="15"/>
    </row>
    <row r="232" spans="1:4" x14ac:dyDescent="0.2">
      <c r="A232" s="48"/>
      <c r="B232" s="48"/>
      <c r="C232" s="15" t="s">
        <v>85</v>
      </c>
      <c r="D232" s="15"/>
    </row>
    <row r="233" spans="1:4" x14ac:dyDescent="0.2">
      <c r="A233" s="48"/>
      <c r="B233" s="48"/>
      <c r="C233" s="15" t="s">
        <v>632</v>
      </c>
      <c r="D233" s="15"/>
    </row>
    <row r="234" spans="1:4" x14ac:dyDescent="0.2">
      <c r="A234" s="48"/>
      <c r="B234" s="48"/>
      <c r="C234" s="15" t="s">
        <v>630</v>
      </c>
      <c r="D234" s="15"/>
    </row>
    <row r="235" spans="1:4" x14ac:dyDescent="0.2">
      <c r="A235" s="48"/>
      <c r="B235" s="48"/>
      <c r="C235" s="15" t="s">
        <v>640</v>
      </c>
      <c r="D235" s="15"/>
    </row>
    <row r="236" spans="1:4" x14ac:dyDescent="0.2">
      <c r="A236" s="48"/>
      <c r="B236" s="48"/>
      <c r="C236" s="15" t="s">
        <v>255</v>
      </c>
      <c r="D236" s="15"/>
    </row>
    <row r="237" spans="1:4" x14ac:dyDescent="0.2">
      <c r="A237" s="48"/>
      <c r="B237" s="48"/>
      <c r="C237" s="15" t="s">
        <v>722</v>
      </c>
      <c r="D237" s="15"/>
    </row>
    <row r="238" spans="1:4" x14ac:dyDescent="0.2">
      <c r="A238" s="48"/>
      <c r="B238" s="48"/>
      <c r="C238" s="15" t="s">
        <v>34</v>
      </c>
      <c r="D238" s="15"/>
    </row>
    <row r="239" spans="1:4" x14ac:dyDescent="0.2">
      <c r="A239" s="48"/>
      <c r="B239" s="48"/>
      <c r="C239" s="15" t="s">
        <v>629</v>
      </c>
      <c r="D239" s="15"/>
    </row>
    <row r="240" spans="1:4" x14ac:dyDescent="0.2">
      <c r="A240" s="48"/>
      <c r="B240" s="48"/>
      <c r="C240" s="15" t="s">
        <v>268</v>
      </c>
      <c r="D240" s="15"/>
    </row>
    <row r="241" spans="1:4" x14ac:dyDescent="0.2">
      <c r="A241" s="48"/>
      <c r="B241" s="48"/>
      <c r="C241" s="15" t="s">
        <v>634</v>
      </c>
      <c r="D241" s="15"/>
    </row>
    <row r="242" spans="1:4" x14ac:dyDescent="0.2">
      <c r="A242" s="48"/>
      <c r="B242" s="48"/>
      <c r="C242" s="15" t="s">
        <v>252</v>
      </c>
      <c r="D242" s="15"/>
    </row>
    <row r="243" spans="1:4" x14ac:dyDescent="0.2">
      <c r="A243" s="48"/>
      <c r="B243" s="48"/>
      <c r="C243" s="15" t="s">
        <v>258</v>
      </c>
      <c r="D243" s="15"/>
    </row>
    <row r="244" spans="1:4" x14ac:dyDescent="0.2">
      <c r="A244" s="48"/>
      <c r="B244" s="48"/>
      <c r="C244" s="15" t="s">
        <v>257</v>
      </c>
      <c r="D244" s="15"/>
    </row>
    <row r="245" spans="1:4" x14ac:dyDescent="0.2">
      <c r="A245" s="48"/>
      <c r="B245" s="48"/>
      <c r="C245" s="15" t="s">
        <v>174</v>
      </c>
      <c r="D245" s="15"/>
    </row>
    <row r="246" spans="1:4" x14ac:dyDescent="0.2">
      <c r="A246" s="48"/>
      <c r="B246" s="48"/>
      <c r="C246" s="15" t="s">
        <v>253</v>
      </c>
      <c r="D246" s="15"/>
    </row>
    <row r="247" spans="1:4" x14ac:dyDescent="0.2">
      <c r="A247" s="48"/>
      <c r="B247" s="48"/>
      <c r="C247" s="15" t="s">
        <v>169</v>
      </c>
      <c r="D247" s="15"/>
    </row>
    <row r="248" spans="1:4" x14ac:dyDescent="0.2">
      <c r="A248" s="48"/>
      <c r="B248" s="48"/>
      <c r="C248" s="15" t="s">
        <v>170</v>
      </c>
      <c r="D248" s="15"/>
    </row>
    <row r="249" spans="1:4" x14ac:dyDescent="0.2">
      <c r="A249" s="48"/>
      <c r="B249" s="48"/>
      <c r="C249" s="15" t="s">
        <v>165</v>
      </c>
      <c r="D249" s="15"/>
    </row>
    <row r="250" spans="1:4" x14ac:dyDescent="0.2">
      <c r="A250" s="48"/>
      <c r="B250" s="48"/>
      <c r="C250" s="15" t="s">
        <v>260</v>
      </c>
      <c r="D250" s="15"/>
    </row>
    <row r="251" spans="1:4" x14ac:dyDescent="0.2">
      <c r="A251" s="48"/>
      <c r="B251" s="48"/>
      <c r="C251" s="15" t="s">
        <v>163</v>
      </c>
      <c r="D251" s="15"/>
    </row>
    <row r="252" spans="1:4" x14ac:dyDescent="0.2">
      <c r="A252" s="48"/>
      <c r="B252" s="48"/>
      <c r="C252" s="15" t="s">
        <v>102</v>
      </c>
      <c r="D252" s="15"/>
    </row>
    <row r="253" spans="1:4" x14ac:dyDescent="0.2">
      <c r="A253" s="48"/>
      <c r="B253" s="48"/>
      <c r="C253" s="15" t="s">
        <v>862</v>
      </c>
      <c r="D253" s="15"/>
    </row>
    <row r="254" spans="1:4" x14ac:dyDescent="0.2">
      <c r="A254" s="48"/>
      <c r="B254" s="48"/>
      <c r="C254" s="15" t="s">
        <v>863</v>
      </c>
      <c r="D254" s="15"/>
    </row>
    <row r="255" spans="1:4" x14ac:dyDescent="0.2">
      <c r="A255" s="48"/>
      <c r="B255" s="48"/>
      <c r="C255" s="15" t="s">
        <v>864</v>
      </c>
      <c r="D255" s="15"/>
    </row>
    <row r="256" spans="1:4" x14ac:dyDescent="0.2">
      <c r="A256" s="48"/>
      <c r="B256" s="48"/>
      <c r="C256" s="15" t="s">
        <v>865</v>
      </c>
      <c r="D256" s="15"/>
    </row>
    <row r="257" spans="1:5" x14ac:dyDescent="0.2">
      <c r="A257" s="48"/>
      <c r="B257" s="48"/>
      <c r="C257" s="15" t="s">
        <v>866</v>
      </c>
      <c r="D257" s="15"/>
    </row>
    <row r="258" spans="1:5" x14ac:dyDescent="0.2">
      <c r="A258" s="48"/>
      <c r="B258" s="48"/>
      <c r="C258" s="15" t="s">
        <v>867</v>
      </c>
      <c r="D258" s="15"/>
    </row>
    <row r="259" spans="1:5" x14ac:dyDescent="0.2">
      <c r="A259" s="48"/>
      <c r="B259" s="48"/>
      <c r="C259" s="15" t="s">
        <v>868</v>
      </c>
      <c r="D259" s="15"/>
    </row>
    <row r="260" spans="1:5" x14ac:dyDescent="0.2">
      <c r="A260" s="48"/>
      <c r="B260" s="48"/>
      <c r="C260" s="15" t="s">
        <v>869</v>
      </c>
      <c r="D260" s="15"/>
    </row>
    <row r="261" spans="1:5" x14ac:dyDescent="0.2">
      <c r="A261" s="48"/>
      <c r="B261" s="48"/>
      <c r="C261" s="15" t="s">
        <v>870</v>
      </c>
      <c r="D261" s="15"/>
    </row>
    <row r="262" spans="1:5" x14ac:dyDescent="0.2">
      <c r="A262" s="48"/>
      <c r="B262" s="48"/>
      <c r="C262" s="15" t="s">
        <v>871</v>
      </c>
      <c r="D262" s="15"/>
    </row>
    <row r="263" spans="1:5" x14ac:dyDescent="0.2">
      <c r="A263" s="48"/>
      <c r="B263" s="48"/>
      <c r="C263" s="15" t="s">
        <v>872</v>
      </c>
      <c r="D263" s="15"/>
    </row>
    <row r="264" spans="1:5" x14ac:dyDescent="0.2">
      <c r="A264" s="48"/>
      <c r="B264" s="48"/>
      <c r="C264" s="15" t="s">
        <v>873</v>
      </c>
      <c r="D264" s="15"/>
    </row>
    <row r="265" spans="1:5" x14ac:dyDescent="0.2">
      <c r="A265" s="48"/>
      <c r="B265" s="48"/>
      <c r="C265" s="15" t="s">
        <v>874</v>
      </c>
      <c r="D265" s="15"/>
    </row>
    <row r="266" spans="1:5" x14ac:dyDescent="0.2">
      <c r="A266" s="48"/>
      <c r="B266" s="48"/>
      <c r="C266" s="15" t="s">
        <v>875</v>
      </c>
      <c r="D266" s="15"/>
    </row>
    <row r="267" spans="1:5" x14ac:dyDescent="0.2">
      <c r="A267" s="48"/>
      <c r="B267" s="48"/>
      <c r="C267" s="15" t="s">
        <v>876</v>
      </c>
      <c r="D267" s="15"/>
    </row>
    <row r="268" spans="1:5" x14ac:dyDescent="0.2">
      <c r="A268" s="48"/>
      <c r="B268" s="48"/>
      <c r="C268" s="15" t="s">
        <v>877</v>
      </c>
      <c r="D268" s="15"/>
    </row>
    <row r="269" spans="1:5" x14ac:dyDescent="0.2">
      <c r="A269" s="48"/>
      <c r="B269" s="48"/>
      <c r="C269" s="15" t="s">
        <v>861</v>
      </c>
      <c r="D269" s="15"/>
    </row>
    <row r="270" spans="1:5" x14ac:dyDescent="0.2">
      <c r="A270" s="48"/>
      <c r="B270" s="48"/>
      <c r="C270" s="15" t="s">
        <v>1128</v>
      </c>
      <c r="D270" s="15" t="s">
        <v>1127</v>
      </c>
      <c r="E270" t="s">
        <v>1182</v>
      </c>
    </row>
    <row r="271" spans="1:5" x14ac:dyDescent="0.2">
      <c r="A271" s="48"/>
      <c r="B271" s="48"/>
      <c r="C271" s="15" t="s">
        <v>1130</v>
      </c>
      <c r="D271" s="15" t="s">
        <v>1129</v>
      </c>
      <c r="E271" t="s">
        <v>1182</v>
      </c>
    </row>
    <row r="272" spans="1:5" x14ac:dyDescent="0.2">
      <c r="A272" s="48"/>
      <c r="B272" s="48"/>
      <c r="C272" s="15" t="s">
        <v>1132</v>
      </c>
      <c r="D272" s="15" t="s">
        <v>1131</v>
      </c>
      <c r="E272" t="s">
        <v>1182</v>
      </c>
    </row>
    <row r="273" spans="1:5" x14ac:dyDescent="0.2">
      <c r="A273" s="48"/>
      <c r="B273" s="48"/>
      <c r="C273" s="15" t="s">
        <v>878</v>
      </c>
      <c r="D273" s="15"/>
    </row>
    <row r="274" spans="1:5" x14ac:dyDescent="0.2">
      <c r="A274" s="48"/>
      <c r="B274" s="48"/>
      <c r="C274" s="15" t="s">
        <v>1134</v>
      </c>
      <c r="D274" s="15" t="s">
        <v>1133</v>
      </c>
      <c r="E274" t="s">
        <v>1182</v>
      </c>
    </row>
    <row r="275" spans="1:5" x14ac:dyDescent="0.2">
      <c r="A275" s="48"/>
      <c r="B275" s="48"/>
      <c r="C275" s="15" t="s">
        <v>879</v>
      </c>
      <c r="D275" s="15"/>
    </row>
    <row r="276" spans="1:5" x14ac:dyDescent="0.2">
      <c r="A276" s="48"/>
      <c r="B276" s="48"/>
      <c r="C276" s="15" t="s">
        <v>880</v>
      </c>
      <c r="D276" s="15"/>
    </row>
    <row r="277" spans="1:5" x14ac:dyDescent="0.2">
      <c r="A277" s="48"/>
      <c r="B277" s="48"/>
      <c r="C277" s="15" t="s">
        <v>881</v>
      </c>
      <c r="D277" s="15"/>
    </row>
    <row r="278" spans="1:5" x14ac:dyDescent="0.2">
      <c r="A278" s="48"/>
      <c r="B278" s="48"/>
      <c r="C278" s="15" t="s">
        <v>882</v>
      </c>
      <c r="D278" s="15"/>
    </row>
    <row r="279" spans="1:5" x14ac:dyDescent="0.2">
      <c r="A279" s="48"/>
      <c r="B279" s="48"/>
      <c r="C279" s="15" t="s">
        <v>883</v>
      </c>
      <c r="D279" s="15"/>
    </row>
    <row r="280" spans="1:5" x14ac:dyDescent="0.2">
      <c r="A280" s="48"/>
      <c r="B280" s="48"/>
      <c r="C280" s="15" t="s">
        <v>884</v>
      </c>
      <c r="D280" s="15"/>
    </row>
    <row r="281" spans="1:5" x14ac:dyDescent="0.2">
      <c r="A281" s="48"/>
      <c r="B281" s="48"/>
      <c r="C281" s="15" t="s">
        <v>857</v>
      </c>
      <c r="D281" s="15"/>
    </row>
    <row r="282" spans="1:5" x14ac:dyDescent="0.2">
      <c r="A282" s="48"/>
      <c r="B282" s="48"/>
      <c r="C282" s="15" t="s">
        <v>1136</v>
      </c>
      <c r="D282" s="15" t="s">
        <v>1135</v>
      </c>
      <c r="E282" t="s">
        <v>1182</v>
      </c>
    </row>
    <row r="283" spans="1:5" x14ac:dyDescent="0.2">
      <c r="A283" s="48"/>
      <c r="B283" s="48"/>
      <c r="C283" s="15" t="s">
        <v>885</v>
      </c>
      <c r="D283" s="15"/>
    </row>
    <row r="284" spans="1:5" x14ac:dyDescent="0.2">
      <c r="A284" s="48"/>
      <c r="B284" s="48"/>
      <c r="C284" s="15" t="s">
        <v>1138</v>
      </c>
      <c r="D284" s="15" t="s">
        <v>1137</v>
      </c>
      <c r="E284" t="s">
        <v>1182</v>
      </c>
    </row>
    <row r="285" spans="1:5" x14ac:dyDescent="0.2">
      <c r="A285" s="48"/>
      <c r="B285" s="48"/>
      <c r="C285" s="15" t="s">
        <v>886</v>
      </c>
      <c r="D285" s="15"/>
    </row>
    <row r="286" spans="1:5" x14ac:dyDescent="0.2">
      <c r="A286" s="48"/>
      <c r="B286" s="48"/>
      <c r="C286" s="15" t="s">
        <v>887</v>
      </c>
      <c r="D286" s="15"/>
    </row>
    <row r="287" spans="1:5" x14ac:dyDescent="0.2">
      <c r="A287" s="48"/>
      <c r="B287" s="48"/>
      <c r="C287" s="15" t="s">
        <v>888</v>
      </c>
      <c r="D287" s="15"/>
    </row>
    <row r="288" spans="1:5" x14ac:dyDescent="0.2">
      <c r="A288" s="48"/>
      <c r="B288" s="48"/>
      <c r="C288" s="15" t="s">
        <v>889</v>
      </c>
      <c r="D288" s="15"/>
    </row>
    <row r="289" spans="1:5" x14ac:dyDescent="0.2">
      <c r="A289" s="48"/>
      <c r="B289" s="48"/>
      <c r="C289" s="15" t="s">
        <v>1140</v>
      </c>
      <c r="D289" s="15" t="s">
        <v>1139</v>
      </c>
      <c r="E289" t="s">
        <v>1182</v>
      </c>
    </row>
    <row r="290" spans="1:5" x14ac:dyDescent="0.2">
      <c r="A290" s="48"/>
      <c r="B290" s="48"/>
      <c r="C290" s="15" t="s">
        <v>890</v>
      </c>
      <c r="D290" s="15"/>
    </row>
    <row r="291" spans="1:5" x14ac:dyDescent="0.2">
      <c r="A291" s="48"/>
      <c r="B291" s="48"/>
      <c r="C291" s="15" t="s">
        <v>891</v>
      </c>
      <c r="D291" s="15"/>
    </row>
    <row r="292" spans="1:5" x14ac:dyDescent="0.2">
      <c r="A292" s="48"/>
      <c r="B292" s="48"/>
      <c r="C292" s="15" t="s">
        <v>892</v>
      </c>
      <c r="D292" s="15"/>
    </row>
    <row r="293" spans="1:5" x14ac:dyDescent="0.2">
      <c r="A293" s="48"/>
      <c r="B293" s="48"/>
      <c r="C293" s="15" t="s">
        <v>893</v>
      </c>
      <c r="D293" s="15"/>
    </row>
    <row r="294" spans="1:5" x14ac:dyDescent="0.2">
      <c r="A294" s="48"/>
      <c r="B294" s="48"/>
      <c r="C294" s="15" t="s">
        <v>894</v>
      </c>
      <c r="D294" s="15"/>
    </row>
    <row r="295" spans="1:5" x14ac:dyDescent="0.2">
      <c r="A295" s="48"/>
      <c r="B295" s="48"/>
      <c r="C295" s="15" t="s">
        <v>895</v>
      </c>
      <c r="D295" s="15"/>
    </row>
    <row r="296" spans="1:5" x14ac:dyDescent="0.2">
      <c r="A296" s="48"/>
      <c r="B296" s="48"/>
      <c r="C296" s="15" t="s">
        <v>195</v>
      </c>
      <c r="D296" s="15"/>
    </row>
    <row r="297" spans="1:5" x14ac:dyDescent="0.2">
      <c r="A297" s="48"/>
      <c r="B297" s="48"/>
      <c r="C297" s="15" t="s">
        <v>1141</v>
      </c>
      <c r="D297" s="15" t="s">
        <v>1142</v>
      </c>
      <c r="E297" t="s">
        <v>1182</v>
      </c>
    </row>
    <row r="298" spans="1:5" x14ac:dyDescent="0.2">
      <c r="A298" s="48"/>
      <c r="B298" s="48"/>
      <c r="C298" s="15" t="s">
        <v>896</v>
      </c>
      <c r="D298" s="15"/>
    </row>
    <row r="299" spans="1:5" x14ac:dyDescent="0.2">
      <c r="A299" s="48"/>
      <c r="B299" s="48"/>
      <c r="C299" s="15" t="s">
        <v>897</v>
      </c>
      <c r="D299" s="15"/>
    </row>
    <row r="300" spans="1:5" x14ac:dyDescent="0.2">
      <c r="A300" s="48"/>
      <c r="B300" s="48"/>
      <c r="C300" s="15" t="s">
        <v>1143</v>
      </c>
      <c r="D300" s="15"/>
      <c r="E300" t="s">
        <v>1182</v>
      </c>
    </row>
    <row r="301" spans="1:5" x14ac:dyDescent="0.2">
      <c r="A301" s="48"/>
      <c r="B301" s="48"/>
      <c r="C301" s="15" t="s">
        <v>249</v>
      </c>
      <c r="D301" s="15"/>
    </row>
    <row r="302" spans="1:5" x14ac:dyDescent="0.2">
      <c r="A302" s="48"/>
      <c r="B302" s="48"/>
      <c r="C302" s="15" t="s">
        <v>898</v>
      </c>
      <c r="D302" s="15"/>
    </row>
    <row r="303" spans="1:5" x14ac:dyDescent="0.2">
      <c r="A303" s="48"/>
      <c r="B303" s="48"/>
      <c r="C303" s="15" t="s">
        <v>899</v>
      </c>
      <c r="D303" s="15"/>
    </row>
    <row r="304" spans="1:5" x14ac:dyDescent="0.2">
      <c r="A304" s="48"/>
      <c r="B304" s="48"/>
      <c r="C304" s="15" t="s">
        <v>900</v>
      </c>
      <c r="D304" s="15"/>
    </row>
    <row r="305" spans="1:5" x14ac:dyDescent="0.2">
      <c r="A305" s="48"/>
      <c r="B305" s="48"/>
      <c r="C305" s="15" t="s">
        <v>901</v>
      </c>
      <c r="D305" s="15"/>
    </row>
    <row r="306" spans="1:5" x14ac:dyDescent="0.2">
      <c r="A306" s="48"/>
      <c r="B306" s="48"/>
      <c r="C306" s="15" t="s">
        <v>902</v>
      </c>
      <c r="D306" s="15"/>
    </row>
    <row r="307" spans="1:5" x14ac:dyDescent="0.2">
      <c r="A307" s="48"/>
      <c r="B307" s="48"/>
      <c r="C307" s="15" t="s">
        <v>202</v>
      </c>
      <c r="D307" s="15"/>
    </row>
    <row r="308" spans="1:5" x14ac:dyDescent="0.2">
      <c r="A308" s="48"/>
      <c r="B308" s="48"/>
      <c r="C308" s="15" t="s">
        <v>903</v>
      </c>
      <c r="D308" s="15"/>
    </row>
    <row r="309" spans="1:5" x14ac:dyDescent="0.2">
      <c r="A309" s="48"/>
      <c r="B309" s="48"/>
      <c r="C309" s="15" t="s">
        <v>904</v>
      </c>
      <c r="D309" s="15"/>
    </row>
    <row r="310" spans="1:5" x14ac:dyDescent="0.2">
      <c r="A310" s="48"/>
      <c r="B310" s="48"/>
      <c r="C310" s="15" t="s">
        <v>951</v>
      </c>
      <c r="D310" s="15"/>
      <c r="E310" t="s">
        <v>1182</v>
      </c>
    </row>
    <row r="311" spans="1:5" x14ac:dyDescent="0.2">
      <c r="A311" s="48"/>
      <c r="B311" s="48"/>
      <c r="C311" s="15" t="s">
        <v>952</v>
      </c>
      <c r="D311" s="15"/>
      <c r="E311" t="s">
        <v>1182</v>
      </c>
    </row>
    <row r="312" spans="1:5" x14ac:dyDescent="0.2">
      <c r="A312" s="48"/>
      <c r="B312" s="48"/>
      <c r="C312" s="15" t="s">
        <v>953</v>
      </c>
      <c r="D312" s="15"/>
      <c r="E312" t="s">
        <v>1182</v>
      </c>
    </row>
    <row r="313" spans="1:5" x14ac:dyDescent="0.2">
      <c r="A313" s="48"/>
      <c r="B313" s="48"/>
      <c r="C313" s="15" t="s">
        <v>905</v>
      </c>
      <c r="D313" s="15"/>
    </row>
    <row r="314" spans="1:5" x14ac:dyDescent="0.2">
      <c r="A314" s="48"/>
      <c r="B314" s="48"/>
      <c r="C314" s="15" t="s">
        <v>906</v>
      </c>
      <c r="D314" s="15"/>
    </row>
    <row r="315" spans="1:5" x14ac:dyDescent="0.2">
      <c r="A315" s="48"/>
      <c r="B315" s="48"/>
      <c r="C315" s="15" t="s">
        <v>907</v>
      </c>
      <c r="D315" s="15"/>
    </row>
    <row r="316" spans="1:5" x14ac:dyDescent="0.2">
      <c r="A316" s="48"/>
      <c r="B316" s="48"/>
      <c r="C316" s="15" t="s">
        <v>908</v>
      </c>
      <c r="D316" s="15"/>
    </row>
    <row r="317" spans="1:5" x14ac:dyDescent="0.2">
      <c r="A317" s="48"/>
      <c r="B317" s="48"/>
      <c r="C317" s="15" t="s">
        <v>909</v>
      </c>
      <c r="D317" s="15"/>
    </row>
    <row r="318" spans="1:5" x14ac:dyDescent="0.2">
      <c r="A318" s="48"/>
      <c r="B318" s="48"/>
      <c r="C318" s="15" t="s">
        <v>950</v>
      </c>
      <c r="D318" s="114" t="s">
        <v>910</v>
      </c>
      <c r="E318" t="s">
        <v>1182</v>
      </c>
    </row>
    <row r="319" spans="1:5" x14ac:dyDescent="0.2">
      <c r="A319" s="48"/>
      <c r="B319" s="48"/>
      <c r="C319" s="15" t="s">
        <v>911</v>
      </c>
      <c r="D319" s="15"/>
    </row>
    <row r="320" spans="1:5" x14ac:dyDescent="0.2">
      <c r="A320" s="48"/>
      <c r="B320" s="48"/>
      <c r="C320" s="15" t="s">
        <v>912</v>
      </c>
      <c r="D320" s="15"/>
    </row>
    <row r="321" spans="1:5" x14ac:dyDescent="0.2">
      <c r="A321" s="48"/>
      <c r="B321" s="48"/>
      <c r="C321" s="15" t="s">
        <v>858</v>
      </c>
      <c r="D321" s="15"/>
    </row>
    <row r="322" spans="1:5" x14ac:dyDescent="0.2">
      <c r="A322" s="48"/>
      <c r="B322" s="48"/>
      <c r="C322" s="15" t="s">
        <v>859</v>
      </c>
      <c r="D322" s="15"/>
    </row>
    <row r="323" spans="1:5" x14ac:dyDescent="0.2">
      <c r="A323" s="48"/>
      <c r="B323" s="48"/>
      <c r="C323" s="15" t="s">
        <v>913</v>
      </c>
      <c r="D323" s="15"/>
    </row>
    <row r="324" spans="1:5" x14ac:dyDescent="0.2">
      <c r="A324" s="48"/>
      <c r="B324" s="48"/>
      <c r="C324" s="15" t="s">
        <v>860</v>
      </c>
      <c r="D324" s="15"/>
    </row>
    <row r="325" spans="1:5" x14ac:dyDescent="0.2">
      <c r="A325" s="48"/>
      <c r="B325" s="48"/>
      <c r="C325" s="15" t="s">
        <v>914</v>
      </c>
      <c r="D325" s="15"/>
    </row>
    <row r="326" spans="1:5" x14ac:dyDescent="0.2">
      <c r="A326" s="48"/>
      <c r="B326" s="48"/>
      <c r="C326" s="15" t="s">
        <v>915</v>
      </c>
      <c r="D326" s="15"/>
    </row>
    <row r="327" spans="1:5" x14ac:dyDescent="0.2">
      <c r="A327" s="48"/>
      <c r="B327" s="48"/>
      <c r="C327" s="15" t="s">
        <v>130</v>
      </c>
      <c r="D327" s="15"/>
    </row>
    <row r="328" spans="1:5" x14ac:dyDescent="0.2">
      <c r="A328" s="65"/>
      <c r="B328" s="55" t="s">
        <v>300</v>
      </c>
      <c r="C328" s="41" t="s">
        <v>962</v>
      </c>
      <c r="D328" s="41"/>
      <c r="E328" t="s">
        <v>1182</v>
      </c>
    </row>
    <row r="329" spans="1:5" x14ac:dyDescent="0.2">
      <c r="A329" s="66"/>
      <c r="B329" s="56"/>
      <c r="C329" s="41" t="s">
        <v>1052</v>
      </c>
      <c r="D329" s="41"/>
      <c r="E329" t="s">
        <v>1182</v>
      </c>
    </row>
    <row r="330" spans="1:5" x14ac:dyDescent="0.2">
      <c r="A330" s="66"/>
      <c r="B330" s="56"/>
      <c r="C330" s="116" t="s">
        <v>1053</v>
      </c>
      <c r="D330" s="41"/>
      <c r="E330" t="s">
        <v>1182</v>
      </c>
    </row>
    <row r="331" spans="1:5" x14ac:dyDescent="0.2">
      <c r="A331" s="66"/>
      <c r="B331" s="56"/>
      <c r="C331" s="115" t="s">
        <v>963</v>
      </c>
      <c r="D331" s="41"/>
      <c r="E331" t="s">
        <v>1182</v>
      </c>
    </row>
    <row r="332" spans="1:5" x14ac:dyDescent="0.2">
      <c r="A332" s="66"/>
      <c r="B332" s="56"/>
      <c r="C332" s="115" t="s">
        <v>1044</v>
      </c>
      <c r="D332" s="41"/>
      <c r="E332" t="s">
        <v>1182</v>
      </c>
    </row>
    <row r="333" spans="1:5" x14ac:dyDescent="0.2">
      <c r="A333" s="66"/>
      <c r="B333" s="56"/>
      <c r="C333" s="115" t="s">
        <v>964</v>
      </c>
      <c r="D333" s="41"/>
      <c r="E333" t="s">
        <v>1182</v>
      </c>
    </row>
    <row r="334" spans="1:5" x14ac:dyDescent="0.2">
      <c r="A334" s="66"/>
      <c r="B334" s="56"/>
      <c r="C334" s="115" t="s">
        <v>965</v>
      </c>
      <c r="D334" s="41"/>
      <c r="E334" t="s">
        <v>1182</v>
      </c>
    </row>
    <row r="335" spans="1:5" x14ac:dyDescent="0.2">
      <c r="A335" s="66"/>
      <c r="B335" s="56"/>
      <c r="C335" s="41" t="s">
        <v>1045</v>
      </c>
      <c r="D335" s="41"/>
      <c r="E335" t="s">
        <v>1182</v>
      </c>
    </row>
    <row r="336" spans="1:5" x14ac:dyDescent="0.2">
      <c r="A336" s="66"/>
      <c r="B336" s="56"/>
      <c r="C336" s="41" t="s">
        <v>1046</v>
      </c>
      <c r="D336" s="41"/>
      <c r="E336" t="s">
        <v>1182</v>
      </c>
    </row>
    <row r="337" spans="1:5" x14ac:dyDescent="0.2">
      <c r="A337" s="66"/>
      <c r="B337" s="56"/>
      <c r="C337" s="41" t="s">
        <v>1047</v>
      </c>
      <c r="D337" s="41"/>
      <c r="E337" t="s">
        <v>1182</v>
      </c>
    </row>
    <row r="338" spans="1:5" x14ac:dyDescent="0.2">
      <c r="A338" s="66"/>
      <c r="B338" s="56"/>
      <c r="C338" s="41" t="s">
        <v>1048</v>
      </c>
      <c r="D338" s="41"/>
      <c r="E338" t="s">
        <v>1182</v>
      </c>
    </row>
    <row r="339" spans="1:5" x14ac:dyDescent="0.2">
      <c r="A339" s="66"/>
      <c r="B339" s="56"/>
      <c r="C339" s="41" t="s">
        <v>1049</v>
      </c>
      <c r="D339" s="41"/>
      <c r="E339" t="s">
        <v>1182</v>
      </c>
    </row>
    <row r="340" spans="1:5" x14ac:dyDescent="0.2">
      <c r="A340" s="66"/>
      <c r="B340" s="56"/>
      <c r="C340" s="41" t="s">
        <v>1050</v>
      </c>
      <c r="D340" s="41"/>
      <c r="E340" t="s">
        <v>1182</v>
      </c>
    </row>
    <row r="341" spans="1:5" x14ac:dyDescent="0.2">
      <c r="A341" s="66"/>
      <c r="B341" s="56"/>
      <c r="C341" s="41" t="s">
        <v>1051</v>
      </c>
      <c r="D341" s="41"/>
      <c r="E341" t="s">
        <v>1182</v>
      </c>
    </row>
    <row r="342" spans="1:5" x14ac:dyDescent="0.2">
      <c r="A342" s="66"/>
      <c r="B342" s="56"/>
      <c r="C342" s="41" t="s">
        <v>1054</v>
      </c>
      <c r="D342" s="41"/>
      <c r="E342" t="s">
        <v>1182</v>
      </c>
    </row>
    <row r="343" spans="1:5" x14ac:dyDescent="0.2">
      <c r="A343" s="66"/>
      <c r="B343" s="56"/>
      <c r="C343" s="41" t="s">
        <v>1055</v>
      </c>
      <c r="D343" s="41"/>
      <c r="E343" t="s">
        <v>1182</v>
      </c>
    </row>
    <row r="344" spans="1:5" x14ac:dyDescent="0.2">
      <c r="A344" s="66"/>
      <c r="B344" s="56"/>
      <c r="C344" s="41" t="s">
        <v>1056</v>
      </c>
      <c r="D344" s="41"/>
      <c r="E344" t="s">
        <v>1182</v>
      </c>
    </row>
    <row r="345" spans="1:5" x14ac:dyDescent="0.2">
      <c r="A345" s="66"/>
      <c r="B345" s="56"/>
      <c r="C345" s="41" t="s">
        <v>1057</v>
      </c>
      <c r="D345" s="41"/>
      <c r="E345" t="s">
        <v>1182</v>
      </c>
    </row>
    <row r="346" spans="1:5" x14ac:dyDescent="0.2">
      <c r="A346" s="66"/>
      <c r="B346" s="56"/>
      <c r="C346" s="41" t="s">
        <v>1058</v>
      </c>
      <c r="D346" s="41"/>
      <c r="E346" t="s">
        <v>1182</v>
      </c>
    </row>
    <row r="347" spans="1:5" x14ac:dyDescent="0.2">
      <c r="A347" s="66"/>
      <c r="B347" s="56"/>
      <c r="C347" s="41" t="s">
        <v>1059</v>
      </c>
      <c r="D347" s="41"/>
      <c r="E347" t="s">
        <v>1182</v>
      </c>
    </row>
    <row r="348" spans="1:5" x14ac:dyDescent="0.2">
      <c r="A348" s="66"/>
      <c r="B348" s="56"/>
      <c r="C348" s="41" t="s">
        <v>1060</v>
      </c>
      <c r="D348" s="41"/>
      <c r="E348" t="s">
        <v>1182</v>
      </c>
    </row>
    <row r="349" spans="1:5" x14ac:dyDescent="0.2">
      <c r="A349" s="66"/>
      <c r="B349" s="56"/>
      <c r="C349" s="41" t="s">
        <v>1061</v>
      </c>
      <c r="D349" s="41"/>
      <c r="E349" t="s">
        <v>1182</v>
      </c>
    </row>
    <row r="350" spans="1:5" x14ac:dyDescent="0.2">
      <c r="A350" s="66"/>
      <c r="B350" s="56"/>
      <c r="C350" s="41" t="s">
        <v>1062</v>
      </c>
      <c r="D350" s="41"/>
      <c r="E350" t="s">
        <v>1182</v>
      </c>
    </row>
    <row r="351" spans="1:5" x14ac:dyDescent="0.2">
      <c r="A351" s="66"/>
      <c r="B351" s="56"/>
      <c r="C351" s="41" t="s">
        <v>1063</v>
      </c>
      <c r="D351" s="41"/>
      <c r="E351" t="s">
        <v>1182</v>
      </c>
    </row>
    <row r="352" spans="1:5" x14ac:dyDescent="0.2">
      <c r="A352" s="66"/>
      <c r="B352" s="56"/>
      <c r="C352" s="41" t="s">
        <v>1064</v>
      </c>
      <c r="D352" s="41"/>
      <c r="E352" t="s">
        <v>1182</v>
      </c>
    </row>
    <row r="353" spans="1:5" x14ac:dyDescent="0.2">
      <c r="A353" s="66"/>
      <c r="B353" s="56"/>
      <c r="C353" s="41" t="s">
        <v>1065</v>
      </c>
      <c r="D353" s="41"/>
      <c r="E353" t="s">
        <v>1182</v>
      </c>
    </row>
    <row r="354" spans="1:5" x14ac:dyDescent="0.2">
      <c r="A354" s="66"/>
      <c r="B354" s="56"/>
      <c r="C354" s="41" t="s">
        <v>1066</v>
      </c>
      <c r="D354" s="41"/>
      <c r="E354" t="s">
        <v>1182</v>
      </c>
    </row>
    <row r="355" spans="1:5" x14ac:dyDescent="0.2">
      <c r="A355" s="66"/>
      <c r="B355" s="56"/>
      <c r="C355" s="41" t="s">
        <v>1067</v>
      </c>
      <c r="D355" s="41"/>
      <c r="E355" t="s">
        <v>1182</v>
      </c>
    </row>
    <row r="356" spans="1:5" x14ac:dyDescent="0.2">
      <c r="A356" s="66"/>
      <c r="B356" s="56"/>
      <c r="C356" s="41" t="s">
        <v>1068</v>
      </c>
      <c r="D356" s="41"/>
      <c r="E356" t="s">
        <v>1182</v>
      </c>
    </row>
    <row r="357" spans="1:5" x14ac:dyDescent="0.2">
      <c r="A357" s="66"/>
      <c r="B357" s="56"/>
      <c r="C357" s="41" t="s">
        <v>1069</v>
      </c>
      <c r="D357" s="41"/>
      <c r="E357" t="s">
        <v>1182</v>
      </c>
    </row>
    <row r="358" spans="1:5" x14ac:dyDescent="0.2">
      <c r="A358" s="66"/>
      <c r="B358" s="56"/>
      <c r="C358" s="41" t="s">
        <v>1070</v>
      </c>
      <c r="D358" s="41"/>
      <c r="E358" t="s">
        <v>1182</v>
      </c>
    </row>
    <row r="359" spans="1:5" x14ac:dyDescent="0.2">
      <c r="A359" s="66"/>
      <c r="B359" s="56"/>
      <c r="C359" s="41" t="s">
        <v>1071</v>
      </c>
      <c r="D359" s="41"/>
      <c r="E359" t="s">
        <v>1182</v>
      </c>
    </row>
    <row r="360" spans="1:5" x14ac:dyDescent="0.2">
      <c r="A360" s="66"/>
      <c r="B360" s="56"/>
      <c r="C360" s="41" t="s">
        <v>1072</v>
      </c>
      <c r="D360" s="41"/>
      <c r="E360" t="s">
        <v>1182</v>
      </c>
    </row>
    <row r="361" spans="1:5" x14ac:dyDescent="0.2">
      <c r="A361" s="66"/>
      <c r="B361" s="56"/>
      <c r="C361" s="41" t="s">
        <v>1073</v>
      </c>
      <c r="D361" s="41"/>
      <c r="E361" t="s">
        <v>1182</v>
      </c>
    </row>
    <row r="362" spans="1:5" x14ac:dyDescent="0.2">
      <c r="A362" s="66"/>
      <c r="B362" s="56"/>
      <c r="C362" s="41" t="s">
        <v>1074</v>
      </c>
      <c r="D362" s="41"/>
      <c r="E362" t="s">
        <v>1182</v>
      </c>
    </row>
    <row r="363" spans="1:5" x14ac:dyDescent="0.2">
      <c r="A363" s="66"/>
      <c r="B363" s="56"/>
      <c r="C363" s="41" t="s">
        <v>1075</v>
      </c>
      <c r="D363" s="41"/>
      <c r="E363" t="s">
        <v>1182</v>
      </c>
    </row>
    <row r="364" spans="1:5" x14ac:dyDescent="0.2">
      <c r="A364" s="66"/>
      <c r="B364" s="56"/>
      <c r="C364" s="41" t="s">
        <v>1076</v>
      </c>
      <c r="D364" s="41"/>
      <c r="E364" t="s">
        <v>1182</v>
      </c>
    </row>
    <row r="365" spans="1:5" x14ac:dyDescent="0.2">
      <c r="A365" s="66"/>
      <c r="B365" s="56"/>
      <c r="C365" s="41" t="s">
        <v>1077</v>
      </c>
      <c r="D365" s="41"/>
      <c r="E365" t="s">
        <v>1182</v>
      </c>
    </row>
    <row r="366" spans="1:5" x14ac:dyDescent="0.2">
      <c r="A366" s="66"/>
      <c r="B366" s="56"/>
      <c r="C366" s="41" t="s">
        <v>1078</v>
      </c>
      <c r="D366" s="41"/>
      <c r="E366" t="s">
        <v>1182</v>
      </c>
    </row>
    <row r="367" spans="1:5" x14ac:dyDescent="0.2">
      <c r="A367" s="66"/>
      <c r="B367" s="56"/>
      <c r="C367" s="41" t="s">
        <v>1079</v>
      </c>
      <c r="D367" s="41"/>
      <c r="E367" t="s">
        <v>1182</v>
      </c>
    </row>
    <row r="368" spans="1:5" x14ac:dyDescent="0.2">
      <c r="A368" s="66"/>
      <c r="B368" s="56"/>
      <c r="C368" s="41" t="s">
        <v>1080</v>
      </c>
      <c r="D368" s="41"/>
      <c r="E368" t="s">
        <v>1182</v>
      </c>
    </row>
    <row r="369" spans="1:5" x14ac:dyDescent="0.2">
      <c r="A369" s="66"/>
      <c r="B369" s="56"/>
      <c r="C369" s="41" t="s">
        <v>1081</v>
      </c>
      <c r="D369" s="41"/>
      <c r="E369" t="s">
        <v>1182</v>
      </c>
    </row>
    <row r="370" spans="1:5" x14ac:dyDescent="0.2">
      <c r="A370" s="66"/>
      <c r="B370" s="56"/>
      <c r="C370" s="41" t="s">
        <v>1082</v>
      </c>
      <c r="D370" s="41"/>
      <c r="E370" t="s">
        <v>1182</v>
      </c>
    </row>
    <row r="371" spans="1:5" x14ac:dyDescent="0.2">
      <c r="A371" s="66"/>
      <c r="B371" s="56"/>
      <c r="C371" s="41" t="s">
        <v>966</v>
      </c>
      <c r="D371" s="41"/>
      <c r="E371" t="s">
        <v>1182</v>
      </c>
    </row>
    <row r="372" spans="1:5" x14ac:dyDescent="0.2">
      <c r="A372" s="66"/>
      <c r="B372" s="56"/>
      <c r="C372" s="41" t="s">
        <v>967</v>
      </c>
      <c r="D372" s="41"/>
      <c r="E372" t="s">
        <v>1182</v>
      </c>
    </row>
    <row r="373" spans="1:5" x14ac:dyDescent="0.2">
      <c r="A373" s="66"/>
      <c r="B373" s="56"/>
      <c r="C373" s="41" t="s">
        <v>968</v>
      </c>
      <c r="D373" s="41"/>
      <c r="E373" t="s">
        <v>1182</v>
      </c>
    </row>
    <row r="374" spans="1:5" x14ac:dyDescent="0.2">
      <c r="A374" s="66"/>
      <c r="B374" s="56"/>
      <c r="C374" s="41" t="s">
        <v>969</v>
      </c>
      <c r="D374" s="41"/>
      <c r="E374" t="s">
        <v>1182</v>
      </c>
    </row>
    <row r="375" spans="1:5" x14ac:dyDescent="0.2">
      <c r="A375" s="66"/>
      <c r="B375" s="56"/>
      <c r="C375" s="41" t="s">
        <v>970</v>
      </c>
      <c r="D375" s="41"/>
      <c r="E375" t="s">
        <v>1182</v>
      </c>
    </row>
    <row r="376" spans="1:5" x14ac:dyDescent="0.2">
      <c r="A376" s="66"/>
      <c r="B376" s="56"/>
      <c r="C376" s="41" t="s">
        <v>971</v>
      </c>
      <c r="D376" s="41"/>
      <c r="E376" t="s">
        <v>1182</v>
      </c>
    </row>
    <row r="377" spans="1:5" x14ac:dyDescent="0.2">
      <c r="A377" s="66"/>
      <c r="B377" s="56"/>
      <c r="C377" s="41" t="s">
        <v>972</v>
      </c>
      <c r="D377" s="41"/>
      <c r="E377" t="s">
        <v>1182</v>
      </c>
    </row>
    <row r="378" spans="1:5" x14ac:dyDescent="0.2">
      <c r="A378" s="66"/>
      <c r="B378" s="56"/>
      <c r="C378" s="41" t="s">
        <v>973</v>
      </c>
      <c r="D378" s="41"/>
      <c r="E378" t="s">
        <v>1182</v>
      </c>
    </row>
    <row r="379" spans="1:5" x14ac:dyDescent="0.2">
      <c r="A379" s="66"/>
      <c r="B379" s="56"/>
      <c r="C379" s="41" t="s">
        <v>974</v>
      </c>
      <c r="D379" s="41"/>
      <c r="E379" t="s">
        <v>1182</v>
      </c>
    </row>
    <row r="380" spans="1:5" x14ac:dyDescent="0.2">
      <c r="A380" s="66"/>
      <c r="B380" s="56"/>
      <c r="C380" s="41" t="s">
        <v>975</v>
      </c>
      <c r="D380" s="41"/>
      <c r="E380" t="s">
        <v>1182</v>
      </c>
    </row>
    <row r="381" spans="1:5" x14ac:dyDescent="0.2">
      <c r="A381" s="66"/>
      <c r="B381" s="56"/>
      <c r="C381" s="41" t="s">
        <v>976</v>
      </c>
      <c r="D381" s="41"/>
      <c r="E381" t="s">
        <v>1182</v>
      </c>
    </row>
    <row r="382" spans="1:5" x14ac:dyDescent="0.2">
      <c r="A382" s="66"/>
      <c r="B382" s="56"/>
      <c r="C382" s="41" t="s">
        <v>977</v>
      </c>
      <c r="D382" s="41"/>
      <c r="E382" t="s">
        <v>1182</v>
      </c>
    </row>
    <row r="383" spans="1:5" x14ac:dyDescent="0.2">
      <c r="A383" s="66"/>
      <c r="B383" s="56"/>
      <c r="C383" s="41" t="s">
        <v>978</v>
      </c>
      <c r="D383" s="41"/>
      <c r="E383" t="s">
        <v>1182</v>
      </c>
    </row>
    <row r="384" spans="1:5" x14ac:dyDescent="0.2">
      <c r="A384" s="66"/>
      <c r="B384" s="56"/>
      <c r="C384" s="41" t="s">
        <v>979</v>
      </c>
      <c r="D384" s="41"/>
      <c r="E384" t="s">
        <v>1182</v>
      </c>
    </row>
    <row r="385" spans="1:5" x14ac:dyDescent="0.2">
      <c r="A385" s="66"/>
      <c r="B385" s="56"/>
      <c r="C385" s="41" t="s">
        <v>980</v>
      </c>
      <c r="D385" s="41"/>
      <c r="E385" t="s">
        <v>1182</v>
      </c>
    </row>
    <row r="386" spans="1:5" x14ac:dyDescent="0.2">
      <c r="A386" s="66"/>
      <c r="B386" s="56"/>
      <c r="C386" s="41" t="s">
        <v>981</v>
      </c>
      <c r="D386" s="41"/>
      <c r="E386" t="s">
        <v>1182</v>
      </c>
    </row>
    <row r="387" spans="1:5" x14ac:dyDescent="0.2">
      <c r="A387" s="66"/>
      <c r="B387" s="56"/>
      <c r="C387" s="41" t="s">
        <v>982</v>
      </c>
      <c r="D387" s="41"/>
      <c r="E387" t="s">
        <v>1182</v>
      </c>
    </row>
    <row r="388" spans="1:5" x14ac:dyDescent="0.2">
      <c r="A388" s="66"/>
      <c r="B388" s="56"/>
      <c r="C388" s="41" t="s">
        <v>983</v>
      </c>
      <c r="D388" s="41"/>
      <c r="E388" t="s">
        <v>1182</v>
      </c>
    </row>
    <row r="389" spans="1:5" x14ac:dyDescent="0.2">
      <c r="A389" s="66"/>
      <c r="B389" s="56"/>
      <c r="C389" s="41" t="s">
        <v>984</v>
      </c>
      <c r="D389" s="41"/>
      <c r="E389" t="s">
        <v>1182</v>
      </c>
    </row>
    <row r="390" spans="1:5" x14ac:dyDescent="0.2">
      <c r="A390" s="66"/>
      <c r="B390" s="56"/>
      <c r="C390" s="41" t="s">
        <v>985</v>
      </c>
      <c r="D390" s="41"/>
      <c r="E390" t="s">
        <v>1182</v>
      </c>
    </row>
    <row r="391" spans="1:5" x14ac:dyDescent="0.2">
      <c r="A391" s="66"/>
      <c r="B391" s="56"/>
      <c r="C391" s="41" t="s">
        <v>986</v>
      </c>
      <c r="D391" s="41"/>
      <c r="E391" t="s">
        <v>1182</v>
      </c>
    </row>
    <row r="392" spans="1:5" x14ac:dyDescent="0.2">
      <c r="A392" s="66"/>
      <c r="B392" s="56"/>
      <c r="C392" s="41" t="s">
        <v>987</v>
      </c>
      <c r="D392" s="41"/>
      <c r="E392" t="s">
        <v>1182</v>
      </c>
    </row>
    <row r="393" spans="1:5" x14ac:dyDescent="0.2">
      <c r="A393" s="66"/>
      <c r="B393" s="56"/>
      <c r="C393" s="41" t="s">
        <v>988</v>
      </c>
      <c r="D393" s="41"/>
      <c r="E393" t="s">
        <v>1182</v>
      </c>
    </row>
    <row r="394" spans="1:5" x14ac:dyDescent="0.2">
      <c r="A394" s="66"/>
      <c r="B394" s="56"/>
      <c r="C394" s="41" t="s">
        <v>989</v>
      </c>
      <c r="D394" s="41"/>
      <c r="E394" t="s">
        <v>1182</v>
      </c>
    </row>
    <row r="395" spans="1:5" x14ac:dyDescent="0.2">
      <c r="A395" s="66"/>
      <c r="B395" s="56"/>
      <c r="C395" s="41" t="s">
        <v>990</v>
      </c>
      <c r="D395" s="41"/>
      <c r="E395" t="s">
        <v>1182</v>
      </c>
    </row>
    <row r="396" spans="1:5" x14ac:dyDescent="0.2">
      <c r="A396" s="66"/>
      <c r="B396" s="56"/>
      <c r="C396" s="41" t="s">
        <v>991</v>
      </c>
      <c r="D396" s="41"/>
      <c r="E396" t="s">
        <v>1182</v>
      </c>
    </row>
    <row r="397" spans="1:5" x14ac:dyDescent="0.2">
      <c r="A397" s="66"/>
      <c r="B397" s="56"/>
      <c r="C397" s="41" t="s">
        <v>992</v>
      </c>
      <c r="D397" s="41"/>
      <c r="E397" t="s">
        <v>1182</v>
      </c>
    </row>
    <row r="398" spans="1:5" x14ac:dyDescent="0.2">
      <c r="A398" s="66"/>
      <c r="B398" s="56"/>
      <c r="C398" s="41" t="s">
        <v>993</v>
      </c>
      <c r="D398" s="41"/>
      <c r="E398" t="s">
        <v>1182</v>
      </c>
    </row>
    <row r="399" spans="1:5" x14ac:dyDescent="0.2">
      <c r="A399" s="66"/>
      <c r="B399" s="56"/>
      <c r="C399" s="41" t="s">
        <v>994</v>
      </c>
      <c r="D399" s="41"/>
      <c r="E399" t="s">
        <v>1182</v>
      </c>
    </row>
    <row r="400" spans="1:5" x14ac:dyDescent="0.2">
      <c r="A400" s="66"/>
      <c r="B400" s="56"/>
      <c r="C400" s="41" t="s">
        <v>995</v>
      </c>
      <c r="D400" s="41"/>
      <c r="E400" t="s">
        <v>1182</v>
      </c>
    </row>
    <row r="401" spans="1:5" x14ac:dyDescent="0.2">
      <c r="A401" s="66"/>
      <c r="B401" s="56"/>
      <c r="C401" s="41" t="s">
        <v>996</v>
      </c>
      <c r="D401" s="41"/>
      <c r="E401" t="s">
        <v>1182</v>
      </c>
    </row>
    <row r="402" spans="1:5" x14ac:dyDescent="0.2">
      <c r="A402" s="66"/>
      <c r="B402" s="56"/>
      <c r="C402" s="41" t="s">
        <v>997</v>
      </c>
      <c r="D402" s="41"/>
      <c r="E402" t="s">
        <v>1182</v>
      </c>
    </row>
    <row r="403" spans="1:5" x14ac:dyDescent="0.2">
      <c r="A403" s="66"/>
      <c r="B403" s="56"/>
      <c r="C403" s="41" t="s">
        <v>998</v>
      </c>
      <c r="D403" s="41"/>
      <c r="E403" t="s">
        <v>1182</v>
      </c>
    </row>
    <row r="404" spans="1:5" x14ac:dyDescent="0.2">
      <c r="A404" s="66"/>
      <c r="B404" s="56"/>
      <c r="C404" s="41" t="s">
        <v>999</v>
      </c>
      <c r="D404" s="41"/>
      <c r="E404" t="s">
        <v>1182</v>
      </c>
    </row>
    <row r="405" spans="1:5" x14ac:dyDescent="0.2">
      <c r="A405" s="66"/>
      <c r="B405" s="56"/>
      <c r="C405" s="41" t="s">
        <v>1000</v>
      </c>
      <c r="D405" s="41"/>
      <c r="E405" t="s">
        <v>1182</v>
      </c>
    </row>
    <row r="406" spans="1:5" x14ac:dyDescent="0.2">
      <c r="A406" s="66"/>
      <c r="B406" s="56"/>
      <c r="C406" s="41" t="s">
        <v>1001</v>
      </c>
      <c r="D406" s="41"/>
      <c r="E406" t="s">
        <v>1182</v>
      </c>
    </row>
    <row r="407" spans="1:5" x14ac:dyDescent="0.2">
      <c r="A407" s="66"/>
      <c r="B407" s="56"/>
      <c r="C407" s="41" t="s">
        <v>1002</v>
      </c>
      <c r="D407" s="41"/>
      <c r="E407" t="s">
        <v>1182</v>
      </c>
    </row>
    <row r="408" spans="1:5" x14ac:dyDescent="0.2">
      <c r="A408" s="66"/>
      <c r="B408" s="56"/>
      <c r="C408" s="41" t="s">
        <v>1003</v>
      </c>
      <c r="D408" s="41"/>
      <c r="E408" t="s">
        <v>1182</v>
      </c>
    </row>
    <row r="409" spans="1:5" x14ac:dyDescent="0.2">
      <c r="A409" s="66"/>
      <c r="B409" s="56"/>
      <c r="C409" s="41" t="s">
        <v>1004</v>
      </c>
      <c r="D409" s="41"/>
      <c r="E409" t="s">
        <v>1182</v>
      </c>
    </row>
    <row r="410" spans="1:5" x14ac:dyDescent="0.2">
      <c r="A410" s="66"/>
      <c r="B410" s="56"/>
      <c r="C410" s="41" t="s">
        <v>1005</v>
      </c>
      <c r="D410" s="41"/>
      <c r="E410" t="s">
        <v>1182</v>
      </c>
    </row>
    <row r="411" spans="1:5" x14ac:dyDescent="0.2">
      <c r="A411" s="66"/>
      <c r="B411" s="56"/>
      <c r="C411" s="41" t="s">
        <v>1006</v>
      </c>
      <c r="D411" s="41"/>
      <c r="E411" t="s">
        <v>1182</v>
      </c>
    </row>
    <row r="412" spans="1:5" x14ac:dyDescent="0.2">
      <c r="A412" s="66"/>
      <c r="B412" s="56"/>
      <c r="C412" s="41" t="s">
        <v>1007</v>
      </c>
      <c r="D412" s="41"/>
      <c r="E412" t="s">
        <v>1182</v>
      </c>
    </row>
    <row r="413" spans="1:5" x14ac:dyDescent="0.2">
      <c r="A413" s="66"/>
      <c r="B413" s="56"/>
      <c r="C413" s="41" t="s">
        <v>1008</v>
      </c>
      <c r="D413" s="41"/>
      <c r="E413" t="s">
        <v>1182</v>
      </c>
    </row>
    <row r="414" spans="1:5" x14ac:dyDescent="0.2">
      <c r="A414" s="66"/>
      <c r="B414" s="56"/>
      <c r="C414" s="41" t="s">
        <v>1009</v>
      </c>
      <c r="D414" s="41"/>
      <c r="E414" t="s">
        <v>1182</v>
      </c>
    </row>
    <row r="415" spans="1:5" x14ac:dyDescent="0.2">
      <c r="A415" s="66"/>
      <c r="B415" s="56"/>
      <c r="C415" s="41" t="s">
        <v>1010</v>
      </c>
      <c r="D415" s="41"/>
      <c r="E415" t="s">
        <v>1182</v>
      </c>
    </row>
    <row r="416" spans="1:5" x14ac:dyDescent="0.2">
      <c r="A416" s="66"/>
      <c r="B416" s="56"/>
      <c r="C416" s="41" t="s">
        <v>1011</v>
      </c>
      <c r="D416" s="41"/>
      <c r="E416" t="s">
        <v>1182</v>
      </c>
    </row>
    <row r="417" spans="1:5" x14ac:dyDescent="0.2">
      <c r="A417" s="66"/>
      <c r="B417" s="56"/>
      <c r="C417" s="41" t="s">
        <v>1012</v>
      </c>
      <c r="D417" s="41"/>
      <c r="E417" t="s">
        <v>1182</v>
      </c>
    </row>
    <row r="418" spans="1:5" x14ac:dyDescent="0.2">
      <c r="A418" s="66"/>
      <c r="B418" s="56"/>
      <c r="C418" s="41" t="s">
        <v>1013</v>
      </c>
      <c r="D418" s="41"/>
      <c r="E418" t="s">
        <v>1182</v>
      </c>
    </row>
    <row r="419" spans="1:5" x14ac:dyDescent="0.2">
      <c r="A419" s="66"/>
      <c r="B419" s="56"/>
      <c r="C419" s="41" t="s">
        <v>1014</v>
      </c>
      <c r="D419" s="41"/>
      <c r="E419" t="s">
        <v>1182</v>
      </c>
    </row>
    <row r="420" spans="1:5" x14ac:dyDescent="0.2">
      <c r="A420" s="66"/>
      <c r="B420" s="56"/>
      <c r="C420" s="41" t="s">
        <v>1015</v>
      </c>
      <c r="D420" s="41"/>
      <c r="E420" t="s">
        <v>1182</v>
      </c>
    </row>
    <row r="421" spans="1:5" x14ac:dyDescent="0.2">
      <c r="A421" s="66"/>
      <c r="B421" s="56"/>
      <c r="C421" s="41" t="s">
        <v>1016</v>
      </c>
      <c r="D421" s="41"/>
      <c r="E421" t="s">
        <v>1182</v>
      </c>
    </row>
    <row r="422" spans="1:5" x14ac:dyDescent="0.2">
      <c r="A422" s="66"/>
      <c r="B422" s="56"/>
      <c r="C422" s="41" t="s">
        <v>1017</v>
      </c>
      <c r="D422" s="41"/>
      <c r="E422" t="s">
        <v>1182</v>
      </c>
    </row>
    <row r="423" spans="1:5" x14ac:dyDescent="0.2">
      <c r="A423" s="66"/>
      <c r="B423" s="56"/>
      <c r="C423" s="41" t="s">
        <v>1018</v>
      </c>
      <c r="D423" s="41"/>
      <c r="E423" t="s">
        <v>1182</v>
      </c>
    </row>
    <row r="424" spans="1:5" x14ac:dyDescent="0.2">
      <c r="A424" s="66"/>
      <c r="B424" s="56"/>
      <c r="C424" s="41" t="s">
        <v>1019</v>
      </c>
      <c r="D424" s="41"/>
      <c r="E424" t="s">
        <v>1182</v>
      </c>
    </row>
    <row r="425" spans="1:5" x14ac:dyDescent="0.2">
      <c r="A425" s="66"/>
      <c r="B425" s="56"/>
      <c r="C425" s="41" t="s">
        <v>1020</v>
      </c>
      <c r="D425" s="41"/>
      <c r="E425" t="s">
        <v>1182</v>
      </c>
    </row>
    <row r="426" spans="1:5" x14ac:dyDescent="0.2">
      <c r="A426" s="66"/>
      <c r="B426" s="56"/>
      <c r="C426" s="41" t="s">
        <v>1021</v>
      </c>
      <c r="D426" s="41"/>
      <c r="E426" t="s">
        <v>1182</v>
      </c>
    </row>
    <row r="427" spans="1:5" x14ac:dyDescent="0.2">
      <c r="A427" s="66"/>
      <c r="B427" s="56"/>
      <c r="C427" s="41" t="s">
        <v>1022</v>
      </c>
      <c r="D427" s="41"/>
      <c r="E427" t="s">
        <v>1182</v>
      </c>
    </row>
    <row r="428" spans="1:5" x14ac:dyDescent="0.2">
      <c r="A428" s="66"/>
      <c r="B428" s="56"/>
      <c r="C428" s="41" t="s">
        <v>1023</v>
      </c>
      <c r="D428" s="41"/>
      <c r="E428" t="s">
        <v>1182</v>
      </c>
    </row>
    <row r="429" spans="1:5" x14ac:dyDescent="0.2">
      <c r="A429" s="66"/>
      <c r="B429" s="56"/>
      <c r="C429" s="41" t="s">
        <v>1024</v>
      </c>
      <c r="D429" s="41"/>
      <c r="E429" t="s">
        <v>1182</v>
      </c>
    </row>
    <row r="430" spans="1:5" x14ac:dyDescent="0.2">
      <c r="A430" s="66"/>
      <c r="B430" s="56"/>
      <c r="C430" s="41" t="s">
        <v>1025</v>
      </c>
      <c r="D430" s="41"/>
      <c r="E430" t="s">
        <v>1182</v>
      </c>
    </row>
    <row r="431" spans="1:5" x14ac:dyDescent="0.2">
      <c r="A431" s="66"/>
      <c r="B431" s="56"/>
      <c r="C431" s="41" t="s">
        <v>1026</v>
      </c>
      <c r="D431" s="41"/>
      <c r="E431" t="s">
        <v>1182</v>
      </c>
    </row>
    <row r="432" spans="1:5" x14ac:dyDescent="0.2">
      <c r="A432" s="66"/>
      <c r="B432" s="56"/>
      <c r="C432" s="41" t="s">
        <v>1027</v>
      </c>
      <c r="D432" s="41"/>
      <c r="E432" t="s">
        <v>1182</v>
      </c>
    </row>
    <row r="433" spans="1:5" x14ac:dyDescent="0.2">
      <c r="A433" s="66"/>
      <c r="B433" s="56"/>
      <c r="C433" s="41" t="s">
        <v>1083</v>
      </c>
      <c r="D433" s="41"/>
      <c r="E433" t="s">
        <v>1182</v>
      </c>
    </row>
    <row r="434" spans="1:5" x14ac:dyDescent="0.2">
      <c r="A434" s="66"/>
      <c r="B434" s="56"/>
      <c r="C434" s="41" t="s">
        <v>1084</v>
      </c>
      <c r="D434" s="41"/>
      <c r="E434" t="s">
        <v>1182</v>
      </c>
    </row>
    <row r="435" spans="1:5" x14ac:dyDescent="0.2">
      <c r="A435" s="66"/>
      <c r="B435" s="56"/>
      <c r="C435" s="41" t="s">
        <v>1085</v>
      </c>
      <c r="D435" s="41"/>
      <c r="E435" t="s">
        <v>1182</v>
      </c>
    </row>
    <row r="436" spans="1:5" x14ac:dyDescent="0.2">
      <c r="A436" s="66"/>
      <c r="B436" s="56"/>
      <c r="C436" s="41" t="s">
        <v>1086</v>
      </c>
      <c r="D436" s="41"/>
      <c r="E436" t="s">
        <v>1182</v>
      </c>
    </row>
    <row r="437" spans="1:5" x14ac:dyDescent="0.2">
      <c r="A437" s="66"/>
      <c r="B437" s="56"/>
      <c r="C437" s="41" t="s">
        <v>1087</v>
      </c>
      <c r="D437" s="41"/>
      <c r="E437" t="s">
        <v>1182</v>
      </c>
    </row>
    <row r="438" spans="1:5" x14ac:dyDescent="0.2">
      <c r="A438" s="66"/>
      <c r="B438" s="56"/>
      <c r="C438" s="41" t="s">
        <v>1088</v>
      </c>
      <c r="D438" s="41"/>
      <c r="E438" t="s">
        <v>1182</v>
      </c>
    </row>
    <row r="439" spans="1:5" x14ac:dyDescent="0.2">
      <c r="A439" s="66"/>
      <c r="B439" s="56"/>
      <c r="C439" s="41" t="s">
        <v>1089</v>
      </c>
      <c r="D439" s="41"/>
      <c r="E439" t="s">
        <v>1182</v>
      </c>
    </row>
    <row r="440" spans="1:5" x14ac:dyDescent="0.2">
      <c r="A440" s="66"/>
      <c r="B440" s="56"/>
      <c r="C440" s="41" t="s">
        <v>1090</v>
      </c>
      <c r="D440" s="41"/>
      <c r="E440" t="s">
        <v>1182</v>
      </c>
    </row>
    <row r="441" spans="1:5" x14ac:dyDescent="0.2">
      <c r="A441" s="66"/>
      <c r="B441" s="56"/>
      <c r="C441" s="41" t="s">
        <v>1028</v>
      </c>
      <c r="D441" s="41"/>
      <c r="E441" t="s">
        <v>1182</v>
      </c>
    </row>
    <row r="442" spans="1:5" x14ac:dyDescent="0.2">
      <c r="A442" s="66"/>
      <c r="B442" s="56"/>
      <c r="C442" s="41" t="s">
        <v>1029</v>
      </c>
      <c r="D442" s="41"/>
      <c r="E442" t="s">
        <v>1182</v>
      </c>
    </row>
    <row r="443" spans="1:5" x14ac:dyDescent="0.2">
      <c r="A443" s="66"/>
      <c r="B443" s="56"/>
      <c r="C443" s="41" t="s">
        <v>1030</v>
      </c>
      <c r="D443" s="41"/>
      <c r="E443" t="s">
        <v>1182</v>
      </c>
    </row>
    <row r="444" spans="1:5" x14ac:dyDescent="0.2">
      <c r="A444" s="66"/>
      <c r="B444" s="56"/>
      <c r="C444" s="41" t="s">
        <v>1031</v>
      </c>
      <c r="D444" s="41"/>
      <c r="E444" t="s">
        <v>1182</v>
      </c>
    </row>
    <row r="445" spans="1:5" x14ac:dyDescent="0.2">
      <c r="A445" s="66"/>
      <c r="B445" s="56"/>
      <c r="C445" s="41" t="s">
        <v>1032</v>
      </c>
      <c r="D445" s="41"/>
      <c r="E445" t="s">
        <v>1182</v>
      </c>
    </row>
    <row r="446" spans="1:5" x14ac:dyDescent="0.2">
      <c r="A446" s="66"/>
      <c r="B446" s="56"/>
      <c r="C446" s="41" t="s">
        <v>1033</v>
      </c>
      <c r="D446" s="41"/>
      <c r="E446" t="s">
        <v>1182</v>
      </c>
    </row>
    <row r="447" spans="1:5" x14ac:dyDescent="0.2">
      <c r="A447" s="66"/>
      <c r="B447" s="56"/>
      <c r="C447" s="41" t="s">
        <v>1034</v>
      </c>
      <c r="D447" s="41"/>
      <c r="E447" t="s">
        <v>1182</v>
      </c>
    </row>
    <row r="448" spans="1:5" x14ac:dyDescent="0.2">
      <c r="A448" s="66"/>
      <c r="B448" s="56"/>
      <c r="C448" s="41" t="s">
        <v>1035</v>
      </c>
      <c r="D448" s="41"/>
      <c r="E448" t="s">
        <v>1182</v>
      </c>
    </row>
    <row r="449" spans="1:5" x14ac:dyDescent="0.2">
      <c r="A449" s="66"/>
      <c r="B449" s="56"/>
      <c r="C449" s="41" t="s">
        <v>1091</v>
      </c>
      <c r="D449" s="41"/>
      <c r="E449" t="s">
        <v>1182</v>
      </c>
    </row>
    <row r="450" spans="1:5" x14ac:dyDescent="0.2">
      <c r="A450" s="66"/>
      <c r="B450" s="56"/>
      <c r="C450" s="41" t="s">
        <v>1092</v>
      </c>
      <c r="D450" s="41"/>
      <c r="E450" t="s">
        <v>1182</v>
      </c>
    </row>
    <row r="451" spans="1:5" x14ac:dyDescent="0.2">
      <c r="A451" s="66"/>
      <c r="B451" s="56"/>
      <c r="C451" s="41" t="s">
        <v>1093</v>
      </c>
      <c r="D451" s="41"/>
      <c r="E451" t="s">
        <v>1182</v>
      </c>
    </row>
    <row r="452" spans="1:5" x14ac:dyDescent="0.2">
      <c r="A452" s="66"/>
      <c r="B452" s="56"/>
      <c r="C452" s="41" t="s">
        <v>1094</v>
      </c>
      <c r="D452" s="41"/>
      <c r="E452" t="s">
        <v>1182</v>
      </c>
    </row>
    <row r="453" spans="1:5" x14ac:dyDescent="0.2">
      <c r="A453" s="66"/>
      <c r="B453" s="56"/>
      <c r="C453" s="41" t="s">
        <v>1095</v>
      </c>
      <c r="D453" s="41"/>
      <c r="E453" t="s">
        <v>1182</v>
      </c>
    </row>
    <row r="454" spans="1:5" x14ac:dyDescent="0.2">
      <c r="A454" s="66"/>
      <c r="B454" s="56"/>
      <c r="C454" s="41" t="s">
        <v>1096</v>
      </c>
      <c r="D454" s="41"/>
      <c r="E454" t="s">
        <v>1182</v>
      </c>
    </row>
    <row r="455" spans="1:5" x14ac:dyDescent="0.2">
      <c r="A455" s="66"/>
      <c r="B455" s="56"/>
      <c r="C455" s="41" t="s">
        <v>1097</v>
      </c>
      <c r="D455" s="41"/>
      <c r="E455" t="s">
        <v>1182</v>
      </c>
    </row>
    <row r="456" spans="1:5" x14ac:dyDescent="0.2">
      <c r="A456" s="66"/>
      <c r="B456" s="56"/>
      <c r="C456" s="41" t="s">
        <v>1098</v>
      </c>
      <c r="D456" s="41"/>
      <c r="E456" t="s">
        <v>1182</v>
      </c>
    </row>
    <row r="457" spans="1:5" x14ac:dyDescent="0.2">
      <c r="A457" s="66"/>
      <c r="B457" s="56"/>
      <c r="C457" s="41" t="s">
        <v>1099</v>
      </c>
      <c r="D457" s="41"/>
      <c r="E457" t="s">
        <v>1182</v>
      </c>
    </row>
    <row r="458" spans="1:5" x14ac:dyDescent="0.2">
      <c r="A458" s="66"/>
      <c r="B458" s="56"/>
      <c r="C458" s="41" t="s">
        <v>1100</v>
      </c>
      <c r="D458" s="41"/>
      <c r="E458" t="s">
        <v>1182</v>
      </c>
    </row>
    <row r="459" spans="1:5" x14ac:dyDescent="0.2">
      <c r="A459" s="66"/>
      <c r="B459" s="56"/>
      <c r="C459" s="41" t="s">
        <v>1101</v>
      </c>
      <c r="D459" s="41"/>
      <c r="E459" t="s">
        <v>1182</v>
      </c>
    </row>
    <row r="460" spans="1:5" x14ac:dyDescent="0.2">
      <c r="A460" s="66"/>
      <c r="B460" s="56"/>
      <c r="C460" s="41" t="s">
        <v>1102</v>
      </c>
      <c r="D460" s="41"/>
      <c r="E460" t="s">
        <v>1182</v>
      </c>
    </row>
    <row r="461" spans="1:5" x14ac:dyDescent="0.2">
      <c r="A461" s="66"/>
      <c r="B461" s="56"/>
      <c r="C461" s="41" t="s">
        <v>1103</v>
      </c>
      <c r="D461" s="41"/>
      <c r="E461" t="s">
        <v>1182</v>
      </c>
    </row>
    <row r="462" spans="1:5" x14ac:dyDescent="0.2">
      <c r="A462" s="66"/>
      <c r="B462" s="56"/>
      <c r="C462" s="41" t="s">
        <v>1104</v>
      </c>
      <c r="D462" s="41"/>
      <c r="E462" t="s">
        <v>1182</v>
      </c>
    </row>
    <row r="463" spans="1:5" x14ac:dyDescent="0.2">
      <c r="A463" s="66"/>
      <c r="B463" s="56"/>
      <c r="C463" s="41" t="s">
        <v>1105</v>
      </c>
      <c r="D463" s="41"/>
      <c r="E463" t="s">
        <v>1182</v>
      </c>
    </row>
    <row r="464" spans="1:5" x14ac:dyDescent="0.2">
      <c r="A464" s="66"/>
      <c r="B464" s="56"/>
      <c r="C464" s="41" t="s">
        <v>1106</v>
      </c>
      <c r="D464" s="41"/>
      <c r="E464" t="s">
        <v>1182</v>
      </c>
    </row>
    <row r="465" spans="1:5" x14ac:dyDescent="0.2">
      <c r="A465" s="66"/>
      <c r="B465" s="56"/>
      <c r="C465" s="41" t="s">
        <v>1107</v>
      </c>
      <c r="D465" s="41"/>
      <c r="E465" t="s">
        <v>1182</v>
      </c>
    </row>
    <row r="466" spans="1:5" x14ac:dyDescent="0.2">
      <c r="A466" s="66"/>
      <c r="B466" s="56"/>
      <c r="C466" s="41" t="s">
        <v>1108</v>
      </c>
      <c r="D466" s="41"/>
      <c r="E466" t="s">
        <v>1182</v>
      </c>
    </row>
    <row r="467" spans="1:5" x14ac:dyDescent="0.2">
      <c r="A467" s="66"/>
      <c r="B467" s="56"/>
      <c r="C467" s="41" t="s">
        <v>1109</v>
      </c>
      <c r="D467" s="41"/>
      <c r="E467" t="s">
        <v>1182</v>
      </c>
    </row>
    <row r="468" spans="1:5" x14ac:dyDescent="0.2">
      <c r="A468" s="66"/>
      <c r="B468" s="56"/>
      <c r="C468" s="41" t="s">
        <v>1110</v>
      </c>
      <c r="D468" s="41"/>
      <c r="E468" t="s">
        <v>1182</v>
      </c>
    </row>
    <row r="469" spans="1:5" x14ac:dyDescent="0.2">
      <c r="A469" s="66"/>
      <c r="B469" s="56"/>
      <c r="C469" s="41" t="s">
        <v>1111</v>
      </c>
      <c r="D469" s="41"/>
      <c r="E469" t="s">
        <v>1182</v>
      </c>
    </row>
    <row r="470" spans="1:5" x14ac:dyDescent="0.2">
      <c r="A470" s="66"/>
      <c r="B470" s="56"/>
      <c r="C470" s="41" t="s">
        <v>1112</v>
      </c>
      <c r="D470" s="41"/>
      <c r="E470" t="s">
        <v>1182</v>
      </c>
    </row>
    <row r="471" spans="1:5" x14ac:dyDescent="0.2">
      <c r="A471" s="66"/>
      <c r="B471" s="56"/>
      <c r="C471" s="41" t="s">
        <v>1113</v>
      </c>
      <c r="D471" s="41"/>
      <c r="E471" t="s">
        <v>1182</v>
      </c>
    </row>
    <row r="472" spans="1:5" x14ac:dyDescent="0.2">
      <c r="A472" s="66"/>
      <c r="B472" s="56"/>
      <c r="C472" s="41" t="s">
        <v>1114</v>
      </c>
      <c r="D472" s="41"/>
      <c r="E472" t="s">
        <v>1182</v>
      </c>
    </row>
    <row r="473" spans="1:5" x14ac:dyDescent="0.2">
      <c r="A473" s="66"/>
      <c r="B473" s="56"/>
      <c r="C473" s="41" t="s">
        <v>1115</v>
      </c>
      <c r="D473" s="41"/>
      <c r="E473" t="s">
        <v>1182</v>
      </c>
    </row>
    <row r="474" spans="1:5" x14ac:dyDescent="0.2">
      <c r="A474" s="66"/>
      <c r="B474" s="56"/>
      <c r="C474" s="41" t="s">
        <v>1116</v>
      </c>
      <c r="D474" s="41"/>
      <c r="E474" t="s">
        <v>1182</v>
      </c>
    </row>
    <row r="475" spans="1:5" x14ac:dyDescent="0.2">
      <c r="A475" s="66"/>
      <c r="B475" s="56"/>
      <c r="C475" s="41" t="s">
        <v>1117</v>
      </c>
      <c r="D475" s="41"/>
      <c r="E475" t="s">
        <v>1182</v>
      </c>
    </row>
    <row r="476" spans="1:5" x14ac:dyDescent="0.2">
      <c r="A476" s="66"/>
      <c r="B476" s="56"/>
      <c r="C476" s="41" t="s">
        <v>1118</v>
      </c>
      <c r="D476" s="41"/>
      <c r="E476" t="s">
        <v>1182</v>
      </c>
    </row>
    <row r="477" spans="1:5" x14ac:dyDescent="0.2">
      <c r="A477" s="66"/>
      <c r="B477" s="56"/>
      <c r="C477" s="41" t="s">
        <v>1119</v>
      </c>
      <c r="D477" s="41"/>
      <c r="E477" t="s">
        <v>1182</v>
      </c>
    </row>
    <row r="478" spans="1:5" x14ac:dyDescent="0.2">
      <c r="A478" s="66"/>
      <c r="B478" s="56"/>
      <c r="C478" s="41" t="s">
        <v>1120</v>
      </c>
      <c r="D478" s="41"/>
      <c r="E478" t="s">
        <v>1182</v>
      </c>
    </row>
    <row r="479" spans="1:5" x14ac:dyDescent="0.2">
      <c r="A479" s="66"/>
      <c r="B479" s="56"/>
      <c r="C479" s="41" t="s">
        <v>1121</v>
      </c>
      <c r="D479" s="41"/>
      <c r="E479" t="s">
        <v>1182</v>
      </c>
    </row>
    <row r="480" spans="1:5" x14ac:dyDescent="0.2">
      <c r="A480" s="66"/>
      <c r="B480" s="56"/>
      <c r="C480" s="41" t="s">
        <v>1122</v>
      </c>
      <c r="D480" s="41"/>
      <c r="E480" t="s">
        <v>1182</v>
      </c>
    </row>
    <row r="481" spans="1:5" x14ac:dyDescent="0.2">
      <c r="A481" s="66"/>
      <c r="B481" s="56"/>
      <c r="C481" s="41" t="s">
        <v>1036</v>
      </c>
      <c r="D481" s="41"/>
      <c r="E481" t="s">
        <v>1182</v>
      </c>
    </row>
    <row r="482" spans="1:5" x14ac:dyDescent="0.2">
      <c r="A482" s="66"/>
      <c r="B482" s="56"/>
      <c r="C482" s="41" t="s">
        <v>1037</v>
      </c>
      <c r="D482" s="41"/>
      <c r="E482" t="s">
        <v>1182</v>
      </c>
    </row>
    <row r="483" spans="1:5" x14ac:dyDescent="0.2">
      <c r="A483" s="66"/>
      <c r="B483" s="56"/>
      <c r="C483" s="41" t="s">
        <v>1038</v>
      </c>
      <c r="D483" s="41"/>
      <c r="E483" t="s">
        <v>1182</v>
      </c>
    </row>
    <row r="484" spans="1:5" x14ac:dyDescent="0.2">
      <c r="A484" s="66"/>
      <c r="B484" s="56"/>
      <c r="C484" s="41" t="s">
        <v>1039</v>
      </c>
      <c r="D484" s="41"/>
      <c r="E484" t="s">
        <v>1182</v>
      </c>
    </row>
    <row r="485" spans="1:5" x14ac:dyDescent="0.2">
      <c r="A485" s="66"/>
      <c r="B485" s="56"/>
      <c r="C485" s="41" t="s">
        <v>1040</v>
      </c>
      <c r="D485" s="41"/>
      <c r="E485" t="s">
        <v>1182</v>
      </c>
    </row>
    <row r="486" spans="1:5" x14ac:dyDescent="0.2">
      <c r="A486" s="66"/>
      <c r="B486" s="56"/>
      <c r="C486" s="41" t="s">
        <v>1041</v>
      </c>
      <c r="D486" s="41"/>
      <c r="E486" t="s">
        <v>1182</v>
      </c>
    </row>
    <row r="487" spans="1:5" x14ac:dyDescent="0.2">
      <c r="A487" s="66"/>
      <c r="B487" s="56"/>
      <c r="C487" s="41" t="s">
        <v>1042</v>
      </c>
      <c r="D487" s="41"/>
      <c r="E487" t="s">
        <v>1182</v>
      </c>
    </row>
    <row r="488" spans="1:5" x14ac:dyDescent="0.2">
      <c r="A488" s="66"/>
      <c r="B488" s="56"/>
      <c r="C488" s="41" t="s">
        <v>1043</v>
      </c>
      <c r="D488" s="41"/>
      <c r="E488" t="s">
        <v>1182</v>
      </c>
    </row>
    <row r="489" spans="1:5" x14ac:dyDescent="0.2">
      <c r="A489" s="66"/>
      <c r="B489" s="56"/>
      <c r="C489" s="41" t="s">
        <v>102</v>
      </c>
      <c r="D489" s="41"/>
    </row>
    <row r="490" spans="1:5" x14ac:dyDescent="0.2">
      <c r="A490" s="66"/>
      <c r="B490" s="56"/>
      <c r="C490" s="41" t="s">
        <v>764</v>
      </c>
      <c r="D490" s="41"/>
    </row>
    <row r="491" spans="1:5" x14ac:dyDescent="0.2">
      <c r="A491" s="66"/>
      <c r="B491" s="56"/>
      <c r="C491" s="41" t="s">
        <v>760</v>
      </c>
      <c r="D491" s="41"/>
    </row>
    <row r="492" spans="1:5" x14ac:dyDescent="0.2">
      <c r="A492" s="66"/>
      <c r="B492" s="56"/>
      <c r="C492" s="41" t="s">
        <v>761</v>
      </c>
      <c r="D492" s="41"/>
    </row>
    <row r="493" spans="1:5" x14ac:dyDescent="0.2">
      <c r="A493" s="66"/>
      <c r="B493" s="56"/>
      <c r="C493" s="41" t="s">
        <v>762</v>
      </c>
      <c r="D493" s="41"/>
    </row>
    <row r="494" spans="1:5" x14ac:dyDescent="0.2">
      <c r="A494" s="66"/>
      <c r="B494" s="56"/>
      <c r="C494" s="41" t="s">
        <v>759</v>
      </c>
      <c r="D494" s="41"/>
    </row>
    <row r="495" spans="1:5" x14ac:dyDescent="0.2">
      <c r="A495" s="66"/>
      <c r="B495" s="56"/>
      <c r="C495" s="41" t="s">
        <v>765</v>
      </c>
      <c r="D495" s="41"/>
    </row>
    <row r="496" spans="1:5" x14ac:dyDescent="0.2">
      <c r="A496" s="66"/>
      <c r="B496" s="56"/>
      <c r="C496" s="41" t="s">
        <v>766</v>
      </c>
      <c r="D496" s="41"/>
    </row>
    <row r="497" spans="1:4" x14ac:dyDescent="0.2">
      <c r="A497" s="66"/>
      <c r="B497" s="56"/>
      <c r="C497" s="41" t="s">
        <v>763</v>
      </c>
      <c r="D497" s="41"/>
    </row>
    <row r="498" spans="1:4" x14ac:dyDescent="0.2">
      <c r="A498" s="67"/>
      <c r="B498" s="57"/>
      <c r="C498" s="41" t="s">
        <v>130</v>
      </c>
      <c r="D498" s="41"/>
    </row>
    <row r="499" spans="1:4" x14ac:dyDescent="0.2">
      <c r="A499" s="100"/>
      <c r="B499" s="105" t="s">
        <v>626</v>
      </c>
      <c r="C499" s="39" t="s">
        <v>156</v>
      </c>
      <c r="D499" s="39"/>
    </row>
    <row r="500" spans="1:4" x14ac:dyDescent="0.2">
      <c r="A500" s="48"/>
      <c r="B500" s="105"/>
      <c r="C500" s="39" t="s">
        <v>665</v>
      </c>
      <c r="D500" s="39"/>
    </row>
    <row r="501" spans="1:4" x14ac:dyDescent="0.2">
      <c r="A501" s="48"/>
      <c r="B501" s="105"/>
      <c r="C501" s="39" t="s">
        <v>664</v>
      </c>
      <c r="D501" s="39"/>
    </row>
    <row r="502" spans="1:4" x14ac:dyDescent="0.2">
      <c r="A502" s="48"/>
      <c r="B502" s="105"/>
      <c r="C502" s="39" t="s">
        <v>379</v>
      </c>
      <c r="D502" s="39"/>
    </row>
    <row r="503" spans="1:4" x14ac:dyDescent="0.2">
      <c r="A503" s="48"/>
      <c r="B503" s="105"/>
      <c r="C503" s="39" t="s">
        <v>380</v>
      </c>
      <c r="D503" s="39"/>
    </row>
    <row r="504" spans="1:4" x14ac:dyDescent="0.2">
      <c r="A504" s="48"/>
      <c r="B504" s="105"/>
      <c r="C504" s="39" t="s">
        <v>79</v>
      </c>
      <c r="D504" s="39"/>
    </row>
    <row r="505" spans="1:4" x14ac:dyDescent="0.2">
      <c r="A505" s="48"/>
      <c r="B505" s="105"/>
      <c r="C505" s="39" t="s">
        <v>381</v>
      </c>
      <c r="D505" s="39"/>
    </row>
    <row r="506" spans="1:4" x14ac:dyDescent="0.2">
      <c r="A506" s="48"/>
      <c r="B506" s="105"/>
      <c r="C506" s="39" t="s">
        <v>72</v>
      </c>
      <c r="D506" s="39"/>
    </row>
    <row r="507" spans="1:4" x14ac:dyDescent="0.2">
      <c r="A507" s="48"/>
      <c r="B507" s="105"/>
      <c r="C507" s="39" t="s">
        <v>97</v>
      </c>
      <c r="D507" s="39"/>
    </row>
    <row r="508" spans="1:4" x14ac:dyDescent="0.2">
      <c r="A508" s="48"/>
      <c r="B508" s="105"/>
      <c r="C508" s="39" t="s">
        <v>98</v>
      </c>
      <c r="D508" s="39"/>
    </row>
    <row r="509" spans="1:4" x14ac:dyDescent="0.2">
      <c r="A509" s="48"/>
      <c r="B509" s="105"/>
      <c r="C509" s="39" t="s">
        <v>377</v>
      </c>
      <c r="D509" s="39"/>
    </row>
    <row r="510" spans="1:4" x14ac:dyDescent="0.2">
      <c r="A510" s="48"/>
      <c r="B510" s="105"/>
      <c r="C510" s="39" t="s">
        <v>378</v>
      </c>
      <c r="D510" s="39"/>
    </row>
    <row r="511" spans="1:4" x14ac:dyDescent="0.2">
      <c r="A511" s="48"/>
      <c r="B511" s="105"/>
      <c r="C511" s="39" t="s">
        <v>382</v>
      </c>
      <c r="D511" s="39"/>
    </row>
    <row r="512" spans="1:4" x14ac:dyDescent="0.2">
      <c r="A512" s="48"/>
      <c r="B512" s="105"/>
      <c r="C512" s="39" t="s">
        <v>163</v>
      </c>
      <c r="D512" s="39"/>
    </row>
    <row r="513" spans="1:4" x14ac:dyDescent="0.2">
      <c r="A513" s="48"/>
      <c r="B513" s="105"/>
      <c r="C513" s="39" t="s">
        <v>102</v>
      </c>
      <c r="D513" s="39"/>
    </row>
    <row r="514" spans="1:4" x14ac:dyDescent="0.2">
      <c r="A514" s="66"/>
      <c r="B514" s="52" t="s">
        <v>623</v>
      </c>
      <c r="C514" s="41" t="s">
        <v>55</v>
      </c>
      <c r="D514" s="41"/>
    </row>
    <row r="515" spans="1:4" x14ac:dyDescent="0.2">
      <c r="A515" s="67"/>
      <c r="B515" s="54"/>
      <c r="C515" s="41" t="s">
        <v>62</v>
      </c>
      <c r="D515" s="41"/>
    </row>
    <row r="516" spans="1:4" x14ac:dyDescent="0.2">
      <c r="A516" s="48"/>
      <c r="B516" s="105" t="s">
        <v>282</v>
      </c>
      <c r="C516" s="39" t="s">
        <v>283</v>
      </c>
      <c r="D516" s="39"/>
    </row>
    <row r="517" spans="1:4" x14ac:dyDescent="0.2">
      <c r="A517" s="48"/>
      <c r="B517" s="105"/>
      <c r="C517" s="39" t="s">
        <v>229</v>
      </c>
      <c r="D517" s="39"/>
    </row>
    <row r="518" spans="1:4" x14ac:dyDescent="0.2">
      <c r="A518" s="48"/>
      <c r="B518" s="105"/>
      <c r="C518" s="39" t="s">
        <v>230</v>
      </c>
      <c r="D518" s="39"/>
    </row>
    <row r="519" spans="1:4" x14ac:dyDescent="0.2">
      <c r="A519" s="48"/>
      <c r="B519" s="105"/>
      <c r="C519" s="39" t="s">
        <v>231</v>
      </c>
      <c r="D519" s="39"/>
    </row>
    <row r="520" spans="1:4" x14ac:dyDescent="0.2">
      <c r="A520" s="103"/>
      <c r="B520" s="52" t="s">
        <v>20</v>
      </c>
      <c r="C520" s="41" t="s">
        <v>594</v>
      </c>
      <c r="D520" s="41"/>
    </row>
    <row r="521" spans="1:4" x14ac:dyDescent="0.2">
      <c r="A521" s="64"/>
      <c r="B521" s="53"/>
      <c r="C521" s="41" t="s">
        <v>595</v>
      </c>
      <c r="D521" s="41"/>
    </row>
    <row r="522" spans="1:4" x14ac:dyDescent="0.2">
      <c r="A522" s="64"/>
      <c r="B522" s="53"/>
      <c r="C522" s="41" t="s">
        <v>427</v>
      </c>
      <c r="D522" s="41"/>
    </row>
    <row r="523" spans="1:4" x14ac:dyDescent="0.2">
      <c r="A523" s="64"/>
      <c r="B523" s="53"/>
      <c r="C523" s="41" t="s">
        <v>428</v>
      </c>
      <c r="D523" s="41"/>
    </row>
    <row r="524" spans="1:4" x14ac:dyDescent="0.2">
      <c r="A524" s="64"/>
      <c r="B524" s="53"/>
      <c r="C524" s="41" t="s">
        <v>91</v>
      </c>
      <c r="D524" s="41"/>
    </row>
    <row r="525" spans="1:4" x14ac:dyDescent="0.2">
      <c r="A525" s="64"/>
      <c r="B525" s="53"/>
      <c r="C525" s="41" t="s">
        <v>80</v>
      </c>
      <c r="D525" s="41"/>
    </row>
    <row r="526" spans="1:4" x14ac:dyDescent="0.2">
      <c r="A526" s="64"/>
      <c r="B526" s="53"/>
      <c r="C526" s="41" t="s">
        <v>108</v>
      </c>
      <c r="D526" s="41"/>
    </row>
    <row r="527" spans="1:4" x14ac:dyDescent="0.2">
      <c r="A527" s="64"/>
      <c r="B527" s="53"/>
      <c r="C527" s="41" t="s">
        <v>596</v>
      </c>
      <c r="D527" s="41"/>
    </row>
    <row r="528" spans="1:4" x14ac:dyDescent="0.2">
      <c r="A528" s="64"/>
      <c r="B528" s="53"/>
      <c r="C528" s="41" t="s">
        <v>465</v>
      </c>
      <c r="D528" s="41"/>
    </row>
    <row r="529" spans="1:4" x14ac:dyDescent="0.2">
      <c r="A529" s="64"/>
      <c r="B529" s="53"/>
      <c r="C529" s="41" t="s">
        <v>98</v>
      </c>
      <c r="D529" s="41"/>
    </row>
    <row r="530" spans="1:4" x14ac:dyDescent="0.2">
      <c r="B530" s="53"/>
      <c r="C530" s="41" t="s">
        <v>425</v>
      </c>
      <c r="D530" s="41"/>
    </row>
    <row r="531" spans="1:4" ht="15" x14ac:dyDescent="0.25">
      <c r="A531" s="64"/>
      <c r="B531" s="53"/>
      <c r="C531" s="41" t="s">
        <v>614</v>
      </c>
      <c r="D531" s="41" t="s">
        <v>920</v>
      </c>
    </row>
    <row r="532" spans="1:4" ht="15" x14ac:dyDescent="0.25">
      <c r="A532" s="64"/>
      <c r="B532" s="53"/>
      <c r="C532" s="41" t="s">
        <v>615</v>
      </c>
      <c r="D532" s="41" t="s">
        <v>920</v>
      </c>
    </row>
    <row r="533" spans="1:4" ht="15" x14ac:dyDescent="0.25">
      <c r="A533" s="64"/>
      <c r="B533" s="53"/>
      <c r="C533" s="41" t="s">
        <v>616</v>
      </c>
      <c r="D533" s="41" t="s">
        <v>920</v>
      </c>
    </row>
    <row r="534" spans="1:4" x14ac:dyDescent="0.2">
      <c r="A534" s="64"/>
      <c r="B534" s="53"/>
      <c r="C534" s="41" t="s">
        <v>58</v>
      </c>
      <c r="D534" s="41"/>
    </row>
    <row r="535" spans="1:4" x14ac:dyDescent="0.2">
      <c r="A535" s="64"/>
      <c r="B535" s="53"/>
      <c r="C535" s="41" t="s">
        <v>103</v>
      </c>
      <c r="D535" s="41"/>
    </row>
    <row r="536" spans="1:4" x14ac:dyDescent="0.2">
      <c r="A536" s="64"/>
      <c r="B536" s="53"/>
      <c r="C536" s="41" t="s">
        <v>45</v>
      </c>
      <c r="D536" s="41"/>
    </row>
    <row r="537" spans="1:4" x14ac:dyDescent="0.2">
      <c r="A537" s="64"/>
      <c r="B537" s="53"/>
      <c r="C537" s="41" t="s">
        <v>426</v>
      </c>
      <c r="D537" s="41"/>
    </row>
    <row r="538" spans="1:4" x14ac:dyDescent="0.2">
      <c r="A538" s="64"/>
      <c r="B538" s="53"/>
      <c r="C538" s="41" t="s">
        <v>744</v>
      </c>
      <c r="D538" s="41"/>
    </row>
    <row r="539" spans="1:4" x14ac:dyDescent="0.2">
      <c r="A539" s="64"/>
      <c r="B539" s="53"/>
      <c r="C539" s="41" t="s">
        <v>86</v>
      </c>
      <c r="D539" s="41"/>
    </row>
    <row r="540" spans="1:4" x14ac:dyDescent="0.2">
      <c r="A540" s="64"/>
      <c r="B540" s="53"/>
      <c r="C540" s="41" t="s">
        <v>677</v>
      </c>
      <c r="D540" s="41"/>
    </row>
    <row r="541" spans="1:4" x14ac:dyDescent="0.2">
      <c r="A541" s="64"/>
      <c r="B541" s="53"/>
      <c r="C541" s="41" t="s">
        <v>743</v>
      </c>
      <c r="D541" s="41"/>
    </row>
    <row r="542" spans="1:4" x14ac:dyDescent="0.2">
      <c r="A542" s="64"/>
      <c r="B542" s="53"/>
      <c r="C542" s="41" t="s">
        <v>163</v>
      </c>
      <c r="D542" s="41"/>
    </row>
    <row r="543" spans="1:4" x14ac:dyDescent="0.2">
      <c r="A543" s="64"/>
      <c r="B543" s="53"/>
      <c r="C543" s="41" t="s">
        <v>102</v>
      </c>
      <c r="D543" s="42"/>
    </row>
    <row r="544" spans="1:4" x14ac:dyDescent="0.2">
      <c r="A544" s="70"/>
      <c r="B544" s="43" t="s">
        <v>850</v>
      </c>
      <c r="C544" s="39" t="s">
        <v>55</v>
      </c>
      <c r="D544" s="39"/>
    </row>
    <row r="545" spans="1:4" x14ac:dyDescent="0.2">
      <c r="A545" s="71"/>
      <c r="B545" s="104"/>
      <c r="C545" s="39" t="s">
        <v>62</v>
      </c>
      <c r="D545" s="39"/>
    </row>
    <row r="546" spans="1:4" x14ac:dyDescent="0.2">
      <c r="A546" s="64"/>
      <c r="B546" s="52" t="s">
        <v>420</v>
      </c>
      <c r="C546" s="41" t="s">
        <v>444</v>
      </c>
      <c r="D546" s="41"/>
    </row>
    <row r="547" spans="1:4" x14ac:dyDescent="0.2">
      <c r="A547" s="64"/>
      <c r="B547" s="53"/>
      <c r="C547" s="41" t="s">
        <v>439</v>
      </c>
      <c r="D547" s="41"/>
    </row>
    <row r="548" spans="1:4" x14ac:dyDescent="0.2">
      <c r="A548" s="64"/>
      <c r="B548" s="53"/>
      <c r="C548" s="41" t="s">
        <v>423</v>
      </c>
      <c r="D548" s="41"/>
    </row>
    <row r="549" spans="1:4" x14ac:dyDescent="0.2">
      <c r="A549" s="64"/>
      <c r="B549" s="53"/>
      <c r="C549" s="41" t="s">
        <v>422</v>
      </c>
      <c r="D549" s="41"/>
    </row>
    <row r="550" spans="1:4" x14ac:dyDescent="0.2">
      <c r="A550" s="64"/>
      <c r="B550" s="53"/>
      <c r="C550" s="41" t="s">
        <v>424</v>
      </c>
      <c r="D550" s="41"/>
    </row>
    <row r="551" spans="1:4" x14ac:dyDescent="0.2">
      <c r="A551" s="70"/>
      <c r="B551" s="43" t="s">
        <v>674</v>
      </c>
      <c r="C551" s="39" t="s">
        <v>55</v>
      </c>
      <c r="D551" s="39"/>
    </row>
    <row r="552" spans="1:4" x14ac:dyDescent="0.2">
      <c r="A552" s="71"/>
      <c r="B552" s="104"/>
      <c r="C552" s="39" t="s">
        <v>62</v>
      </c>
      <c r="D552" s="39"/>
    </row>
    <row r="553" spans="1:4" x14ac:dyDescent="0.2">
      <c r="A553" s="49"/>
      <c r="B553" s="52" t="s">
        <v>817</v>
      </c>
      <c r="C553" s="41" t="s">
        <v>818</v>
      </c>
      <c r="D553" s="41"/>
    </row>
    <row r="554" spans="1:4" x14ac:dyDescent="0.2">
      <c r="A554" s="50"/>
      <c r="B554" s="50"/>
      <c r="C554" s="41" t="s">
        <v>819</v>
      </c>
      <c r="D554" s="41"/>
    </row>
    <row r="555" spans="1:4" x14ac:dyDescent="0.2">
      <c r="A555" s="50"/>
      <c r="B555" s="50"/>
      <c r="C555" s="41" t="s">
        <v>820</v>
      </c>
      <c r="D555" s="41"/>
    </row>
    <row r="556" spans="1:4" x14ac:dyDescent="0.2">
      <c r="A556" s="50"/>
      <c r="B556" s="50"/>
      <c r="C556" s="41" t="s">
        <v>821</v>
      </c>
      <c r="D556" s="41"/>
    </row>
    <row r="557" spans="1:4" x14ac:dyDescent="0.2">
      <c r="A557" s="50"/>
      <c r="B557" s="50"/>
      <c r="C557" s="41" t="s">
        <v>822</v>
      </c>
      <c r="D557" s="41"/>
    </row>
    <row r="558" spans="1:4" x14ac:dyDescent="0.2">
      <c r="A558" s="50"/>
      <c r="B558" s="50"/>
      <c r="C558" s="41" t="s">
        <v>823</v>
      </c>
      <c r="D558" s="41"/>
    </row>
    <row r="559" spans="1:4" x14ac:dyDescent="0.2">
      <c r="A559" s="50"/>
      <c r="B559" s="50"/>
      <c r="C559" s="41" t="s">
        <v>824</v>
      </c>
      <c r="D559" s="41"/>
    </row>
    <row r="560" spans="1:4" x14ac:dyDescent="0.2">
      <c r="A560" s="50"/>
      <c r="B560" s="50"/>
      <c r="C560" s="41" t="s">
        <v>825</v>
      </c>
      <c r="D560" s="41"/>
    </row>
    <row r="561" spans="1:4" x14ac:dyDescent="0.2">
      <c r="A561" s="50"/>
      <c r="B561" s="50"/>
      <c r="C561" s="41" t="s">
        <v>826</v>
      </c>
      <c r="D561" s="41"/>
    </row>
    <row r="562" spans="1:4" x14ac:dyDescent="0.2">
      <c r="A562" s="50"/>
      <c r="B562" s="50"/>
      <c r="C562" s="41" t="s">
        <v>827</v>
      </c>
      <c r="D562" s="41"/>
    </row>
    <row r="563" spans="1:4" x14ac:dyDescent="0.2">
      <c r="A563" s="50"/>
      <c r="B563" s="50"/>
      <c r="C563" s="41" t="s">
        <v>828</v>
      </c>
      <c r="D563" s="41"/>
    </row>
    <row r="564" spans="1:4" x14ac:dyDescent="0.2">
      <c r="A564" s="50"/>
      <c r="B564" s="50"/>
      <c r="C564" s="41" t="s">
        <v>829</v>
      </c>
      <c r="D564" s="41"/>
    </row>
    <row r="565" spans="1:4" x14ac:dyDescent="0.2">
      <c r="A565" s="50"/>
      <c r="B565" s="50"/>
      <c r="C565" s="41" t="s">
        <v>830</v>
      </c>
      <c r="D565" s="41"/>
    </row>
    <row r="566" spans="1:4" x14ac:dyDescent="0.2">
      <c r="A566" s="50"/>
      <c r="B566" s="50"/>
      <c r="C566" s="41" t="s">
        <v>831</v>
      </c>
      <c r="D566" s="41"/>
    </row>
    <row r="567" spans="1:4" x14ac:dyDescent="0.2">
      <c r="A567" s="50"/>
      <c r="B567" s="50"/>
      <c r="C567" s="41" t="s">
        <v>832</v>
      </c>
      <c r="D567" s="41"/>
    </row>
    <row r="568" spans="1:4" x14ac:dyDescent="0.2">
      <c r="A568" s="50"/>
      <c r="B568" s="50"/>
      <c r="C568" s="41" t="s">
        <v>833</v>
      </c>
      <c r="D568" s="41"/>
    </row>
    <row r="569" spans="1:4" x14ac:dyDescent="0.2">
      <c r="A569" s="50"/>
      <c r="B569" s="50"/>
      <c r="C569" s="41" t="s">
        <v>834</v>
      </c>
      <c r="D569" s="41"/>
    </row>
    <row r="570" spans="1:4" x14ac:dyDescent="0.2">
      <c r="A570" s="50"/>
      <c r="B570" s="50"/>
      <c r="C570" s="41" t="s">
        <v>835</v>
      </c>
      <c r="D570" s="41"/>
    </row>
    <row r="571" spans="1:4" x14ac:dyDescent="0.2">
      <c r="A571" s="50"/>
      <c r="B571" s="50"/>
      <c r="C571" s="41" t="s">
        <v>836</v>
      </c>
      <c r="D571" s="41"/>
    </row>
    <row r="572" spans="1:4" x14ac:dyDescent="0.2">
      <c r="A572" s="50"/>
      <c r="B572" s="50"/>
      <c r="C572" s="41" t="s">
        <v>837</v>
      </c>
      <c r="D572" s="41"/>
    </row>
    <row r="573" spans="1:4" x14ac:dyDescent="0.2">
      <c r="A573" s="50"/>
      <c r="B573" s="50"/>
      <c r="C573" s="41" t="s">
        <v>838</v>
      </c>
      <c r="D573" s="41"/>
    </row>
    <row r="574" spans="1:4" x14ac:dyDescent="0.2">
      <c r="A574" s="50"/>
      <c r="B574" s="50"/>
      <c r="C574" s="41" t="s">
        <v>839</v>
      </c>
      <c r="D574" s="41"/>
    </row>
    <row r="575" spans="1:4" x14ac:dyDescent="0.2">
      <c r="A575" s="50"/>
      <c r="B575" s="50"/>
      <c r="C575" s="41" t="s">
        <v>840</v>
      </c>
      <c r="D575" s="41"/>
    </row>
    <row r="576" spans="1:4" x14ac:dyDescent="0.2">
      <c r="A576" s="50"/>
      <c r="B576" s="50"/>
      <c r="C576" s="41" t="s">
        <v>841</v>
      </c>
      <c r="D576" s="41"/>
    </row>
    <row r="577" spans="1:5" x14ac:dyDescent="0.2">
      <c r="A577" s="50"/>
      <c r="B577" s="50"/>
      <c r="C577" s="41" t="s">
        <v>842</v>
      </c>
      <c r="D577" s="41"/>
    </row>
    <row r="578" spans="1:5" x14ac:dyDescent="0.2">
      <c r="A578" s="50"/>
      <c r="B578" s="50"/>
      <c r="C578" s="41" t="s">
        <v>843</v>
      </c>
      <c r="D578" s="41"/>
    </row>
    <row r="579" spans="1:5" x14ac:dyDescent="0.2">
      <c r="A579" s="50"/>
      <c r="B579" s="50"/>
      <c r="C579" s="41" t="s">
        <v>844</v>
      </c>
      <c r="D579" s="41"/>
    </row>
    <row r="580" spans="1:5" x14ac:dyDescent="0.2">
      <c r="A580" s="50"/>
      <c r="B580" s="50"/>
      <c r="C580" s="41" t="s">
        <v>1184</v>
      </c>
      <c r="D580" s="41"/>
      <c r="E580" t="s">
        <v>1182</v>
      </c>
    </row>
    <row r="581" spans="1:5" x14ac:dyDescent="0.2">
      <c r="A581" s="50"/>
      <c r="B581" s="50"/>
      <c r="C581" s="41" t="s">
        <v>1185</v>
      </c>
      <c r="D581" s="41"/>
      <c r="E581" t="s">
        <v>1182</v>
      </c>
    </row>
    <row r="582" spans="1:5" x14ac:dyDescent="0.2">
      <c r="A582" s="50"/>
      <c r="B582" s="50"/>
      <c r="C582" s="41" t="s">
        <v>851</v>
      </c>
      <c r="D582" s="41"/>
    </row>
    <row r="583" spans="1:5" x14ac:dyDescent="0.2">
      <c r="A583" s="50"/>
      <c r="B583" s="50"/>
      <c r="C583" s="41" t="s">
        <v>852</v>
      </c>
      <c r="D583" s="41"/>
    </row>
    <row r="584" spans="1:5" x14ac:dyDescent="0.2">
      <c r="A584" s="50"/>
      <c r="B584" s="50"/>
      <c r="C584" s="41" t="s">
        <v>853</v>
      </c>
      <c r="D584" s="41"/>
    </row>
    <row r="585" spans="1:5" x14ac:dyDescent="0.2">
      <c r="A585" s="50"/>
      <c r="B585" s="50"/>
      <c r="C585" s="41" t="s">
        <v>854</v>
      </c>
      <c r="D585" s="41"/>
    </row>
    <row r="586" spans="1:5" x14ac:dyDescent="0.2">
      <c r="A586" s="50"/>
      <c r="B586" s="50"/>
      <c r="C586" s="41" t="s">
        <v>855</v>
      </c>
      <c r="D586" s="41"/>
    </row>
    <row r="587" spans="1:5" x14ac:dyDescent="0.2">
      <c r="A587" s="50"/>
      <c r="B587" s="50"/>
      <c r="C587" s="41" t="s">
        <v>845</v>
      </c>
      <c r="D587" s="41"/>
    </row>
    <row r="588" spans="1:5" x14ac:dyDescent="0.2">
      <c r="A588" s="50"/>
      <c r="B588" s="50"/>
      <c r="C588" s="41" t="s">
        <v>846</v>
      </c>
      <c r="D588" s="41"/>
    </row>
    <row r="589" spans="1:5" x14ac:dyDescent="0.2">
      <c r="A589" s="50"/>
      <c r="B589" s="50"/>
      <c r="C589" s="41" t="s">
        <v>847</v>
      </c>
      <c r="D589" s="41"/>
    </row>
    <row r="590" spans="1:5" x14ac:dyDescent="0.2">
      <c r="A590" s="50"/>
      <c r="B590" s="50"/>
      <c r="C590" s="41" t="s">
        <v>848</v>
      </c>
      <c r="D590" s="41"/>
    </row>
    <row r="591" spans="1:5" x14ac:dyDescent="0.2">
      <c r="A591" s="51"/>
      <c r="B591" s="51"/>
      <c r="C591" s="41" t="s">
        <v>849</v>
      </c>
      <c r="D591" s="41"/>
    </row>
    <row r="592" spans="1:5" x14ac:dyDescent="0.2">
      <c r="A592" s="48"/>
      <c r="B592" s="105" t="s">
        <v>440</v>
      </c>
      <c r="C592" s="39" t="s">
        <v>441</v>
      </c>
      <c r="D592" s="39"/>
    </row>
    <row r="593" spans="1:4" x14ac:dyDescent="0.2">
      <c r="A593" s="48"/>
      <c r="B593" s="105"/>
      <c r="C593" s="39" t="s">
        <v>442</v>
      </c>
      <c r="D593" s="39"/>
    </row>
    <row r="594" spans="1:4" x14ac:dyDescent="0.2">
      <c r="A594" s="48"/>
      <c r="B594" s="105"/>
      <c r="C594" s="39" t="s">
        <v>102</v>
      </c>
      <c r="D594" s="39"/>
    </row>
    <row r="595" spans="1:4" x14ac:dyDescent="0.2">
      <c r="A595" s="52"/>
      <c r="B595" s="58" t="s">
        <v>669</v>
      </c>
      <c r="C595" s="41" t="s">
        <v>55</v>
      </c>
      <c r="D595" s="41"/>
    </row>
    <row r="596" spans="1:4" x14ac:dyDescent="0.2">
      <c r="A596" s="106"/>
      <c r="B596" s="108"/>
      <c r="C596" s="107" t="s">
        <v>62</v>
      </c>
      <c r="D596" s="41"/>
    </row>
    <row r="597" spans="1:4" x14ac:dyDescent="0.2">
      <c r="A597" s="100"/>
      <c r="B597" s="100" t="s">
        <v>289</v>
      </c>
      <c r="C597" s="39" t="s">
        <v>273</v>
      </c>
      <c r="D597" s="39"/>
    </row>
    <row r="598" spans="1:4" x14ac:dyDescent="0.2">
      <c r="A598" s="48"/>
      <c r="B598" s="48"/>
      <c r="C598" s="39" t="s">
        <v>445</v>
      </c>
      <c r="D598" s="39"/>
    </row>
    <row r="599" spans="1:4" x14ac:dyDescent="0.2">
      <c r="A599" s="48"/>
      <c r="B599" s="48"/>
      <c r="C599" s="39" t="s">
        <v>271</v>
      </c>
      <c r="D599" s="39"/>
    </row>
    <row r="600" spans="1:4" x14ac:dyDescent="0.2">
      <c r="A600" s="48"/>
      <c r="B600" s="48"/>
      <c r="C600" s="39" t="s">
        <v>272</v>
      </c>
      <c r="D600" s="39"/>
    </row>
    <row r="601" spans="1:4" x14ac:dyDescent="0.2">
      <c r="A601" s="48"/>
      <c r="B601" s="48"/>
      <c r="C601" s="39" t="s">
        <v>383</v>
      </c>
      <c r="D601" s="39"/>
    </row>
    <row r="602" spans="1:4" x14ac:dyDescent="0.2">
      <c r="A602" s="48"/>
      <c r="B602" s="48"/>
      <c r="C602" s="39" t="s">
        <v>384</v>
      </c>
      <c r="D602" s="39"/>
    </row>
    <row r="603" spans="1:4" x14ac:dyDescent="0.2">
      <c r="A603" s="48"/>
      <c r="B603" s="48"/>
      <c r="C603" s="39" t="s">
        <v>385</v>
      </c>
      <c r="D603" s="39"/>
    </row>
    <row r="604" spans="1:4" x14ac:dyDescent="0.2">
      <c r="A604" s="48"/>
      <c r="B604" s="48"/>
      <c r="C604" s="39" t="s">
        <v>386</v>
      </c>
      <c r="D604" s="39"/>
    </row>
    <row r="605" spans="1:4" x14ac:dyDescent="0.2">
      <c r="A605" s="48"/>
      <c r="B605" s="48"/>
      <c r="C605" s="39" t="s">
        <v>274</v>
      </c>
      <c r="D605" s="39"/>
    </row>
    <row r="606" spans="1:4" x14ac:dyDescent="0.2">
      <c r="A606" s="48"/>
      <c r="B606" s="48"/>
      <c r="C606" s="39" t="s">
        <v>387</v>
      </c>
      <c r="D606" s="39"/>
    </row>
    <row r="607" spans="1:4" x14ac:dyDescent="0.2">
      <c r="A607" s="48"/>
      <c r="B607" s="48"/>
      <c r="C607" s="39" t="s">
        <v>388</v>
      </c>
      <c r="D607" s="39"/>
    </row>
    <row r="608" spans="1:4" x14ac:dyDescent="0.2">
      <c r="A608" s="48"/>
      <c r="B608" s="48"/>
      <c r="C608" s="39" t="s">
        <v>389</v>
      </c>
      <c r="D608" s="39"/>
    </row>
    <row r="609" spans="1:5" x14ac:dyDescent="0.2">
      <c r="A609" s="48"/>
      <c r="B609" s="48"/>
      <c r="C609" s="39" t="s">
        <v>390</v>
      </c>
      <c r="D609" s="39"/>
    </row>
    <row r="610" spans="1:5" x14ac:dyDescent="0.2">
      <c r="A610" s="48"/>
      <c r="B610" s="48"/>
      <c r="C610" s="39" t="s">
        <v>391</v>
      </c>
      <c r="D610" s="39"/>
    </row>
    <row r="611" spans="1:5" x14ac:dyDescent="0.2">
      <c r="A611" s="48"/>
      <c r="B611" s="48"/>
      <c r="C611" s="39" t="s">
        <v>275</v>
      </c>
      <c r="D611" s="39"/>
    </row>
    <row r="612" spans="1:5" x14ac:dyDescent="0.2">
      <c r="A612" s="48"/>
      <c r="B612" s="48"/>
      <c r="C612" s="39" t="s">
        <v>392</v>
      </c>
      <c r="D612" s="39"/>
    </row>
    <row r="613" spans="1:5" x14ac:dyDescent="0.2">
      <c r="A613" s="48"/>
      <c r="B613" s="48"/>
      <c r="C613" s="39" t="s">
        <v>276</v>
      </c>
      <c r="D613" s="39"/>
    </row>
    <row r="614" spans="1:5" x14ac:dyDescent="0.2">
      <c r="A614" s="48"/>
      <c r="B614" s="48"/>
      <c r="C614" s="39" t="s">
        <v>277</v>
      </c>
      <c r="D614" s="39"/>
    </row>
    <row r="615" spans="1:5" x14ac:dyDescent="0.2">
      <c r="A615" s="48"/>
      <c r="B615" s="48"/>
      <c r="C615" s="39" t="s">
        <v>393</v>
      </c>
      <c r="D615" s="39"/>
    </row>
    <row r="616" spans="1:5" x14ac:dyDescent="0.2">
      <c r="A616" s="48"/>
      <c r="B616" s="48"/>
      <c r="C616" s="39" t="s">
        <v>394</v>
      </c>
      <c r="D616" s="39"/>
    </row>
    <row r="617" spans="1:5" x14ac:dyDescent="0.2">
      <c r="A617" s="48"/>
      <c r="B617" s="48"/>
      <c r="C617" s="39" t="s">
        <v>395</v>
      </c>
      <c r="D617" s="39"/>
    </row>
    <row r="618" spans="1:5" x14ac:dyDescent="0.2">
      <c r="A618" s="48"/>
      <c r="B618" s="48"/>
      <c r="C618" s="39" t="s">
        <v>278</v>
      </c>
      <c r="D618" s="39"/>
    </row>
    <row r="619" spans="1:5" x14ac:dyDescent="0.2">
      <c r="A619" s="48"/>
      <c r="B619" s="48"/>
      <c r="C619" s="39" t="s">
        <v>279</v>
      </c>
      <c r="D619" s="39"/>
    </row>
    <row r="620" spans="1:5" x14ac:dyDescent="0.2">
      <c r="A620" s="48"/>
      <c r="B620" s="48"/>
      <c r="C620" s="39" t="s">
        <v>130</v>
      </c>
      <c r="D620" s="39"/>
    </row>
    <row r="621" spans="1:5" x14ac:dyDescent="0.2">
      <c r="A621" s="48"/>
      <c r="B621" s="48"/>
      <c r="C621" s="39" t="s">
        <v>1144</v>
      </c>
      <c r="D621" s="39"/>
      <c r="E621" t="s">
        <v>1182</v>
      </c>
    </row>
    <row r="622" spans="1:5" x14ac:dyDescent="0.2">
      <c r="A622" s="52"/>
      <c r="B622" s="52" t="s">
        <v>24</v>
      </c>
      <c r="C622" s="41" t="s">
        <v>446</v>
      </c>
      <c r="D622" s="41"/>
    </row>
    <row r="623" spans="1:5" x14ac:dyDescent="0.2">
      <c r="A623" s="53"/>
      <c r="B623" s="53"/>
      <c r="C623" s="41" t="s">
        <v>112</v>
      </c>
      <c r="D623" s="41"/>
    </row>
    <row r="624" spans="1:5" x14ac:dyDescent="0.2">
      <c r="A624" s="53"/>
      <c r="B624" s="53"/>
      <c r="C624" s="41" t="s">
        <v>105</v>
      </c>
      <c r="D624" s="41"/>
    </row>
    <row r="625" spans="1:5" x14ac:dyDescent="0.2">
      <c r="A625" s="53"/>
      <c r="B625" s="53"/>
      <c r="C625" s="41" t="s">
        <v>87</v>
      </c>
      <c r="D625" s="41"/>
    </row>
    <row r="626" spans="1:5" x14ac:dyDescent="0.2">
      <c r="A626" s="53"/>
      <c r="B626" s="53"/>
      <c r="C626" s="41" t="s">
        <v>1163</v>
      </c>
      <c r="D626" s="41"/>
      <c r="E626" t="s">
        <v>1182</v>
      </c>
    </row>
    <row r="627" spans="1:5" x14ac:dyDescent="0.2">
      <c r="A627" s="53"/>
      <c r="B627" s="53"/>
      <c r="C627" s="41" t="s">
        <v>60</v>
      </c>
      <c r="D627" s="41"/>
    </row>
    <row r="628" spans="1:5" x14ac:dyDescent="0.2">
      <c r="A628" s="53"/>
      <c r="B628" s="53"/>
      <c r="C628" s="41" t="s">
        <v>93</v>
      </c>
      <c r="D628" s="41"/>
    </row>
    <row r="629" spans="1:5" x14ac:dyDescent="0.2">
      <c r="A629" s="53"/>
      <c r="B629" s="53"/>
      <c r="C629" s="41" t="s">
        <v>75</v>
      </c>
      <c r="D629" s="41"/>
    </row>
    <row r="630" spans="1:5" x14ac:dyDescent="0.2">
      <c r="A630" s="53"/>
      <c r="B630" s="53"/>
      <c r="C630" s="41" t="s">
        <v>68</v>
      </c>
      <c r="D630" s="41"/>
    </row>
    <row r="631" spans="1:5" x14ac:dyDescent="0.2">
      <c r="A631" s="53"/>
      <c r="B631" s="53"/>
      <c r="C631" s="41" t="s">
        <v>82</v>
      </c>
      <c r="D631" s="41"/>
    </row>
    <row r="632" spans="1:5" x14ac:dyDescent="0.2">
      <c r="A632" s="53"/>
      <c r="B632" s="53"/>
      <c r="C632" s="41" t="s">
        <v>397</v>
      </c>
      <c r="D632" s="41"/>
    </row>
    <row r="633" spans="1:5" x14ac:dyDescent="0.2">
      <c r="A633" s="54"/>
      <c r="B633" s="54"/>
      <c r="C633" s="41" t="s">
        <v>102</v>
      </c>
      <c r="D633" s="41"/>
    </row>
    <row r="634" spans="1:5" x14ac:dyDescent="0.2">
      <c r="A634" s="48"/>
      <c r="B634" s="105" t="s">
        <v>286</v>
      </c>
      <c r="C634" s="39" t="s">
        <v>600</v>
      </c>
      <c r="D634" s="39" t="s">
        <v>1162</v>
      </c>
    </row>
    <row r="635" spans="1:5" x14ac:dyDescent="0.2">
      <c r="A635" s="48"/>
      <c r="B635" s="105"/>
      <c r="C635" s="39" t="s">
        <v>294</v>
      </c>
      <c r="D635" s="39" t="s">
        <v>336</v>
      </c>
    </row>
    <row r="636" spans="1:5" x14ac:dyDescent="0.2">
      <c r="A636" s="48"/>
      <c r="B636" s="105"/>
      <c r="C636" s="39" t="s">
        <v>295</v>
      </c>
      <c r="D636" s="39" t="s">
        <v>337</v>
      </c>
    </row>
    <row r="637" spans="1:5" x14ac:dyDescent="0.2">
      <c r="A637" s="48"/>
      <c r="B637" s="105"/>
      <c r="C637" s="39" t="s">
        <v>296</v>
      </c>
      <c r="D637" s="39" t="s">
        <v>338</v>
      </c>
    </row>
    <row r="638" spans="1:5" x14ac:dyDescent="0.2">
      <c r="A638" s="48"/>
      <c r="B638" s="105"/>
      <c r="C638" s="39" t="s">
        <v>284</v>
      </c>
      <c r="D638" s="39" t="s">
        <v>292</v>
      </c>
    </row>
    <row r="639" spans="1:5" x14ac:dyDescent="0.2">
      <c r="A639" s="48"/>
      <c r="B639" s="105"/>
      <c r="C639" s="39" t="s">
        <v>285</v>
      </c>
      <c r="D639" s="39" t="s">
        <v>293</v>
      </c>
    </row>
    <row r="640" spans="1:5" x14ac:dyDescent="0.2">
      <c r="A640" s="48"/>
      <c r="B640" s="105"/>
      <c r="C640" s="39" t="s">
        <v>601</v>
      </c>
      <c r="D640" s="39" t="s">
        <v>602</v>
      </c>
    </row>
    <row r="641" spans="1:4" x14ac:dyDescent="0.2">
      <c r="A641" s="48"/>
      <c r="B641" s="105"/>
      <c r="C641" s="39" t="s">
        <v>287</v>
      </c>
      <c r="D641" s="39" t="s">
        <v>287</v>
      </c>
    </row>
    <row r="642" spans="1:4" x14ac:dyDescent="0.2">
      <c r="A642" s="48"/>
      <c r="B642" s="105"/>
      <c r="C642" s="39" t="s">
        <v>102</v>
      </c>
      <c r="D642" s="39"/>
    </row>
    <row r="643" spans="1:4" x14ac:dyDescent="0.2">
      <c r="A643" s="55"/>
      <c r="B643" s="55" t="s">
        <v>288</v>
      </c>
      <c r="C643" s="41" t="s">
        <v>447</v>
      </c>
      <c r="D643" s="41" t="s">
        <v>448</v>
      </c>
    </row>
    <row r="644" spans="1:4" x14ac:dyDescent="0.2">
      <c r="A644" s="56"/>
      <c r="B644" s="56"/>
      <c r="C644" s="41" t="s">
        <v>450</v>
      </c>
      <c r="D644" s="41" t="s">
        <v>449</v>
      </c>
    </row>
    <row r="645" spans="1:4" x14ac:dyDescent="0.2">
      <c r="A645" s="56"/>
      <c r="B645" s="56"/>
      <c r="C645" s="41" t="s">
        <v>452</v>
      </c>
      <c r="D645" s="41" t="s">
        <v>451</v>
      </c>
    </row>
    <row r="646" spans="1:4" x14ac:dyDescent="0.2">
      <c r="A646" s="56"/>
      <c r="B646" s="56"/>
      <c r="C646" s="41" t="s">
        <v>454</v>
      </c>
      <c r="D646" s="41" t="s">
        <v>453</v>
      </c>
    </row>
    <row r="647" spans="1:4" x14ac:dyDescent="0.2">
      <c r="A647" s="56"/>
      <c r="B647" s="56"/>
      <c r="C647" s="41" t="s">
        <v>941</v>
      </c>
      <c r="D647" s="41"/>
    </row>
    <row r="648" spans="1:4" x14ac:dyDescent="0.2">
      <c r="A648" s="57"/>
      <c r="B648" s="57"/>
      <c r="C648" s="41" t="s">
        <v>102</v>
      </c>
      <c r="D648" s="41"/>
    </row>
    <row r="649" spans="1:4" x14ac:dyDescent="0.2">
      <c r="A649" s="48"/>
      <c r="B649" s="105" t="s">
        <v>917</v>
      </c>
      <c r="C649" s="39" t="s">
        <v>302</v>
      </c>
      <c r="D649" s="39"/>
    </row>
    <row r="650" spans="1:4" x14ac:dyDescent="0.2">
      <c r="A650" s="48"/>
      <c r="B650" s="105"/>
      <c r="C650" s="39" t="s">
        <v>303</v>
      </c>
      <c r="D650" s="39"/>
    </row>
    <row r="651" spans="1:4" x14ac:dyDescent="0.2">
      <c r="A651" s="48"/>
      <c r="B651" s="105"/>
      <c r="C651" s="39" t="s">
        <v>775</v>
      </c>
      <c r="D651" s="39"/>
    </row>
    <row r="652" spans="1:4" x14ac:dyDescent="0.2">
      <c r="A652" s="48"/>
      <c r="B652" s="105"/>
      <c r="C652" s="39" t="s">
        <v>301</v>
      </c>
      <c r="D652" s="39"/>
    </row>
    <row r="653" spans="1:4" x14ac:dyDescent="0.2">
      <c r="A653" s="48"/>
      <c r="B653" s="105"/>
      <c r="C653" s="39" t="s">
        <v>102</v>
      </c>
      <c r="D653" s="39"/>
    </row>
    <row r="654" spans="1:4" x14ac:dyDescent="0.2">
      <c r="A654" s="55"/>
      <c r="B654" s="55" t="s">
        <v>372</v>
      </c>
      <c r="C654" s="41" t="s">
        <v>304</v>
      </c>
      <c r="D654" s="41"/>
    </row>
    <row r="655" spans="1:4" x14ac:dyDescent="0.2">
      <c r="A655" s="56"/>
      <c r="B655" s="56"/>
      <c r="C655" s="41" t="s">
        <v>305</v>
      </c>
      <c r="D655" s="41"/>
    </row>
    <row r="656" spans="1:4" x14ac:dyDescent="0.2">
      <c r="A656" s="48"/>
      <c r="B656" s="105" t="s">
        <v>26</v>
      </c>
      <c r="C656" s="39" t="s">
        <v>17</v>
      </c>
      <c r="D656" s="39"/>
    </row>
    <row r="657" spans="1:4" x14ac:dyDescent="0.2">
      <c r="A657" s="48"/>
      <c r="B657" s="105"/>
      <c r="C657" s="39" t="s">
        <v>27</v>
      </c>
      <c r="D657" s="39"/>
    </row>
    <row r="658" spans="1:4" x14ac:dyDescent="0.2">
      <c r="A658" s="55"/>
      <c r="B658" s="55" t="s">
        <v>612</v>
      </c>
      <c r="C658" s="41" t="s">
        <v>356</v>
      </c>
      <c r="D658" s="41"/>
    </row>
    <row r="659" spans="1:4" x14ac:dyDescent="0.2">
      <c r="A659" s="56"/>
      <c r="B659" s="56"/>
      <c r="C659" s="41" t="s">
        <v>357</v>
      </c>
      <c r="D659" s="41"/>
    </row>
    <row r="660" spans="1:4" x14ac:dyDescent="0.2">
      <c r="A660" s="56"/>
      <c r="B660" s="56"/>
      <c r="C660" s="41" t="s">
        <v>358</v>
      </c>
      <c r="D660" s="41"/>
    </row>
    <row r="661" spans="1:4" x14ac:dyDescent="0.2">
      <c r="A661" s="56"/>
      <c r="B661" s="56"/>
      <c r="C661" s="41" t="s">
        <v>359</v>
      </c>
      <c r="D661" s="41"/>
    </row>
    <row r="662" spans="1:4" x14ac:dyDescent="0.2">
      <c r="A662" s="56"/>
      <c r="B662" s="56"/>
      <c r="C662" s="41" t="s">
        <v>360</v>
      </c>
      <c r="D662" s="41"/>
    </row>
    <row r="663" spans="1:4" x14ac:dyDescent="0.2">
      <c r="A663" s="56"/>
      <c r="B663" s="56"/>
      <c r="C663" s="41" t="s">
        <v>361</v>
      </c>
      <c r="D663" s="41"/>
    </row>
    <row r="664" spans="1:4" x14ac:dyDescent="0.2">
      <c r="A664" s="56"/>
      <c r="B664" s="56"/>
      <c r="C664" s="41" t="s">
        <v>102</v>
      </c>
      <c r="D664" s="41"/>
    </row>
    <row r="665" spans="1:4" x14ac:dyDescent="0.2">
      <c r="A665" s="57"/>
      <c r="B665" s="57"/>
      <c r="C665" s="41" t="s">
        <v>362</v>
      </c>
      <c r="D665" s="41"/>
    </row>
    <row r="666" spans="1:4" x14ac:dyDescent="0.2">
      <c r="A666" s="48"/>
      <c r="B666" s="105" t="s">
        <v>308</v>
      </c>
      <c r="C666" s="39" t="s">
        <v>363</v>
      </c>
      <c r="D666" s="39"/>
    </row>
    <row r="667" spans="1:4" x14ac:dyDescent="0.2">
      <c r="A667" s="48"/>
      <c r="B667" s="105"/>
      <c r="C667" s="39" t="s">
        <v>370</v>
      </c>
      <c r="D667" s="39"/>
    </row>
    <row r="668" spans="1:4" x14ac:dyDescent="0.2">
      <c r="A668" s="55"/>
      <c r="B668" s="55" t="s">
        <v>309</v>
      </c>
      <c r="C668" s="41" t="s">
        <v>685</v>
      </c>
      <c r="D668" s="41"/>
    </row>
    <row r="669" spans="1:4" x14ac:dyDescent="0.2">
      <c r="A669" s="56"/>
      <c r="B669" s="56"/>
      <c r="C669" s="41" t="s">
        <v>686</v>
      </c>
      <c r="D669" s="41"/>
    </row>
    <row r="670" spans="1:4" x14ac:dyDescent="0.2">
      <c r="A670" s="56"/>
      <c r="B670" s="56"/>
      <c r="C670" s="41" t="s">
        <v>319</v>
      </c>
      <c r="D670" s="41"/>
    </row>
    <row r="671" spans="1:4" x14ac:dyDescent="0.2">
      <c r="A671" s="56"/>
      <c r="B671" s="56"/>
      <c r="C671" s="41" t="s">
        <v>324</v>
      </c>
      <c r="D671" s="41"/>
    </row>
    <row r="672" spans="1:4" x14ac:dyDescent="0.2">
      <c r="A672" s="56"/>
      <c r="B672" s="56"/>
      <c r="C672" s="41" t="s">
        <v>321</v>
      </c>
      <c r="D672" s="41"/>
    </row>
    <row r="673" spans="1:4" x14ac:dyDescent="0.2">
      <c r="A673" s="56"/>
      <c r="B673" s="56"/>
      <c r="C673" s="41" t="s">
        <v>320</v>
      </c>
      <c r="D673" s="41"/>
    </row>
    <row r="674" spans="1:4" x14ac:dyDescent="0.2">
      <c r="A674" s="56"/>
      <c r="B674" s="56"/>
      <c r="C674" s="41" t="s">
        <v>325</v>
      </c>
      <c r="D674" s="41"/>
    </row>
    <row r="675" spans="1:4" x14ac:dyDescent="0.2">
      <c r="A675" s="56"/>
      <c r="B675" s="56"/>
      <c r="C675" s="41" t="s">
        <v>322</v>
      </c>
      <c r="D675" s="41"/>
    </row>
    <row r="676" spans="1:4" x14ac:dyDescent="0.2">
      <c r="A676" s="56"/>
      <c r="B676" s="56"/>
      <c r="C676" s="41" t="s">
        <v>443</v>
      </c>
      <c r="D676" s="41"/>
    </row>
    <row r="677" spans="1:4" x14ac:dyDescent="0.2">
      <c r="A677" s="56"/>
      <c r="B677" s="56"/>
      <c r="C677" s="41" t="s">
        <v>323</v>
      </c>
      <c r="D677" s="41"/>
    </row>
    <row r="678" spans="1:4" x14ac:dyDescent="0.2">
      <c r="A678" s="56"/>
      <c r="B678" s="56"/>
      <c r="C678" s="41" t="s">
        <v>130</v>
      </c>
      <c r="D678" s="41"/>
    </row>
    <row r="679" spans="1:4" x14ac:dyDescent="0.2">
      <c r="A679" s="57"/>
      <c r="B679" s="57"/>
      <c r="C679" s="41" t="s">
        <v>362</v>
      </c>
      <c r="D679" s="41"/>
    </row>
    <row r="680" spans="1:4" x14ac:dyDescent="0.2">
      <c r="A680" s="77"/>
      <c r="B680" s="77" t="s">
        <v>310</v>
      </c>
      <c r="C680" s="39" t="s">
        <v>356</v>
      </c>
      <c r="D680" s="39"/>
    </row>
    <row r="681" spans="1:4" x14ac:dyDescent="0.2">
      <c r="A681" s="79"/>
      <c r="B681" s="79"/>
      <c r="C681" s="39" t="s">
        <v>357</v>
      </c>
      <c r="D681" s="39"/>
    </row>
    <row r="682" spans="1:4" x14ac:dyDescent="0.2">
      <c r="A682" s="79"/>
      <c r="B682" s="79"/>
      <c r="C682" s="39" t="s">
        <v>358</v>
      </c>
      <c r="D682" s="39"/>
    </row>
    <row r="683" spans="1:4" x14ac:dyDescent="0.2">
      <c r="A683" s="79"/>
      <c r="B683" s="79"/>
      <c r="C683" s="39" t="s">
        <v>359</v>
      </c>
      <c r="D683" s="39"/>
    </row>
    <row r="684" spans="1:4" x14ac:dyDescent="0.2">
      <c r="A684" s="79"/>
      <c r="B684" s="79"/>
      <c r="C684" s="39" t="s">
        <v>360</v>
      </c>
      <c r="D684" s="39"/>
    </row>
    <row r="685" spans="1:4" x14ac:dyDescent="0.2">
      <c r="A685" s="79"/>
      <c r="B685" s="79"/>
      <c r="C685" s="39" t="s">
        <v>361</v>
      </c>
      <c r="D685" s="39"/>
    </row>
    <row r="686" spans="1:4" x14ac:dyDescent="0.2">
      <c r="A686" s="79"/>
      <c r="B686" s="79"/>
      <c r="C686" s="39" t="s">
        <v>102</v>
      </c>
      <c r="D686" s="39"/>
    </row>
    <row r="687" spans="1:4" x14ac:dyDescent="0.2">
      <c r="A687" s="79"/>
      <c r="B687" s="79"/>
      <c r="C687" s="39" t="s">
        <v>362</v>
      </c>
      <c r="D687" s="39"/>
    </row>
    <row r="688" spans="1:4" x14ac:dyDescent="0.2">
      <c r="A688" s="55"/>
      <c r="B688" s="52" t="s">
        <v>369</v>
      </c>
      <c r="C688" s="41" t="s">
        <v>339</v>
      </c>
      <c r="D688" s="41"/>
    </row>
    <row r="689" spans="1:4" x14ac:dyDescent="0.2">
      <c r="A689" s="56"/>
      <c r="B689" s="54"/>
      <c r="C689" s="41" t="s">
        <v>340</v>
      </c>
      <c r="D689" s="41"/>
    </row>
    <row r="690" spans="1:4" x14ac:dyDescent="0.2">
      <c r="A690" s="77"/>
      <c r="B690" s="77" t="s">
        <v>737</v>
      </c>
      <c r="C690" s="39" t="s">
        <v>341</v>
      </c>
      <c r="D690" s="39"/>
    </row>
    <row r="691" spans="1:4" x14ac:dyDescent="0.2">
      <c r="A691" s="79"/>
      <c r="B691" s="79"/>
      <c r="C691" s="39" t="s">
        <v>342</v>
      </c>
      <c r="D691" s="39"/>
    </row>
    <row r="692" spans="1:4" x14ac:dyDescent="0.2">
      <c r="A692" s="55"/>
      <c r="B692" s="55" t="s">
        <v>343</v>
      </c>
      <c r="C692" s="41" t="s">
        <v>398</v>
      </c>
      <c r="D692" s="41"/>
    </row>
    <row r="693" spans="1:4" x14ac:dyDescent="0.2">
      <c r="A693" s="56"/>
      <c r="B693" s="56"/>
      <c r="C693" s="41" t="s">
        <v>381</v>
      </c>
      <c r="D693" s="41"/>
    </row>
    <row r="694" spans="1:4" x14ac:dyDescent="0.2">
      <c r="A694" s="56"/>
      <c r="B694" s="56"/>
      <c r="C694" s="41" t="s">
        <v>376</v>
      </c>
      <c r="D694" s="41"/>
    </row>
    <row r="695" spans="1:4" x14ac:dyDescent="0.2">
      <c r="A695" s="56"/>
      <c r="B695" s="56"/>
      <c r="C695" s="41" t="s">
        <v>333</v>
      </c>
      <c r="D695" s="41"/>
    </row>
    <row r="696" spans="1:4" x14ac:dyDescent="0.2">
      <c r="A696" s="56"/>
      <c r="B696" s="56"/>
      <c r="C696" s="41" t="s">
        <v>73</v>
      </c>
      <c r="D696" s="41"/>
    </row>
    <row r="697" spans="1:4" x14ac:dyDescent="0.2">
      <c r="A697" s="56"/>
      <c r="B697" s="56"/>
      <c r="C697" s="41" t="s">
        <v>9</v>
      </c>
      <c r="D697" s="41"/>
    </row>
    <row r="698" spans="1:4" x14ac:dyDescent="0.2">
      <c r="A698" s="56"/>
      <c r="B698" s="56"/>
      <c r="C698" s="41" t="s">
        <v>344</v>
      </c>
      <c r="D698" s="41"/>
    </row>
    <row r="699" spans="1:4" x14ac:dyDescent="0.2">
      <c r="A699" s="56"/>
      <c r="B699" s="56"/>
      <c r="C699" s="41" t="s">
        <v>332</v>
      </c>
      <c r="D699" s="41"/>
    </row>
    <row r="700" spans="1:4" x14ac:dyDescent="0.2">
      <c r="A700" s="56"/>
      <c r="B700" s="56"/>
      <c r="C700" s="41" t="s">
        <v>102</v>
      </c>
      <c r="D700" s="41"/>
    </row>
    <row r="701" spans="1:4" x14ac:dyDescent="0.2">
      <c r="A701" s="77"/>
      <c r="B701" s="77" t="s">
        <v>463</v>
      </c>
      <c r="C701" s="39" t="s">
        <v>414</v>
      </c>
      <c r="D701" s="39"/>
    </row>
    <row r="702" spans="1:4" x14ac:dyDescent="0.2">
      <c r="A702" s="79"/>
      <c r="B702" s="79"/>
      <c r="C702" s="39" t="s">
        <v>262</v>
      </c>
      <c r="D702" s="39"/>
    </row>
    <row r="703" spans="1:4" x14ac:dyDescent="0.2">
      <c r="A703" s="79"/>
      <c r="B703" s="79"/>
      <c r="C703" s="39" t="s">
        <v>172</v>
      </c>
      <c r="D703" s="39"/>
    </row>
    <row r="704" spans="1:4" x14ac:dyDescent="0.2">
      <c r="A704" s="79"/>
      <c r="B704" s="79"/>
      <c r="C704" s="39" t="s">
        <v>637</v>
      </c>
      <c r="D704" s="39"/>
    </row>
    <row r="705" spans="1:5" x14ac:dyDescent="0.2">
      <c r="A705" s="79"/>
      <c r="B705" s="79"/>
      <c r="C705" s="39" t="s">
        <v>156</v>
      </c>
      <c r="D705" s="39"/>
    </row>
    <row r="706" spans="1:5" x14ac:dyDescent="0.2">
      <c r="A706" s="79"/>
      <c r="B706" s="79"/>
      <c r="C706" s="39" t="s">
        <v>631</v>
      </c>
      <c r="D706" s="39"/>
    </row>
    <row r="707" spans="1:5" x14ac:dyDescent="0.2">
      <c r="A707" s="79"/>
      <c r="B707" s="79"/>
      <c r="C707" s="39" t="s">
        <v>633</v>
      </c>
      <c r="D707" s="39"/>
    </row>
    <row r="708" spans="1:5" x14ac:dyDescent="0.2">
      <c r="A708" s="79"/>
      <c r="B708" s="79"/>
      <c r="C708" s="39" t="s">
        <v>66</v>
      </c>
      <c r="D708" s="39"/>
    </row>
    <row r="709" spans="1:5" x14ac:dyDescent="0.2">
      <c r="A709" s="79"/>
      <c r="B709" s="79"/>
      <c r="C709" s="39" t="s">
        <v>269</v>
      </c>
      <c r="D709" s="39"/>
    </row>
    <row r="710" spans="1:5" x14ac:dyDescent="0.2">
      <c r="A710" s="79"/>
      <c r="B710" s="79"/>
      <c r="C710" s="39" t="s">
        <v>638</v>
      </c>
      <c r="D710" s="39"/>
    </row>
    <row r="711" spans="1:5" x14ac:dyDescent="0.2">
      <c r="A711" s="79"/>
      <c r="B711" s="79"/>
      <c r="C711" s="39" t="s">
        <v>140</v>
      </c>
      <c r="D711" s="39"/>
    </row>
    <row r="712" spans="1:5" x14ac:dyDescent="0.2">
      <c r="A712" s="79"/>
      <c r="B712" s="79"/>
      <c r="C712" s="39" t="s">
        <v>256</v>
      </c>
      <c r="D712" s="39"/>
    </row>
    <row r="713" spans="1:5" x14ac:dyDescent="0.2">
      <c r="A713" s="79"/>
      <c r="B713" s="79"/>
      <c r="C713" s="39" t="s">
        <v>122</v>
      </c>
      <c r="D713" s="39"/>
    </row>
    <row r="714" spans="1:5" x14ac:dyDescent="0.2">
      <c r="A714" s="79"/>
      <c r="B714" s="79"/>
      <c r="C714" s="39" t="s">
        <v>270</v>
      </c>
      <c r="D714" s="39"/>
    </row>
    <row r="715" spans="1:5" x14ac:dyDescent="0.2">
      <c r="A715" s="79"/>
      <c r="B715" s="79"/>
      <c r="C715" s="39" t="s">
        <v>692</v>
      </c>
      <c r="D715" s="39"/>
    </row>
    <row r="716" spans="1:5" x14ac:dyDescent="0.2">
      <c r="A716" s="79"/>
      <c r="B716" s="79"/>
      <c r="C716" s="39" t="s">
        <v>1152</v>
      </c>
      <c r="D716" s="39" t="s">
        <v>639</v>
      </c>
      <c r="E716" t="s">
        <v>1182</v>
      </c>
    </row>
    <row r="717" spans="1:5" x14ac:dyDescent="0.2">
      <c r="A717" s="79"/>
      <c r="B717" s="79"/>
      <c r="C717" s="39" t="s">
        <v>267</v>
      </c>
      <c r="D717" s="39"/>
    </row>
    <row r="718" spans="1:5" x14ac:dyDescent="0.2">
      <c r="A718" s="79"/>
      <c r="B718" s="79"/>
      <c r="C718" s="39" t="s">
        <v>264</v>
      </c>
      <c r="D718" s="39"/>
    </row>
    <row r="719" spans="1:5" x14ac:dyDescent="0.2">
      <c r="A719" s="79"/>
      <c r="B719" s="79"/>
      <c r="C719" s="39" t="s">
        <v>265</v>
      </c>
      <c r="D719" s="39"/>
    </row>
    <row r="720" spans="1:5" x14ac:dyDescent="0.2">
      <c r="A720" s="79"/>
      <c r="B720" s="79"/>
      <c r="C720" s="39" t="s">
        <v>167</v>
      </c>
      <c r="D720" s="39"/>
    </row>
    <row r="721" spans="1:4" x14ac:dyDescent="0.2">
      <c r="A721" s="79"/>
      <c r="B721" s="79"/>
      <c r="C721" s="39" t="s">
        <v>254</v>
      </c>
      <c r="D721" s="39"/>
    </row>
    <row r="722" spans="1:4" x14ac:dyDescent="0.2">
      <c r="A722" s="79"/>
      <c r="B722" s="79"/>
      <c r="C722" s="39" t="s">
        <v>261</v>
      </c>
      <c r="D722" s="39"/>
    </row>
    <row r="723" spans="1:4" x14ac:dyDescent="0.2">
      <c r="A723" s="79"/>
      <c r="B723" s="79"/>
      <c r="C723" s="39" t="s">
        <v>71</v>
      </c>
      <c r="D723" s="39"/>
    </row>
    <row r="724" spans="1:4" x14ac:dyDescent="0.2">
      <c r="A724" s="79"/>
      <c r="B724" s="79"/>
      <c r="C724" s="39" t="s">
        <v>259</v>
      </c>
      <c r="D724" s="39"/>
    </row>
    <row r="725" spans="1:4" x14ac:dyDescent="0.2">
      <c r="A725" s="79"/>
      <c r="B725" s="79"/>
      <c r="C725" s="39" t="s">
        <v>75</v>
      </c>
      <c r="D725" s="39"/>
    </row>
    <row r="726" spans="1:4" x14ac:dyDescent="0.2">
      <c r="A726" s="79"/>
      <c r="B726" s="79"/>
      <c r="C726" s="39" t="s">
        <v>263</v>
      </c>
      <c r="D726" s="39"/>
    </row>
    <row r="727" spans="1:4" x14ac:dyDescent="0.2">
      <c r="A727" s="79"/>
      <c r="B727" s="79"/>
      <c r="C727" s="39" t="s">
        <v>635</v>
      </c>
      <c r="D727" s="39"/>
    </row>
    <row r="728" spans="1:4" x14ac:dyDescent="0.2">
      <c r="A728" s="79"/>
      <c r="B728" s="79"/>
      <c r="C728" s="39" t="s">
        <v>636</v>
      </c>
      <c r="D728" s="39"/>
    </row>
    <row r="729" spans="1:4" x14ac:dyDescent="0.2">
      <c r="A729" s="79"/>
      <c r="B729" s="79"/>
      <c r="C729" s="39" t="s">
        <v>266</v>
      </c>
      <c r="D729" s="39"/>
    </row>
    <row r="730" spans="1:4" x14ac:dyDescent="0.2">
      <c r="A730" s="79"/>
      <c r="B730" s="79"/>
      <c r="C730" s="39" t="s">
        <v>85</v>
      </c>
      <c r="D730" s="39"/>
    </row>
    <row r="731" spans="1:4" x14ac:dyDescent="0.2">
      <c r="A731" s="79"/>
      <c r="B731" s="79"/>
      <c r="C731" s="39" t="s">
        <v>632</v>
      </c>
      <c r="D731" s="39"/>
    </row>
    <row r="732" spans="1:4" x14ac:dyDescent="0.2">
      <c r="A732" s="79"/>
      <c r="B732" s="79"/>
      <c r="C732" s="39" t="s">
        <v>630</v>
      </c>
      <c r="D732" s="39"/>
    </row>
    <row r="733" spans="1:4" x14ac:dyDescent="0.2">
      <c r="A733" s="79"/>
      <c r="B733" s="79"/>
      <c r="C733" s="39" t="s">
        <v>640</v>
      </c>
      <c r="D733" s="39"/>
    </row>
    <row r="734" spans="1:4" x14ac:dyDescent="0.2">
      <c r="A734" s="79"/>
      <c r="B734" s="79"/>
      <c r="C734" s="39" t="s">
        <v>255</v>
      </c>
      <c r="D734" s="39"/>
    </row>
    <row r="735" spans="1:4" x14ac:dyDescent="0.2">
      <c r="A735" s="79"/>
      <c r="B735" s="79"/>
      <c r="C735" s="39" t="s">
        <v>722</v>
      </c>
      <c r="D735" s="39"/>
    </row>
    <row r="736" spans="1:4" x14ac:dyDescent="0.2">
      <c r="A736" s="79"/>
      <c r="B736" s="79"/>
      <c r="C736" s="39" t="s">
        <v>34</v>
      </c>
      <c r="D736" s="39"/>
    </row>
    <row r="737" spans="1:4" x14ac:dyDescent="0.2">
      <c r="A737" s="79"/>
      <c r="B737" s="79"/>
      <c r="C737" s="39" t="s">
        <v>629</v>
      </c>
      <c r="D737" s="39"/>
    </row>
    <row r="738" spans="1:4" x14ac:dyDescent="0.2">
      <c r="A738" s="79"/>
      <c r="B738" s="79"/>
      <c r="C738" s="39" t="s">
        <v>268</v>
      </c>
      <c r="D738" s="39"/>
    </row>
    <row r="739" spans="1:4" x14ac:dyDescent="0.2">
      <c r="A739" s="79"/>
      <c r="B739" s="79"/>
      <c r="C739" s="39" t="s">
        <v>634</v>
      </c>
      <c r="D739" s="39"/>
    </row>
    <row r="740" spans="1:4" x14ac:dyDescent="0.2">
      <c r="A740" s="79"/>
      <c r="B740" s="79"/>
      <c r="C740" s="39" t="s">
        <v>252</v>
      </c>
      <c r="D740" s="39"/>
    </row>
    <row r="741" spans="1:4" x14ac:dyDescent="0.2">
      <c r="A741" s="79"/>
      <c r="B741" s="79"/>
      <c r="C741" s="39" t="s">
        <v>258</v>
      </c>
      <c r="D741" s="39"/>
    </row>
    <row r="742" spans="1:4" x14ac:dyDescent="0.2">
      <c r="A742" s="79"/>
      <c r="B742" s="79"/>
      <c r="C742" s="39" t="s">
        <v>257</v>
      </c>
      <c r="D742" s="39"/>
    </row>
    <row r="743" spans="1:4" x14ac:dyDescent="0.2">
      <c r="A743" s="79"/>
      <c r="B743" s="79"/>
      <c r="C743" s="39" t="s">
        <v>174</v>
      </c>
      <c r="D743" s="39"/>
    </row>
    <row r="744" spans="1:4" x14ac:dyDescent="0.2">
      <c r="A744" s="79"/>
      <c r="B744" s="79"/>
      <c r="C744" s="39" t="s">
        <v>253</v>
      </c>
      <c r="D744" s="39"/>
    </row>
    <row r="745" spans="1:4" x14ac:dyDescent="0.2">
      <c r="A745" s="79"/>
      <c r="B745" s="79"/>
      <c r="C745" s="39" t="s">
        <v>169</v>
      </c>
      <c r="D745" s="39"/>
    </row>
    <row r="746" spans="1:4" x14ac:dyDescent="0.2">
      <c r="A746" s="79"/>
      <c r="B746" s="79"/>
      <c r="C746" s="39" t="s">
        <v>170</v>
      </c>
      <c r="D746" s="39"/>
    </row>
    <row r="747" spans="1:4" x14ac:dyDescent="0.2">
      <c r="A747" s="79"/>
      <c r="B747" s="79"/>
      <c r="C747" s="39" t="s">
        <v>165</v>
      </c>
      <c r="D747" s="39"/>
    </row>
    <row r="748" spans="1:4" x14ac:dyDescent="0.2">
      <c r="A748" s="79"/>
      <c r="B748" s="79"/>
      <c r="C748" s="39" t="s">
        <v>260</v>
      </c>
      <c r="D748" s="39"/>
    </row>
    <row r="749" spans="1:4" x14ac:dyDescent="0.2">
      <c r="A749" s="79"/>
      <c r="B749" s="79"/>
      <c r="C749" s="39" t="s">
        <v>163</v>
      </c>
      <c r="D749" s="39"/>
    </row>
    <row r="750" spans="1:4" x14ac:dyDescent="0.2">
      <c r="A750" s="79"/>
      <c r="B750" s="79"/>
      <c r="C750" s="39" t="s">
        <v>53</v>
      </c>
      <c r="D750" s="39"/>
    </row>
    <row r="751" spans="1:4" x14ac:dyDescent="0.2">
      <c r="A751" s="79"/>
      <c r="B751" s="79"/>
      <c r="C751" s="39" t="s">
        <v>59</v>
      </c>
      <c r="D751" s="39"/>
    </row>
    <row r="752" spans="1:4" x14ac:dyDescent="0.2">
      <c r="A752" s="79"/>
      <c r="B752" s="79"/>
      <c r="C752" s="39" t="s">
        <v>67</v>
      </c>
      <c r="D752" s="39"/>
    </row>
    <row r="753" spans="1:4" x14ac:dyDescent="0.2">
      <c r="A753" s="79"/>
      <c r="B753" s="79"/>
      <c r="C753" s="39" t="s">
        <v>74</v>
      </c>
      <c r="D753" s="39"/>
    </row>
    <row r="754" spans="1:4" x14ac:dyDescent="0.2">
      <c r="A754" s="79"/>
      <c r="B754" s="79"/>
      <c r="C754" s="39" t="s">
        <v>81</v>
      </c>
      <c r="D754" s="39"/>
    </row>
    <row r="755" spans="1:4" x14ac:dyDescent="0.2">
      <c r="A755" s="79"/>
      <c r="B755" s="79"/>
      <c r="C755" s="39" t="s">
        <v>929</v>
      </c>
      <c r="D755" s="39"/>
    </row>
    <row r="756" spans="1:4" x14ac:dyDescent="0.2">
      <c r="A756" s="79"/>
      <c r="B756" s="79"/>
      <c r="C756" s="39" t="s">
        <v>92</v>
      </c>
      <c r="D756" s="39"/>
    </row>
    <row r="757" spans="1:4" x14ac:dyDescent="0.2">
      <c r="A757" s="79"/>
      <c r="B757" s="79"/>
      <c r="C757" s="39" t="s">
        <v>960</v>
      </c>
      <c r="D757" s="39"/>
    </row>
    <row r="758" spans="1:4" x14ac:dyDescent="0.2">
      <c r="A758" s="79"/>
      <c r="B758" s="79"/>
      <c r="C758" s="39" t="s">
        <v>961</v>
      </c>
      <c r="D758" s="39"/>
    </row>
    <row r="759" spans="1:4" x14ac:dyDescent="0.2">
      <c r="A759" s="79"/>
      <c r="B759" s="79"/>
      <c r="C759" s="39" t="s">
        <v>104</v>
      </c>
      <c r="D759" s="39"/>
    </row>
    <row r="760" spans="1:4" x14ac:dyDescent="0.2">
      <c r="A760" s="79"/>
      <c r="B760" s="79"/>
      <c r="C760" s="39" t="s">
        <v>109</v>
      </c>
      <c r="D760" s="39"/>
    </row>
    <row r="761" spans="1:4" x14ac:dyDescent="0.2">
      <c r="A761" s="79"/>
      <c r="B761" s="79"/>
      <c r="C761" s="39" t="s">
        <v>111</v>
      </c>
      <c r="D761" s="39"/>
    </row>
    <row r="762" spans="1:4" x14ac:dyDescent="0.2">
      <c r="A762" s="79"/>
      <c r="B762" s="79"/>
      <c r="C762" s="39" t="s">
        <v>114</v>
      </c>
      <c r="D762" s="39"/>
    </row>
    <row r="763" spans="1:4" x14ac:dyDescent="0.2">
      <c r="A763" s="79"/>
      <c r="B763" s="79"/>
      <c r="C763" s="39" t="s">
        <v>117</v>
      </c>
      <c r="D763" s="39"/>
    </row>
    <row r="764" spans="1:4" x14ac:dyDescent="0.2">
      <c r="A764" s="79"/>
      <c r="B764" s="79"/>
      <c r="C764" s="39" t="s">
        <v>120</v>
      </c>
      <c r="D764" s="39"/>
    </row>
    <row r="765" spans="1:4" x14ac:dyDescent="0.2">
      <c r="A765" s="79"/>
      <c r="B765" s="79"/>
      <c r="C765" s="39" t="s">
        <v>123</v>
      </c>
      <c r="D765" s="39"/>
    </row>
    <row r="766" spans="1:4" x14ac:dyDescent="0.2">
      <c r="A766" s="79"/>
      <c r="B766" s="79"/>
      <c r="C766" s="39" t="s">
        <v>125</v>
      </c>
      <c r="D766" s="39"/>
    </row>
    <row r="767" spans="1:4" x14ac:dyDescent="0.2">
      <c r="A767" s="79"/>
      <c r="B767" s="79"/>
      <c r="C767" s="39" t="s">
        <v>314</v>
      </c>
      <c r="D767" s="39"/>
    </row>
    <row r="768" spans="1:4" x14ac:dyDescent="0.2">
      <c r="A768" s="79"/>
      <c r="B768" s="79"/>
      <c r="C768" s="39" t="s">
        <v>128</v>
      </c>
      <c r="D768" s="39"/>
    </row>
    <row r="769" spans="1:5" x14ac:dyDescent="0.2">
      <c r="A769" s="79"/>
      <c r="B769" s="79"/>
      <c r="C769" s="39" t="s">
        <v>131</v>
      </c>
      <c r="D769" s="39"/>
    </row>
    <row r="770" spans="1:5" x14ac:dyDescent="0.2">
      <c r="A770" s="79"/>
      <c r="B770" s="79"/>
      <c r="C770" s="39" t="s">
        <v>132</v>
      </c>
      <c r="D770" s="39"/>
    </row>
    <row r="771" spans="1:5" x14ac:dyDescent="0.2">
      <c r="A771" s="79"/>
      <c r="B771" s="79"/>
      <c r="C771" s="39" t="s">
        <v>134</v>
      </c>
      <c r="D771" s="39"/>
    </row>
    <row r="772" spans="1:5" x14ac:dyDescent="0.2">
      <c r="A772" s="79"/>
      <c r="B772" s="79"/>
      <c r="C772" s="39" t="s">
        <v>136</v>
      </c>
      <c r="D772" s="39"/>
    </row>
    <row r="773" spans="1:5" x14ac:dyDescent="0.2">
      <c r="A773" s="79"/>
      <c r="B773" s="79"/>
      <c r="C773" s="39" t="s">
        <v>138</v>
      </c>
      <c r="D773" s="39"/>
    </row>
    <row r="774" spans="1:5" x14ac:dyDescent="0.2">
      <c r="A774" s="79"/>
      <c r="B774" s="79"/>
      <c r="C774" s="39" t="s">
        <v>141</v>
      </c>
      <c r="D774" s="39"/>
    </row>
    <row r="775" spans="1:5" x14ac:dyDescent="0.2">
      <c r="A775" s="79"/>
      <c r="B775" s="79"/>
      <c r="C775" s="39" t="s">
        <v>143</v>
      </c>
      <c r="D775" s="39"/>
    </row>
    <row r="776" spans="1:5" x14ac:dyDescent="0.2">
      <c r="A776" s="79"/>
      <c r="B776" s="79"/>
      <c r="C776" s="39" t="s">
        <v>315</v>
      </c>
      <c r="D776" s="39"/>
    </row>
    <row r="777" spans="1:5" x14ac:dyDescent="0.2">
      <c r="A777" s="79"/>
      <c r="B777" s="79"/>
      <c r="C777" s="39" t="s">
        <v>145</v>
      </c>
      <c r="D777" s="39"/>
    </row>
    <row r="778" spans="1:5" x14ac:dyDescent="0.2">
      <c r="A778" s="79"/>
      <c r="B778" s="79"/>
      <c r="C778" s="39" t="s">
        <v>147</v>
      </c>
      <c r="D778" s="39"/>
    </row>
    <row r="779" spans="1:5" x14ac:dyDescent="0.2">
      <c r="A779" s="79"/>
      <c r="B779" s="79"/>
      <c r="C779" s="39" t="s">
        <v>149</v>
      </c>
      <c r="D779" s="39"/>
    </row>
    <row r="780" spans="1:5" x14ac:dyDescent="0.2">
      <c r="A780" s="79"/>
      <c r="B780" s="79"/>
      <c r="C780" s="39" t="s">
        <v>151</v>
      </c>
      <c r="D780" s="39"/>
    </row>
    <row r="781" spans="1:5" x14ac:dyDescent="0.2">
      <c r="A781" s="79"/>
      <c r="B781" s="79"/>
      <c r="C781" s="39" t="s">
        <v>153</v>
      </c>
      <c r="D781" s="39"/>
    </row>
    <row r="782" spans="1:5" x14ac:dyDescent="0.2">
      <c r="A782" s="79"/>
      <c r="B782" s="79"/>
      <c r="C782" s="39" t="s">
        <v>1124</v>
      </c>
      <c r="D782" s="39"/>
      <c r="E782" t="s">
        <v>1182</v>
      </c>
    </row>
    <row r="783" spans="1:5" x14ac:dyDescent="0.2">
      <c r="A783" s="79"/>
      <c r="B783" s="79"/>
      <c r="C783" s="39" t="s">
        <v>1123</v>
      </c>
      <c r="D783" s="39"/>
      <c r="E783" t="s">
        <v>1182</v>
      </c>
    </row>
    <row r="784" spans="1:5" x14ac:dyDescent="0.2">
      <c r="A784" s="79"/>
      <c r="B784" s="79"/>
      <c r="C784" s="39" t="s">
        <v>954</v>
      </c>
      <c r="D784" s="39"/>
      <c r="E784" t="s">
        <v>1182</v>
      </c>
    </row>
    <row r="785" spans="1:5" x14ac:dyDescent="0.2">
      <c r="A785" s="79"/>
      <c r="B785" s="79"/>
      <c r="C785" s="39" t="s">
        <v>157</v>
      </c>
      <c r="D785" s="39"/>
    </row>
    <row r="786" spans="1:5" x14ac:dyDescent="0.2">
      <c r="A786" s="79"/>
      <c r="B786" s="79"/>
      <c r="C786" s="39" t="s">
        <v>158</v>
      </c>
      <c r="D786" s="39"/>
    </row>
    <row r="787" spans="1:5" x14ac:dyDescent="0.2">
      <c r="A787" s="79"/>
      <c r="B787" s="79"/>
      <c r="C787" s="39" t="s">
        <v>159</v>
      </c>
      <c r="D787" s="39"/>
    </row>
    <row r="788" spans="1:5" x14ac:dyDescent="0.2">
      <c r="A788" s="79"/>
      <c r="B788" s="79"/>
      <c r="C788" s="39" t="s">
        <v>160</v>
      </c>
      <c r="D788" s="39"/>
    </row>
    <row r="789" spans="1:5" x14ac:dyDescent="0.2">
      <c r="A789" s="79"/>
      <c r="B789" s="79"/>
      <c r="C789" s="39" t="s">
        <v>161</v>
      </c>
      <c r="D789" s="39"/>
    </row>
    <row r="790" spans="1:5" x14ac:dyDescent="0.2">
      <c r="A790" s="79"/>
      <c r="B790" s="79"/>
      <c r="C790" s="39" t="s">
        <v>956</v>
      </c>
      <c r="D790" s="39"/>
      <c r="E790" t="s">
        <v>1182</v>
      </c>
    </row>
    <row r="791" spans="1:5" x14ac:dyDescent="0.2">
      <c r="A791" s="79"/>
      <c r="B791" s="79"/>
      <c r="C791" s="39" t="s">
        <v>164</v>
      </c>
      <c r="D791" s="39"/>
    </row>
    <row r="792" spans="1:5" x14ac:dyDescent="0.2">
      <c r="A792" s="79"/>
      <c r="B792" s="79"/>
      <c r="C792" s="39" t="s">
        <v>166</v>
      </c>
      <c r="D792" s="39"/>
    </row>
    <row r="793" spans="1:5" x14ac:dyDescent="0.2">
      <c r="A793" s="79"/>
      <c r="B793" s="79"/>
      <c r="C793" s="39" t="s">
        <v>168</v>
      </c>
      <c r="D793" s="39"/>
    </row>
    <row r="794" spans="1:5" x14ac:dyDescent="0.2">
      <c r="A794" s="79"/>
      <c r="B794" s="79"/>
      <c r="C794" s="39" t="s">
        <v>171</v>
      </c>
      <c r="D794" s="39"/>
    </row>
    <row r="795" spans="1:5" x14ac:dyDescent="0.2">
      <c r="A795" s="79"/>
      <c r="B795" s="79"/>
      <c r="C795" s="39" t="s">
        <v>173</v>
      </c>
      <c r="D795" s="39"/>
    </row>
    <row r="796" spans="1:5" x14ac:dyDescent="0.2">
      <c r="A796" s="79"/>
      <c r="B796" s="79"/>
      <c r="C796" s="39" t="s">
        <v>175</v>
      </c>
      <c r="D796" s="39"/>
    </row>
    <row r="797" spans="1:5" x14ac:dyDescent="0.2">
      <c r="A797" s="79"/>
      <c r="B797" s="79"/>
      <c r="C797" s="39" t="s">
        <v>177</v>
      </c>
      <c r="D797" s="39"/>
    </row>
    <row r="798" spans="1:5" x14ac:dyDescent="0.2">
      <c r="A798" s="79"/>
      <c r="B798" s="79"/>
      <c r="C798" s="39" t="s">
        <v>178</v>
      </c>
      <c r="D798" s="39"/>
    </row>
    <row r="799" spans="1:5" x14ac:dyDescent="0.2">
      <c r="A799" s="79"/>
      <c r="B799" s="79"/>
      <c r="C799" s="39" t="s">
        <v>179</v>
      </c>
      <c r="D799" s="39"/>
    </row>
    <row r="800" spans="1:5" x14ac:dyDescent="0.2">
      <c r="A800" s="79"/>
      <c r="B800" s="79"/>
      <c r="C800" s="39" t="s">
        <v>180</v>
      </c>
      <c r="D800" s="39"/>
    </row>
    <row r="801" spans="1:5" x14ac:dyDescent="0.2">
      <c r="A801" s="79"/>
      <c r="B801" s="79"/>
      <c r="C801" s="39" t="s">
        <v>181</v>
      </c>
      <c r="D801" s="39"/>
    </row>
    <row r="802" spans="1:5" x14ac:dyDescent="0.2">
      <c r="A802" s="79"/>
      <c r="B802" s="79"/>
      <c r="C802" s="39" t="s">
        <v>182</v>
      </c>
      <c r="D802" s="39"/>
    </row>
    <row r="803" spans="1:5" x14ac:dyDescent="0.2">
      <c r="A803" s="79"/>
      <c r="B803" s="79"/>
      <c r="C803" s="39" t="s">
        <v>183</v>
      </c>
      <c r="D803" s="39"/>
    </row>
    <row r="804" spans="1:5" x14ac:dyDescent="0.2">
      <c r="A804" s="79"/>
      <c r="B804" s="79"/>
      <c r="C804" s="39" t="s">
        <v>510</v>
      </c>
      <c r="D804" s="39"/>
    </row>
    <row r="805" spans="1:5" x14ac:dyDescent="0.2">
      <c r="A805" s="79"/>
      <c r="B805" s="79"/>
      <c r="C805" s="39" t="s">
        <v>184</v>
      </c>
      <c r="D805" s="39"/>
    </row>
    <row r="806" spans="1:5" x14ac:dyDescent="0.2">
      <c r="A806" s="79"/>
      <c r="B806" s="79"/>
      <c r="C806" s="39" t="s">
        <v>185</v>
      </c>
      <c r="D806" s="39"/>
    </row>
    <row r="807" spans="1:5" x14ac:dyDescent="0.2">
      <c r="A807" s="79"/>
      <c r="B807" s="79"/>
      <c r="C807" s="39" t="s">
        <v>186</v>
      </c>
      <c r="D807" s="39"/>
    </row>
    <row r="808" spans="1:5" x14ac:dyDescent="0.2">
      <c r="A808" s="79"/>
      <c r="B808" s="79"/>
      <c r="C808" s="39" t="s">
        <v>187</v>
      </c>
      <c r="D808" s="39"/>
    </row>
    <row r="809" spans="1:5" x14ac:dyDescent="0.2">
      <c r="A809" s="79"/>
      <c r="B809" s="79"/>
      <c r="C809" s="39" t="s">
        <v>955</v>
      </c>
      <c r="D809" s="39"/>
      <c r="E809" t="s">
        <v>1182</v>
      </c>
    </row>
    <row r="810" spans="1:5" x14ac:dyDescent="0.2">
      <c r="A810" s="79"/>
      <c r="B810" s="79"/>
      <c r="C810" s="39" t="s">
        <v>188</v>
      </c>
      <c r="D810" s="39"/>
    </row>
    <row r="811" spans="1:5" x14ac:dyDescent="0.2">
      <c r="A811" s="79"/>
      <c r="B811" s="79"/>
      <c r="C811" s="39" t="s">
        <v>189</v>
      </c>
      <c r="D811" s="39"/>
    </row>
    <row r="812" spans="1:5" x14ac:dyDescent="0.2">
      <c r="A812" s="79"/>
      <c r="B812" s="79"/>
      <c r="C812" s="39" t="s">
        <v>190</v>
      </c>
      <c r="D812" s="39"/>
    </row>
    <row r="813" spans="1:5" x14ac:dyDescent="0.2">
      <c r="A813" s="79"/>
      <c r="B813" s="79"/>
      <c r="C813" s="39" t="s">
        <v>191</v>
      </c>
      <c r="D813" s="39"/>
    </row>
    <row r="814" spans="1:5" x14ac:dyDescent="0.2">
      <c r="A814" s="79"/>
      <c r="B814" s="79"/>
      <c r="C814" s="39" t="s">
        <v>192</v>
      </c>
      <c r="D814" s="39"/>
    </row>
    <row r="815" spans="1:5" x14ac:dyDescent="0.2">
      <c r="A815" s="79"/>
      <c r="B815" s="79"/>
      <c r="C815" s="39" t="s">
        <v>193</v>
      </c>
      <c r="D815" s="39"/>
    </row>
    <row r="816" spans="1:5" x14ac:dyDescent="0.2">
      <c r="A816" s="79"/>
      <c r="B816" s="79"/>
      <c r="C816" s="39" t="s">
        <v>194</v>
      </c>
      <c r="D816" s="39"/>
    </row>
    <row r="817" spans="1:4" x14ac:dyDescent="0.2">
      <c r="A817" s="79"/>
      <c r="B817" s="79"/>
      <c r="C817" s="39" t="s">
        <v>196</v>
      </c>
      <c r="D817" s="39"/>
    </row>
    <row r="818" spans="1:4" x14ac:dyDescent="0.2">
      <c r="A818" s="79"/>
      <c r="B818" s="79"/>
      <c r="C818" s="39" t="s">
        <v>197</v>
      </c>
      <c r="D818" s="39"/>
    </row>
    <row r="819" spans="1:4" x14ac:dyDescent="0.2">
      <c r="A819" s="79"/>
      <c r="B819" s="79"/>
      <c r="C819" s="39" t="s">
        <v>198</v>
      </c>
      <c r="D819" s="39"/>
    </row>
    <row r="820" spans="1:4" x14ac:dyDescent="0.2">
      <c r="A820" s="79"/>
      <c r="B820" s="79"/>
      <c r="C820" s="39" t="s">
        <v>199</v>
      </c>
      <c r="D820" s="39"/>
    </row>
    <row r="821" spans="1:4" x14ac:dyDescent="0.2">
      <c r="A821" s="79"/>
      <c r="B821" s="79"/>
      <c r="C821" s="39" t="s">
        <v>200</v>
      </c>
      <c r="D821" s="39"/>
    </row>
    <row r="822" spans="1:4" x14ac:dyDescent="0.2">
      <c r="A822" s="79"/>
      <c r="B822" s="79"/>
      <c r="C822" s="39" t="s">
        <v>201</v>
      </c>
      <c r="D822" s="39"/>
    </row>
    <row r="823" spans="1:4" x14ac:dyDescent="0.2">
      <c r="A823" s="79"/>
      <c r="B823" s="79"/>
      <c r="C823" s="39" t="s">
        <v>203</v>
      </c>
      <c r="D823" s="39"/>
    </row>
    <row r="824" spans="1:4" x14ac:dyDescent="0.2">
      <c r="A824" s="79"/>
      <c r="B824" s="79"/>
      <c r="C824" s="39" t="s">
        <v>204</v>
      </c>
      <c r="D824" s="39"/>
    </row>
    <row r="825" spans="1:4" x14ac:dyDescent="0.2">
      <c r="A825" s="79"/>
      <c r="B825" s="79"/>
      <c r="C825" s="39" t="s">
        <v>205</v>
      </c>
      <c r="D825" s="39"/>
    </row>
    <row r="826" spans="1:4" x14ac:dyDescent="0.2">
      <c r="A826" s="79"/>
      <c r="B826" s="79"/>
      <c r="C826" s="39" t="s">
        <v>206</v>
      </c>
      <c r="D826" s="39"/>
    </row>
    <row r="827" spans="1:4" x14ac:dyDescent="0.2">
      <c r="A827" s="79"/>
      <c r="B827" s="79"/>
      <c r="C827" s="39" t="s">
        <v>207</v>
      </c>
      <c r="D827" s="39"/>
    </row>
    <row r="828" spans="1:4" x14ac:dyDescent="0.2">
      <c r="A828" s="79"/>
      <c r="B828" s="79"/>
      <c r="C828" s="39" t="s">
        <v>208</v>
      </c>
      <c r="D828" s="39"/>
    </row>
    <row r="829" spans="1:4" x14ac:dyDescent="0.2">
      <c r="A829" s="79"/>
      <c r="B829" s="79"/>
      <c r="C829" s="39" t="s">
        <v>209</v>
      </c>
      <c r="D829" s="39"/>
    </row>
    <row r="830" spans="1:4" x14ac:dyDescent="0.2">
      <c r="A830" s="79"/>
      <c r="B830" s="79"/>
      <c r="C830" s="39" t="s">
        <v>210</v>
      </c>
      <c r="D830" s="39"/>
    </row>
    <row r="831" spans="1:4" x14ac:dyDescent="0.2">
      <c r="A831" s="79"/>
      <c r="B831" s="79"/>
      <c r="C831" s="39" t="s">
        <v>1176</v>
      </c>
      <c r="D831" s="112" t="s">
        <v>1175</v>
      </c>
    </row>
    <row r="832" spans="1:4" x14ac:dyDescent="0.2">
      <c r="A832" s="79"/>
      <c r="B832" s="79"/>
      <c r="C832" s="39" t="s">
        <v>1177</v>
      </c>
      <c r="D832" s="112" t="s">
        <v>946</v>
      </c>
    </row>
    <row r="833" spans="1:4" x14ac:dyDescent="0.2">
      <c r="A833" s="79"/>
      <c r="B833" s="79"/>
      <c r="C833" s="39" t="s">
        <v>1178</v>
      </c>
      <c r="D833" s="112" t="s">
        <v>946</v>
      </c>
    </row>
    <row r="834" spans="1:4" ht="15" x14ac:dyDescent="0.25">
      <c r="A834" s="79"/>
      <c r="B834" s="79"/>
      <c r="C834" s="39" t="s">
        <v>942</v>
      </c>
      <c r="D834" s="111"/>
    </row>
    <row r="835" spans="1:4" x14ac:dyDescent="0.2">
      <c r="A835" s="79"/>
      <c r="B835" s="79"/>
      <c r="C835" s="39" t="s">
        <v>317</v>
      </c>
      <c r="D835" s="39"/>
    </row>
    <row r="836" spans="1:4" x14ac:dyDescent="0.2">
      <c r="A836" s="79"/>
      <c r="B836" s="79"/>
      <c r="C836" s="39" t="s">
        <v>930</v>
      </c>
      <c r="D836" s="39"/>
    </row>
    <row r="837" spans="1:4" x14ac:dyDescent="0.2">
      <c r="A837" s="79"/>
      <c r="B837" s="79"/>
      <c r="C837" s="39" t="s">
        <v>931</v>
      </c>
      <c r="D837" s="39"/>
    </row>
    <row r="838" spans="1:4" x14ac:dyDescent="0.2">
      <c r="A838" s="79"/>
      <c r="B838" s="79"/>
      <c r="C838" s="39" t="s">
        <v>316</v>
      </c>
      <c r="D838" s="39"/>
    </row>
    <row r="839" spans="1:4" x14ac:dyDescent="0.2">
      <c r="A839" s="79"/>
      <c r="B839" s="79"/>
      <c r="C839" s="39" t="s">
        <v>313</v>
      </c>
      <c r="D839" s="39"/>
    </row>
    <row r="840" spans="1:4" x14ac:dyDescent="0.2">
      <c r="A840" s="79"/>
      <c r="B840" s="79"/>
      <c r="C840" s="39" t="s">
        <v>318</v>
      </c>
      <c r="D840" s="39"/>
    </row>
    <row r="841" spans="1:4" x14ac:dyDescent="0.2">
      <c r="A841" s="79"/>
      <c r="B841" s="79"/>
      <c r="C841" s="39" t="s">
        <v>932</v>
      </c>
      <c r="D841" s="39"/>
    </row>
    <row r="842" spans="1:4" x14ac:dyDescent="0.2">
      <c r="A842" s="79"/>
      <c r="B842" s="79"/>
      <c r="C842" s="39" t="s">
        <v>688</v>
      </c>
      <c r="D842" s="39"/>
    </row>
    <row r="843" spans="1:4" x14ac:dyDescent="0.2">
      <c r="A843" s="79"/>
      <c r="B843" s="79"/>
      <c r="C843" s="39" t="s">
        <v>689</v>
      </c>
      <c r="D843" s="39"/>
    </row>
    <row r="844" spans="1:4" x14ac:dyDescent="0.2">
      <c r="A844" s="79"/>
      <c r="B844" s="79"/>
      <c r="C844" s="39" t="s">
        <v>691</v>
      </c>
      <c r="D844" s="39"/>
    </row>
    <row r="845" spans="1:4" x14ac:dyDescent="0.2">
      <c r="A845" s="79"/>
      <c r="B845" s="79"/>
      <c r="C845" s="39" t="s">
        <v>690</v>
      </c>
      <c r="D845" s="39"/>
    </row>
    <row r="846" spans="1:4" x14ac:dyDescent="0.2">
      <c r="A846" s="79"/>
      <c r="B846" s="79"/>
      <c r="C846" s="39" t="s">
        <v>687</v>
      </c>
      <c r="D846" s="39"/>
    </row>
    <row r="847" spans="1:4" x14ac:dyDescent="0.2">
      <c r="A847" s="79"/>
      <c r="B847" s="79"/>
      <c r="C847" s="39" t="s">
        <v>455</v>
      </c>
      <c r="D847" s="39"/>
    </row>
    <row r="848" spans="1:4" x14ac:dyDescent="0.2">
      <c r="A848" s="79"/>
      <c r="B848" s="79"/>
      <c r="C848" s="39" t="s">
        <v>456</v>
      </c>
      <c r="D848" s="39"/>
    </row>
    <row r="849" spans="1:4" x14ac:dyDescent="0.2">
      <c r="A849" s="79"/>
      <c r="B849" s="79"/>
      <c r="C849" s="39" t="s">
        <v>457</v>
      </c>
      <c r="D849" s="39"/>
    </row>
    <row r="850" spans="1:4" x14ac:dyDescent="0.2">
      <c r="A850" s="79"/>
      <c r="B850" s="79"/>
      <c r="C850" s="39" t="s">
        <v>102</v>
      </c>
      <c r="D850" s="39"/>
    </row>
    <row r="851" spans="1:4" x14ac:dyDescent="0.2">
      <c r="A851" s="52" t="s">
        <v>364</v>
      </c>
      <c r="B851" s="52"/>
      <c r="C851" s="41" t="s">
        <v>55</v>
      </c>
      <c r="D851" s="41"/>
    </row>
    <row r="852" spans="1:4" x14ac:dyDescent="0.2">
      <c r="A852" s="53"/>
      <c r="B852" s="53"/>
      <c r="C852" s="41" t="s">
        <v>62</v>
      </c>
      <c r="D852" s="41"/>
    </row>
    <row r="853" spans="1:4" x14ac:dyDescent="0.2">
      <c r="A853" s="79" t="s">
        <v>31</v>
      </c>
      <c r="B853" s="79" t="s">
        <v>1</v>
      </c>
      <c r="C853" s="39" t="s">
        <v>213</v>
      </c>
      <c r="D853" s="39"/>
    </row>
    <row r="854" spans="1:4" x14ac:dyDescent="0.2">
      <c r="A854" s="79"/>
      <c r="B854" s="79"/>
      <c r="C854" s="39" t="s">
        <v>220</v>
      </c>
      <c r="D854" s="39"/>
    </row>
    <row r="855" spans="1:4" x14ac:dyDescent="0.2">
      <c r="A855" s="79"/>
      <c r="B855" s="79"/>
      <c r="C855" s="39" t="s">
        <v>218</v>
      </c>
      <c r="D855" s="39"/>
    </row>
    <row r="856" spans="1:4" x14ac:dyDescent="0.2">
      <c r="A856" s="79"/>
      <c r="B856" s="79"/>
      <c r="C856" s="39" t="s">
        <v>219</v>
      </c>
      <c r="D856" s="39"/>
    </row>
    <row r="857" spans="1:4" x14ac:dyDescent="0.2">
      <c r="A857" s="79"/>
      <c r="B857" s="79"/>
      <c r="C857" s="39" t="s">
        <v>214</v>
      </c>
      <c r="D857" s="39"/>
    </row>
    <row r="858" spans="1:4" x14ac:dyDescent="0.2">
      <c r="A858" s="79"/>
      <c r="B858" s="79"/>
      <c r="C858" s="39" t="s">
        <v>217</v>
      </c>
      <c r="D858" s="39"/>
    </row>
    <row r="859" spans="1:4" x14ac:dyDescent="0.2">
      <c r="A859" s="79"/>
      <c r="B859" s="79"/>
      <c r="C859" s="39" t="s">
        <v>215</v>
      </c>
      <c r="D859" s="39"/>
    </row>
    <row r="860" spans="1:4" x14ac:dyDescent="0.2">
      <c r="A860" s="79"/>
      <c r="B860" s="79"/>
      <c r="C860" s="39" t="s">
        <v>216</v>
      </c>
      <c r="D860" s="39"/>
    </row>
    <row r="861" spans="1:4" x14ac:dyDescent="0.2">
      <c r="A861" s="79"/>
      <c r="B861" s="79"/>
      <c r="C861" s="39" t="s">
        <v>505</v>
      </c>
      <c r="D861" s="39"/>
    </row>
    <row r="862" spans="1:4" x14ac:dyDescent="0.2">
      <c r="A862" s="52" t="s">
        <v>40</v>
      </c>
      <c r="B862" s="52" t="s">
        <v>1</v>
      </c>
      <c r="C862" s="41" t="s">
        <v>221</v>
      </c>
      <c r="D862" s="41"/>
    </row>
    <row r="863" spans="1:4" x14ac:dyDescent="0.2">
      <c r="A863" s="53"/>
      <c r="B863" s="53"/>
      <c r="C863" s="41" t="s">
        <v>222</v>
      </c>
      <c r="D863" s="41"/>
    </row>
    <row r="864" spans="1:4" x14ac:dyDescent="0.2">
      <c r="A864" s="53"/>
      <c r="B864" s="53"/>
      <c r="C864" s="41" t="s">
        <v>223</v>
      </c>
      <c r="D864" s="41"/>
    </row>
    <row r="865" spans="1:4" x14ac:dyDescent="0.2">
      <c r="A865" s="53"/>
      <c r="B865" s="53"/>
      <c r="C865" s="41" t="s">
        <v>224</v>
      </c>
      <c r="D865" s="41"/>
    </row>
    <row r="866" spans="1:4" x14ac:dyDescent="0.2">
      <c r="A866" s="53"/>
      <c r="B866" s="53"/>
      <c r="C866" s="41" t="s">
        <v>225</v>
      </c>
      <c r="D866" s="41"/>
    </row>
    <row r="867" spans="1:4" x14ac:dyDescent="0.2">
      <c r="A867" s="53"/>
      <c r="B867" s="53"/>
      <c r="C867" s="41" t="s">
        <v>226</v>
      </c>
      <c r="D867" s="41"/>
    </row>
    <row r="868" spans="1:4" x14ac:dyDescent="0.2">
      <c r="A868" s="53"/>
      <c r="B868" s="53"/>
      <c r="C868" s="41" t="s">
        <v>227</v>
      </c>
      <c r="D868" s="41"/>
    </row>
    <row r="869" spans="1:4" x14ac:dyDescent="0.2">
      <c r="A869" s="53"/>
      <c r="B869" s="53"/>
      <c r="C869" s="41" t="s">
        <v>246</v>
      </c>
      <c r="D869" s="41"/>
    </row>
    <row r="870" spans="1:4" x14ac:dyDescent="0.2">
      <c r="A870" s="79" t="s">
        <v>32</v>
      </c>
      <c r="B870" s="79" t="s">
        <v>1</v>
      </c>
      <c r="C870" s="39" t="s">
        <v>221</v>
      </c>
      <c r="D870" s="39"/>
    </row>
    <row r="871" spans="1:4" x14ac:dyDescent="0.2">
      <c r="A871" s="79"/>
      <c r="B871" s="79"/>
      <c r="C871" s="39" t="s">
        <v>223</v>
      </c>
      <c r="D871" s="39"/>
    </row>
    <row r="872" spans="1:4" x14ac:dyDescent="0.2">
      <c r="A872" s="79"/>
      <c r="B872" s="79"/>
      <c r="C872" s="39" t="s">
        <v>225</v>
      </c>
      <c r="D872" s="39"/>
    </row>
    <row r="873" spans="1:4" x14ac:dyDescent="0.2">
      <c r="A873" s="79"/>
      <c r="B873" s="79"/>
      <c r="C873" s="39" t="s">
        <v>102</v>
      </c>
      <c r="D873" s="39"/>
    </row>
    <row r="874" spans="1:4" x14ac:dyDescent="0.2">
      <c r="A874" s="52" t="s">
        <v>33</v>
      </c>
      <c r="B874" s="52" t="s">
        <v>1</v>
      </c>
      <c r="C874" s="41" t="s">
        <v>228</v>
      </c>
      <c r="D874" s="41"/>
    </row>
    <row r="875" spans="1:4" x14ac:dyDescent="0.2">
      <c r="A875" s="53"/>
      <c r="B875" s="53"/>
      <c r="C875" s="41" t="s">
        <v>229</v>
      </c>
      <c r="D875" s="41"/>
    </row>
    <row r="876" spans="1:4" x14ac:dyDescent="0.2">
      <c r="A876" s="53"/>
      <c r="B876" s="53"/>
      <c r="C876" s="41" t="s">
        <v>230</v>
      </c>
      <c r="D876" s="41"/>
    </row>
    <row r="877" spans="1:4" x14ac:dyDescent="0.2">
      <c r="A877" s="53"/>
      <c r="B877" s="53"/>
      <c r="C877" s="41" t="s">
        <v>231</v>
      </c>
      <c r="D877" s="41"/>
    </row>
    <row r="878" spans="1:4" x14ac:dyDescent="0.2">
      <c r="A878" s="53"/>
      <c r="B878" s="53"/>
      <c r="C878" s="41" t="s">
        <v>607</v>
      </c>
      <c r="D878" s="41"/>
    </row>
    <row r="879" spans="1:4" x14ac:dyDescent="0.2">
      <c r="A879" s="53"/>
      <c r="B879" s="53"/>
      <c r="C879" s="41" t="s">
        <v>306</v>
      </c>
      <c r="D879" s="41"/>
    </row>
    <row r="880" spans="1:4" x14ac:dyDescent="0.2">
      <c r="A880" s="53"/>
      <c r="B880" s="53"/>
      <c r="C880" s="41" t="s">
        <v>307</v>
      </c>
      <c r="D880" s="41"/>
    </row>
    <row r="881" spans="1:5" x14ac:dyDescent="0.2">
      <c r="A881" s="53"/>
      <c r="B881" s="53"/>
      <c r="C881" s="41" t="s">
        <v>291</v>
      </c>
      <c r="D881" s="41"/>
    </row>
    <row r="882" spans="1:5" x14ac:dyDescent="0.2">
      <c r="A882" s="53"/>
      <c r="B882" s="53"/>
      <c r="C882" s="41" t="s">
        <v>769</v>
      </c>
      <c r="D882" s="41" t="s">
        <v>769</v>
      </c>
      <c r="E882" t="s">
        <v>1182</v>
      </c>
    </row>
    <row r="883" spans="1:5" x14ac:dyDescent="0.2">
      <c r="A883" s="54"/>
      <c r="B883" s="54"/>
      <c r="C883" s="41" t="s">
        <v>102</v>
      </c>
      <c r="D883" s="41"/>
    </row>
    <row r="884" spans="1:5" x14ac:dyDescent="0.2">
      <c r="A884" s="68" t="s">
        <v>459</v>
      </c>
      <c r="B884" s="68" t="s">
        <v>1</v>
      </c>
      <c r="C884" s="39" t="s">
        <v>73</v>
      </c>
      <c r="D884" s="39"/>
    </row>
    <row r="885" spans="1:5" x14ac:dyDescent="0.2">
      <c r="A885" s="69"/>
      <c r="B885" s="69"/>
      <c r="C885" s="39" t="s">
        <v>232</v>
      </c>
      <c r="D885" s="39"/>
    </row>
    <row r="886" spans="1:5" x14ac:dyDescent="0.2">
      <c r="A886" s="69"/>
      <c r="B886" s="69"/>
      <c r="C886" s="39" t="s">
        <v>460</v>
      </c>
      <c r="D886" s="39"/>
    </row>
    <row r="887" spans="1:5" x14ac:dyDescent="0.2">
      <c r="A887" s="69"/>
      <c r="B887" s="69"/>
      <c r="C887" s="39" t="s">
        <v>162</v>
      </c>
      <c r="D887" s="39"/>
    </row>
    <row r="888" spans="1:5" x14ac:dyDescent="0.2">
      <c r="A888" s="69"/>
      <c r="B888" s="69"/>
      <c r="C888" s="39" t="s">
        <v>934</v>
      </c>
      <c r="D888" s="39"/>
    </row>
    <row r="889" spans="1:5" x14ac:dyDescent="0.2">
      <c r="A889" s="69"/>
      <c r="B889" s="69"/>
      <c r="C889" s="39" t="s">
        <v>416</v>
      </c>
      <c r="D889" s="39" t="s">
        <v>417</v>
      </c>
    </row>
    <row r="890" spans="1:5" x14ac:dyDescent="0.2">
      <c r="A890" s="69"/>
      <c r="B890" s="69"/>
      <c r="C890" s="39" t="s">
        <v>233</v>
      </c>
      <c r="D890" s="39"/>
    </row>
    <row r="891" spans="1:5" x14ac:dyDescent="0.2">
      <c r="A891" s="52" t="s">
        <v>34</v>
      </c>
      <c r="B891" s="52" t="s">
        <v>1</v>
      </c>
      <c r="C891" s="41" t="s">
        <v>234</v>
      </c>
      <c r="D891" s="41"/>
    </row>
    <row r="892" spans="1:5" x14ac:dyDescent="0.2">
      <c r="A892" s="53"/>
      <c r="B892" s="53"/>
      <c r="C892" s="41" t="s">
        <v>235</v>
      </c>
      <c r="D892" s="41"/>
    </row>
    <row r="893" spans="1:5" x14ac:dyDescent="0.2">
      <c r="A893" s="53"/>
      <c r="B893" s="53"/>
      <c r="C893" s="41" t="s">
        <v>236</v>
      </c>
      <c r="D893" s="41"/>
    </row>
    <row r="894" spans="1:5" x14ac:dyDescent="0.2">
      <c r="A894" s="53"/>
      <c r="B894" s="53"/>
      <c r="C894" s="41" t="s">
        <v>237</v>
      </c>
      <c r="D894" s="41"/>
    </row>
    <row r="895" spans="1:5" x14ac:dyDescent="0.2">
      <c r="A895" s="53"/>
      <c r="B895" s="53"/>
      <c r="C895" s="41" t="s">
        <v>238</v>
      </c>
      <c r="D895" s="41"/>
    </row>
    <row r="896" spans="1:5" x14ac:dyDescent="0.2">
      <c r="A896" s="53"/>
      <c r="B896" s="53"/>
      <c r="C896" s="41" t="s">
        <v>102</v>
      </c>
      <c r="D896" s="41"/>
    </row>
    <row r="897" spans="1:4" x14ac:dyDescent="0.2">
      <c r="A897" s="68" t="s">
        <v>35</v>
      </c>
      <c r="B897" s="68" t="s">
        <v>1</v>
      </c>
      <c r="C897" s="39" t="s">
        <v>211</v>
      </c>
      <c r="D897" s="39"/>
    </row>
    <row r="898" spans="1:4" x14ac:dyDescent="0.2">
      <c r="A898" s="69"/>
      <c r="B898" s="69"/>
      <c r="C898" s="39" t="s">
        <v>212</v>
      </c>
      <c r="D898" s="39"/>
    </row>
    <row r="899" spans="1:4" x14ac:dyDescent="0.2">
      <c r="A899" s="69"/>
      <c r="B899" s="69"/>
      <c r="C899" s="39" t="s">
        <v>73</v>
      </c>
      <c r="D899" s="39"/>
    </row>
    <row r="900" spans="1:4" x14ac:dyDescent="0.2">
      <c r="A900" s="69"/>
      <c r="B900" s="69"/>
      <c r="C900" s="39" t="s">
        <v>102</v>
      </c>
      <c r="D900" s="39"/>
    </row>
    <row r="901" spans="1:4" x14ac:dyDescent="0.2">
      <c r="A901" s="52" t="s">
        <v>37</v>
      </c>
      <c r="B901" s="52" t="s">
        <v>1</v>
      </c>
      <c r="C901" s="41" t="s">
        <v>641</v>
      </c>
      <c r="D901" s="41"/>
    </row>
    <row r="902" spans="1:4" x14ac:dyDescent="0.2">
      <c r="A902" s="53"/>
      <c r="B902" s="53"/>
      <c r="C902" s="41" t="s">
        <v>642</v>
      </c>
      <c r="D902" s="41"/>
    </row>
    <row r="903" spans="1:4" x14ac:dyDescent="0.2">
      <c r="A903" s="53"/>
      <c r="B903" s="53"/>
      <c r="C903" s="41" t="s">
        <v>72</v>
      </c>
      <c r="D903" s="41"/>
    </row>
    <row r="904" spans="1:4" x14ac:dyDescent="0.2">
      <c r="A904" s="53"/>
      <c r="B904" s="53"/>
      <c r="C904" s="41" t="s">
        <v>643</v>
      </c>
      <c r="D904" s="41"/>
    </row>
    <row r="905" spans="1:4" x14ac:dyDescent="0.2">
      <c r="A905" s="53"/>
      <c r="B905" s="53"/>
      <c r="C905" s="41" t="s">
        <v>644</v>
      </c>
      <c r="D905" s="41"/>
    </row>
    <row r="906" spans="1:4" x14ac:dyDescent="0.2">
      <c r="A906" s="78" t="s">
        <v>39</v>
      </c>
      <c r="B906" s="78" t="s">
        <v>1</v>
      </c>
      <c r="C906" s="44" t="s">
        <v>239</v>
      </c>
      <c r="D906" s="44"/>
    </row>
    <row r="907" spans="1:4" x14ac:dyDescent="0.2">
      <c r="A907" s="79"/>
      <c r="B907" s="79"/>
      <c r="C907" s="44" t="s">
        <v>240</v>
      </c>
      <c r="D907" s="44"/>
    </row>
    <row r="908" spans="1:4" x14ac:dyDescent="0.2">
      <c r="A908" s="79"/>
      <c r="B908" s="79"/>
      <c r="C908" s="39" t="s">
        <v>660</v>
      </c>
      <c r="D908" s="39"/>
    </row>
    <row r="909" spans="1:4" x14ac:dyDescent="0.2">
      <c r="A909" s="79"/>
      <c r="B909" s="79"/>
      <c r="C909" s="39" t="s">
        <v>661</v>
      </c>
      <c r="D909" s="39"/>
    </row>
    <row r="910" spans="1:4" x14ac:dyDescent="0.2">
      <c r="A910" s="79"/>
      <c r="B910" s="79"/>
      <c r="C910" s="39" t="s">
        <v>662</v>
      </c>
      <c r="D910" s="39"/>
    </row>
    <row r="911" spans="1:4" x14ac:dyDescent="0.2">
      <c r="A911" s="79"/>
      <c r="B911" s="79"/>
      <c r="C911" s="39" t="s">
        <v>663</v>
      </c>
      <c r="D911" s="39"/>
    </row>
    <row r="912" spans="1:4" x14ac:dyDescent="0.2">
      <c r="A912" s="74" t="s">
        <v>41</v>
      </c>
      <c r="B912" s="74" t="s">
        <v>1</v>
      </c>
      <c r="C912" s="46" t="s">
        <v>221</v>
      </c>
      <c r="D912" s="46"/>
    </row>
    <row r="913" spans="1:5" x14ac:dyDescent="0.2">
      <c r="A913" s="56"/>
      <c r="B913" s="56"/>
      <c r="C913" s="46" t="s">
        <v>222</v>
      </c>
      <c r="D913" s="46"/>
    </row>
    <row r="914" spans="1:5" x14ac:dyDescent="0.2">
      <c r="A914" s="56"/>
      <c r="B914" s="56"/>
      <c r="C914" s="41" t="s">
        <v>223</v>
      </c>
      <c r="D914" s="41"/>
    </row>
    <row r="915" spans="1:5" x14ac:dyDescent="0.2">
      <c r="A915" s="56"/>
      <c r="B915" s="56"/>
      <c r="C915" s="41" t="s">
        <v>224</v>
      </c>
      <c r="D915" s="41"/>
    </row>
    <row r="916" spans="1:5" x14ac:dyDescent="0.2">
      <c r="A916" s="56"/>
      <c r="B916" s="56"/>
      <c r="C916" s="41" t="s">
        <v>225</v>
      </c>
      <c r="D916" s="41"/>
    </row>
    <row r="917" spans="1:5" x14ac:dyDescent="0.2">
      <c r="A917" s="56"/>
      <c r="B917" s="56"/>
      <c r="C917" s="41" t="s">
        <v>226</v>
      </c>
      <c r="D917" s="41"/>
    </row>
    <row r="918" spans="1:5" x14ac:dyDescent="0.2">
      <c r="A918" s="56"/>
      <c r="B918" s="56"/>
      <c r="C918" s="46" t="s">
        <v>227</v>
      </c>
      <c r="D918" s="46"/>
    </row>
    <row r="919" spans="1:5" x14ac:dyDescent="0.2">
      <c r="A919" s="56"/>
      <c r="B919" s="56"/>
      <c r="C919" s="46" t="s">
        <v>246</v>
      </c>
      <c r="D919" s="46"/>
    </row>
    <row r="920" spans="1:5" ht="15" x14ac:dyDescent="0.25">
      <c r="A920" s="78" t="s">
        <v>42</v>
      </c>
      <c r="B920" s="78" t="s">
        <v>1</v>
      </c>
      <c r="C920" s="44" t="s">
        <v>610</v>
      </c>
      <c r="D920" s="44"/>
      <c r="E920" s="45"/>
    </row>
    <row r="921" spans="1:5" ht="15" x14ac:dyDescent="0.25">
      <c r="A921" s="79"/>
      <c r="B921" s="79"/>
      <c r="C921" s="44" t="s">
        <v>648</v>
      </c>
      <c r="D921" s="44"/>
      <c r="E921" s="45"/>
    </row>
    <row r="922" spans="1:5" ht="15" x14ac:dyDescent="0.25">
      <c r="A922" s="79"/>
      <c r="B922" s="79"/>
      <c r="C922" s="39" t="s">
        <v>649</v>
      </c>
      <c r="D922" s="39"/>
      <c r="E922" s="45"/>
    </row>
    <row r="923" spans="1:5" ht="15" x14ac:dyDescent="0.25">
      <c r="A923" s="79"/>
      <c r="B923" s="79"/>
      <c r="C923" s="39" t="s">
        <v>650</v>
      </c>
      <c r="D923" s="39"/>
      <c r="E923" s="45"/>
    </row>
    <row r="924" spans="1:5" ht="15" x14ac:dyDescent="0.25">
      <c r="A924" s="79"/>
      <c r="B924" s="79"/>
      <c r="C924" s="39" t="s">
        <v>611</v>
      </c>
      <c r="D924" s="39"/>
      <c r="E924" s="45"/>
    </row>
    <row r="925" spans="1:5" x14ac:dyDescent="0.2">
      <c r="A925" s="79"/>
      <c r="B925" s="79"/>
      <c r="C925" s="39" t="s">
        <v>102</v>
      </c>
      <c r="D925" s="39"/>
    </row>
    <row r="926" spans="1:5" x14ac:dyDescent="0.2">
      <c r="A926" s="74" t="s">
        <v>667</v>
      </c>
      <c r="B926" s="74" t="s">
        <v>1</v>
      </c>
      <c r="C926" s="41" t="s">
        <v>928</v>
      </c>
      <c r="D926" s="41"/>
    </row>
    <row r="927" spans="1:5" x14ac:dyDescent="0.2">
      <c r="A927" s="56"/>
      <c r="B927" s="56"/>
      <c r="C927" s="41" t="s">
        <v>672</v>
      </c>
      <c r="D927" s="41"/>
    </row>
    <row r="928" spans="1:5" x14ac:dyDescent="0.2">
      <c r="A928" s="56"/>
      <c r="B928" s="56"/>
      <c r="C928" s="41" t="s">
        <v>671</v>
      </c>
      <c r="D928" s="41"/>
    </row>
    <row r="929" spans="1:5" x14ac:dyDescent="0.2">
      <c r="A929" s="75" t="s">
        <v>43</v>
      </c>
      <c r="B929" s="75" t="s">
        <v>1</v>
      </c>
      <c r="C929" s="44" t="s">
        <v>312</v>
      </c>
      <c r="D929" s="44"/>
    </row>
    <row r="930" spans="1:5" x14ac:dyDescent="0.2">
      <c r="A930" s="76"/>
      <c r="B930" s="76"/>
      <c r="C930" s="44" t="s">
        <v>229</v>
      </c>
      <c r="D930" s="44"/>
    </row>
    <row r="931" spans="1:5" x14ac:dyDescent="0.2">
      <c r="A931" s="76"/>
      <c r="B931" s="76"/>
      <c r="C931" s="39" t="s">
        <v>228</v>
      </c>
      <c r="D931" s="39"/>
    </row>
    <row r="932" spans="1:5" x14ac:dyDescent="0.2">
      <c r="A932" s="76"/>
      <c r="B932" s="76"/>
      <c r="C932" s="39" t="s">
        <v>230</v>
      </c>
      <c r="D932" s="39"/>
    </row>
    <row r="933" spans="1:5" x14ac:dyDescent="0.2">
      <c r="A933" s="76"/>
      <c r="B933" s="76"/>
      <c r="C933" s="39" t="s">
        <v>102</v>
      </c>
      <c r="D933" s="39"/>
    </row>
    <row r="934" spans="1:5" x14ac:dyDescent="0.2">
      <c r="A934" s="82" t="s">
        <v>44</v>
      </c>
      <c r="B934" s="82" t="s">
        <v>1</v>
      </c>
      <c r="C934" s="46" t="s">
        <v>228</v>
      </c>
      <c r="D934" s="46"/>
    </row>
    <row r="935" spans="1:5" x14ac:dyDescent="0.2">
      <c r="A935" s="83"/>
      <c r="B935" s="83"/>
      <c r="C935" s="46" t="s">
        <v>229</v>
      </c>
      <c r="D935" s="46"/>
    </row>
    <row r="936" spans="1:5" x14ac:dyDescent="0.2">
      <c r="A936" s="83"/>
      <c r="B936" s="83"/>
      <c r="C936" s="41" t="s">
        <v>230</v>
      </c>
      <c r="D936" s="41"/>
    </row>
    <row r="937" spans="1:5" x14ac:dyDescent="0.2">
      <c r="A937" s="83"/>
      <c r="B937" s="83"/>
      <c r="C937" s="41" t="s">
        <v>231</v>
      </c>
      <c r="D937" s="41"/>
    </row>
    <row r="938" spans="1:5" x14ac:dyDescent="0.2">
      <c r="A938" s="83"/>
      <c r="B938" s="83"/>
      <c r="C938" s="41" t="s">
        <v>290</v>
      </c>
      <c r="D938" s="41"/>
    </row>
    <row r="939" spans="1:5" x14ac:dyDescent="0.2">
      <c r="A939" s="83"/>
      <c r="B939" s="83"/>
      <c r="C939" s="46" t="s">
        <v>290</v>
      </c>
      <c r="D939" s="46"/>
    </row>
    <row r="940" spans="1:5" x14ac:dyDescent="0.2">
      <c r="A940" s="83"/>
      <c r="B940" s="83"/>
      <c r="C940" s="46" t="s">
        <v>306</v>
      </c>
      <c r="D940" s="46"/>
    </row>
    <row r="941" spans="1:5" x14ac:dyDescent="0.2">
      <c r="A941" s="83"/>
      <c r="B941" s="83"/>
      <c r="C941" s="41" t="s">
        <v>307</v>
      </c>
      <c r="D941" s="41"/>
    </row>
    <row r="942" spans="1:5" x14ac:dyDescent="0.2">
      <c r="A942" s="83"/>
      <c r="B942" s="83"/>
      <c r="C942" s="46" t="s">
        <v>291</v>
      </c>
      <c r="D942" s="46"/>
    </row>
    <row r="943" spans="1:5" x14ac:dyDescent="0.2">
      <c r="A943" s="83"/>
      <c r="B943" s="83"/>
      <c r="C943" s="46" t="s">
        <v>312</v>
      </c>
      <c r="D943" s="46"/>
    </row>
    <row r="944" spans="1:5" x14ac:dyDescent="0.2">
      <c r="A944" s="83"/>
      <c r="B944" s="83"/>
      <c r="C944" s="41" t="s">
        <v>770</v>
      </c>
      <c r="D944" s="41" t="s">
        <v>770</v>
      </c>
      <c r="E944" t="s">
        <v>1182</v>
      </c>
    </row>
    <row r="945" spans="1:4" x14ac:dyDescent="0.2">
      <c r="A945" s="109"/>
      <c r="B945" s="109"/>
      <c r="C945" s="41" t="s">
        <v>102</v>
      </c>
      <c r="D945" s="41"/>
    </row>
    <row r="946" spans="1:4" ht="14.25" customHeight="1" x14ac:dyDescent="0.2">
      <c r="A946" s="75" t="s">
        <v>462</v>
      </c>
      <c r="B946" s="75" t="s">
        <v>1</v>
      </c>
      <c r="C946" s="44" t="s">
        <v>467</v>
      </c>
      <c r="D946" s="44"/>
    </row>
    <row r="947" spans="1:4" x14ac:dyDescent="0.2">
      <c r="A947" s="76"/>
      <c r="B947" s="76"/>
      <c r="C947" s="44" t="s">
        <v>468</v>
      </c>
      <c r="D947" s="44"/>
    </row>
    <row r="948" spans="1:4" x14ac:dyDescent="0.2">
      <c r="A948" s="76"/>
      <c r="B948" s="76"/>
      <c r="C948" s="39" t="s">
        <v>469</v>
      </c>
      <c r="D948" s="39"/>
    </row>
    <row r="949" spans="1:4" x14ac:dyDescent="0.2">
      <c r="A949" s="76"/>
      <c r="B949" s="76"/>
      <c r="C949" s="39" t="s">
        <v>471</v>
      </c>
      <c r="D949" s="39"/>
    </row>
    <row r="950" spans="1:4" x14ac:dyDescent="0.2">
      <c r="A950" s="76"/>
      <c r="B950" s="76"/>
      <c r="C950" s="39" t="s">
        <v>466</v>
      </c>
      <c r="D950" s="39"/>
    </row>
    <row r="951" spans="1:4" x14ac:dyDescent="0.2">
      <c r="A951" s="76"/>
      <c r="B951" s="76"/>
      <c r="C951" s="44" t="s">
        <v>465</v>
      </c>
      <c r="D951" s="44"/>
    </row>
    <row r="952" spans="1:4" x14ac:dyDescent="0.2">
      <c r="A952" s="76"/>
      <c r="B952" s="76"/>
      <c r="C952" s="44" t="s">
        <v>312</v>
      </c>
      <c r="D952" s="44"/>
    </row>
    <row r="953" spans="1:4" x14ac:dyDescent="0.2">
      <c r="A953" s="76"/>
      <c r="B953" s="76"/>
      <c r="C953" s="39" t="s">
        <v>474</v>
      </c>
      <c r="D953" s="39" t="s">
        <v>624</v>
      </c>
    </row>
    <row r="954" spans="1:4" x14ac:dyDescent="0.2">
      <c r="A954" s="76"/>
      <c r="B954" s="76"/>
      <c r="C954" s="39" t="s">
        <v>416</v>
      </c>
      <c r="D954" s="39" t="s">
        <v>417</v>
      </c>
    </row>
    <row r="955" spans="1:4" x14ac:dyDescent="0.2">
      <c r="A955" s="76"/>
      <c r="B955" s="76"/>
      <c r="C955" s="39" t="s">
        <v>102</v>
      </c>
      <c r="D955" s="39"/>
    </row>
    <row r="956" spans="1:4" x14ac:dyDescent="0.2">
      <c r="A956" s="82" t="s">
        <v>45</v>
      </c>
      <c r="B956" s="82" t="s">
        <v>1</v>
      </c>
      <c r="C956" s="41" t="s">
        <v>750</v>
      </c>
      <c r="D956" s="41"/>
    </row>
    <row r="957" spans="1:4" x14ac:dyDescent="0.2">
      <c r="A957" s="83"/>
      <c r="B957" s="83"/>
      <c r="C957" s="41" t="s">
        <v>749</v>
      </c>
      <c r="D957" s="41"/>
    </row>
    <row r="958" spans="1:4" x14ac:dyDescent="0.2">
      <c r="A958" s="83"/>
      <c r="B958" s="83"/>
      <c r="C958" s="41" t="s">
        <v>242</v>
      </c>
      <c r="D958" s="41"/>
    </row>
    <row r="959" spans="1:4" x14ac:dyDescent="0.2">
      <c r="A959" s="83"/>
      <c r="B959" s="83"/>
      <c r="C959" s="41" t="s">
        <v>281</v>
      </c>
      <c r="D959" s="41"/>
    </row>
    <row r="960" spans="1:4" x14ac:dyDescent="0.2">
      <c r="A960" s="83"/>
      <c r="B960" s="83"/>
      <c r="C960" s="41" t="s">
        <v>280</v>
      </c>
      <c r="D960" s="41"/>
    </row>
    <row r="961" spans="1:5" x14ac:dyDescent="0.2">
      <c r="A961" s="83"/>
      <c r="B961" s="83"/>
      <c r="C961" s="41" t="s">
        <v>241</v>
      </c>
      <c r="D961" s="41"/>
    </row>
    <row r="962" spans="1:5" x14ac:dyDescent="0.2">
      <c r="A962" s="83"/>
      <c r="B962" s="83"/>
      <c r="C962" s="41" t="s">
        <v>926</v>
      </c>
      <c r="D962" s="41"/>
    </row>
    <row r="963" spans="1:5" x14ac:dyDescent="0.2">
      <c r="A963" s="83"/>
      <c r="B963" s="83"/>
      <c r="C963" s="41" t="s">
        <v>1144</v>
      </c>
      <c r="D963" s="41"/>
      <c r="E963" t="s">
        <v>1182</v>
      </c>
    </row>
    <row r="964" spans="1:5" x14ac:dyDescent="0.2">
      <c r="A964" s="84" t="s">
        <v>47</v>
      </c>
      <c r="B964" s="75" t="s">
        <v>1</v>
      </c>
      <c r="C964" s="39" t="s">
        <v>641</v>
      </c>
      <c r="D964" s="39"/>
    </row>
    <row r="965" spans="1:5" x14ac:dyDescent="0.2">
      <c r="A965" s="85"/>
      <c r="B965" s="76"/>
      <c r="C965" s="39" t="s">
        <v>642</v>
      </c>
      <c r="D965" s="39"/>
    </row>
    <row r="966" spans="1:5" x14ac:dyDescent="0.2">
      <c r="A966" s="85"/>
      <c r="B966" s="76"/>
      <c r="C966" s="39" t="s">
        <v>72</v>
      </c>
      <c r="D966" s="39"/>
    </row>
    <row r="967" spans="1:5" x14ac:dyDescent="0.2">
      <c r="A967" s="85"/>
      <c r="B967" s="76"/>
      <c r="C967" s="39" t="s">
        <v>643</v>
      </c>
      <c r="D967" s="39"/>
    </row>
    <row r="968" spans="1:5" x14ac:dyDescent="0.2">
      <c r="A968" s="85"/>
      <c r="B968" s="76"/>
      <c r="C968" s="39" t="s">
        <v>644</v>
      </c>
      <c r="D968" s="39"/>
    </row>
    <row r="969" spans="1:5" x14ac:dyDescent="0.2">
      <c r="A969" s="85"/>
      <c r="B969" s="76"/>
      <c r="C969" s="39" t="s">
        <v>957</v>
      </c>
      <c r="D969" s="39"/>
      <c r="E969" t="s">
        <v>1182</v>
      </c>
    </row>
    <row r="970" spans="1:5" x14ac:dyDescent="0.2">
      <c r="A970" s="86" t="s">
        <v>48</v>
      </c>
      <c r="B970" s="82" t="s">
        <v>1</v>
      </c>
      <c r="C970" s="41" t="s">
        <v>470</v>
      </c>
      <c r="D970" s="41"/>
    </row>
    <row r="971" spans="1:5" x14ac:dyDescent="0.2">
      <c r="A971" s="87"/>
      <c r="B971" s="83"/>
      <c r="C971" s="41" t="s">
        <v>627</v>
      </c>
      <c r="D971" s="41"/>
    </row>
    <row r="972" spans="1:5" x14ac:dyDescent="0.2">
      <c r="A972" s="87"/>
      <c r="B972" s="83"/>
      <c r="C972" s="41" t="s">
        <v>243</v>
      </c>
      <c r="D972" s="41"/>
    </row>
    <row r="973" spans="1:5" x14ac:dyDescent="0.2">
      <c r="A973" s="87"/>
      <c r="B973" s="83"/>
      <c r="C973" s="41" t="s">
        <v>244</v>
      </c>
      <c r="D973" s="41"/>
    </row>
    <row r="974" spans="1:5" x14ac:dyDescent="0.2">
      <c r="A974" s="87"/>
      <c r="B974" s="83"/>
      <c r="C974" s="41" t="s">
        <v>628</v>
      </c>
      <c r="D974" s="41"/>
    </row>
    <row r="975" spans="1:5" x14ac:dyDescent="0.2">
      <c r="A975" s="87"/>
      <c r="B975" s="83"/>
      <c r="C975" s="41" t="s">
        <v>245</v>
      </c>
      <c r="D975" s="41"/>
    </row>
    <row r="976" spans="1:5" x14ac:dyDescent="0.2">
      <c r="A976" s="110"/>
      <c r="B976" s="109"/>
      <c r="C976" s="41" t="s">
        <v>102</v>
      </c>
      <c r="D976" s="41"/>
    </row>
    <row r="977" spans="1:5" x14ac:dyDescent="0.2">
      <c r="A977" s="75" t="s">
        <v>461</v>
      </c>
      <c r="B977" s="75" t="s">
        <v>1</v>
      </c>
      <c r="C977" s="39" t="s">
        <v>350</v>
      </c>
      <c r="D977" s="39"/>
      <c r="E977" t="s">
        <v>1183</v>
      </c>
    </row>
    <row r="978" spans="1:5" x14ac:dyDescent="0.2">
      <c r="A978" s="76"/>
      <c r="B978" s="76"/>
      <c r="C978" s="39" t="s">
        <v>351</v>
      </c>
      <c r="D978" s="39"/>
    </row>
    <row r="979" spans="1:5" x14ac:dyDescent="0.2">
      <c r="A979" s="76"/>
      <c r="B979" s="76"/>
      <c r="C979" s="39" t="s">
        <v>352</v>
      </c>
      <c r="D979" s="39"/>
    </row>
    <row r="980" spans="1:5" x14ac:dyDescent="0.2">
      <c r="A980" s="76"/>
      <c r="B980" s="76"/>
      <c r="C980" s="39" t="s">
        <v>353</v>
      </c>
      <c r="D980" s="39"/>
    </row>
    <row r="981" spans="1:5" x14ac:dyDescent="0.2">
      <c r="A981" s="76"/>
      <c r="B981" s="76"/>
      <c r="C981" s="39" t="s">
        <v>354</v>
      </c>
      <c r="D981" s="39"/>
    </row>
    <row r="982" spans="1:5" x14ac:dyDescent="0.2">
      <c r="A982" s="76"/>
      <c r="B982" s="76"/>
      <c r="C982" s="39" t="s">
        <v>355</v>
      </c>
      <c r="D982" s="39"/>
    </row>
    <row r="983" spans="1:5" x14ac:dyDescent="0.2">
      <c r="A983" s="76"/>
      <c r="B983" s="76"/>
      <c r="C983" s="39" t="s">
        <v>399</v>
      </c>
      <c r="D983" s="39"/>
    </row>
    <row r="984" spans="1:5" x14ac:dyDescent="0.2">
      <c r="A984" s="76"/>
      <c r="B984" s="76"/>
      <c r="C984" s="39" t="s">
        <v>400</v>
      </c>
      <c r="D984" s="39"/>
    </row>
    <row r="985" spans="1:5" x14ac:dyDescent="0.2">
      <c r="A985" s="76"/>
      <c r="B985" s="76"/>
      <c r="C985" s="39" t="s">
        <v>1126</v>
      </c>
      <c r="D985" s="39" t="s">
        <v>1151</v>
      </c>
      <c r="E985" t="s">
        <v>1182</v>
      </c>
    </row>
    <row r="986" spans="1:5" x14ac:dyDescent="0.2">
      <c r="A986" s="86" t="s">
        <v>49</v>
      </c>
      <c r="B986" s="82" t="s">
        <v>1</v>
      </c>
      <c r="C986" s="41" t="s">
        <v>239</v>
      </c>
      <c r="D986" s="41"/>
    </row>
    <row r="987" spans="1:5" x14ac:dyDescent="0.2">
      <c r="A987" s="87"/>
      <c r="B987" s="83"/>
      <c r="C987" s="41" t="s">
        <v>240</v>
      </c>
      <c r="D987" s="41"/>
    </row>
    <row r="988" spans="1:5" x14ac:dyDescent="0.2">
      <c r="A988" s="87"/>
      <c r="B988" s="83"/>
      <c r="C988" s="41" t="s">
        <v>645</v>
      </c>
      <c r="D988" s="41"/>
    </row>
    <row r="989" spans="1:5" x14ac:dyDescent="0.2">
      <c r="A989" s="87"/>
      <c r="B989" s="83"/>
      <c r="C989" s="41" t="s">
        <v>646</v>
      </c>
      <c r="D989" s="41"/>
    </row>
    <row r="990" spans="1:5" x14ac:dyDescent="0.2">
      <c r="A990" s="87"/>
      <c r="B990" s="83"/>
      <c r="C990" s="41" t="s">
        <v>647</v>
      </c>
      <c r="D990" s="41"/>
    </row>
    <row r="991" spans="1:5" x14ac:dyDescent="0.2">
      <c r="A991" s="87"/>
      <c r="B991" s="83"/>
      <c r="C991" s="41" t="s">
        <v>668</v>
      </c>
      <c r="D991" s="41"/>
    </row>
    <row r="992" spans="1:5" x14ac:dyDescent="0.2">
      <c r="A992" s="75" t="s">
        <v>50</v>
      </c>
      <c r="B992" s="75" t="s">
        <v>1</v>
      </c>
      <c r="C992" s="39" t="s">
        <v>229</v>
      </c>
      <c r="D992" s="39"/>
    </row>
    <row r="993" spans="1:5" x14ac:dyDescent="0.2">
      <c r="A993" s="76"/>
      <c r="B993" s="76"/>
      <c r="C993" s="39" t="s">
        <v>228</v>
      </c>
      <c r="D993" s="39"/>
    </row>
    <row r="994" spans="1:5" x14ac:dyDescent="0.2">
      <c r="A994" s="76"/>
      <c r="B994" s="76"/>
      <c r="C994" s="39" t="s">
        <v>246</v>
      </c>
      <c r="D994" s="39"/>
    </row>
    <row r="995" spans="1:5" x14ac:dyDescent="0.2">
      <c r="A995" s="76"/>
      <c r="B995" s="76"/>
      <c r="C995" s="39" t="s">
        <v>230</v>
      </c>
      <c r="D995" s="39"/>
    </row>
    <row r="996" spans="1:5" x14ac:dyDescent="0.2">
      <c r="A996" s="76"/>
      <c r="B996" s="76"/>
      <c r="C996" s="39" t="s">
        <v>247</v>
      </c>
      <c r="D996" s="39" t="s">
        <v>684</v>
      </c>
    </row>
    <row r="997" spans="1:5" x14ac:dyDescent="0.2">
      <c r="A997" s="76"/>
      <c r="B997" s="76"/>
      <c r="C997" s="39" t="s">
        <v>102</v>
      </c>
      <c r="D997" s="39"/>
    </row>
    <row r="998" spans="1:5" x14ac:dyDescent="0.2">
      <c r="A998" s="82" t="s">
        <v>51</v>
      </c>
      <c r="B998" s="82" t="s">
        <v>1</v>
      </c>
      <c r="C998" s="41" t="s">
        <v>734</v>
      </c>
      <c r="D998" s="41"/>
      <c r="E998" t="s">
        <v>1183</v>
      </c>
    </row>
    <row r="999" spans="1:5" x14ac:dyDescent="0.2">
      <c r="A999" s="83"/>
      <c r="B999" s="83"/>
      <c r="C999" s="41" t="s">
        <v>735</v>
      </c>
      <c r="D999" s="41"/>
    </row>
    <row r="1000" spans="1:5" x14ac:dyDescent="0.2">
      <c r="A1000" s="75" t="s">
        <v>52</v>
      </c>
      <c r="B1000" s="75" t="s">
        <v>1</v>
      </c>
      <c r="C1000" s="39" t="s">
        <v>693</v>
      </c>
      <c r="D1000" s="39"/>
    </row>
    <row r="1001" spans="1:5" x14ac:dyDescent="0.2">
      <c r="A1001" s="76"/>
      <c r="B1001" s="76"/>
      <c r="C1001" s="39" t="s">
        <v>694</v>
      </c>
      <c r="D1001" s="39"/>
    </row>
    <row r="1002" spans="1:5" x14ac:dyDescent="0.2">
      <c r="A1002" s="76"/>
      <c r="B1002" s="76"/>
      <c r="C1002" s="39" t="s">
        <v>695</v>
      </c>
      <c r="D1002" s="39"/>
    </row>
    <row r="1003" spans="1:5" x14ac:dyDescent="0.2">
      <c r="A1003" s="76"/>
      <c r="B1003" s="76"/>
      <c r="C1003" s="39" t="s">
        <v>1180</v>
      </c>
      <c r="D1003" s="39"/>
      <c r="E1003" t="s">
        <v>1182</v>
      </c>
    </row>
    <row r="1004" spans="1:5" x14ac:dyDescent="0.2">
      <c r="A1004" s="76"/>
      <c r="B1004" s="76"/>
      <c r="C1004" s="39" t="s">
        <v>696</v>
      </c>
      <c r="D1004" s="39"/>
    </row>
    <row r="1005" spans="1:5" x14ac:dyDescent="0.2">
      <c r="A1005" s="76"/>
      <c r="B1005" s="76"/>
      <c r="C1005" s="39" t="s">
        <v>697</v>
      </c>
      <c r="D1005" s="39"/>
    </row>
    <row r="1006" spans="1:5" x14ac:dyDescent="0.2">
      <c r="A1006" s="76"/>
      <c r="B1006" s="76"/>
      <c r="C1006" s="39" t="s">
        <v>1179</v>
      </c>
      <c r="D1006" s="39"/>
      <c r="E1006" t="s">
        <v>1182</v>
      </c>
    </row>
    <row r="1007" spans="1:5" x14ac:dyDescent="0.2">
      <c r="A1007" s="76"/>
      <c r="B1007" s="76"/>
      <c r="C1007" s="39" t="s">
        <v>698</v>
      </c>
      <c r="D1007" s="39"/>
    </row>
    <row r="1008" spans="1:5" x14ac:dyDescent="0.2">
      <c r="A1008" s="76"/>
      <c r="B1008" s="76"/>
      <c r="C1008" s="39" t="s">
        <v>699</v>
      </c>
      <c r="D1008" s="39"/>
    </row>
    <row r="1009" spans="1:4" x14ac:dyDescent="0.2">
      <c r="A1009" s="76"/>
      <c r="B1009" s="76"/>
      <c r="C1009" s="39" t="s">
        <v>700</v>
      </c>
      <c r="D1009" s="39"/>
    </row>
    <row r="1010" spans="1:4" x14ac:dyDescent="0.2">
      <c r="A1010" s="76"/>
      <c r="B1010" s="76"/>
      <c r="C1010" s="39" t="s">
        <v>701</v>
      </c>
      <c r="D1010" s="39"/>
    </row>
    <row r="1011" spans="1:4" x14ac:dyDescent="0.2">
      <c r="A1011" s="76"/>
      <c r="B1011" s="76"/>
      <c r="C1011" s="39" t="s">
        <v>702</v>
      </c>
      <c r="D1011" s="39"/>
    </row>
    <row r="1012" spans="1:4" x14ac:dyDescent="0.2">
      <c r="A1012" s="76"/>
      <c r="B1012" s="76"/>
      <c r="C1012" s="39" t="s">
        <v>1181</v>
      </c>
      <c r="D1012" s="39"/>
    </row>
    <row r="1013" spans="1:4" x14ac:dyDescent="0.2">
      <c r="A1013" s="76"/>
      <c r="B1013" s="76"/>
      <c r="C1013" s="39" t="s">
        <v>703</v>
      </c>
      <c r="D1013" s="39"/>
    </row>
    <row r="1014" spans="1:4" x14ac:dyDescent="0.2">
      <c r="A1014" s="76"/>
      <c r="B1014" s="76"/>
      <c r="C1014" s="39" t="s">
        <v>704</v>
      </c>
      <c r="D1014" s="39"/>
    </row>
    <row r="1015" spans="1:4" x14ac:dyDescent="0.2">
      <c r="A1015" s="76"/>
      <c r="B1015" s="76"/>
      <c r="C1015" s="39" t="s">
        <v>705</v>
      </c>
      <c r="D1015" s="39"/>
    </row>
    <row r="1016" spans="1:4" x14ac:dyDescent="0.2">
      <c r="A1016" s="76"/>
      <c r="B1016" s="76"/>
      <c r="C1016" s="39" t="s">
        <v>706</v>
      </c>
      <c r="D1016" s="39"/>
    </row>
    <row r="1017" spans="1:4" x14ac:dyDescent="0.2">
      <c r="A1017" s="76"/>
      <c r="B1017" s="76"/>
      <c r="C1017" s="39" t="s">
        <v>707</v>
      </c>
      <c r="D1017" s="39"/>
    </row>
    <row r="1018" spans="1:4" x14ac:dyDescent="0.2">
      <c r="A1018" s="76"/>
      <c r="B1018" s="76"/>
      <c r="C1018" s="39" t="s">
        <v>708</v>
      </c>
      <c r="D1018" s="39"/>
    </row>
    <row r="1019" spans="1:4" x14ac:dyDescent="0.2">
      <c r="A1019" s="76"/>
      <c r="B1019" s="76"/>
      <c r="C1019" s="39" t="s">
        <v>709</v>
      </c>
      <c r="D1019" s="39"/>
    </row>
    <row r="1020" spans="1:4" x14ac:dyDescent="0.2">
      <c r="A1020" s="76"/>
      <c r="B1020" s="76"/>
      <c r="C1020" s="39" t="s">
        <v>710</v>
      </c>
      <c r="D1020" s="39"/>
    </row>
    <row r="1021" spans="1:4" x14ac:dyDescent="0.2">
      <c r="A1021" s="76"/>
      <c r="B1021" s="76"/>
      <c r="C1021" s="39" t="s">
        <v>711</v>
      </c>
      <c r="D1021" s="39"/>
    </row>
    <row r="1022" spans="1:4" x14ac:dyDescent="0.2">
      <c r="A1022" s="76"/>
      <c r="B1022" s="76"/>
      <c r="C1022" s="39" t="s">
        <v>919</v>
      </c>
      <c r="D1022" s="39"/>
    </row>
    <row r="1023" spans="1:4" x14ac:dyDescent="0.2">
      <c r="A1023" s="76"/>
      <c r="B1023" s="76"/>
      <c r="C1023" s="39" t="s">
        <v>712</v>
      </c>
      <c r="D1023" s="39"/>
    </row>
    <row r="1024" spans="1:4" x14ac:dyDescent="0.2">
      <c r="A1024" s="76"/>
      <c r="B1024" s="76"/>
      <c r="C1024" s="39" t="s">
        <v>713</v>
      </c>
      <c r="D1024" s="39"/>
    </row>
    <row r="1025" spans="1:5" x14ac:dyDescent="0.2">
      <c r="A1025" s="76"/>
      <c r="B1025" s="76"/>
      <c r="C1025" s="39" t="s">
        <v>714</v>
      </c>
      <c r="D1025" s="39"/>
    </row>
    <row r="1026" spans="1:5" x14ac:dyDescent="0.2">
      <c r="A1026" s="76"/>
      <c r="B1026" s="76"/>
      <c r="C1026" s="39" t="s">
        <v>715</v>
      </c>
      <c r="D1026" s="39"/>
    </row>
    <row r="1027" spans="1:5" x14ac:dyDescent="0.2">
      <c r="A1027" s="76"/>
      <c r="B1027" s="76"/>
      <c r="C1027" s="39" t="s">
        <v>716</v>
      </c>
      <c r="D1027" s="39"/>
    </row>
    <row r="1028" spans="1:5" x14ac:dyDescent="0.2">
      <c r="A1028" s="76"/>
      <c r="B1028" s="76"/>
      <c r="C1028" s="39" t="s">
        <v>717</v>
      </c>
      <c r="D1028" s="39"/>
    </row>
    <row r="1029" spans="1:5" x14ac:dyDescent="0.2">
      <c r="A1029" s="76"/>
      <c r="B1029" s="76"/>
      <c r="C1029" s="39" t="s">
        <v>718</v>
      </c>
      <c r="D1029" s="39"/>
    </row>
    <row r="1030" spans="1:5" x14ac:dyDescent="0.2">
      <c r="A1030" s="76"/>
      <c r="B1030" s="76"/>
      <c r="C1030" s="39" t="s">
        <v>719</v>
      </c>
      <c r="D1030" s="39"/>
    </row>
    <row r="1031" spans="1:5" x14ac:dyDescent="0.2">
      <c r="A1031" s="76"/>
      <c r="B1031" s="76"/>
      <c r="C1031" s="118" t="s">
        <v>720</v>
      </c>
      <c r="D1031" s="39"/>
      <c r="E1031" t="s">
        <v>1182</v>
      </c>
    </row>
    <row r="1032" spans="1:5" x14ac:dyDescent="0.2">
      <c r="A1032" s="76"/>
      <c r="B1032" s="76"/>
      <c r="C1032" s="39" t="s">
        <v>721</v>
      </c>
      <c r="D1032" s="39"/>
    </row>
    <row r="1033" spans="1:5" x14ac:dyDescent="0.2">
      <c r="A1033" s="76"/>
      <c r="B1033" s="76"/>
      <c r="C1033" s="39" t="s">
        <v>102</v>
      </c>
      <c r="D1033" s="39"/>
    </row>
    <row r="1034" spans="1:5" x14ac:dyDescent="0.2">
      <c r="A1034" s="52" t="s">
        <v>506</v>
      </c>
      <c r="B1034" s="52" t="s">
        <v>1</v>
      </c>
      <c r="C1034" s="41" t="s">
        <v>472</v>
      </c>
      <c r="D1034" s="41"/>
      <c r="E1034" t="s">
        <v>1183</v>
      </c>
    </row>
    <row r="1035" spans="1:5" x14ac:dyDescent="0.2">
      <c r="A1035" s="53"/>
      <c r="B1035" s="53"/>
      <c r="C1035" s="41" t="s">
        <v>473</v>
      </c>
      <c r="D1035" s="41"/>
    </row>
    <row r="1036" spans="1:5" x14ac:dyDescent="0.2">
      <c r="A1036" s="53"/>
      <c r="B1036" s="53"/>
      <c r="C1036" s="41" t="s">
        <v>102</v>
      </c>
      <c r="D1036" s="41"/>
    </row>
    <row r="1037" spans="1:5" x14ac:dyDescent="0.2">
      <c r="A1037" s="75" t="s">
        <v>774</v>
      </c>
      <c r="B1037" s="75" t="s">
        <v>1</v>
      </c>
      <c r="C1037" s="39" t="s">
        <v>248</v>
      </c>
      <c r="D1037" s="39"/>
    </row>
    <row r="1038" spans="1:5" x14ac:dyDescent="0.2">
      <c r="A1038" s="76"/>
      <c r="B1038" s="76"/>
      <c r="C1038" s="39" t="s">
        <v>654</v>
      </c>
      <c r="D1038" s="39" t="s">
        <v>655</v>
      </c>
    </row>
    <row r="1039" spans="1:5" x14ac:dyDescent="0.2">
      <c r="A1039" s="76"/>
      <c r="B1039" s="76"/>
      <c r="C1039" s="39" t="s">
        <v>652</v>
      </c>
      <c r="D1039" s="39" t="s">
        <v>657</v>
      </c>
    </row>
    <row r="1040" spans="1:5" x14ac:dyDescent="0.2">
      <c r="A1040" s="76"/>
      <c r="B1040" s="76"/>
      <c r="C1040" s="39" t="s">
        <v>653</v>
      </c>
      <c r="D1040" s="39" t="s">
        <v>656</v>
      </c>
    </row>
    <row r="1044" spans="4:4" x14ac:dyDescent="0.2">
      <c r="D1044" s="9"/>
    </row>
    <row r="1045" spans="4:4" x14ac:dyDescent="0.2">
      <c r="D1045" s="9"/>
    </row>
    <row r="1046" spans="4:4" x14ac:dyDescent="0.2">
      <c r="D1046" s="9"/>
    </row>
    <row r="1047" spans="4:4" x14ac:dyDescent="0.2">
      <c r="D1047" s="9"/>
    </row>
    <row r="1072" spans="3:3" x14ac:dyDescent="0.2">
      <c r="C1072"/>
    </row>
    <row r="1073" spans="1:5" s="6" customFormat="1" x14ac:dyDescent="0.2">
      <c r="B1073"/>
      <c r="C1073"/>
      <c r="E1073"/>
    </row>
    <row r="1074" spans="1:5" s="6" customFormat="1" x14ac:dyDescent="0.2">
      <c r="A1074" s="30"/>
      <c r="B1074"/>
      <c r="C1074"/>
      <c r="E1074"/>
    </row>
    <row r="1075" spans="1:5" s="6" customFormat="1" x14ac:dyDescent="0.2">
      <c r="B1075"/>
      <c r="C1075" s="9"/>
      <c r="E1075"/>
    </row>
    <row r="1076" spans="1:5" s="6" customFormat="1" x14ac:dyDescent="0.2">
      <c r="B1076"/>
      <c r="C1076" s="9" t="s">
        <v>429</v>
      </c>
      <c r="E1076"/>
    </row>
    <row r="1077" spans="1:5" s="6" customFormat="1" x14ac:dyDescent="0.2">
      <c r="B1077"/>
      <c r="C1077" s="9" t="s">
        <v>2</v>
      </c>
      <c r="E1077"/>
    </row>
    <row r="1078" spans="1:5" s="6" customFormat="1" x14ac:dyDescent="0.2">
      <c r="B1078"/>
      <c r="C1078" s="9" t="s">
        <v>432</v>
      </c>
      <c r="E1078"/>
    </row>
    <row r="1079" spans="1:5" s="6" customFormat="1" x14ac:dyDescent="0.2">
      <c r="B1079"/>
      <c r="C1079" s="9" t="s">
        <v>430</v>
      </c>
      <c r="E1079"/>
    </row>
    <row r="1080" spans="1:5" s="6" customFormat="1" x14ac:dyDescent="0.2">
      <c r="B1080"/>
      <c r="C1080" s="9"/>
      <c r="E1080"/>
    </row>
    <row r="1081" spans="1:5" s="6" customFormat="1" x14ac:dyDescent="0.2">
      <c r="B1081"/>
      <c r="C1081" s="9" t="s">
        <v>429</v>
      </c>
      <c r="E1081"/>
    </row>
    <row r="1082" spans="1:5" s="6" customFormat="1" x14ac:dyDescent="0.2">
      <c r="B1082"/>
      <c r="C1082" s="9" t="s">
        <v>2</v>
      </c>
      <c r="E1082"/>
    </row>
    <row r="1083" spans="1:5" s="6" customFormat="1" x14ac:dyDescent="0.2">
      <c r="B1083"/>
      <c r="C1083" s="9" t="s">
        <v>432</v>
      </c>
      <c r="E1083"/>
    </row>
    <row r="1084" spans="1:5" s="6" customFormat="1" x14ac:dyDescent="0.2">
      <c r="B1084"/>
      <c r="C1084" s="9" t="s">
        <v>430</v>
      </c>
      <c r="E1084"/>
    </row>
    <row r="1085" spans="1:5" s="6" customFormat="1" x14ac:dyDescent="0.2">
      <c r="B1085"/>
      <c r="C1085" s="9" t="s">
        <v>767</v>
      </c>
      <c r="E1085"/>
    </row>
    <row r="1086" spans="1:5" s="6" customFormat="1" x14ac:dyDescent="0.2">
      <c r="B1086"/>
      <c r="C1086" s="9"/>
      <c r="E1086"/>
    </row>
    <row r="1087" spans="1:5" s="6" customFormat="1" x14ac:dyDescent="0.2">
      <c r="B1087"/>
      <c r="C1087" s="9" t="s">
        <v>429</v>
      </c>
      <c r="E1087"/>
    </row>
    <row r="1088" spans="1:5" s="6" customFormat="1" x14ac:dyDescent="0.2">
      <c r="B1088"/>
      <c r="C1088" s="9" t="s">
        <v>2</v>
      </c>
      <c r="E1088"/>
    </row>
    <row r="1089" spans="2:5" s="6" customFormat="1" x14ac:dyDescent="0.2">
      <c r="B1089"/>
      <c r="C1089" s="9" t="s">
        <v>430</v>
      </c>
      <c r="E1089"/>
    </row>
    <row r="1090" spans="2:5" s="6" customFormat="1" x14ac:dyDescent="0.2">
      <c r="B1090"/>
      <c r="C1090" s="9"/>
      <c r="E1090"/>
    </row>
    <row r="1091" spans="2:5" s="6" customFormat="1" x14ac:dyDescent="0.2">
      <c r="B1091"/>
      <c r="C1091" s="9" t="s">
        <v>775</v>
      </c>
      <c r="E1091"/>
    </row>
    <row r="1092" spans="2:5" s="6" customFormat="1" x14ac:dyDescent="0.2">
      <c r="B1092"/>
      <c r="C1092" s="9" t="s">
        <v>102</v>
      </c>
      <c r="E1092"/>
    </row>
    <row r="1093" spans="2:5" s="6" customFormat="1" x14ac:dyDescent="0.2">
      <c r="B1093"/>
      <c r="C1093" s="9"/>
      <c r="E1093"/>
    </row>
    <row r="1094" spans="2:5" s="6" customFormat="1" x14ac:dyDescent="0.2">
      <c r="B1094"/>
      <c r="C1094" s="9" t="s">
        <v>156</v>
      </c>
      <c r="E1094"/>
    </row>
    <row r="1095" spans="2:5" s="6" customFormat="1" x14ac:dyDescent="0.2">
      <c r="B1095"/>
      <c r="C1095" s="9" t="s">
        <v>665</v>
      </c>
      <c r="E1095"/>
    </row>
    <row r="1096" spans="2:5" s="6" customFormat="1" x14ac:dyDescent="0.2">
      <c r="B1096"/>
      <c r="C1096" s="9" t="s">
        <v>664</v>
      </c>
      <c r="E1096"/>
    </row>
    <row r="1097" spans="2:5" s="6" customFormat="1" x14ac:dyDescent="0.2">
      <c r="B1097"/>
      <c r="C1097" s="9" t="s">
        <v>79</v>
      </c>
      <c r="E1097"/>
    </row>
    <row r="1098" spans="2:5" s="6" customFormat="1" x14ac:dyDescent="0.2">
      <c r="B1098"/>
      <c r="C1098" s="9" t="s">
        <v>381</v>
      </c>
      <c r="E1098"/>
    </row>
    <row r="1099" spans="2:5" s="6" customFormat="1" x14ac:dyDescent="0.2">
      <c r="B1099"/>
      <c r="C1099" s="9" t="s">
        <v>72</v>
      </c>
      <c r="E1099"/>
    </row>
    <row r="1100" spans="2:5" s="6" customFormat="1" x14ac:dyDescent="0.2">
      <c r="B1100"/>
      <c r="C1100" s="9" t="s">
        <v>97</v>
      </c>
      <c r="E1100"/>
    </row>
    <row r="1101" spans="2:5" s="6" customFormat="1" x14ac:dyDescent="0.2">
      <c r="B1101"/>
      <c r="C1101" s="9" t="s">
        <v>98</v>
      </c>
      <c r="E1101"/>
    </row>
    <row r="1102" spans="2:5" s="6" customFormat="1" x14ac:dyDescent="0.2">
      <c r="B1102"/>
      <c r="C1102" s="9" t="s">
        <v>377</v>
      </c>
      <c r="E1102"/>
    </row>
    <row r="1103" spans="2:5" s="6" customFormat="1" x14ac:dyDescent="0.2">
      <c r="B1103"/>
      <c r="C1103" s="9" t="s">
        <v>382</v>
      </c>
      <c r="E1103"/>
    </row>
    <row r="1104" spans="2:5" s="6" customFormat="1" x14ac:dyDescent="0.2">
      <c r="B1104"/>
      <c r="C1104" s="9" t="s">
        <v>163</v>
      </c>
      <c r="E1104"/>
    </row>
    <row r="1105" spans="2:5" s="6" customFormat="1" x14ac:dyDescent="0.2">
      <c r="B1105"/>
      <c r="C1105" s="9" t="s">
        <v>102</v>
      </c>
      <c r="E1105"/>
    </row>
    <row r="1106" spans="2:5" s="6" customFormat="1" x14ac:dyDescent="0.2">
      <c r="B1106"/>
      <c r="C1106" s="9"/>
      <c r="E1106"/>
    </row>
    <row r="1107" spans="2:5" s="6" customFormat="1" x14ac:dyDescent="0.2">
      <c r="B1107"/>
      <c r="C1107" s="9"/>
      <c r="E1107"/>
    </row>
    <row r="1108" spans="2:5" x14ac:dyDescent="0.2">
      <c r="C1108" s="9" t="s">
        <v>302</v>
      </c>
    </row>
    <row r="1109" spans="2:5" s="6" customFormat="1" x14ac:dyDescent="0.2">
      <c r="B1109"/>
      <c r="C1109" s="9" t="s">
        <v>303</v>
      </c>
      <c r="E1109"/>
    </row>
    <row r="1110" spans="2:5" s="6" customFormat="1" x14ac:dyDescent="0.2">
      <c r="B1110"/>
      <c r="C1110" s="9" t="s">
        <v>301</v>
      </c>
      <c r="E1110"/>
    </row>
    <row r="1111" spans="2:5" s="6" customFormat="1" x14ac:dyDescent="0.2">
      <c r="B1111"/>
      <c r="C1111" s="9" t="s">
        <v>102</v>
      </c>
      <c r="E1111"/>
    </row>
    <row r="1112" spans="2:5" s="6" customFormat="1" x14ac:dyDescent="0.2">
      <c r="B1112"/>
      <c r="C1112" s="9"/>
      <c r="E1112"/>
    </row>
    <row r="1113" spans="2:5" s="6" customFormat="1" x14ac:dyDescent="0.2">
      <c r="B1113"/>
      <c r="C1113" s="9" t="s">
        <v>76</v>
      </c>
      <c r="E1113"/>
    </row>
    <row r="1114" spans="2:5" s="6" customFormat="1" x14ac:dyDescent="0.2">
      <c r="B1114"/>
      <c r="C1114" s="9" t="s">
        <v>88</v>
      </c>
      <c r="E1114"/>
    </row>
    <row r="1115" spans="2:5" s="6" customFormat="1" x14ac:dyDescent="0.2">
      <c r="B1115"/>
      <c r="C1115" s="9" t="s">
        <v>78</v>
      </c>
      <c r="E1115"/>
    </row>
    <row r="1116" spans="2:5" s="6" customFormat="1" x14ac:dyDescent="0.2">
      <c r="B1116"/>
      <c r="C1116" s="9" t="s">
        <v>102</v>
      </c>
      <c r="E1116"/>
    </row>
    <row r="1117" spans="2:5" s="6" customFormat="1" x14ac:dyDescent="0.2">
      <c r="B1117"/>
      <c r="C1117" s="9"/>
      <c r="E1117"/>
    </row>
    <row r="1118" spans="2:5" s="6" customFormat="1" x14ac:dyDescent="0.2">
      <c r="B1118"/>
      <c r="C1118" s="9" t="s">
        <v>805</v>
      </c>
      <c r="E1118"/>
    </row>
    <row r="1119" spans="2:5" s="6" customFormat="1" x14ac:dyDescent="0.2">
      <c r="B1119"/>
      <c r="C1119" s="9" t="s">
        <v>806</v>
      </c>
      <c r="E1119"/>
    </row>
    <row r="1120" spans="2:5" s="6" customFormat="1" x14ac:dyDescent="0.2">
      <c r="B1120"/>
      <c r="C1120" s="9"/>
      <c r="E1120"/>
    </row>
    <row r="1121" spans="2:5" x14ac:dyDescent="0.2">
      <c r="C1121" s="9" t="s">
        <v>805</v>
      </c>
    </row>
    <row r="1122" spans="2:5" s="6" customFormat="1" x14ac:dyDescent="0.2">
      <c r="B1122"/>
      <c r="C1122" s="9" t="s">
        <v>54</v>
      </c>
      <c r="E1122"/>
    </row>
    <row r="1123" spans="2:5" s="6" customFormat="1" x14ac:dyDescent="0.2">
      <c r="B1123"/>
      <c r="C1123" s="9" t="s">
        <v>69</v>
      </c>
      <c r="E1123"/>
    </row>
    <row r="1124" spans="2:5" s="6" customFormat="1" x14ac:dyDescent="0.2">
      <c r="B1124"/>
      <c r="C1124" s="9" t="s">
        <v>608</v>
      </c>
      <c r="E1124"/>
    </row>
    <row r="1125" spans="2:5" x14ac:dyDescent="0.2">
      <c r="C1125" s="9" t="s">
        <v>939</v>
      </c>
    </row>
    <row r="1126" spans="2:5" x14ac:dyDescent="0.2">
      <c r="C1126" s="9" t="s">
        <v>102</v>
      </c>
    </row>
    <row r="1129" spans="2:5" x14ac:dyDescent="0.2">
      <c r="C1129" s="9" t="s">
        <v>414</v>
      </c>
    </row>
    <row r="1130" spans="2:5" x14ac:dyDescent="0.2">
      <c r="C1130" s="9" t="s">
        <v>262</v>
      </c>
    </row>
    <row r="1131" spans="2:5" x14ac:dyDescent="0.2">
      <c r="C1131" s="9" t="s">
        <v>637</v>
      </c>
    </row>
    <row r="1132" spans="2:5" x14ac:dyDescent="0.2">
      <c r="C1132" s="9" t="s">
        <v>156</v>
      </c>
    </row>
    <row r="1133" spans="2:5" x14ac:dyDescent="0.2">
      <c r="C1133" s="9" t="s">
        <v>631</v>
      </c>
    </row>
    <row r="1134" spans="2:5" x14ac:dyDescent="0.2">
      <c r="C1134" s="9" t="s">
        <v>633</v>
      </c>
    </row>
    <row r="1135" spans="2:5" x14ac:dyDescent="0.2">
      <c r="C1135" s="9" t="s">
        <v>66</v>
      </c>
    </row>
    <row r="1136" spans="2:5" x14ac:dyDescent="0.2">
      <c r="C1136" s="9" t="s">
        <v>269</v>
      </c>
    </row>
    <row r="1137" spans="3:3" x14ac:dyDescent="0.2">
      <c r="C1137" s="9" t="s">
        <v>638</v>
      </c>
    </row>
    <row r="1138" spans="3:3" x14ac:dyDescent="0.2">
      <c r="C1138" s="9" t="s">
        <v>140</v>
      </c>
    </row>
    <row r="1139" spans="3:3" x14ac:dyDescent="0.2">
      <c r="C1139" s="9" t="s">
        <v>256</v>
      </c>
    </row>
    <row r="1140" spans="3:3" x14ac:dyDescent="0.2">
      <c r="C1140" s="9" t="s">
        <v>122</v>
      </c>
    </row>
    <row r="1141" spans="3:3" x14ac:dyDescent="0.2">
      <c r="C1141" s="9" t="s">
        <v>270</v>
      </c>
    </row>
    <row r="1142" spans="3:3" x14ac:dyDescent="0.2">
      <c r="C1142" s="9" t="s">
        <v>692</v>
      </c>
    </row>
    <row r="1143" spans="3:3" x14ac:dyDescent="0.2">
      <c r="C1143" s="9" t="s">
        <v>1152</v>
      </c>
    </row>
    <row r="1144" spans="3:3" x14ac:dyDescent="0.2">
      <c r="C1144" s="9" t="s">
        <v>267</v>
      </c>
    </row>
    <row r="1145" spans="3:3" x14ac:dyDescent="0.2">
      <c r="C1145" s="9" t="s">
        <v>264</v>
      </c>
    </row>
    <row r="1146" spans="3:3" x14ac:dyDescent="0.2">
      <c r="C1146" s="9" t="s">
        <v>265</v>
      </c>
    </row>
    <row r="1147" spans="3:3" x14ac:dyDescent="0.2">
      <c r="C1147" s="9" t="s">
        <v>254</v>
      </c>
    </row>
    <row r="1148" spans="3:3" x14ac:dyDescent="0.2">
      <c r="C1148" s="9" t="s">
        <v>261</v>
      </c>
    </row>
    <row r="1149" spans="3:3" x14ac:dyDescent="0.2">
      <c r="C1149" s="9" t="s">
        <v>71</v>
      </c>
    </row>
    <row r="1150" spans="3:3" x14ac:dyDescent="0.2">
      <c r="C1150" s="9" t="s">
        <v>259</v>
      </c>
    </row>
    <row r="1151" spans="3:3" x14ac:dyDescent="0.2">
      <c r="C1151" s="9" t="s">
        <v>75</v>
      </c>
    </row>
    <row r="1152" spans="3:3" x14ac:dyDescent="0.2">
      <c r="C1152" s="9" t="s">
        <v>263</v>
      </c>
    </row>
    <row r="1153" spans="3:3" x14ac:dyDescent="0.2">
      <c r="C1153" s="9" t="s">
        <v>635</v>
      </c>
    </row>
    <row r="1154" spans="3:3" x14ac:dyDescent="0.2">
      <c r="C1154" s="9" t="s">
        <v>636</v>
      </c>
    </row>
    <row r="1155" spans="3:3" x14ac:dyDescent="0.2">
      <c r="C1155" s="9" t="s">
        <v>266</v>
      </c>
    </row>
    <row r="1156" spans="3:3" x14ac:dyDescent="0.2">
      <c r="C1156" s="9" t="s">
        <v>85</v>
      </c>
    </row>
    <row r="1157" spans="3:3" x14ac:dyDescent="0.2">
      <c r="C1157" s="9" t="s">
        <v>632</v>
      </c>
    </row>
    <row r="1158" spans="3:3" x14ac:dyDescent="0.2">
      <c r="C1158" s="9" t="s">
        <v>630</v>
      </c>
    </row>
    <row r="1159" spans="3:3" x14ac:dyDescent="0.2">
      <c r="C1159" s="9" t="s">
        <v>640</v>
      </c>
    </row>
    <row r="1160" spans="3:3" x14ac:dyDescent="0.2">
      <c r="C1160" s="9" t="s">
        <v>255</v>
      </c>
    </row>
    <row r="1161" spans="3:3" x14ac:dyDescent="0.2">
      <c r="C1161" s="9" t="s">
        <v>722</v>
      </c>
    </row>
    <row r="1162" spans="3:3" x14ac:dyDescent="0.2">
      <c r="C1162" s="9" t="s">
        <v>34</v>
      </c>
    </row>
    <row r="1163" spans="3:3" ht="14.45" customHeight="1" x14ac:dyDescent="0.2">
      <c r="C1163" s="9" t="s">
        <v>629</v>
      </c>
    </row>
    <row r="1164" spans="3:3" x14ac:dyDescent="0.2">
      <c r="C1164" s="9" t="s">
        <v>634</v>
      </c>
    </row>
    <row r="1165" spans="3:3" x14ac:dyDescent="0.2">
      <c r="C1165" s="9" t="s">
        <v>252</v>
      </c>
    </row>
    <row r="1166" spans="3:3" x14ac:dyDescent="0.2">
      <c r="C1166" s="9" t="s">
        <v>258</v>
      </c>
    </row>
    <row r="1167" spans="3:3" x14ac:dyDescent="0.2">
      <c r="C1167" s="9" t="s">
        <v>257</v>
      </c>
    </row>
    <row r="1168" spans="3:3" x14ac:dyDescent="0.2">
      <c r="C1168" s="9" t="s">
        <v>253</v>
      </c>
    </row>
    <row r="1169" spans="3:3" x14ac:dyDescent="0.2">
      <c r="C1169" s="9" t="s">
        <v>260</v>
      </c>
    </row>
    <row r="1170" spans="3:3" x14ac:dyDescent="0.2">
      <c r="C1170" s="9" t="s">
        <v>102</v>
      </c>
    </row>
    <row r="1171" spans="3:3" x14ac:dyDescent="0.2">
      <c r="C1171" s="9" t="s">
        <v>862</v>
      </c>
    </row>
    <row r="1172" spans="3:3" x14ac:dyDescent="0.2">
      <c r="C1172" s="9" t="s">
        <v>863</v>
      </c>
    </row>
    <row r="1173" spans="3:3" x14ac:dyDescent="0.2">
      <c r="C1173" s="9" t="s">
        <v>864</v>
      </c>
    </row>
    <row r="1174" spans="3:3" x14ac:dyDescent="0.2">
      <c r="C1174" s="9" t="s">
        <v>865</v>
      </c>
    </row>
    <row r="1175" spans="3:3" x14ac:dyDescent="0.2">
      <c r="C1175" s="9" t="s">
        <v>866</v>
      </c>
    </row>
    <row r="1176" spans="3:3" x14ac:dyDescent="0.2">
      <c r="C1176" s="9" t="s">
        <v>867</v>
      </c>
    </row>
    <row r="1177" spans="3:3" x14ac:dyDescent="0.2">
      <c r="C1177" s="9" t="s">
        <v>868</v>
      </c>
    </row>
    <row r="1178" spans="3:3" x14ac:dyDescent="0.2">
      <c r="C1178" s="9" t="s">
        <v>869</v>
      </c>
    </row>
    <row r="1179" spans="3:3" x14ac:dyDescent="0.2">
      <c r="C1179" s="9" t="s">
        <v>870</v>
      </c>
    </row>
    <row r="1180" spans="3:3" x14ac:dyDescent="0.2">
      <c r="C1180" s="9" t="s">
        <v>871</v>
      </c>
    </row>
    <row r="1181" spans="3:3" x14ac:dyDescent="0.2">
      <c r="C1181" s="9" t="s">
        <v>872</v>
      </c>
    </row>
    <row r="1182" spans="3:3" x14ac:dyDescent="0.2">
      <c r="C1182" s="9" t="s">
        <v>873</v>
      </c>
    </row>
    <row r="1183" spans="3:3" x14ac:dyDescent="0.2">
      <c r="C1183" s="9" t="s">
        <v>874</v>
      </c>
    </row>
    <row r="1184" spans="3:3" x14ac:dyDescent="0.2">
      <c r="C1184" s="9" t="s">
        <v>875</v>
      </c>
    </row>
    <row r="1185" spans="3:3" x14ac:dyDescent="0.2">
      <c r="C1185" s="9" t="s">
        <v>876</v>
      </c>
    </row>
    <row r="1186" spans="3:3" x14ac:dyDescent="0.2">
      <c r="C1186" s="9" t="s">
        <v>877</v>
      </c>
    </row>
    <row r="1187" spans="3:3" x14ac:dyDescent="0.2">
      <c r="C1187" s="9" t="s">
        <v>861</v>
      </c>
    </row>
    <row r="1188" spans="3:3" x14ac:dyDescent="0.2">
      <c r="C1188" s="9" t="s">
        <v>1128</v>
      </c>
    </row>
    <row r="1189" spans="3:3" x14ac:dyDescent="0.2">
      <c r="C1189" s="9" t="s">
        <v>1130</v>
      </c>
    </row>
    <row r="1190" spans="3:3" x14ac:dyDescent="0.2">
      <c r="C1190" s="9" t="s">
        <v>1132</v>
      </c>
    </row>
    <row r="1191" spans="3:3" x14ac:dyDescent="0.2">
      <c r="C1191" s="9" t="s">
        <v>878</v>
      </c>
    </row>
    <row r="1192" spans="3:3" x14ac:dyDescent="0.2">
      <c r="C1192" s="117" t="s">
        <v>1134</v>
      </c>
    </row>
    <row r="1193" spans="3:3" x14ac:dyDescent="0.2">
      <c r="C1193" s="9" t="s">
        <v>879</v>
      </c>
    </row>
    <row r="1194" spans="3:3" x14ac:dyDescent="0.2">
      <c r="C1194" s="9" t="s">
        <v>880</v>
      </c>
    </row>
    <row r="1195" spans="3:3" x14ac:dyDescent="0.2">
      <c r="C1195" s="9" t="s">
        <v>881</v>
      </c>
    </row>
    <row r="1196" spans="3:3" x14ac:dyDescent="0.2">
      <c r="C1196" s="9" t="s">
        <v>882</v>
      </c>
    </row>
    <row r="1197" spans="3:3" x14ac:dyDescent="0.2">
      <c r="C1197" s="9" t="s">
        <v>883</v>
      </c>
    </row>
    <row r="1198" spans="3:3" x14ac:dyDescent="0.2">
      <c r="C1198" s="9" t="s">
        <v>884</v>
      </c>
    </row>
    <row r="1199" spans="3:3" x14ac:dyDescent="0.2">
      <c r="C1199" s="9" t="s">
        <v>857</v>
      </c>
    </row>
    <row r="1200" spans="3:3" x14ac:dyDescent="0.2">
      <c r="C1200" s="9" t="s">
        <v>1136</v>
      </c>
    </row>
    <row r="1201" spans="3:3" x14ac:dyDescent="0.2">
      <c r="C1201" s="9" t="s">
        <v>885</v>
      </c>
    </row>
    <row r="1202" spans="3:3" x14ac:dyDescent="0.2">
      <c r="C1202" s="9" t="s">
        <v>1138</v>
      </c>
    </row>
    <row r="1203" spans="3:3" x14ac:dyDescent="0.2">
      <c r="C1203" s="9" t="s">
        <v>886</v>
      </c>
    </row>
    <row r="1204" spans="3:3" x14ac:dyDescent="0.2">
      <c r="C1204" s="9" t="s">
        <v>887</v>
      </c>
    </row>
    <row r="1205" spans="3:3" x14ac:dyDescent="0.2">
      <c r="C1205" s="9" t="s">
        <v>888</v>
      </c>
    </row>
    <row r="1206" spans="3:3" x14ac:dyDescent="0.2">
      <c r="C1206" s="9" t="s">
        <v>889</v>
      </c>
    </row>
    <row r="1207" spans="3:3" x14ac:dyDescent="0.2">
      <c r="C1207" s="9" t="s">
        <v>1140</v>
      </c>
    </row>
    <row r="1208" spans="3:3" x14ac:dyDescent="0.2">
      <c r="C1208" s="9" t="s">
        <v>890</v>
      </c>
    </row>
    <row r="1209" spans="3:3" x14ac:dyDescent="0.2">
      <c r="C1209" s="9" t="s">
        <v>891</v>
      </c>
    </row>
    <row r="1210" spans="3:3" x14ac:dyDescent="0.2">
      <c r="C1210" s="9" t="s">
        <v>892</v>
      </c>
    </row>
    <row r="1211" spans="3:3" x14ac:dyDescent="0.2">
      <c r="C1211" s="9" t="s">
        <v>893</v>
      </c>
    </row>
    <row r="1212" spans="3:3" x14ac:dyDescent="0.2">
      <c r="C1212" s="9" t="s">
        <v>894</v>
      </c>
    </row>
    <row r="1213" spans="3:3" x14ac:dyDescent="0.2">
      <c r="C1213" s="9" t="s">
        <v>895</v>
      </c>
    </row>
    <row r="1214" spans="3:3" x14ac:dyDescent="0.2">
      <c r="C1214" s="9" t="s">
        <v>195</v>
      </c>
    </row>
    <row r="1215" spans="3:3" x14ac:dyDescent="0.2">
      <c r="C1215" s="9" t="s">
        <v>1141</v>
      </c>
    </row>
    <row r="1216" spans="3:3" x14ac:dyDescent="0.2">
      <c r="C1216" s="9" t="s">
        <v>896</v>
      </c>
    </row>
    <row r="1217" spans="3:3" x14ac:dyDescent="0.2">
      <c r="C1217" s="9" t="s">
        <v>897</v>
      </c>
    </row>
    <row r="1218" spans="3:3" x14ac:dyDescent="0.2">
      <c r="C1218" s="9" t="s">
        <v>1143</v>
      </c>
    </row>
    <row r="1219" spans="3:3" x14ac:dyDescent="0.2">
      <c r="C1219" s="9" t="s">
        <v>249</v>
      </c>
    </row>
    <row r="1220" spans="3:3" x14ac:dyDescent="0.2">
      <c r="C1220" s="9" t="s">
        <v>898</v>
      </c>
    </row>
    <row r="1221" spans="3:3" x14ac:dyDescent="0.2">
      <c r="C1221" s="9" t="s">
        <v>899</v>
      </c>
    </row>
    <row r="1222" spans="3:3" x14ac:dyDescent="0.2">
      <c r="C1222" s="9" t="s">
        <v>900</v>
      </c>
    </row>
    <row r="1223" spans="3:3" x14ac:dyDescent="0.2">
      <c r="C1223" s="9" t="s">
        <v>901</v>
      </c>
    </row>
    <row r="1224" spans="3:3" x14ac:dyDescent="0.2">
      <c r="C1224" s="9" t="s">
        <v>902</v>
      </c>
    </row>
    <row r="1225" spans="3:3" x14ac:dyDescent="0.2">
      <c r="C1225" s="9" t="s">
        <v>202</v>
      </c>
    </row>
    <row r="1226" spans="3:3" x14ac:dyDescent="0.2">
      <c r="C1226" s="9" t="s">
        <v>903</v>
      </c>
    </row>
    <row r="1227" spans="3:3" x14ac:dyDescent="0.2">
      <c r="C1227" s="9" t="s">
        <v>904</v>
      </c>
    </row>
    <row r="1228" spans="3:3" x14ac:dyDescent="0.2">
      <c r="C1228" s="9" t="s">
        <v>951</v>
      </c>
    </row>
    <row r="1229" spans="3:3" x14ac:dyDescent="0.2">
      <c r="C1229" s="9" t="s">
        <v>952</v>
      </c>
    </row>
    <row r="1230" spans="3:3" x14ac:dyDescent="0.2">
      <c r="C1230" s="9" t="s">
        <v>953</v>
      </c>
    </row>
    <row r="1231" spans="3:3" x14ac:dyDescent="0.2">
      <c r="C1231" s="9" t="s">
        <v>905</v>
      </c>
    </row>
    <row r="1232" spans="3:3" x14ac:dyDescent="0.2">
      <c r="C1232" s="9" t="s">
        <v>906</v>
      </c>
    </row>
    <row r="1233" spans="3:3" x14ac:dyDescent="0.2">
      <c r="C1233" s="9" t="s">
        <v>907</v>
      </c>
    </row>
    <row r="1234" spans="3:3" x14ac:dyDescent="0.2">
      <c r="C1234" s="9" t="s">
        <v>908</v>
      </c>
    </row>
    <row r="1235" spans="3:3" x14ac:dyDescent="0.2">
      <c r="C1235" s="9" t="s">
        <v>909</v>
      </c>
    </row>
    <row r="1236" spans="3:3" x14ac:dyDescent="0.2">
      <c r="C1236" s="9" t="s">
        <v>950</v>
      </c>
    </row>
    <row r="1237" spans="3:3" x14ac:dyDescent="0.2">
      <c r="C1237" s="9" t="s">
        <v>911</v>
      </c>
    </row>
    <row r="1238" spans="3:3" x14ac:dyDescent="0.2">
      <c r="C1238" s="9" t="s">
        <v>912</v>
      </c>
    </row>
    <row r="1239" spans="3:3" x14ac:dyDescent="0.2">
      <c r="C1239" s="9" t="s">
        <v>858</v>
      </c>
    </row>
    <row r="1240" spans="3:3" x14ac:dyDescent="0.2">
      <c r="C1240" s="9" t="s">
        <v>859</v>
      </c>
    </row>
    <row r="1241" spans="3:3" x14ac:dyDescent="0.2">
      <c r="C1241" s="9" t="s">
        <v>913</v>
      </c>
    </row>
    <row r="1242" spans="3:3" x14ac:dyDescent="0.2">
      <c r="C1242" s="9" t="s">
        <v>860</v>
      </c>
    </row>
    <row r="1243" spans="3:3" x14ac:dyDescent="0.2">
      <c r="C1243" s="9" t="s">
        <v>914</v>
      </c>
    </row>
    <row r="1244" spans="3:3" x14ac:dyDescent="0.2">
      <c r="C1244" s="9" t="s">
        <v>915</v>
      </c>
    </row>
    <row r="1245" spans="3:3" x14ac:dyDescent="0.2">
      <c r="C1245" s="9" t="s">
        <v>130</v>
      </c>
    </row>
    <row r="1248" spans="3:3" x14ac:dyDescent="0.2">
      <c r="C1248" s="9" t="s">
        <v>958</v>
      </c>
    </row>
    <row r="1249" spans="3:3" x14ac:dyDescent="0.2">
      <c r="C1249" s="9" t="s">
        <v>54</v>
      </c>
    </row>
    <row r="1250" spans="3:3" x14ac:dyDescent="0.2">
      <c r="C1250" s="9" t="s">
        <v>69</v>
      </c>
    </row>
    <row r="1251" spans="3:3" x14ac:dyDescent="0.2">
      <c r="C1251" s="9" t="s">
        <v>678</v>
      </c>
    </row>
    <row r="1252" spans="3:3" x14ac:dyDescent="0.2">
      <c r="C1252" s="9" t="s">
        <v>680</v>
      </c>
    </row>
    <row r="1253" spans="3:3" x14ac:dyDescent="0.2">
      <c r="C1253" s="9" t="s">
        <v>102</v>
      </c>
    </row>
    <row r="1255" spans="3:3" x14ac:dyDescent="0.2">
      <c r="C1255" s="9" t="s">
        <v>958</v>
      </c>
    </row>
    <row r="1256" spans="3:3" x14ac:dyDescent="0.2">
      <c r="C1256" s="9" t="s">
        <v>608</v>
      </c>
    </row>
    <row r="1257" spans="3:3" x14ac:dyDescent="0.2">
      <c r="C1257" s="9" t="s">
        <v>939</v>
      </c>
    </row>
    <row r="1258" spans="3:3" x14ac:dyDescent="0.2">
      <c r="C1258" s="9" t="s">
        <v>54</v>
      </c>
    </row>
    <row r="1259" spans="3:3" x14ac:dyDescent="0.2">
      <c r="C1259" s="9" t="s">
        <v>102</v>
      </c>
    </row>
    <row r="1261" spans="3:3" x14ac:dyDescent="0.2">
      <c r="C1261" s="9" t="s">
        <v>805</v>
      </c>
    </row>
    <row r="1262" spans="3:3" x14ac:dyDescent="0.2">
      <c r="C1262" s="9" t="s">
        <v>54</v>
      </c>
    </row>
    <row r="1263" spans="3:3" x14ac:dyDescent="0.2">
      <c r="C1263" s="9" t="s">
        <v>680</v>
      </c>
    </row>
    <row r="1264" spans="3:3" x14ac:dyDescent="0.2">
      <c r="C1264" s="9" t="s">
        <v>678</v>
      </c>
    </row>
    <row r="1265" spans="3:3" x14ac:dyDescent="0.2">
      <c r="C1265" s="9" t="s">
        <v>102</v>
      </c>
    </row>
    <row r="1267" spans="3:3" x14ac:dyDescent="0.2">
      <c r="C1267" s="9" t="s">
        <v>958</v>
      </c>
    </row>
    <row r="1268" spans="3:3" x14ac:dyDescent="0.2">
      <c r="C1268" s="9" t="s">
        <v>54</v>
      </c>
    </row>
    <row r="1269" spans="3:3" x14ac:dyDescent="0.2">
      <c r="C1269" s="9" t="s">
        <v>102</v>
      </c>
    </row>
    <row r="1272" spans="3:3" x14ac:dyDescent="0.2">
      <c r="C1272" s="9" t="s">
        <v>805</v>
      </c>
    </row>
    <row r="1273" spans="3:3" x14ac:dyDescent="0.2">
      <c r="C1273" s="9" t="s">
        <v>54</v>
      </c>
    </row>
    <row r="1274" spans="3:3" x14ac:dyDescent="0.2">
      <c r="C1274" s="9" t="s">
        <v>69</v>
      </c>
    </row>
    <row r="1275" spans="3:3" x14ac:dyDescent="0.2">
      <c r="C1275" s="9" t="s">
        <v>608</v>
      </c>
    </row>
    <row r="1276" spans="3:3" x14ac:dyDescent="0.2">
      <c r="C1276" s="9" t="s">
        <v>678</v>
      </c>
    </row>
    <row r="1277" spans="3:3" x14ac:dyDescent="0.2">
      <c r="C1277" s="9" t="s">
        <v>679</v>
      </c>
    </row>
    <row r="1278" spans="3:3" x14ac:dyDescent="0.2">
      <c r="C1278" s="9" t="s">
        <v>680</v>
      </c>
    </row>
    <row r="1279" spans="3:3" x14ac:dyDescent="0.2">
      <c r="C1279" s="9" t="s">
        <v>681</v>
      </c>
    </row>
    <row r="1280" spans="3:3" x14ac:dyDescent="0.2">
      <c r="C1280" s="9" t="s">
        <v>939</v>
      </c>
    </row>
    <row r="1281" spans="3:3" x14ac:dyDescent="0.2">
      <c r="C1281" s="9" t="s">
        <v>102</v>
      </c>
    </row>
    <row r="1283" spans="3:3" x14ac:dyDescent="0.2">
      <c r="C1283" s="9" t="s">
        <v>311</v>
      </c>
    </row>
    <row r="1284" spans="3:3" x14ac:dyDescent="0.2">
      <c r="C1284" s="9" t="s">
        <v>927</v>
      </c>
    </row>
    <row r="1285" spans="3:3" x14ac:dyDescent="0.2">
      <c r="C1285" s="9" t="s">
        <v>476</v>
      </c>
    </row>
    <row r="1286" spans="3:3" x14ac:dyDescent="0.2">
      <c r="C1286" s="9" t="s">
        <v>479</v>
      </c>
    </row>
    <row r="1287" spans="3:3" x14ac:dyDescent="0.2">
      <c r="C1287" s="9" t="s">
        <v>480</v>
      </c>
    </row>
    <row r="1288" spans="3:3" x14ac:dyDescent="0.2">
      <c r="C1288" s="9" t="s">
        <v>477</v>
      </c>
    </row>
    <row r="1289" spans="3:3" x14ac:dyDescent="0.2">
      <c r="C1289" s="9" t="s">
        <v>481</v>
      </c>
    </row>
    <row r="1290" spans="3:3" x14ac:dyDescent="0.2">
      <c r="C1290" s="9" t="s">
        <v>478</v>
      </c>
    </row>
    <row r="1291" spans="3:3" x14ac:dyDescent="0.2">
      <c r="C1291" s="9" t="s">
        <v>482</v>
      </c>
    </row>
    <row r="1292" spans="3:3" x14ac:dyDescent="0.2">
      <c r="C1292" s="9" t="s">
        <v>483</v>
      </c>
    </row>
    <row r="1293" spans="3:3" x14ac:dyDescent="0.2">
      <c r="C1293" s="9" t="s">
        <v>485</v>
      </c>
    </row>
    <row r="1294" spans="3:3" x14ac:dyDescent="0.2">
      <c r="C1294" s="9" t="s">
        <v>484</v>
      </c>
    </row>
    <row r="1295" spans="3:3" x14ac:dyDescent="0.2">
      <c r="C1295" s="9" t="s">
        <v>486</v>
      </c>
    </row>
    <row r="1296" spans="3:3" x14ac:dyDescent="0.2">
      <c r="C1296" s="9" t="s">
        <v>487</v>
      </c>
    </row>
    <row r="1297" spans="3:3" x14ac:dyDescent="0.2">
      <c r="C1297" s="9" t="s">
        <v>488</v>
      </c>
    </row>
    <row r="1298" spans="3:3" x14ac:dyDescent="0.2">
      <c r="C1298" s="9" t="s">
        <v>489</v>
      </c>
    </row>
    <row r="1299" spans="3:3" x14ac:dyDescent="0.2">
      <c r="C1299" s="9" t="s">
        <v>490</v>
      </c>
    </row>
    <row r="1300" spans="3:3" x14ac:dyDescent="0.2">
      <c r="C1300" s="9" t="s">
        <v>491</v>
      </c>
    </row>
    <row r="1301" spans="3:3" x14ac:dyDescent="0.2">
      <c r="C1301" s="9" t="s">
        <v>492</v>
      </c>
    </row>
    <row r="1302" spans="3:3" x14ac:dyDescent="0.2">
      <c r="C1302" s="9" t="s">
        <v>493</v>
      </c>
    </row>
    <row r="1303" spans="3:3" x14ac:dyDescent="0.2">
      <c r="C1303" s="9" t="s">
        <v>494</v>
      </c>
    </row>
    <row r="1304" spans="3:3" x14ac:dyDescent="0.2">
      <c r="C1304" s="9" t="s">
        <v>495</v>
      </c>
    </row>
    <row r="1305" spans="3:3" x14ac:dyDescent="0.2">
      <c r="C1305" s="9" t="s">
        <v>593</v>
      </c>
    </row>
    <row r="1306" spans="3:3" x14ac:dyDescent="0.2">
      <c r="C1306" s="9" t="s">
        <v>496</v>
      </c>
    </row>
    <row r="1307" spans="3:3" x14ac:dyDescent="0.2">
      <c r="C1307" s="9" t="s">
        <v>497</v>
      </c>
    </row>
    <row r="1308" spans="3:3" x14ac:dyDescent="0.2">
      <c r="C1308" s="9" t="s">
        <v>498</v>
      </c>
    </row>
    <row r="1309" spans="3:3" x14ac:dyDescent="0.2">
      <c r="C1309" s="9" t="s">
        <v>499</v>
      </c>
    </row>
    <row r="1310" spans="3:3" x14ac:dyDescent="0.2">
      <c r="C1310" s="9" t="s">
        <v>500</v>
      </c>
    </row>
    <row r="1311" spans="3:3" x14ac:dyDescent="0.2">
      <c r="C1311" s="9" t="s">
        <v>501</v>
      </c>
    </row>
    <row r="1312" spans="3:3" x14ac:dyDescent="0.2">
      <c r="C1312" s="9" t="s">
        <v>502</v>
      </c>
    </row>
    <row r="1313" spans="3:3" x14ac:dyDescent="0.2">
      <c r="C1313" s="9" t="s">
        <v>503</v>
      </c>
    </row>
    <row r="1314" spans="3:3" x14ac:dyDescent="0.2">
      <c r="C1314" s="9" t="s">
        <v>504</v>
      </c>
    </row>
    <row r="1315" spans="3:3" x14ac:dyDescent="0.2">
      <c r="C1315" s="9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45" customWidth="1"/>
    <col min="2" max="2" width="48.75" style="45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95" t="s">
        <v>789</v>
      </c>
      <c r="B1" s="96" t="s">
        <v>790</v>
      </c>
      <c r="C1" s="96" t="s">
        <v>800</v>
      </c>
      <c r="D1" s="97" t="s">
        <v>947</v>
      </c>
    </row>
    <row r="2" spans="1:4" ht="15.75" hidden="1" outlineLevel="1" x14ac:dyDescent="0.2">
      <c r="A2" s="26" t="s">
        <v>31</v>
      </c>
      <c r="B2" s="27" t="s">
        <v>651</v>
      </c>
      <c r="C2" s="26">
        <v>5.0999999999999996</v>
      </c>
      <c r="D2" s="99"/>
    </row>
    <row r="3" spans="1:4" ht="15.75" hidden="1" outlineLevel="1" x14ac:dyDescent="0.2">
      <c r="A3" s="26" t="s">
        <v>31</v>
      </c>
      <c r="B3" s="27" t="s">
        <v>0</v>
      </c>
      <c r="C3" s="26">
        <v>5.2</v>
      </c>
      <c r="D3" s="99"/>
    </row>
    <row r="4" spans="1:4" ht="15.75" hidden="1" outlineLevel="1" x14ac:dyDescent="0.2">
      <c r="A4" s="26" t="s">
        <v>31</v>
      </c>
      <c r="B4" s="27" t="s">
        <v>723</v>
      </c>
      <c r="C4" s="26">
        <v>5.4</v>
      </c>
      <c r="D4" s="99"/>
    </row>
    <row r="5" spans="1:4" ht="15.75" hidden="1" outlineLevel="1" x14ac:dyDescent="0.2">
      <c r="A5" s="26" t="s">
        <v>31</v>
      </c>
      <c r="B5" s="27" t="s">
        <v>741</v>
      </c>
      <c r="C5" s="26">
        <v>5.7</v>
      </c>
      <c r="D5" s="99"/>
    </row>
    <row r="6" spans="1:4" ht="15.75" hidden="1" outlineLevel="1" x14ac:dyDescent="0.2">
      <c r="A6" s="26" t="s">
        <v>31</v>
      </c>
      <c r="B6" s="27" t="s">
        <v>742</v>
      </c>
      <c r="C6" s="26">
        <v>5.1100000000000003</v>
      </c>
      <c r="D6" s="99"/>
    </row>
    <row r="7" spans="1:4" ht="15.75" hidden="1" outlineLevel="1" x14ac:dyDescent="0.2">
      <c r="A7" s="26" t="s">
        <v>31</v>
      </c>
      <c r="B7" s="27" t="s">
        <v>1</v>
      </c>
      <c r="C7" s="26">
        <v>5.26</v>
      </c>
      <c r="D7" s="99"/>
    </row>
    <row r="8" spans="1:4" ht="15.75" hidden="1" outlineLevel="1" x14ac:dyDescent="0.2">
      <c r="A8" s="26" t="s">
        <v>31</v>
      </c>
      <c r="B8" s="27" t="s">
        <v>604</v>
      </c>
      <c r="C8" s="26">
        <v>5.27</v>
      </c>
      <c r="D8" s="99"/>
    </row>
    <row r="9" spans="1:4" ht="15.75" hidden="1" outlineLevel="1" x14ac:dyDescent="0.2">
      <c r="A9" s="26" t="s">
        <v>31</v>
      </c>
      <c r="B9" s="27" t="s">
        <v>606</v>
      </c>
      <c r="C9" s="26">
        <v>5.36</v>
      </c>
      <c r="D9" s="99"/>
    </row>
    <row r="10" spans="1:4" ht="15.75" hidden="1" outlineLevel="1" x14ac:dyDescent="0.2">
      <c r="A10" s="26" t="s">
        <v>31</v>
      </c>
      <c r="B10" s="27" t="s">
        <v>772</v>
      </c>
      <c r="C10" s="28">
        <v>5.5</v>
      </c>
      <c r="D10" s="99"/>
    </row>
    <row r="11" spans="1:4" ht="15.75" hidden="1" outlineLevel="1" x14ac:dyDescent="0.2">
      <c r="A11" s="26" t="s">
        <v>31</v>
      </c>
      <c r="B11" s="27" t="s">
        <v>8</v>
      </c>
      <c r="C11" s="26">
        <v>5.51</v>
      </c>
      <c r="D11" s="99"/>
    </row>
    <row r="12" spans="1:4" ht="15.75" hidden="1" outlineLevel="1" x14ac:dyDescent="0.2">
      <c r="A12" s="26" t="s">
        <v>31</v>
      </c>
      <c r="B12" s="27" t="s">
        <v>396</v>
      </c>
      <c r="C12" s="26">
        <v>5.53</v>
      </c>
      <c r="D12" s="99"/>
    </row>
    <row r="13" spans="1:4" ht="15.75" hidden="1" outlineLevel="1" x14ac:dyDescent="0.2">
      <c r="A13" s="26" t="s">
        <v>31</v>
      </c>
      <c r="B13" s="27" t="s">
        <v>922</v>
      </c>
      <c r="C13" s="26">
        <v>5.59</v>
      </c>
      <c r="D13" s="99"/>
    </row>
    <row r="14" spans="1:4" ht="15.75" hidden="1" outlineLevel="1" x14ac:dyDescent="0.2">
      <c r="A14" s="26" t="s">
        <v>31</v>
      </c>
      <c r="B14" s="27" t="s">
        <v>11</v>
      </c>
      <c r="C14" s="26">
        <v>5.54</v>
      </c>
      <c r="D14" s="99"/>
    </row>
    <row r="15" spans="1:4" ht="15.75" hidden="1" outlineLevel="1" x14ac:dyDescent="0.2">
      <c r="A15" s="26" t="s">
        <v>31</v>
      </c>
      <c r="B15" s="27" t="s">
        <v>14</v>
      </c>
      <c r="C15" s="28">
        <v>5.7</v>
      </c>
      <c r="D15" s="98" t="s">
        <v>935</v>
      </c>
    </row>
    <row r="16" spans="1:4" ht="15.75" hidden="1" outlineLevel="1" x14ac:dyDescent="0.2">
      <c r="A16" s="26" t="s">
        <v>31</v>
      </c>
      <c r="B16" s="27" t="s">
        <v>1153</v>
      </c>
      <c r="C16" s="26">
        <v>5.63</v>
      </c>
      <c r="D16" s="99"/>
    </row>
    <row r="17" spans="1:4" ht="15.75" hidden="1" outlineLevel="1" x14ac:dyDescent="0.2">
      <c r="A17" s="26" t="s">
        <v>31</v>
      </c>
      <c r="B17" s="27" t="s">
        <v>19</v>
      </c>
      <c r="C17" s="26">
        <v>5.47</v>
      </c>
      <c r="D17" s="99"/>
    </row>
    <row r="18" spans="1:4" ht="15.75" hidden="1" outlineLevel="1" x14ac:dyDescent="0.2">
      <c r="A18" s="26" t="s">
        <v>31</v>
      </c>
      <c r="B18" s="27" t="s">
        <v>30</v>
      </c>
      <c r="C18" s="26">
        <v>5.48</v>
      </c>
      <c r="D18" s="99"/>
    </row>
    <row r="19" spans="1:4" ht="15.75" collapsed="1" x14ac:dyDescent="0.2">
      <c r="A19" s="31" t="s">
        <v>31</v>
      </c>
      <c r="B19" s="27"/>
      <c r="C19" s="26"/>
      <c r="D19" s="99"/>
    </row>
    <row r="20" spans="1:4" ht="15.75" hidden="1" outlineLevel="1" x14ac:dyDescent="0.2">
      <c r="A20" s="26" t="s">
        <v>40</v>
      </c>
      <c r="B20" s="27" t="s">
        <v>651</v>
      </c>
      <c r="C20" s="26">
        <v>5.0999999999999996</v>
      </c>
      <c r="D20" s="99"/>
    </row>
    <row r="21" spans="1:4" ht="15.75" hidden="1" outlineLevel="1" x14ac:dyDescent="0.2">
      <c r="A21" s="26" t="s">
        <v>40</v>
      </c>
      <c r="B21" s="27" t="s">
        <v>0</v>
      </c>
      <c r="C21" s="26">
        <v>5.2</v>
      </c>
      <c r="D21" s="99"/>
    </row>
    <row r="22" spans="1:4" ht="15.75" hidden="1" outlineLevel="1" x14ac:dyDescent="0.2">
      <c r="A22" s="26" t="s">
        <v>40</v>
      </c>
      <c r="B22" s="27" t="s">
        <v>724</v>
      </c>
      <c r="C22" s="26">
        <v>5.3</v>
      </c>
      <c r="D22" s="99"/>
    </row>
    <row r="23" spans="1:4" ht="15.75" hidden="1" outlineLevel="1" x14ac:dyDescent="0.2">
      <c r="A23" s="26" t="s">
        <v>40</v>
      </c>
      <c r="B23" s="27" t="s">
        <v>3</v>
      </c>
      <c r="C23" s="26">
        <v>5.14</v>
      </c>
      <c r="D23" s="99"/>
    </row>
    <row r="24" spans="1:4" ht="15.75" hidden="1" outlineLevel="1" x14ac:dyDescent="0.2">
      <c r="A24" s="26" t="s">
        <v>40</v>
      </c>
      <c r="B24" s="27" t="s">
        <v>29</v>
      </c>
      <c r="C24" s="26">
        <v>5.19</v>
      </c>
      <c r="D24" s="99"/>
    </row>
    <row r="25" spans="1:4" ht="15.75" hidden="1" outlineLevel="1" x14ac:dyDescent="0.2">
      <c r="A25" s="26" t="s">
        <v>40</v>
      </c>
      <c r="B25" s="27" t="s">
        <v>1</v>
      </c>
      <c r="C25" s="26">
        <v>5.26</v>
      </c>
      <c r="D25" s="99"/>
    </row>
    <row r="26" spans="1:4" ht="15.75" hidden="1" outlineLevel="1" x14ac:dyDescent="0.2">
      <c r="A26" s="26" t="s">
        <v>40</v>
      </c>
      <c r="B26" s="27" t="s">
        <v>604</v>
      </c>
      <c r="C26" s="26">
        <v>5.27</v>
      </c>
      <c r="D26" s="99"/>
    </row>
    <row r="27" spans="1:4" ht="15.75" hidden="1" outlineLevel="1" x14ac:dyDescent="0.2">
      <c r="A27" s="26" t="s">
        <v>40</v>
      </c>
      <c r="B27" s="27" t="s">
        <v>605</v>
      </c>
      <c r="C27" s="26">
        <v>5.28</v>
      </c>
      <c r="D27" s="99"/>
    </row>
    <row r="28" spans="1:4" ht="15.75" hidden="1" outlineLevel="1" x14ac:dyDescent="0.2">
      <c r="A28" s="26" t="s">
        <v>40</v>
      </c>
      <c r="B28" s="27" t="s">
        <v>5</v>
      </c>
      <c r="C28" s="28">
        <v>5.3</v>
      </c>
      <c r="D28" s="99"/>
    </row>
    <row r="29" spans="1:4" ht="15.75" hidden="1" outlineLevel="1" x14ac:dyDescent="0.2">
      <c r="A29" s="26" t="s">
        <v>40</v>
      </c>
      <c r="B29" s="27" t="s">
        <v>6</v>
      </c>
      <c r="C29" s="26">
        <v>5.49</v>
      </c>
      <c r="D29" s="99"/>
    </row>
    <row r="30" spans="1:4" ht="15.75" hidden="1" outlineLevel="1" x14ac:dyDescent="0.2">
      <c r="A30" s="26" t="s">
        <v>40</v>
      </c>
      <c r="B30" s="27" t="s">
        <v>8</v>
      </c>
      <c r="C30" s="26">
        <v>5.51</v>
      </c>
      <c r="D30" s="99"/>
    </row>
    <row r="31" spans="1:4" ht="15.75" hidden="1" outlineLevel="1" x14ac:dyDescent="0.2">
      <c r="A31" s="26" t="s">
        <v>40</v>
      </c>
      <c r="B31" s="27" t="s">
        <v>396</v>
      </c>
      <c r="C31" s="26">
        <v>5.53</v>
      </c>
      <c r="D31" s="99"/>
    </row>
    <row r="32" spans="1:4" ht="15.75" hidden="1" outlineLevel="1" x14ac:dyDescent="0.2">
      <c r="A32" s="26" t="s">
        <v>40</v>
      </c>
      <c r="B32" s="27" t="s">
        <v>13</v>
      </c>
      <c r="C32" s="26">
        <v>5.69</v>
      </c>
      <c r="D32" s="99"/>
    </row>
    <row r="33" spans="1:4" ht="15.75" hidden="1" outlineLevel="1" x14ac:dyDescent="0.2">
      <c r="A33" s="26" t="s">
        <v>40</v>
      </c>
      <c r="B33" s="27" t="s">
        <v>421</v>
      </c>
      <c r="C33" s="26">
        <v>5.75</v>
      </c>
      <c r="D33" s="99"/>
    </row>
    <row r="34" spans="1:4" ht="15.75" hidden="1" outlineLevel="1" x14ac:dyDescent="0.2">
      <c r="A34" s="26" t="s">
        <v>40</v>
      </c>
      <c r="B34" s="27" t="s">
        <v>14</v>
      </c>
      <c r="C34" s="28">
        <v>5.7</v>
      </c>
      <c r="D34" s="99"/>
    </row>
    <row r="35" spans="1:4" ht="15.75" hidden="1" outlineLevel="1" x14ac:dyDescent="0.2">
      <c r="A35" s="26" t="s">
        <v>40</v>
      </c>
      <c r="B35" s="27" t="s">
        <v>621</v>
      </c>
      <c r="C35" s="26">
        <v>5.74</v>
      </c>
      <c r="D35" s="99"/>
    </row>
    <row r="36" spans="1:4" ht="15.75" hidden="1" outlineLevel="1" x14ac:dyDescent="0.2">
      <c r="A36" s="26" t="s">
        <v>40</v>
      </c>
      <c r="B36" s="27" t="s">
        <v>938</v>
      </c>
      <c r="C36" s="26">
        <v>5.62</v>
      </c>
      <c r="D36" s="99"/>
    </row>
    <row r="37" spans="1:4" ht="15.75" hidden="1" outlineLevel="1" x14ac:dyDescent="0.2">
      <c r="A37" s="26" t="s">
        <v>40</v>
      </c>
      <c r="B37" s="27" t="s">
        <v>773</v>
      </c>
      <c r="C37" s="26">
        <v>5.58</v>
      </c>
      <c r="D37" s="99"/>
    </row>
    <row r="38" spans="1:4" ht="15.75" hidden="1" outlineLevel="1" x14ac:dyDescent="0.2">
      <c r="A38" s="26" t="s">
        <v>40</v>
      </c>
      <c r="B38" s="27" t="s">
        <v>11</v>
      </c>
      <c r="C38" s="26">
        <v>5.54</v>
      </c>
      <c r="D38" s="99"/>
    </row>
    <row r="39" spans="1:4" ht="15.75" hidden="1" outlineLevel="1" x14ac:dyDescent="0.2">
      <c r="A39" s="26" t="s">
        <v>40</v>
      </c>
      <c r="B39" s="27" t="s">
        <v>15</v>
      </c>
      <c r="C39" s="26">
        <v>5.55</v>
      </c>
      <c r="D39" s="99"/>
    </row>
    <row r="40" spans="1:4" ht="15.75" hidden="1" outlineLevel="1" x14ac:dyDescent="0.2">
      <c r="A40" s="26" t="s">
        <v>40</v>
      </c>
      <c r="B40" s="27" t="s">
        <v>1153</v>
      </c>
      <c r="C40" s="26">
        <v>5.63</v>
      </c>
      <c r="D40" s="99"/>
    </row>
    <row r="41" spans="1:4" ht="15.75" hidden="1" outlineLevel="1" x14ac:dyDescent="0.2">
      <c r="A41" s="26" t="s">
        <v>40</v>
      </c>
      <c r="B41" s="27" t="s">
        <v>1154</v>
      </c>
      <c r="C41" s="26">
        <v>5.65</v>
      </c>
      <c r="D41" s="99"/>
    </row>
    <row r="42" spans="1:4" ht="15.75" hidden="1" outlineLevel="1" x14ac:dyDescent="0.2">
      <c r="A42" s="26" t="s">
        <v>40</v>
      </c>
      <c r="B42" s="27" t="s">
        <v>26</v>
      </c>
      <c r="C42" s="26">
        <v>5.68</v>
      </c>
      <c r="D42" s="99"/>
    </row>
    <row r="43" spans="1:4" ht="15.75" hidden="1" outlineLevel="1" x14ac:dyDescent="0.2">
      <c r="A43" s="26" t="s">
        <v>40</v>
      </c>
      <c r="B43" s="27" t="s">
        <v>18</v>
      </c>
      <c r="C43" s="26">
        <v>5.45</v>
      </c>
      <c r="D43" s="99"/>
    </row>
    <row r="44" spans="1:4" ht="15.75" hidden="1" outlineLevel="1" x14ac:dyDescent="0.2">
      <c r="A44" s="26" t="s">
        <v>40</v>
      </c>
      <c r="B44" s="27" t="s">
        <v>19</v>
      </c>
      <c r="C44" s="26">
        <v>5.47</v>
      </c>
      <c r="D44" s="99"/>
    </row>
    <row r="45" spans="1:4" ht="15.75" hidden="1" outlineLevel="1" x14ac:dyDescent="0.2">
      <c r="A45" s="26" t="s">
        <v>40</v>
      </c>
      <c r="B45" s="27" t="s">
        <v>30</v>
      </c>
      <c r="C45" s="26">
        <v>5.48</v>
      </c>
      <c r="D45" s="99"/>
    </row>
    <row r="46" spans="1:4" ht="15.75" collapsed="1" x14ac:dyDescent="0.2">
      <c r="A46" s="31" t="s">
        <v>40</v>
      </c>
      <c r="B46" s="27"/>
      <c r="C46" s="26"/>
      <c r="D46" s="99"/>
    </row>
    <row r="47" spans="1:4" ht="15.75" hidden="1" outlineLevel="1" x14ac:dyDescent="0.2">
      <c r="A47" s="26" t="s">
        <v>32</v>
      </c>
      <c r="B47" s="27" t="s">
        <v>651</v>
      </c>
      <c r="C47" s="26">
        <v>5.0999999999999996</v>
      </c>
      <c r="D47" s="99"/>
    </row>
    <row r="48" spans="1:4" ht="15.75" hidden="1" outlineLevel="1" x14ac:dyDescent="0.2">
      <c r="A48" s="26" t="s">
        <v>32</v>
      </c>
      <c r="B48" s="27" t="s">
        <v>0</v>
      </c>
      <c r="C48" s="26">
        <v>5.2</v>
      </c>
      <c r="D48" s="99"/>
    </row>
    <row r="49" spans="1:4" ht="15.75" hidden="1" outlineLevel="1" x14ac:dyDescent="0.2">
      <c r="A49" s="26" t="s">
        <v>32</v>
      </c>
      <c r="B49" s="27" t="s">
        <v>724</v>
      </c>
      <c r="C49" s="26">
        <v>5.3</v>
      </c>
      <c r="D49" s="99"/>
    </row>
    <row r="50" spans="1:4" ht="15.75" hidden="1" outlineLevel="1" x14ac:dyDescent="0.2">
      <c r="A50" s="26" t="s">
        <v>32</v>
      </c>
      <c r="B50" s="27" t="s">
        <v>2</v>
      </c>
      <c r="C50" s="26">
        <v>5.6</v>
      </c>
      <c r="D50" s="99"/>
    </row>
    <row r="51" spans="1:4" ht="15.75" hidden="1" outlineLevel="1" x14ac:dyDescent="0.2">
      <c r="A51" s="26" t="s">
        <v>32</v>
      </c>
      <c r="B51" s="27" t="s">
        <v>730</v>
      </c>
      <c r="C51" s="28">
        <v>5.0999999999999996</v>
      </c>
      <c r="D51" s="99"/>
    </row>
    <row r="52" spans="1:4" ht="15.75" hidden="1" outlineLevel="1" x14ac:dyDescent="0.2">
      <c r="A52" s="26" t="s">
        <v>32</v>
      </c>
      <c r="B52" s="27" t="s">
        <v>3</v>
      </c>
      <c r="C52" s="26">
        <v>5.14</v>
      </c>
      <c r="D52" s="99"/>
    </row>
    <row r="53" spans="1:4" ht="15.75" hidden="1" outlineLevel="1" x14ac:dyDescent="0.2">
      <c r="A53" s="26" t="s">
        <v>32</v>
      </c>
      <c r="B53" s="27" t="s">
        <v>29</v>
      </c>
      <c r="C53" s="26">
        <v>5.19</v>
      </c>
      <c r="D53" s="99"/>
    </row>
    <row r="54" spans="1:4" ht="15.75" hidden="1" outlineLevel="1" x14ac:dyDescent="0.2">
      <c r="A54" s="26" t="s">
        <v>32</v>
      </c>
      <c r="B54" s="27" t="s">
        <v>28</v>
      </c>
      <c r="C54" s="26">
        <v>5.24</v>
      </c>
      <c r="D54" s="99"/>
    </row>
    <row r="55" spans="1:4" ht="15.75" hidden="1" outlineLevel="1" x14ac:dyDescent="0.2">
      <c r="A55" s="26" t="s">
        <v>32</v>
      </c>
      <c r="B55" s="27" t="s">
        <v>1</v>
      </c>
      <c r="C55" s="26">
        <v>5.26</v>
      </c>
      <c r="D55" s="99"/>
    </row>
    <row r="56" spans="1:4" ht="15.75" hidden="1" outlineLevel="1" x14ac:dyDescent="0.2">
      <c r="A56" s="26" t="s">
        <v>32</v>
      </c>
      <c r="B56" s="27" t="s">
        <v>604</v>
      </c>
      <c r="C56" s="26">
        <v>5.27</v>
      </c>
      <c r="D56" s="99"/>
    </row>
    <row r="57" spans="1:4" ht="15.75" hidden="1" outlineLevel="1" x14ac:dyDescent="0.2">
      <c r="A57" s="26" t="s">
        <v>32</v>
      </c>
      <c r="B57" s="27" t="s">
        <v>605</v>
      </c>
      <c r="C57" s="26">
        <v>5.28</v>
      </c>
      <c r="D57" s="99"/>
    </row>
    <row r="58" spans="1:4" ht="15.75" hidden="1" outlineLevel="1" x14ac:dyDescent="0.2">
      <c r="A58" s="26" t="s">
        <v>32</v>
      </c>
      <c r="B58" s="27" t="s">
        <v>5</v>
      </c>
      <c r="C58" s="28">
        <v>5.3</v>
      </c>
      <c r="D58" s="99"/>
    </row>
    <row r="59" spans="1:4" ht="15.75" hidden="1" outlineLevel="1" x14ac:dyDescent="0.2">
      <c r="A59" s="26" t="s">
        <v>32</v>
      </c>
      <c r="B59" s="27" t="s">
        <v>9</v>
      </c>
      <c r="C59" s="26">
        <v>5.31</v>
      </c>
      <c r="D59" s="99"/>
    </row>
    <row r="60" spans="1:4" ht="15.75" hidden="1" outlineLevel="1" x14ac:dyDescent="0.2">
      <c r="A60" s="26" t="s">
        <v>32</v>
      </c>
      <c r="B60" s="27" t="s">
        <v>606</v>
      </c>
      <c r="C60" s="26">
        <v>5.36</v>
      </c>
      <c r="D60" s="99"/>
    </row>
    <row r="61" spans="1:4" ht="15.75" hidden="1" outlineLevel="1" x14ac:dyDescent="0.2">
      <c r="A61" s="26" t="s">
        <v>32</v>
      </c>
      <c r="B61" s="27" t="s">
        <v>6</v>
      </c>
      <c r="C61" s="26">
        <v>5.49</v>
      </c>
      <c r="D61" s="99"/>
    </row>
    <row r="62" spans="1:4" ht="15.75" hidden="1" outlineLevel="1" x14ac:dyDescent="0.2">
      <c r="A62" s="26" t="s">
        <v>32</v>
      </c>
      <c r="B62" s="27" t="s">
        <v>8</v>
      </c>
      <c r="C62" s="26">
        <v>5.51</v>
      </c>
      <c r="D62" s="99"/>
    </row>
    <row r="63" spans="1:4" ht="15.75" hidden="1" outlineLevel="1" x14ac:dyDescent="0.2">
      <c r="A63" s="26" t="s">
        <v>32</v>
      </c>
      <c r="B63" s="27" t="s">
        <v>7</v>
      </c>
      <c r="C63" s="26">
        <v>5.52</v>
      </c>
      <c r="D63" s="99"/>
    </row>
    <row r="64" spans="1:4" ht="15.75" hidden="1" outlineLevel="1" x14ac:dyDescent="0.2">
      <c r="A64" s="26" t="s">
        <v>32</v>
      </c>
      <c r="B64" s="27" t="s">
        <v>396</v>
      </c>
      <c r="C64" s="26">
        <v>5.53</v>
      </c>
      <c r="D64" s="99"/>
    </row>
    <row r="65" spans="1:4" ht="15.75" hidden="1" outlineLevel="1" x14ac:dyDescent="0.2">
      <c r="A65" s="26" t="s">
        <v>32</v>
      </c>
      <c r="B65" s="27" t="s">
        <v>13</v>
      </c>
      <c r="C65" s="26">
        <v>5.69</v>
      </c>
      <c r="D65" s="99"/>
    </row>
    <row r="66" spans="1:4" ht="15.75" hidden="1" outlineLevel="1" x14ac:dyDescent="0.2">
      <c r="A66" s="26" t="s">
        <v>32</v>
      </c>
      <c r="B66" s="27" t="s">
        <v>309</v>
      </c>
      <c r="C66" s="28">
        <v>5.72</v>
      </c>
      <c r="D66" s="99"/>
    </row>
    <row r="67" spans="1:4" ht="15.75" hidden="1" outlineLevel="1" x14ac:dyDescent="0.2">
      <c r="A67" s="26" t="s">
        <v>32</v>
      </c>
      <c r="B67" s="27" t="s">
        <v>421</v>
      </c>
      <c r="C67" s="26">
        <v>5.75</v>
      </c>
      <c r="D67" s="99"/>
    </row>
    <row r="68" spans="1:4" ht="15.75" hidden="1" outlineLevel="1" x14ac:dyDescent="0.2">
      <c r="A68" s="26" t="s">
        <v>32</v>
      </c>
      <c r="B68" s="27" t="s">
        <v>14</v>
      </c>
      <c r="C68" s="28">
        <v>5.7</v>
      </c>
      <c r="D68" s="99"/>
    </row>
    <row r="69" spans="1:4" ht="15.75" hidden="1" outlineLevel="1" x14ac:dyDescent="0.2">
      <c r="A69" s="26" t="s">
        <v>32</v>
      </c>
      <c r="B69" s="27" t="s">
        <v>621</v>
      </c>
      <c r="C69" s="26">
        <v>5.74</v>
      </c>
      <c r="D69" s="99"/>
    </row>
    <row r="70" spans="1:4" ht="15.75" hidden="1" outlineLevel="1" x14ac:dyDescent="0.2">
      <c r="A70" s="26" t="s">
        <v>32</v>
      </c>
      <c r="B70" s="27" t="s">
        <v>925</v>
      </c>
      <c r="C70" s="26">
        <v>5.76</v>
      </c>
      <c r="D70" s="99"/>
    </row>
    <row r="71" spans="1:4" ht="15.75" hidden="1" outlineLevel="1" x14ac:dyDescent="0.2">
      <c r="A71" s="26" t="s">
        <v>32</v>
      </c>
      <c r="B71" s="27" t="s">
        <v>669</v>
      </c>
      <c r="C71" s="26">
        <v>5.89</v>
      </c>
      <c r="D71" s="98" t="s">
        <v>935</v>
      </c>
    </row>
    <row r="72" spans="1:4" ht="15.75" hidden="1" outlineLevel="1" x14ac:dyDescent="0.2">
      <c r="A72" s="26" t="s">
        <v>32</v>
      </c>
      <c r="B72" s="27" t="s">
        <v>773</v>
      </c>
      <c r="C72" s="26">
        <v>5.58</v>
      </c>
      <c r="D72" s="99"/>
    </row>
    <row r="73" spans="1:4" ht="15.75" hidden="1" outlineLevel="1" x14ac:dyDescent="0.2">
      <c r="A73" s="26" t="s">
        <v>32</v>
      </c>
      <c r="B73" s="27" t="s">
        <v>938</v>
      </c>
      <c r="C73" s="26">
        <v>5.62</v>
      </c>
      <c r="D73" s="99"/>
    </row>
    <row r="74" spans="1:4" ht="15.75" hidden="1" outlineLevel="1" x14ac:dyDescent="0.2">
      <c r="A74" s="26" t="s">
        <v>32</v>
      </c>
      <c r="B74" s="27" t="s">
        <v>11</v>
      </c>
      <c r="C74" s="26">
        <v>5.54</v>
      </c>
      <c r="D74" s="99"/>
    </row>
    <row r="75" spans="1:4" ht="15.75" hidden="1" outlineLevel="1" x14ac:dyDescent="0.2">
      <c r="A75" s="26" t="s">
        <v>32</v>
      </c>
      <c r="B75" s="27" t="s">
        <v>15</v>
      </c>
      <c r="C75" s="26">
        <v>5.55</v>
      </c>
      <c r="D75" s="99"/>
    </row>
    <row r="76" spans="1:4" ht="15.75" hidden="1" outlineLevel="1" x14ac:dyDescent="0.2">
      <c r="A76" s="26" t="s">
        <v>32</v>
      </c>
      <c r="B76" s="27" t="s">
        <v>1153</v>
      </c>
      <c r="C76" s="26">
        <v>5.63</v>
      </c>
      <c r="D76" s="99"/>
    </row>
    <row r="77" spans="1:4" ht="15.75" hidden="1" outlineLevel="1" x14ac:dyDescent="0.2">
      <c r="A77" s="26" t="s">
        <v>32</v>
      </c>
      <c r="B77" s="27" t="s">
        <v>1154</v>
      </c>
      <c r="C77" s="26">
        <v>5.65</v>
      </c>
      <c r="D77" s="99"/>
    </row>
    <row r="78" spans="1:4" ht="15.75" hidden="1" outlineLevel="1" x14ac:dyDescent="0.2">
      <c r="A78" s="26" t="s">
        <v>32</v>
      </c>
      <c r="B78" s="27" t="s">
        <v>788</v>
      </c>
      <c r="C78" s="26">
        <v>5.66</v>
      </c>
      <c r="D78" s="99"/>
    </row>
    <row r="79" spans="1:4" ht="15.75" hidden="1" outlineLevel="1" x14ac:dyDescent="0.2">
      <c r="A79" s="26" t="s">
        <v>32</v>
      </c>
      <c r="B79" s="27" t="s">
        <v>26</v>
      </c>
      <c r="C79" s="26">
        <v>5.68</v>
      </c>
      <c r="D79" s="99"/>
    </row>
    <row r="80" spans="1:4" ht="15.75" hidden="1" outlineLevel="1" x14ac:dyDescent="0.2">
      <c r="A80" s="26" t="s">
        <v>32</v>
      </c>
      <c r="B80" s="27" t="s">
        <v>18</v>
      </c>
      <c r="C80" s="26">
        <v>5.45</v>
      </c>
      <c r="D80" s="99"/>
    </row>
    <row r="81" spans="1:4" ht="15.75" hidden="1" outlineLevel="1" x14ac:dyDescent="0.2">
      <c r="A81" s="26" t="s">
        <v>32</v>
      </c>
      <c r="B81" s="27" t="s">
        <v>19</v>
      </c>
      <c r="C81" s="26">
        <v>5.47</v>
      </c>
      <c r="D81" s="99"/>
    </row>
    <row r="82" spans="1:4" ht="15.75" hidden="1" outlineLevel="1" x14ac:dyDescent="0.2">
      <c r="A82" s="26" t="s">
        <v>32</v>
      </c>
      <c r="B82" s="27" t="s">
        <v>30</v>
      </c>
      <c r="C82" s="26">
        <v>5.48</v>
      </c>
      <c r="D82" s="99"/>
    </row>
    <row r="83" spans="1:4" ht="15.75" collapsed="1" x14ac:dyDescent="0.2">
      <c r="A83" s="31" t="s">
        <v>32</v>
      </c>
      <c r="B83" s="27"/>
      <c r="C83" s="26"/>
      <c r="D83" s="99"/>
    </row>
    <row r="84" spans="1:4" ht="15.75" hidden="1" outlineLevel="1" x14ac:dyDescent="0.2">
      <c r="A84" s="26" t="s">
        <v>33</v>
      </c>
      <c r="B84" s="27" t="s">
        <v>651</v>
      </c>
      <c r="C84" s="26">
        <v>5.0999999999999996</v>
      </c>
      <c r="D84" s="99"/>
    </row>
    <row r="85" spans="1:4" ht="15.75" hidden="1" outlineLevel="1" x14ac:dyDescent="0.2">
      <c r="A85" s="26" t="s">
        <v>33</v>
      </c>
      <c r="B85" s="27" t="s">
        <v>0</v>
      </c>
      <c r="C85" s="26">
        <v>5.2</v>
      </c>
      <c r="D85" s="99"/>
    </row>
    <row r="86" spans="1:4" ht="15.75" hidden="1" outlineLevel="1" x14ac:dyDescent="0.2">
      <c r="A86" s="26" t="s">
        <v>33</v>
      </c>
      <c r="B86" s="27" t="s">
        <v>724</v>
      </c>
      <c r="C86" s="26">
        <v>5.3</v>
      </c>
      <c r="D86" s="99"/>
    </row>
    <row r="87" spans="1:4" ht="15.75" hidden="1" outlineLevel="1" x14ac:dyDescent="0.2">
      <c r="A87" s="26" t="s">
        <v>33</v>
      </c>
      <c r="B87" s="27" t="s">
        <v>2</v>
      </c>
      <c r="C87" s="26">
        <v>5.6</v>
      </c>
      <c r="D87" s="99"/>
    </row>
    <row r="88" spans="1:4" ht="15.75" hidden="1" outlineLevel="1" x14ac:dyDescent="0.2">
      <c r="A88" s="26" t="s">
        <v>33</v>
      </c>
      <c r="B88" s="27" t="s">
        <v>730</v>
      </c>
      <c r="C88" s="28">
        <v>5.0999999999999996</v>
      </c>
      <c r="D88" s="99"/>
    </row>
    <row r="89" spans="1:4" ht="15.75" hidden="1" outlineLevel="1" x14ac:dyDescent="0.2">
      <c r="A89" s="26" t="s">
        <v>33</v>
      </c>
      <c r="B89" s="27" t="s">
        <v>3</v>
      </c>
      <c r="C89" s="26">
        <v>5.14</v>
      </c>
      <c r="D89" s="99"/>
    </row>
    <row r="90" spans="1:4" ht="15.75" hidden="1" outlineLevel="1" x14ac:dyDescent="0.2">
      <c r="A90" s="26" t="s">
        <v>33</v>
      </c>
      <c r="B90" s="27" t="s">
        <v>29</v>
      </c>
      <c r="C90" s="26">
        <v>5.19</v>
      </c>
      <c r="D90" s="99"/>
    </row>
    <row r="91" spans="1:4" ht="15.75" hidden="1" outlineLevel="1" x14ac:dyDescent="0.2">
      <c r="A91" s="26" t="s">
        <v>33</v>
      </c>
      <c r="B91" s="27" t="s">
        <v>28</v>
      </c>
      <c r="C91" s="26">
        <v>5.24</v>
      </c>
      <c r="D91" s="99"/>
    </row>
    <row r="92" spans="1:4" ht="15.75" hidden="1" outlineLevel="1" x14ac:dyDescent="0.2">
      <c r="A92" s="26" t="s">
        <v>33</v>
      </c>
      <c r="B92" s="27" t="s">
        <v>1</v>
      </c>
      <c r="C92" s="26">
        <v>5.26</v>
      </c>
      <c r="D92" s="99"/>
    </row>
    <row r="93" spans="1:4" ht="15.75" hidden="1" outlineLevel="1" x14ac:dyDescent="0.2">
      <c r="A93" s="26" t="s">
        <v>33</v>
      </c>
      <c r="B93" s="27" t="s">
        <v>604</v>
      </c>
      <c r="C93" s="26">
        <v>5.27</v>
      </c>
      <c r="D93" s="99"/>
    </row>
    <row r="94" spans="1:4" ht="15.75" hidden="1" outlineLevel="1" x14ac:dyDescent="0.2">
      <c r="A94" s="26" t="s">
        <v>33</v>
      </c>
      <c r="B94" s="27" t="s">
        <v>605</v>
      </c>
      <c r="C94" s="26">
        <v>5.28</v>
      </c>
      <c r="D94" s="99"/>
    </row>
    <row r="95" spans="1:4" ht="15.75" hidden="1" outlineLevel="1" x14ac:dyDescent="0.2">
      <c r="A95" s="26" t="s">
        <v>33</v>
      </c>
      <c r="B95" s="27" t="s">
        <v>609</v>
      </c>
      <c r="C95" s="26">
        <v>5.29</v>
      </c>
      <c r="D95" s="99"/>
    </row>
    <row r="96" spans="1:4" ht="15.75" hidden="1" outlineLevel="1" x14ac:dyDescent="0.2">
      <c r="A96" s="26" t="s">
        <v>33</v>
      </c>
      <c r="B96" s="27" t="s">
        <v>5</v>
      </c>
      <c r="C96" s="28">
        <v>5.3</v>
      </c>
      <c r="D96" s="99"/>
    </row>
    <row r="97" spans="1:4" ht="15.75" hidden="1" outlineLevel="1" x14ac:dyDescent="0.2">
      <c r="A97" s="26" t="s">
        <v>33</v>
      </c>
      <c r="B97" s="27" t="s">
        <v>9</v>
      </c>
      <c r="C97" s="26">
        <v>5.31</v>
      </c>
      <c r="D97" s="99"/>
    </row>
    <row r="98" spans="1:4" ht="15.75" hidden="1" outlineLevel="1" x14ac:dyDescent="0.2">
      <c r="A98" s="26" t="s">
        <v>33</v>
      </c>
      <c r="B98" s="27" t="s">
        <v>606</v>
      </c>
      <c r="C98" s="26">
        <v>5.36</v>
      </c>
      <c r="D98" s="99"/>
    </row>
    <row r="99" spans="1:4" ht="15.75" hidden="1" outlineLevel="1" x14ac:dyDescent="0.2">
      <c r="A99" s="26" t="s">
        <v>33</v>
      </c>
      <c r="B99" s="27" t="s">
        <v>6</v>
      </c>
      <c r="C99" s="26">
        <v>5.49</v>
      </c>
      <c r="D99" s="99"/>
    </row>
    <row r="100" spans="1:4" ht="15.75" hidden="1" outlineLevel="1" x14ac:dyDescent="0.2">
      <c r="A100" s="26" t="s">
        <v>33</v>
      </c>
      <c r="B100" s="27" t="s">
        <v>8</v>
      </c>
      <c r="C100" s="26">
        <v>5.51</v>
      </c>
      <c r="D100" s="99"/>
    </row>
    <row r="101" spans="1:4" ht="15.75" hidden="1" outlineLevel="1" x14ac:dyDescent="0.2">
      <c r="A101" s="26" t="s">
        <v>33</v>
      </c>
      <c r="B101" s="27" t="s">
        <v>7</v>
      </c>
      <c r="C101" s="26">
        <v>5.52</v>
      </c>
      <c r="D101" s="99"/>
    </row>
    <row r="102" spans="1:4" ht="15.75" hidden="1" outlineLevel="1" x14ac:dyDescent="0.2">
      <c r="A102" s="26" t="s">
        <v>33</v>
      </c>
      <c r="B102" s="27" t="s">
        <v>396</v>
      </c>
      <c r="C102" s="26">
        <v>5.53</v>
      </c>
      <c r="D102" s="99"/>
    </row>
    <row r="103" spans="1:4" ht="15.75" hidden="1" outlineLevel="1" x14ac:dyDescent="0.2">
      <c r="A103" s="26" t="s">
        <v>33</v>
      </c>
      <c r="B103" s="27" t="s">
        <v>13</v>
      </c>
      <c r="C103" s="26">
        <v>5.69</v>
      </c>
      <c r="D103" s="99"/>
    </row>
    <row r="104" spans="1:4" ht="15.75" hidden="1" outlineLevel="1" x14ac:dyDescent="0.2">
      <c r="A104" s="26" t="s">
        <v>33</v>
      </c>
      <c r="B104" s="27" t="s">
        <v>421</v>
      </c>
      <c r="C104" s="26">
        <v>5.75</v>
      </c>
      <c r="D104" s="99"/>
    </row>
    <row r="105" spans="1:4" ht="15.75" hidden="1" outlineLevel="1" x14ac:dyDescent="0.2">
      <c r="A105" s="26" t="s">
        <v>33</v>
      </c>
      <c r="B105" s="27" t="s">
        <v>14</v>
      </c>
      <c r="C105" s="28">
        <v>5.7</v>
      </c>
      <c r="D105" s="99"/>
    </row>
    <row r="106" spans="1:4" ht="15.75" hidden="1" outlineLevel="1" x14ac:dyDescent="0.2">
      <c r="A106" s="26" t="s">
        <v>33</v>
      </c>
      <c r="B106" s="27" t="s">
        <v>621</v>
      </c>
      <c r="C106" s="26">
        <v>5.74</v>
      </c>
      <c r="D106" s="99"/>
    </row>
    <row r="107" spans="1:4" ht="15.75" hidden="1" outlineLevel="1" x14ac:dyDescent="0.2">
      <c r="A107" s="26" t="s">
        <v>33</v>
      </c>
      <c r="B107" s="27" t="s">
        <v>925</v>
      </c>
      <c r="C107" s="26">
        <v>5.76</v>
      </c>
      <c r="D107" s="99"/>
    </row>
    <row r="108" spans="1:4" ht="15.75" hidden="1" outlineLevel="1" x14ac:dyDescent="0.2">
      <c r="A108" s="26" t="s">
        <v>33</v>
      </c>
      <c r="B108" s="27" t="s">
        <v>669</v>
      </c>
      <c r="C108" s="26">
        <v>5.89</v>
      </c>
      <c r="D108" s="98" t="s">
        <v>935</v>
      </c>
    </row>
    <row r="109" spans="1:4" ht="15.75" hidden="1" outlineLevel="1" x14ac:dyDescent="0.2">
      <c r="A109" s="26" t="s">
        <v>33</v>
      </c>
      <c r="B109" s="27" t="s">
        <v>773</v>
      </c>
      <c r="C109" s="26">
        <v>5.58</v>
      </c>
      <c r="D109" s="99"/>
    </row>
    <row r="110" spans="1:4" ht="15.75" hidden="1" outlineLevel="1" x14ac:dyDescent="0.2">
      <c r="A110" s="26" t="s">
        <v>33</v>
      </c>
      <c r="B110" s="27" t="s">
        <v>938</v>
      </c>
      <c r="C110" s="26">
        <v>5.62</v>
      </c>
      <c r="D110" s="99"/>
    </row>
    <row r="111" spans="1:4" ht="15.75" hidden="1" outlineLevel="1" x14ac:dyDescent="0.2">
      <c r="A111" s="26" t="s">
        <v>33</v>
      </c>
      <c r="B111" s="27" t="s">
        <v>11</v>
      </c>
      <c r="C111" s="26">
        <v>5.54</v>
      </c>
      <c r="D111" s="99"/>
    </row>
    <row r="112" spans="1:4" ht="15.75" hidden="1" outlineLevel="1" x14ac:dyDescent="0.2">
      <c r="A112" s="26" t="s">
        <v>33</v>
      </c>
      <c r="B112" s="27" t="s">
        <v>15</v>
      </c>
      <c r="C112" s="26">
        <v>5.55</v>
      </c>
      <c r="D112" s="99"/>
    </row>
    <row r="113" spans="1:4" ht="15.75" hidden="1" outlineLevel="1" x14ac:dyDescent="0.2">
      <c r="A113" s="26" t="s">
        <v>33</v>
      </c>
      <c r="B113" s="27" t="s">
        <v>1154</v>
      </c>
      <c r="C113" s="26">
        <v>5.65</v>
      </c>
      <c r="D113" s="99"/>
    </row>
    <row r="114" spans="1:4" ht="15.75" hidden="1" outlineLevel="1" x14ac:dyDescent="0.2">
      <c r="A114" s="26" t="s">
        <v>33</v>
      </c>
      <c r="B114" s="27" t="s">
        <v>788</v>
      </c>
      <c r="C114" s="26">
        <v>5.66</v>
      </c>
      <c r="D114" s="99"/>
    </row>
    <row r="115" spans="1:4" ht="15.75" hidden="1" outlineLevel="1" x14ac:dyDescent="0.2">
      <c r="A115" s="26" t="s">
        <v>33</v>
      </c>
      <c r="B115" s="27" t="s">
        <v>26</v>
      </c>
      <c r="C115" s="26">
        <v>5.68</v>
      </c>
      <c r="D115" s="99"/>
    </row>
    <row r="116" spans="1:4" ht="15.75" hidden="1" outlineLevel="1" x14ac:dyDescent="0.2">
      <c r="A116" s="26" t="s">
        <v>33</v>
      </c>
      <c r="B116" s="27" t="s">
        <v>18</v>
      </c>
      <c r="C116" s="26">
        <v>5.45</v>
      </c>
      <c r="D116" s="99"/>
    </row>
    <row r="117" spans="1:4" ht="15.75" hidden="1" outlineLevel="1" x14ac:dyDescent="0.2">
      <c r="A117" s="26" t="s">
        <v>33</v>
      </c>
      <c r="B117" s="27" t="s">
        <v>19</v>
      </c>
      <c r="C117" s="26">
        <v>5.47</v>
      </c>
      <c r="D117" s="99"/>
    </row>
    <row r="118" spans="1:4" ht="15.75" hidden="1" outlineLevel="1" x14ac:dyDescent="0.2">
      <c r="A118" s="26" t="s">
        <v>33</v>
      </c>
      <c r="B118" s="27" t="s">
        <v>30</v>
      </c>
      <c r="C118" s="26">
        <v>5.48</v>
      </c>
      <c r="D118" s="99"/>
    </row>
    <row r="119" spans="1:4" ht="15.75" collapsed="1" x14ac:dyDescent="0.2">
      <c r="A119" s="31" t="s">
        <v>33</v>
      </c>
      <c r="B119" s="27"/>
      <c r="C119" s="26"/>
      <c r="D119" s="99"/>
    </row>
    <row r="120" spans="1:4" ht="15.75" hidden="1" outlineLevel="1" x14ac:dyDescent="0.2">
      <c r="A120" s="26" t="s">
        <v>791</v>
      </c>
      <c r="B120" s="27" t="s">
        <v>651</v>
      </c>
      <c r="C120" s="26">
        <v>5.0999999999999996</v>
      </c>
      <c r="D120" s="99"/>
    </row>
    <row r="121" spans="1:4" ht="15.75" hidden="1" outlineLevel="1" x14ac:dyDescent="0.2">
      <c r="A121" s="26" t="s">
        <v>791</v>
      </c>
      <c r="B121" s="27" t="s">
        <v>0</v>
      </c>
      <c r="C121" s="26">
        <v>5.2</v>
      </c>
      <c r="D121" s="99"/>
    </row>
    <row r="122" spans="1:4" ht="15.75" hidden="1" outlineLevel="1" x14ac:dyDescent="0.2">
      <c r="A122" s="26" t="s">
        <v>791</v>
      </c>
      <c r="B122" s="27" t="s">
        <v>724</v>
      </c>
      <c r="C122" s="26">
        <v>5.3</v>
      </c>
      <c r="D122" s="99"/>
    </row>
    <row r="123" spans="1:4" ht="15.75" hidden="1" outlineLevel="1" x14ac:dyDescent="0.2">
      <c r="A123" s="26" t="s">
        <v>791</v>
      </c>
      <c r="B123" s="27" t="s">
        <v>2</v>
      </c>
      <c r="C123" s="26">
        <v>5.6</v>
      </c>
      <c r="D123" s="99"/>
    </row>
    <row r="124" spans="1:4" ht="15.75" hidden="1" outlineLevel="1" x14ac:dyDescent="0.2">
      <c r="A124" s="26" t="s">
        <v>791</v>
      </c>
      <c r="B124" s="27" t="s">
        <v>730</v>
      </c>
      <c r="C124" s="28">
        <v>5.0999999999999996</v>
      </c>
      <c r="D124" s="99"/>
    </row>
    <row r="125" spans="1:4" ht="15.75" hidden="1" outlineLevel="1" x14ac:dyDescent="0.2">
      <c r="A125" s="26" t="s">
        <v>791</v>
      </c>
      <c r="B125" s="27" t="s">
        <v>3</v>
      </c>
      <c r="C125" s="26">
        <v>5.14</v>
      </c>
      <c r="D125" s="99"/>
    </row>
    <row r="126" spans="1:4" ht="15.75" hidden="1" outlineLevel="1" x14ac:dyDescent="0.2">
      <c r="A126" s="26" t="s">
        <v>791</v>
      </c>
      <c r="B126" s="27" t="s">
        <v>29</v>
      </c>
      <c r="C126" s="26">
        <v>5.19</v>
      </c>
      <c r="D126" s="99"/>
    </row>
    <row r="127" spans="1:4" ht="15.75" hidden="1" outlineLevel="1" x14ac:dyDescent="0.2">
      <c r="A127" s="26" t="s">
        <v>791</v>
      </c>
      <c r="B127" s="27" t="s">
        <v>28</v>
      </c>
      <c r="C127" s="26">
        <v>5.24</v>
      </c>
      <c r="D127" s="99"/>
    </row>
    <row r="128" spans="1:4" ht="15.75" hidden="1" outlineLevel="1" x14ac:dyDescent="0.2">
      <c r="A128" s="26" t="s">
        <v>791</v>
      </c>
      <c r="B128" s="27" t="s">
        <v>1</v>
      </c>
      <c r="C128" s="26">
        <v>5.26</v>
      </c>
      <c r="D128" s="99"/>
    </row>
    <row r="129" spans="1:4" ht="15.75" hidden="1" outlineLevel="1" x14ac:dyDescent="0.2">
      <c r="A129" s="26" t="s">
        <v>791</v>
      </c>
      <c r="B129" s="27" t="s">
        <v>604</v>
      </c>
      <c r="C129" s="26">
        <v>5.27</v>
      </c>
      <c r="D129" s="99"/>
    </row>
    <row r="130" spans="1:4" ht="15.75" hidden="1" outlineLevel="1" x14ac:dyDescent="0.2">
      <c r="A130" s="26" t="s">
        <v>791</v>
      </c>
      <c r="B130" s="27" t="s">
        <v>605</v>
      </c>
      <c r="C130" s="26">
        <v>5.28</v>
      </c>
      <c r="D130" s="99"/>
    </row>
    <row r="131" spans="1:4" ht="15.75" hidden="1" outlineLevel="1" x14ac:dyDescent="0.2">
      <c r="A131" s="26" t="s">
        <v>791</v>
      </c>
      <c r="B131" s="27" t="s">
        <v>609</v>
      </c>
      <c r="C131" s="26">
        <v>5.29</v>
      </c>
      <c r="D131" s="99"/>
    </row>
    <row r="132" spans="1:4" ht="15.75" hidden="1" outlineLevel="1" x14ac:dyDescent="0.2">
      <c r="A132" s="26" t="s">
        <v>791</v>
      </c>
      <c r="B132" s="27" t="s">
        <v>5</v>
      </c>
      <c r="C132" s="28">
        <v>5.3</v>
      </c>
      <c r="D132" s="99"/>
    </row>
    <row r="133" spans="1:4" ht="15.75" hidden="1" outlineLevel="1" x14ac:dyDescent="0.2">
      <c r="A133" s="26" t="s">
        <v>791</v>
      </c>
      <c r="B133" s="27" t="s">
        <v>9</v>
      </c>
      <c r="C133" s="26">
        <v>5.31</v>
      </c>
      <c r="D133" s="99"/>
    </row>
    <row r="134" spans="1:4" ht="15.75" hidden="1" outlineLevel="1" x14ac:dyDescent="0.2">
      <c r="A134" s="26" t="s">
        <v>791</v>
      </c>
      <c r="B134" s="27" t="s">
        <v>606</v>
      </c>
      <c r="C134" s="26">
        <v>5.36</v>
      </c>
      <c r="D134" s="99"/>
    </row>
    <row r="135" spans="1:4" ht="15.75" hidden="1" outlineLevel="1" x14ac:dyDescent="0.2">
      <c r="A135" s="26" t="s">
        <v>791</v>
      </c>
      <c r="B135" s="27" t="s">
        <v>396</v>
      </c>
      <c r="C135" s="26">
        <v>5.53</v>
      </c>
      <c r="D135" s="99"/>
    </row>
    <row r="136" spans="1:4" ht="15.75" hidden="1" outlineLevel="1" x14ac:dyDescent="0.2">
      <c r="A136" s="26" t="s">
        <v>791</v>
      </c>
      <c r="B136" s="27" t="s">
        <v>773</v>
      </c>
      <c r="C136" s="26">
        <v>5.58</v>
      </c>
      <c r="D136" s="99"/>
    </row>
    <row r="137" spans="1:4" ht="15.75" hidden="1" outlineLevel="1" x14ac:dyDescent="0.2">
      <c r="A137" s="26" t="s">
        <v>791</v>
      </c>
      <c r="B137" s="27" t="s">
        <v>938</v>
      </c>
      <c r="C137" s="26">
        <v>5.62</v>
      </c>
      <c r="D137" s="99"/>
    </row>
    <row r="138" spans="1:4" ht="15.75" hidden="1" outlineLevel="1" x14ac:dyDescent="0.2">
      <c r="A138" s="26" t="s">
        <v>791</v>
      </c>
      <c r="B138" s="27" t="s">
        <v>11</v>
      </c>
      <c r="C138" s="26">
        <v>5.54</v>
      </c>
      <c r="D138" s="99"/>
    </row>
    <row r="139" spans="1:4" ht="15.75" hidden="1" outlineLevel="1" x14ac:dyDescent="0.2">
      <c r="A139" s="26" t="s">
        <v>791</v>
      </c>
      <c r="B139" s="27" t="s">
        <v>15</v>
      </c>
      <c r="C139" s="26">
        <v>5.55</v>
      </c>
      <c r="D139" s="99"/>
    </row>
    <row r="140" spans="1:4" ht="15.75" hidden="1" outlineLevel="1" x14ac:dyDescent="0.2">
      <c r="A140" s="26" t="s">
        <v>791</v>
      </c>
      <c r="B140" s="27" t="s">
        <v>1153</v>
      </c>
      <c r="C140" s="26">
        <v>5.63</v>
      </c>
      <c r="D140" s="99"/>
    </row>
    <row r="141" spans="1:4" ht="15.75" hidden="1" outlineLevel="1" x14ac:dyDescent="0.2">
      <c r="A141" s="26" t="s">
        <v>791</v>
      </c>
      <c r="B141" s="27" t="s">
        <v>18</v>
      </c>
      <c r="C141" s="26">
        <v>5.45</v>
      </c>
      <c r="D141" s="99"/>
    </row>
    <row r="142" spans="1:4" ht="15.75" hidden="1" outlineLevel="1" x14ac:dyDescent="0.2">
      <c r="A142" s="26" t="s">
        <v>791</v>
      </c>
      <c r="B142" s="27" t="s">
        <v>19</v>
      </c>
      <c r="C142" s="26">
        <v>5.47</v>
      </c>
      <c r="D142" s="99"/>
    </row>
    <row r="143" spans="1:4" ht="15.75" hidden="1" outlineLevel="1" x14ac:dyDescent="0.2">
      <c r="A143" s="26" t="s">
        <v>791</v>
      </c>
      <c r="B143" s="27" t="s">
        <v>30</v>
      </c>
      <c r="C143" s="26">
        <v>5.48</v>
      </c>
      <c r="D143" s="99"/>
    </row>
    <row r="144" spans="1:4" ht="15.75" collapsed="1" x14ac:dyDescent="0.2">
      <c r="A144" s="31" t="s">
        <v>791</v>
      </c>
      <c r="B144" s="27"/>
      <c r="C144" s="26"/>
      <c r="D144" s="99"/>
    </row>
    <row r="145" spans="1:4" ht="15.75" hidden="1" outlineLevel="1" x14ac:dyDescent="0.2">
      <c r="A145" s="26" t="s">
        <v>34</v>
      </c>
      <c r="B145" s="27" t="s">
        <v>651</v>
      </c>
      <c r="C145" s="26">
        <v>5.0999999999999996</v>
      </c>
      <c r="D145" s="99"/>
    </row>
    <row r="146" spans="1:4" ht="15.75" hidden="1" outlineLevel="1" x14ac:dyDescent="0.2">
      <c r="A146" s="26" t="s">
        <v>34</v>
      </c>
      <c r="B146" s="27" t="s">
        <v>0</v>
      </c>
      <c r="C146" s="26">
        <v>5.2</v>
      </c>
      <c r="D146" s="99"/>
    </row>
    <row r="147" spans="1:4" ht="15.75" hidden="1" outlineLevel="1" x14ac:dyDescent="0.2">
      <c r="A147" s="26" t="s">
        <v>34</v>
      </c>
      <c r="B147" s="27" t="s">
        <v>724</v>
      </c>
      <c r="C147" s="26">
        <v>5.3</v>
      </c>
      <c r="D147" s="99"/>
    </row>
    <row r="148" spans="1:4" ht="15.75" hidden="1" outlineLevel="1" x14ac:dyDescent="0.2">
      <c r="A148" s="26" t="s">
        <v>34</v>
      </c>
      <c r="B148" s="27" t="s">
        <v>2</v>
      </c>
      <c r="C148" s="26">
        <v>5.6</v>
      </c>
      <c r="D148" s="99"/>
    </row>
    <row r="149" spans="1:4" ht="15.75" hidden="1" outlineLevel="1" x14ac:dyDescent="0.2">
      <c r="A149" s="26" t="s">
        <v>34</v>
      </c>
      <c r="B149" s="27" t="s">
        <v>730</v>
      </c>
      <c r="C149" s="28">
        <v>5.0999999999999996</v>
      </c>
      <c r="D149" s="99"/>
    </row>
    <row r="150" spans="1:4" ht="15.75" hidden="1" outlineLevel="1" x14ac:dyDescent="0.2">
      <c r="A150" s="26" t="s">
        <v>34</v>
      </c>
      <c r="B150" s="27" t="s">
        <v>3</v>
      </c>
      <c r="C150" s="26">
        <v>5.14</v>
      </c>
      <c r="D150" s="99"/>
    </row>
    <row r="151" spans="1:4" ht="15.75" hidden="1" outlineLevel="1" x14ac:dyDescent="0.2">
      <c r="A151" s="26" t="s">
        <v>34</v>
      </c>
      <c r="B151" s="27" t="s">
        <v>29</v>
      </c>
      <c r="C151" s="26">
        <v>5.19</v>
      </c>
      <c r="D151" s="99"/>
    </row>
    <row r="152" spans="1:4" ht="15.75" hidden="1" outlineLevel="1" x14ac:dyDescent="0.2">
      <c r="A152" s="26" t="s">
        <v>34</v>
      </c>
      <c r="B152" s="27" t="s">
        <v>28</v>
      </c>
      <c r="C152" s="26">
        <v>5.24</v>
      </c>
      <c r="D152" s="99"/>
    </row>
    <row r="153" spans="1:4" ht="15.75" hidden="1" outlineLevel="1" x14ac:dyDescent="0.2">
      <c r="A153" s="26" t="s">
        <v>34</v>
      </c>
      <c r="B153" s="27" t="s">
        <v>1</v>
      </c>
      <c r="C153" s="26">
        <v>5.26</v>
      </c>
      <c r="D153" s="99"/>
    </row>
    <row r="154" spans="1:4" ht="15.75" hidden="1" outlineLevel="1" x14ac:dyDescent="0.2">
      <c r="A154" s="26" t="s">
        <v>34</v>
      </c>
      <c r="B154" s="27" t="s">
        <v>604</v>
      </c>
      <c r="C154" s="26">
        <v>5.27</v>
      </c>
      <c r="D154" s="99"/>
    </row>
    <row r="155" spans="1:4" ht="15.75" hidden="1" outlineLevel="1" x14ac:dyDescent="0.2">
      <c r="A155" s="26" t="s">
        <v>34</v>
      </c>
      <c r="B155" s="27" t="s">
        <v>605</v>
      </c>
      <c r="C155" s="26">
        <v>5.28</v>
      </c>
      <c r="D155" s="99"/>
    </row>
    <row r="156" spans="1:4" ht="15.75" hidden="1" outlineLevel="1" x14ac:dyDescent="0.2">
      <c r="A156" s="26" t="s">
        <v>34</v>
      </c>
      <c r="B156" s="27" t="s">
        <v>5</v>
      </c>
      <c r="C156" s="28">
        <v>5.3</v>
      </c>
      <c r="D156" s="99"/>
    </row>
    <row r="157" spans="1:4" ht="15.75" hidden="1" outlineLevel="1" x14ac:dyDescent="0.2">
      <c r="A157" s="26" t="s">
        <v>34</v>
      </c>
      <c r="B157" s="27" t="s">
        <v>300</v>
      </c>
      <c r="C157" s="26">
        <v>5.32</v>
      </c>
      <c r="D157" s="99"/>
    </row>
    <row r="158" spans="1:4" ht="15.75" hidden="1" outlineLevel="1" x14ac:dyDescent="0.2">
      <c r="A158" s="26" t="s">
        <v>34</v>
      </c>
      <c r="B158" s="27" t="s">
        <v>606</v>
      </c>
      <c r="C158" s="26">
        <v>5.36</v>
      </c>
      <c r="D158" s="99"/>
    </row>
    <row r="159" spans="1:4" ht="15.75" hidden="1" outlineLevel="1" x14ac:dyDescent="0.2">
      <c r="A159" s="26" t="s">
        <v>34</v>
      </c>
      <c r="B159" s="27" t="s">
        <v>396</v>
      </c>
      <c r="C159" s="26">
        <v>5.53</v>
      </c>
      <c r="D159" s="99"/>
    </row>
    <row r="160" spans="1:4" ht="15.75" hidden="1" outlineLevel="1" x14ac:dyDescent="0.2">
      <c r="A160" s="26" t="s">
        <v>34</v>
      </c>
      <c r="B160" s="27" t="s">
        <v>773</v>
      </c>
      <c r="C160" s="26">
        <v>5.58</v>
      </c>
      <c r="D160" s="99"/>
    </row>
    <row r="161" spans="1:4" ht="15.75" hidden="1" outlineLevel="1" x14ac:dyDescent="0.2">
      <c r="A161" s="26" t="s">
        <v>34</v>
      </c>
      <c r="B161" s="27" t="s">
        <v>11</v>
      </c>
      <c r="C161" s="26">
        <v>5.54</v>
      </c>
      <c r="D161" s="99"/>
    </row>
    <row r="162" spans="1:4" ht="15.75" hidden="1" outlineLevel="1" x14ac:dyDescent="0.2">
      <c r="A162" s="26" t="s">
        <v>34</v>
      </c>
      <c r="B162" s="27" t="s">
        <v>15</v>
      </c>
      <c r="C162" s="26">
        <v>5.55</v>
      </c>
      <c r="D162" s="99"/>
    </row>
    <row r="163" spans="1:4" ht="15.75" hidden="1" outlineLevel="1" x14ac:dyDescent="0.2">
      <c r="A163" s="26" t="s">
        <v>34</v>
      </c>
      <c r="B163" s="27" t="s">
        <v>938</v>
      </c>
      <c r="C163" s="26">
        <v>5.62</v>
      </c>
      <c r="D163" s="99"/>
    </row>
    <row r="164" spans="1:4" ht="15.75" hidden="1" outlineLevel="1" x14ac:dyDescent="0.2">
      <c r="A164" s="26" t="s">
        <v>34</v>
      </c>
      <c r="B164" s="27" t="s">
        <v>1153</v>
      </c>
      <c r="C164" s="26">
        <v>5.63</v>
      </c>
      <c r="D164" s="99"/>
    </row>
    <row r="165" spans="1:4" ht="15.75" hidden="1" outlineLevel="1" x14ac:dyDescent="0.2">
      <c r="A165" s="26" t="s">
        <v>34</v>
      </c>
      <c r="B165" s="27" t="s">
        <v>18</v>
      </c>
      <c r="C165" s="26">
        <v>5.45</v>
      </c>
      <c r="D165" s="99"/>
    </row>
    <row r="166" spans="1:4" ht="15.75" hidden="1" outlineLevel="1" x14ac:dyDescent="0.2">
      <c r="A166" s="26" t="s">
        <v>34</v>
      </c>
      <c r="B166" s="27" t="s">
        <v>19</v>
      </c>
      <c r="C166" s="26">
        <v>5.47</v>
      </c>
      <c r="D166" s="99"/>
    </row>
    <row r="167" spans="1:4" ht="15.75" hidden="1" outlineLevel="1" x14ac:dyDescent="0.2">
      <c r="A167" s="26" t="s">
        <v>34</v>
      </c>
      <c r="B167" s="27" t="s">
        <v>30</v>
      </c>
      <c r="C167" s="26">
        <v>5.48</v>
      </c>
      <c r="D167" s="99"/>
    </row>
    <row r="168" spans="1:4" ht="15.75" collapsed="1" x14ac:dyDescent="0.2">
      <c r="A168" s="31" t="s">
        <v>34</v>
      </c>
      <c r="B168" s="27"/>
      <c r="C168" s="26"/>
      <c r="D168" s="99"/>
    </row>
    <row r="169" spans="1:4" ht="15.75" hidden="1" outlineLevel="1" x14ac:dyDescent="0.2">
      <c r="A169" s="26" t="s">
        <v>35</v>
      </c>
      <c r="B169" s="27" t="s">
        <v>651</v>
      </c>
      <c r="C169" s="26">
        <v>5.0999999999999996</v>
      </c>
      <c r="D169" s="99"/>
    </row>
    <row r="170" spans="1:4" ht="15.75" hidden="1" outlineLevel="1" x14ac:dyDescent="0.2">
      <c r="A170" s="26" t="s">
        <v>35</v>
      </c>
      <c r="B170" s="27" t="s">
        <v>0</v>
      </c>
      <c r="C170" s="26">
        <v>5.2</v>
      </c>
      <c r="D170" s="99"/>
    </row>
    <row r="171" spans="1:4" ht="15.75" hidden="1" outlineLevel="1" x14ac:dyDescent="0.2">
      <c r="A171" s="26" t="s">
        <v>35</v>
      </c>
      <c r="B171" s="27" t="s">
        <v>724</v>
      </c>
      <c r="C171" s="26">
        <v>5.3</v>
      </c>
      <c r="D171" s="99"/>
    </row>
    <row r="172" spans="1:4" ht="15.75" hidden="1" outlineLevel="1" x14ac:dyDescent="0.2">
      <c r="A172" s="26" t="s">
        <v>35</v>
      </c>
      <c r="B172" s="27" t="s">
        <v>2</v>
      </c>
      <c r="C172" s="26">
        <v>5.6</v>
      </c>
      <c r="D172" s="99"/>
    </row>
    <row r="173" spans="1:4" ht="15.75" hidden="1" outlineLevel="1" x14ac:dyDescent="0.2">
      <c r="A173" s="26" t="s">
        <v>35</v>
      </c>
      <c r="B173" s="27" t="s">
        <v>730</v>
      </c>
      <c r="C173" s="28">
        <v>5.0999999999999996</v>
      </c>
      <c r="D173" s="99"/>
    </row>
    <row r="174" spans="1:4" ht="15.75" hidden="1" outlineLevel="1" x14ac:dyDescent="0.2">
      <c r="A174" s="26" t="s">
        <v>35</v>
      </c>
      <c r="B174" s="27" t="s">
        <v>3</v>
      </c>
      <c r="C174" s="26">
        <v>5.14</v>
      </c>
      <c r="D174" s="99"/>
    </row>
    <row r="175" spans="1:4" ht="15.75" hidden="1" outlineLevel="1" x14ac:dyDescent="0.2">
      <c r="A175" s="26" t="s">
        <v>35</v>
      </c>
      <c r="B175" s="27" t="s">
        <v>29</v>
      </c>
      <c r="C175" s="26">
        <v>5.19</v>
      </c>
      <c r="D175" s="99"/>
    </row>
    <row r="176" spans="1:4" ht="15.75" hidden="1" outlineLevel="1" x14ac:dyDescent="0.2">
      <c r="A176" s="26" t="s">
        <v>35</v>
      </c>
      <c r="B176" s="27" t="s">
        <v>28</v>
      </c>
      <c r="C176" s="26">
        <v>5.24</v>
      </c>
      <c r="D176" s="99"/>
    </row>
    <row r="177" spans="1:4" ht="15.75" hidden="1" outlineLevel="1" x14ac:dyDescent="0.2">
      <c r="A177" s="26" t="s">
        <v>35</v>
      </c>
      <c r="B177" s="27" t="s">
        <v>1</v>
      </c>
      <c r="C177" s="26">
        <v>5.26</v>
      </c>
      <c r="D177" s="99"/>
    </row>
    <row r="178" spans="1:4" ht="15.75" hidden="1" outlineLevel="1" x14ac:dyDescent="0.2">
      <c r="A178" s="26" t="s">
        <v>35</v>
      </c>
      <c r="B178" s="27" t="s">
        <v>604</v>
      </c>
      <c r="C178" s="26">
        <v>5.27</v>
      </c>
      <c r="D178" s="99"/>
    </row>
    <row r="179" spans="1:4" ht="15.75" hidden="1" outlineLevel="1" x14ac:dyDescent="0.2">
      <c r="A179" s="26" t="s">
        <v>35</v>
      </c>
      <c r="B179" s="27" t="s">
        <v>605</v>
      </c>
      <c r="C179" s="26">
        <v>5.28</v>
      </c>
      <c r="D179" s="99"/>
    </row>
    <row r="180" spans="1:4" ht="15.75" hidden="1" outlineLevel="1" x14ac:dyDescent="0.2">
      <c r="A180" s="26" t="s">
        <v>35</v>
      </c>
      <c r="B180" s="27" t="s">
        <v>609</v>
      </c>
      <c r="C180" s="26">
        <v>5.29</v>
      </c>
      <c r="D180" s="99"/>
    </row>
    <row r="181" spans="1:4" ht="15.75" hidden="1" outlineLevel="1" x14ac:dyDescent="0.2">
      <c r="A181" s="26" t="s">
        <v>35</v>
      </c>
      <c r="B181" s="27" t="s">
        <v>5</v>
      </c>
      <c r="C181" s="28">
        <v>5.3</v>
      </c>
      <c r="D181" s="99"/>
    </row>
    <row r="182" spans="1:4" ht="15.75" hidden="1" outlineLevel="1" x14ac:dyDescent="0.2">
      <c r="A182" s="26" t="s">
        <v>35</v>
      </c>
      <c r="B182" s="27" t="s">
        <v>300</v>
      </c>
      <c r="C182" s="26">
        <v>5.32</v>
      </c>
      <c r="D182" s="99"/>
    </row>
    <row r="183" spans="1:4" ht="15.75" hidden="1" outlineLevel="1" x14ac:dyDescent="0.2">
      <c r="A183" s="26" t="s">
        <v>35</v>
      </c>
      <c r="B183" s="27" t="s">
        <v>606</v>
      </c>
      <c r="C183" s="26">
        <v>5.36</v>
      </c>
      <c r="D183" s="99"/>
    </row>
    <row r="184" spans="1:4" ht="15.75" hidden="1" outlineLevel="1" x14ac:dyDescent="0.2">
      <c r="A184" s="26" t="s">
        <v>35</v>
      </c>
      <c r="B184" s="27" t="s">
        <v>396</v>
      </c>
      <c r="C184" s="26">
        <v>5.53</v>
      </c>
      <c r="D184" s="99"/>
    </row>
    <row r="185" spans="1:4" ht="15.75" hidden="1" outlineLevel="1" x14ac:dyDescent="0.2">
      <c r="A185" s="26" t="s">
        <v>35</v>
      </c>
      <c r="B185" s="27" t="s">
        <v>773</v>
      </c>
      <c r="C185" s="26">
        <v>5.58</v>
      </c>
      <c r="D185" s="99"/>
    </row>
    <row r="186" spans="1:4" ht="15.75" hidden="1" outlineLevel="1" x14ac:dyDescent="0.2">
      <c r="A186" s="26" t="s">
        <v>35</v>
      </c>
      <c r="B186" s="27" t="s">
        <v>11</v>
      </c>
      <c r="C186" s="26">
        <v>5.54</v>
      </c>
      <c r="D186" s="99"/>
    </row>
    <row r="187" spans="1:4" ht="15.75" hidden="1" outlineLevel="1" x14ac:dyDescent="0.2">
      <c r="A187" s="26" t="s">
        <v>35</v>
      </c>
      <c r="B187" s="27" t="s">
        <v>15</v>
      </c>
      <c r="C187" s="26">
        <v>5.55</v>
      </c>
      <c r="D187" s="99"/>
    </row>
    <row r="188" spans="1:4" ht="15.75" hidden="1" outlineLevel="1" x14ac:dyDescent="0.2">
      <c r="A188" s="26" t="s">
        <v>35</v>
      </c>
      <c r="B188" s="27" t="s">
        <v>1153</v>
      </c>
      <c r="C188" s="26">
        <v>5.63</v>
      </c>
      <c r="D188" s="99"/>
    </row>
    <row r="189" spans="1:4" ht="15.75" hidden="1" outlineLevel="1" x14ac:dyDescent="0.2">
      <c r="A189" s="26" t="s">
        <v>35</v>
      </c>
      <c r="B189" s="27" t="s">
        <v>18</v>
      </c>
      <c r="C189" s="26">
        <v>5.45</v>
      </c>
      <c r="D189" s="99"/>
    </row>
    <row r="190" spans="1:4" ht="15.75" hidden="1" outlineLevel="1" x14ac:dyDescent="0.2">
      <c r="A190" s="26" t="s">
        <v>35</v>
      </c>
      <c r="B190" s="27" t="s">
        <v>19</v>
      </c>
      <c r="C190" s="26">
        <v>5.47</v>
      </c>
      <c r="D190" s="99"/>
    </row>
    <row r="191" spans="1:4" ht="15.75" hidden="1" outlineLevel="1" x14ac:dyDescent="0.2">
      <c r="A191" s="26" t="s">
        <v>35</v>
      </c>
      <c r="B191" s="27" t="s">
        <v>30</v>
      </c>
      <c r="C191" s="26">
        <v>5.48</v>
      </c>
      <c r="D191" s="99"/>
    </row>
    <row r="192" spans="1:4" ht="15.75" collapsed="1" x14ac:dyDescent="0.2">
      <c r="A192" s="31" t="s">
        <v>35</v>
      </c>
      <c r="B192" s="27"/>
      <c r="C192" s="26"/>
      <c r="D192" s="99"/>
    </row>
    <row r="193" spans="1:4" ht="15.75" hidden="1" outlineLevel="1" x14ac:dyDescent="0.2">
      <c r="A193" s="26" t="s">
        <v>36</v>
      </c>
      <c r="B193" s="27" t="s">
        <v>651</v>
      </c>
      <c r="C193" s="26">
        <v>5.0999999999999996</v>
      </c>
      <c r="D193" s="99"/>
    </row>
    <row r="194" spans="1:4" ht="15.75" hidden="1" outlineLevel="1" x14ac:dyDescent="0.2">
      <c r="A194" s="26" t="s">
        <v>36</v>
      </c>
      <c r="B194" s="27" t="s">
        <v>0</v>
      </c>
      <c r="C194" s="26">
        <v>5.2</v>
      </c>
      <c r="D194" s="99"/>
    </row>
    <row r="195" spans="1:4" ht="15.75" hidden="1" outlineLevel="1" x14ac:dyDescent="0.2">
      <c r="A195" s="26" t="s">
        <v>36</v>
      </c>
      <c r="B195" s="27" t="s">
        <v>724</v>
      </c>
      <c r="C195" s="26">
        <v>5.3</v>
      </c>
      <c r="D195" s="99"/>
    </row>
    <row r="196" spans="1:4" ht="15.75" hidden="1" outlineLevel="1" x14ac:dyDescent="0.2">
      <c r="A196" s="26" t="s">
        <v>36</v>
      </c>
      <c r="B196" s="27" t="s">
        <v>2</v>
      </c>
      <c r="C196" s="26">
        <v>5.6</v>
      </c>
      <c r="D196" s="99"/>
    </row>
    <row r="197" spans="1:4" ht="15.75" hidden="1" outlineLevel="1" x14ac:dyDescent="0.2">
      <c r="A197" s="26" t="s">
        <v>36</v>
      </c>
      <c r="B197" s="27" t="s">
        <v>730</v>
      </c>
      <c r="C197" s="28">
        <v>5.0999999999999996</v>
      </c>
      <c r="D197" s="99"/>
    </row>
    <row r="198" spans="1:4" ht="15.75" hidden="1" outlineLevel="1" x14ac:dyDescent="0.2">
      <c r="A198" s="26" t="s">
        <v>36</v>
      </c>
      <c r="B198" s="27" t="s">
        <v>3</v>
      </c>
      <c r="C198" s="26">
        <v>5.14</v>
      </c>
      <c r="D198" s="99"/>
    </row>
    <row r="199" spans="1:4" ht="15.75" hidden="1" outlineLevel="1" x14ac:dyDescent="0.2">
      <c r="A199" s="26" t="s">
        <v>36</v>
      </c>
      <c r="B199" s="27" t="s">
        <v>29</v>
      </c>
      <c r="C199" s="26">
        <v>5.19</v>
      </c>
      <c r="D199" s="99"/>
    </row>
    <row r="200" spans="1:4" ht="15.75" hidden="1" outlineLevel="1" x14ac:dyDescent="0.2">
      <c r="A200" s="26" t="s">
        <v>36</v>
      </c>
      <c r="B200" s="27" t="s">
        <v>28</v>
      </c>
      <c r="C200" s="26">
        <v>5.24</v>
      </c>
      <c r="D200" s="99"/>
    </row>
    <row r="201" spans="1:4" ht="15.75" hidden="1" outlineLevel="1" x14ac:dyDescent="0.2">
      <c r="A201" s="26" t="s">
        <v>36</v>
      </c>
      <c r="B201" s="27" t="s">
        <v>604</v>
      </c>
      <c r="C201" s="26">
        <v>5.27</v>
      </c>
      <c r="D201" s="99"/>
    </row>
    <row r="202" spans="1:4" ht="15.75" hidden="1" outlineLevel="1" x14ac:dyDescent="0.2">
      <c r="A202" s="26" t="s">
        <v>36</v>
      </c>
      <c r="B202" s="27" t="s">
        <v>605</v>
      </c>
      <c r="C202" s="26">
        <v>5.28</v>
      </c>
      <c r="D202" s="99"/>
    </row>
    <row r="203" spans="1:4" ht="15.75" hidden="1" outlineLevel="1" x14ac:dyDescent="0.2">
      <c r="A203" s="26" t="s">
        <v>36</v>
      </c>
      <c r="B203" s="27" t="s">
        <v>609</v>
      </c>
      <c r="C203" s="26">
        <v>5.29</v>
      </c>
      <c r="D203" s="99"/>
    </row>
    <row r="204" spans="1:4" ht="15.75" hidden="1" outlineLevel="1" x14ac:dyDescent="0.2">
      <c r="A204" s="26" t="s">
        <v>36</v>
      </c>
      <c r="B204" s="27" t="s">
        <v>5</v>
      </c>
      <c r="C204" s="28">
        <v>5.3</v>
      </c>
      <c r="D204" s="99"/>
    </row>
    <row r="205" spans="1:4" ht="15.75" hidden="1" outlineLevel="1" x14ac:dyDescent="0.2">
      <c r="A205" s="26" t="s">
        <v>36</v>
      </c>
      <c r="B205" s="27" t="s">
        <v>738</v>
      </c>
      <c r="C205" s="26">
        <v>5.34</v>
      </c>
      <c r="D205" s="99"/>
    </row>
    <row r="206" spans="1:4" ht="15.75" hidden="1" outlineLevel="1" x14ac:dyDescent="0.2">
      <c r="A206" s="26" t="s">
        <v>36</v>
      </c>
      <c r="B206" s="27" t="s">
        <v>9</v>
      </c>
      <c r="C206" s="26">
        <v>5.31</v>
      </c>
      <c r="D206" s="99"/>
    </row>
    <row r="207" spans="1:4" ht="15.75" hidden="1" outlineLevel="1" x14ac:dyDescent="0.2">
      <c r="A207" s="26" t="s">
        <v>36</v>
      </c>
      <c r="B207" s="27" t="s">
        <v>666</v>
      </c>
      <c r="C207" s="26">
        <v>5.101</v>
      </c>
      <c r="D207" s="99"/>
    </row>
    <row r="208" spans="1:4" ht="15.75" hidden="1" outlineLevel="1" x14ac:dyDescent="0.2">
      <c r="A208" s="26" t="s">
        <v>36</v>
      </c>
      <c r="B208" s="27" t="s">
        <v>606</v>
      </c>
      <c r="C208" s="26">
        <v>5.36</v>
      </c>
      <c r="D208" s="99"/>
    </row>
    <row r="209" spans="1:4" ht="15.75" hidden="1" outlineLevel="1" x14ac:dyDescent="0.2">
      <c r="A209" s="26" t="s">
        <v>36</v>
      </c>
      <c r="B209" s="27" t="s">
        <v>396</v>
      </c>
      <c r="C209" s="26">
        <v>5.53</v>
      </c>
      <c r="D209" s="99"/>
    </row>
    <row r="210" spans="1:4" ht="15.75" hidden="1" outlineLevel="1" x14ac:dyDescent="0.2">
      <c r="A210" s="26" t="s">
        <v>36</v>
      </c>
      <c r="B210" s="27" t="s">
        <v>23</v>
      </c>
      <c r="C210" s="26">
        <v>5.1020000000000003</v>
      </c>
      <c r="D210" s="99"/>
    </row>
    <row r="211" spans="1:4" ht="15.75" hidden="1" outlineLevel="1" x14ac:dyDescent="0.2">
      <c r="A211" s="26" t="s">
        <v>36</v>
      </c>
      <c r="B211" s="27" t="s">
        <v>613</v>
      </c>
      <c r="C211" s="29">
        <v>5.0999999999999996</v>
      </c>
      <c r="D211" s="99"/>
    </row>
    <row r="212" spans="1:4" ht="15.75" hidden="1" outlineLevel="1" x14ac:dyDescent="0.2">
      <c r="A212" s="26" t="s">
        <v>36</v>
      </c>
      <c r="B212" s="27" t="s">
        <v>773</v>
      </c>
      <c r="C212" s="26">
        <v>5.58</v>
      </c>
      <c r="D212" s="99"/>
    </row>
    <row r="213" spans="1:4" ht="15.75" hidden="1" outlineLevel="1" x14ac:dyDescent="0.2">
      <c r="A213" s="26" t="s">
        <v>36</v>
      </c>
      <c r="B213" s="27" t="s">
        <v>11</v>
      </c>
      <c r="C213" s="26">
        <v>5.54</v>
      </c>
      <c r="D213" s="99"/>
    </row>
    <row r="214" spans="1:4" ht="15.75" hidden="1" outlineLevel="1" x14ac:dyDescent="0.2">
      <c r="A214" s="26" t="s">
        <v>36</v>
      </c>
      <c r="B214" s="27" t="s">
        <v>15</v>
      </c>
      <c r="C214" s="26">
        <v>5.55</v>
      </c>
      <c r="D214" s="99"/>
    </row>
    <row r="215" spans="1:4" ht="15.75" hidden="1" outlineLevel="1" x14ac:dyDescent="0.2">
      <c r="A215" s="26" t="s">
        <v>36</v>
      </c>
      <c r="B215" s="27" t="s">
        <v>1153</v>
      </c>
      <c r="C215" s="26">
        <v>5.63</v>
      </c>
      <c r="D215" s="99"/>
    </row>
    <row r="216" spans="1:4" ht="15.75" hidden="1" outlineLevel="1" x14ac:dyDescent="0.2">
      <c r="A216" s="26" t="s">
        <v>36</v>
      </c>
      <c r="B216" s="27" t="s">
        <v>19</v>
      </c>
      <c r="C216" s="26">
        <v>5.47</v>
      </c>
      <c r="D216" s="99"/>
    </row>
    <row r="217" spans="1:4" ht="15.75" hidden="1" outlineLevel="1" x14ac:dyDescent="0.2">
      <c r="A217" s="26" t="s">
        <v>36</v>
      </c>
      <c r="B217" s="27" t="s">
        <v>30</v>
      </c>
      <c r="C217" s="26">
        <v>5.48</v>
      </c>
      <c r="D217" s="99"/>
    </row>
    <row r="218" spans="1:4" ht="15.75" collapsed="1" x14ac:dyDescent="0.2">
      <c r="A218" s="31" t="s">
        <v>36</v>
      </c>
      <c r="B218" s="27"/>
      <c r="C218" s="26"/>
      <c r="D218" s="99"/>
    </row>
    <row r="219" spans="1:4" ht="15.75" hidden="1" outlineLevel="1" x14ac:dyDescent="0.2">
      <c r="A219" s="26" t="s">
        <v>37</v>
      </c>
      <c r="B219" s="27" t="s">
        <v>651</v>
      </c>
      <c r="C219" s="26">
        <v>5.0999999999999996</v>
      </c>
      <c r="D219" s="99"/>
    </row>
    <row r="220" spans="1:4" ht="15.75" hidden="1" outlineLevel="1" x14ac:dyDescent="0.2">
      <c r="A220" s="26" t="s">
        <v>37</v>
      </c>
      <c r="B220" s="27" t="s">
        <v>0</v>
      </c>
      <c r="C220" s="26">
        <v>5.2</v>
      </c>
      <c r="D220" s="99"/>
    </row>
    <row r="221" spans="1:4" ht="15.75" hidden="1" outlineLevel="1" x14ac:dyDescent="0.2">
      <c r="A221" s="26" t="s">
        <v>37</v>
      </c>
      <c r="B221" s="27" t="s">
        <v>724</v>
      </c>
      <c r="C221" s="26">
        <v>5.3</v>
      </c>
      <c r="D221" s="99"/>
    </row>
    <row r="222" spans="1:4" ht="15.75" hidden="1" outlineLevel="1" x14ac:dyDescent="0.2">
      <c r="A222" s="26" t="s">
        <v>37</v>
      </c>
      <c r="B222" s="27" t="s">
        <v>2</v>
      </c>
      <c r="C222" s="26">
        <v>5.6</v>
      </c>
      <c r="D222" s="99"/>
    </row>
    <row r="223" spans="1:4" ht="15.75" hidden="1" outlineLevel="1" x14ac:dyDescent="0.2">
      <c r="A223" s="26" t="s">
        <v>37</v>
      </c>
      <c r="B223" s="27" t="s">
        <v>730</v>
      </c>
      <c r="C223" s="28">
        <v>5.0999999999999996</v>
      </c>
      <c r="D223" s="99"/>
    </row>
    <row r="224" spans="1:4" ht="15.75" hidden="1" outlineLevel="1" x14ac:dyDescent="0.2">
      <c r="A224" s="26" t="s">
        <v>37</v>
      </c>
      <c r="B224" s="27" t="s">
        <v>3</v>
      </c>
      <c r="C224" s="26">
        <v>5.14</v>
      </c>
      <c r="D224" s="99"/>
    </row>
    <row r="225" spans="1:4" ht="15.75" hidden="1" outlineLevel="1" x14ac:dyDescent="0.2">
      <c r="A225" s="26" t="s">
        <v>37</v>
      </c>
      <c r="B225" s="27" t="s">
        <v>29</v>
      </c>
      <c r="C225" s="26">
        <v>5.19</v>
      </c>
      <c r="D225" s="99"/>
    </row>
    <row r="226" spans="1:4" ht="15.75" hidden="1" outlineLevel="1" x14ac:dyDescent="0.2">
      <c r="A226" s="26" t="s">
        <v>37</v>
      </c>
      <c r="B226" s="27" t="s">
        <v>28</v>
      </c>
      <c r="C226" s="26">
        <v>5.24</v>
      </c>
      <c r="D226" s="99"/>
    </row>
    <row r="227" spans="1:4" ht="15.75" hidden="1" outlineLevel="1" x14ac:dyDescent="0.2">
      <c r="A227" s="26" t="s">
        <v>37</v>
      </c>
      <c r="B227" s="27" t="s">
        <v>1</v>
      </c>
      <c r="C227" s="26">
        <v>5.26</v>
      </c>
      <c r="D227" s="99"/>
    </row>
    <row r="228" spans="1:4" ht="15.75" hidden="1" outlineLevel="1" x14ac:dyDescent="0.2">
      <c r="A228" s="26" t="s">
        <v>37</v>
      </c>
      <c r="B228" s="27" t="s">
        <v>604</v>
      </c>
      <c r="C228" s="26">
        <v>5.27</v>
      </c>
      <c r="D228" s="99"/>
    </row>
    <row r="229" spans="1:4" ht="15.75" hidden="1" outlineLevel="1" x14ac:dyDescent="0.2">
      <c r="A229" s="26" t="s">
        <v>37</v>
      </c>
      <c r="B229" s="27" t="s">
        <v>605</v>
      </c>
      <c r="C229" s="26">
        <v>5.28</v>
      </c>
      <c r="D229" s="99"/>
    </row>
    <row r="230" spans="1:4" ht="15.75" hidden="1" outlineLevel="1" x14ac:dyDescent="0.2">
      <c r="A230" s="26" t="s">
        <v>37</v>
      </c>
      <c r="B230" s="27" t="s">
        <v>609</v>
      </c>
      <c r="C230" s="26">
        <v>5.29</v>
      </c>
      <c r="D230" s="99"/>
    </row>
    <row r="231" spans="1:4" ht="15.75" hidden="1" outlineLevel="1" x14ac:dyDescent="0.2">
      <c r="A231" s="26" t="s">
        <v>37</v>
      </c>
      <c r="B231" s="27" t="s">
        <v>5</v>
      </c>
      <c r="C231" s="28">
        <v>5.3</v>
      </c>
      <c r="D231" s="99"/>
    </row>
    <row r="232" spans="1:4" ht="15.75" hidden="1" outlineLevel="1" x14ac:dyDescent="0.2">
      <c r="A232" s="26" t="s">
        <v>37</v>
      </c>
      <c r="B232" s="27" t="s">
        <v>9</v>
      </c>
      <c r="C232" s="26">
        <v>5.31</v>
      </c>
      <c r="D232" s="99"/>
    </row>
    <row r="233" spans="1:4" ht="15.75" hidden="1" outlineLevel="1" x14ac:dyDescent="0.2">
      <c r="A233" s="26" t="s">
        <v>37</v>
      </c>
      <c r="B233" s="27" t="s">
        <v>10</v>
      </c>
      <c r="C233" s="26">
        <v>5.33</v>
      </c>
      <c r="D233" s="99"/>
    </row>
    <row r="234" spans="1:4" ht="15.75" hidden="1" outlineLevel="1" x14ac:dyDescent="0.2">
      <c r="A234" s="26" t="s">
        <v>37</v>
      </c>
      <c r="B234" s="27" t="s">
        <v>666</v>
      </c>
      <c r="C234" s="26">
        <v>5.101</v>
      </c>
      <c r="D234" s="99"/>
    </row>
    <row r="235" spans="1:4" ht="15.75" hidden="1" outlineLevel="1" x14ac:dyDescent="0.2">
      <c r="A235" s="26" t="s">
        <v>37</v>
      </c>
      <c r="B235" s="27" t="s">
        <v>606</v>
      </c>
      <c r="C235" s="26">
        <v>5.36</v>
      </c>
      <c r="D235" s="99"/>
    </row>
    <row r="236" spans="1:4" ht="15.75" hidden="1" outlineLevel="1" x14ac:dyDescent="0.2">
      <c r="A236" s="26" t="s">
        <v>37</v>
      </c>
      <c r="B236" s="27" t="s">
        <v>396</v>
      </c>
      <c r="C236" s="26">
        <v>5.53</v>
      </c>
      <c r="D236" s="99"/>
    </row>
    <row r="237" spans="1:4" ht="15.75" hidden="1" outlineLevel="1" x14ac:dyDescent="0.2">
      <c r="A237" s="26" t="s">
        <v>37</v>
      </c>
      <c r="B237" s="27" t="s">
        <v>23</v>
      </c>
      <c r="C237" s="26">
        <v>5.1020000000000003</v>
      </c>
      <c r="D237" s="99"/>
    </row>
    <row r="238" spans="1:4" ht="15.75" hidden="1" outlineLevel="1" x14ac:dyDescent="0.2">
      <c r="A238" s="26" t="s">
        <v>37</v>
      </c>
      <c r="B238" s="27" t="s">
        <v>773</v>
      </c>
      <c r="C238" s="26">
        <v>5.58</v>
      </c>
      <c r="D238" s="99"/>
    </row>
    <row r="239" spans="1:4" ht="15.75" hidden="1" outlineLevel="1" x14ac:dyDescent="0.2">
      <c r="A239" s="26" t="s">
        <v>37</v>
      </c>
      <c r="B239" s="27" t="s">
        <v>11</v>
      </c>
      <c r="C239" s="26">
        <v>5.54</v>
      </c>
      <c r="D239" s="99"/>
    </row>
    <row r="240" spans="1:4" ht="15.75" hidden="1" outlineLevel="1" x14ac:dyDescent="0.2">
      <c r="A240" s="26" t="s">
        <v>37</v>
      </c>
      <c r="B240" s="27" t="s">
        <v>15</v>
      </c>
      <c r="C240" s="26">
        <v>5.55</v>
      </c>
      <c r="D240" s="99"/>
    </row>
    <row r="241" spans="1:4" ht="15.75" hidden="1" outlineLevel="1" x14ac:dyDescent="0.2">
      <c r="A241" s="26" t="s">
        <v>37</v>
      </c>
      <c r="B241" s="27" t="s">
        <v>1153</v>
      </c>
      <c r="C241" s="26">
        <v>5.63</v>
      </c>
      <c r="D241" s="99"/>
    </row>
    <row r="242" spans="1:4" ht="15.75" hidden="1" outlineLevel="1" x14ac:dyDescent="0.2">
      <c r="A242" s="26" t="s">
        <v>37</v>
      </c>
      <c r="B242" s="27" t="s">
        <v>19</v>
      </c>
      <c r="C242" s="26">
        <v>5.47</v>
      </c>
      <c r="D242" s="99"/>
    </row>
    <row r="243" spans="1:4" ht="15.75" hidden="1" outlineLevel="1" x14ac:dyDescent="0.2">
      <c r="A243" s="26" t="s">
        <v>37</v>
      </c>
      <c r="B243" s="27" t="s">
        <v>30</v>
      </c>
      <c r="C243" s="26">
        <v>5.48</v>
      </c>
      <c r="D243" s="99"/>
    </row>
    <row r="244" spans="1:4" ht="15.75" collapsed="1" x14ac:dyDescent="0.2">
      <c r="A244" s="31" t="s">
        <v>37</v>
      </c>
      <c r="B244" s="27"/>
      <c r="C244" s="26"/>
      <c r="D244" s="99"/>
    </row>
    <row r="245" spans="1:4" ht="15.75" hidden="1" outlineLevel="1" x14ac:dyDescent="0.2">
      <c r="A245" s="26" t="s">
        <v>38</v>
      </c>
      <c r="B245" s="27" t="s">
        <v>651</v>
      </c>
      <c r="C245" s="26">
        <v>5.0999999999999996</v>
      </c>
      <c r="D245" s="99"/>
    </row>
    <row r="246" spans="1:4" ht="15.75" hidden="1" outlineLevel="1" x14ac:dyDescent="0.2">
      <c r="A246" s="26" t="s">
        <v>38</v>
      </c>
      <c r="B246" s="27" t="s">
        <v>0</v>
      </c>
      <c r="C246" s="26">
        <v>5.2</v>
      </c>
      <c r="D246" s="99"/>
    </row>
    <row r="247" spans="1:4" ht="15.75" hidden="1" outlineLevel="1" x14ac:dyDescent="0.2">
      <c r="A247" s="26" t="s">
        <v>38</v>
      </c>
      <c r="B247" s="27" t="s">
        <v>724</v>
      </c>
      <c r="C247" s="26">
        <v>5.3</v>
      </c>
      <c r="D247" s="99"/>
    </row>
    <row r="248" spans="1:4" ht="15.75" hidden="1" outlineLevel="1" x14ac:dyDescent="0.2">
      <c r="A248" s="26" t="s">
        <v>38</v>
      </c>
      <c r="B248" s="27" t="s">
        <v>2</v>
      </c>
      <c r="C248" s="26">
        <v>5.6</v>
      </c>
      <c r="D248" s="99"/>
    </row>
    <row r="249" spans="1:4" ht="15.75" hidden="1" outlineLevel="1" x14ac:dyDescent="0.2">
      <c r="A249" s="26" t="s">
        <v>38</v>
      </c>
      <c r="B249" s="27" t="s">
        <v>730</v>
      </c>
      <c r="C249" s="28">
        <v>5.0999999999999996</v>
      </c>
      <c r="D249" s="99"/>
    </row>
    <row r="250" spans="1:4" ht="15.75" hidden="1" outlineLevel="1" x14ac:dyDescent="0.2">
      <c r="A250" s="26" t="s">
        <v>38</v>
      </c>
      <c r="B250" s="27" t="s">
        <v>3</v>
      </c>
      <c r="C250" s="26">
        <v>5.14</v>
      </c>
      <c r="D250" s="99"/>
    </row>
    <row r="251" spans="1:4" ht="15.75" hidden="1" outlineLevel="1" x14ac:dyDescent="0.2">
      <c r="A251" s="26" t="s">
        <v>38</v>
      </c>
      <c r="B251" s="27" t="s">
        <v>29</v>
      </c>
      <c r="C251" s="26">
        <v>5.19</v>
      </c>
      <c r="D251" s="99"/>
    </row>
    <row r="252" spans="1:4" ht="15.75" hidden="1" outlineLevel="1" x14ac:dyDescent="0.2">
      <c r="A252" s="26" t="s">
        <v>38</v>
      </c>
      <c r="B252" s="27" t="s">
        <v>28</v>
      </c>
      <c r="C252" s="26">
        <v>5.24</v>
      </c>
      <c r="D252" s="99"/>
    </row>
    <row r="253" spans="1:4" ht="15.75" hidden="1" outlineLevel="1" x14ac:dyDescent="0.2">
      <c r="A253" s="26" t="s">
        <v>38</v>
      </c>
      <c r="B253" s="27" t="s">
        <v>604</v>
      </c>
      <c r="C253" s="26">
        <v>5.27</v>
      </c>
      <c r="D253" s="99"/>
    </row>
    <row r="254" spans="1:4" ht="15.75" hidden="1" outlineLevel="1" x14ac:dyDescent="0.2">
      <c r="A254" s="26" t="s">
        <v>38</v>
      </c>
      <c r="B254" s="27" t="s">
        <v>605</v>
      </c>
      <c r="C254" s="26">
        <v>5.28</v>
      </c>
      <c r="D254" s="99"/>
    </row>
    <row r="255" spans="1:4" ht="15.75" hidden="1" outlineLevel="1" x14ac:dyDescent="0.2">
      <c r="A255" s="26" t="s">
        <v>38</v>
      </c>
      <c r="B255" s="27" t="s">
        <v>5</v>
      </c>
      <c r="C255" s="28">
        <v>5.3</v>
      </c>
      <c r="D255" s="99"/>
    </row>
    <row r="256" spans="1:4" ht="15.75" hidden="1" outlineLevel="1" x14ac:dyDescent="0.2">
      <c r="A256" s="26" t="s">
        <v>38</v>
      </c>
      <c r="B256" s="27" t="s">
        <v>10</v>
      </c>
      <c r="C256" s="26">
        <v>5.33</v>
      </c>
      <c r="D256" s="99"/>
    </row>
    <row r="257" spans="1:4" ht="15.75" hidden="1" outlineLevel="1" x14ac:dyDescent="0.2">
      <c r="A257" s="26" t="s">
        <v>38</v>
      </c>
      <c r="B257" s="27" t="s">
        <v>606</v>
      </c>
      <c r="C257" s="26">
        <v>5.36</v>
      </c>
      <c r="D257" s="99"/>
    </row>
    <row r="258" spans="1:4" ht="15.75" hidden="1" outlineLevel="1" x14ac:dyDescent="0.2">
      <c r="A258" s="26" t="s">
        <v>38</v>
      </c>
      <c r="B258" s="27" t="s">
        <v>396</v>
      </c>
      <c r="C258" s="26">
        <v>5.53</v>
      </c>
      <c r="D258" s="99"/>
    </row>
    <row r="259" spans="1:4" ht="15.75" hidden="1" outlineLevel="1" x14ac:dyDescent="0.2">
      <c r="A259" s="26" t="s">
        <v>38</v>
      </c>
      <c r="B259" s="27" t="s">
        <v>773</v>
      </c>
      <c r="C259" s="26">
        <v>5.58</v>
      </c>
      <c r="D259" s="99"/>
    </row>
    <row r="260" spans="1:4" ht="15.75" hidden="1" outlineLevel="1" x14ac:dyDescent="0.2">
      <c r="A260" s="26" t="s">
        <v>38</v>
      </c>
      <c r="B260" s="27" t="s">
        <v>11</v>
      </c>
      <c r="C260" s="26">
        <v>5.54</v>
      </c>
      <c r="D260" s="99"/>
    </row>
    <row r="261" spans="1:4" ht="15.75" hidden="1" outlineLevel="1" x14ac:dyDescent="0.2">
      <c r="A261" s="26" t="s">
        <v>38</v>
      </c>
      <c r="B261" s="27" t="s">
        <v>15</v>
      </c>
      <c r="C261" s="26">
        <v>5.55</v>
      </c>
      <c r="D261" s="99"/>
    </row>
    <row r="262" spans="1:4" ht="15.75" hidden="1" outlineLevel="1" x14ac:dyDescent="0.2">
      <c r="A262" s="26" t="s">
        <v>38</v>
      </c>
      <c r="B262" s="27" t="s">
        <v>1153</v>
      </c>
      <c r="C262" s="26">
        <v>5.63</v>
      </c>
      <c r="D262" s="99"/>
    </row>
    <row r="263" spans="1:4" ht="15.75" hidden="1" outlineLevel="1" x14ac:dyDescent="0.2">
      <c r="A263" s="26" t="s">
        <v>38</v>
      </c>
      <c r="B263" s="27" t="s">
        <v>19</v>
      </c>
      <c r="C263" s="26">
        <v>5.47</v>
      </c>
      <c r="D263" s="99"/>
    </row>
    <row r="264" spans="1:4" ht="15.75" hidden="1" outlineLevel="1" x14ac:dyDescent="0.2">
      <c r="A264" s="26" t="s">
        <v>38</v>
      </c>
      <c r="B264" s="27" t="s">
        <v>30</v>
      </c>
      <c r="C264" s="26">
        <v>5.48</v>
      </c>
      <c r="D264" s="99"/>
    </row>
    <row r="265" spans="1:4" ht="15.75" collapsed="1" x14ac:dyDescent="0.2">
      <c r="A265" s="31" t="s">
        <v>38</v>
      </c>
      <c r="B265" s="27"/>
      <c r="C265" s="26"/>
      <c r="D265" s="99"/>
    </row>
    <row r="266" spans="1:4" ht="15.75" hidden="1" outlineLevel="1" x14ac:dyDescent="0.2">
      <c r="A266" s="26" t="s">
        <v>39</v>
      </c>
      <c r="B266" s="27" t="s">
        <v>651</v>
      </c>
      <c r="C266" s="26">
        <v>5.0999999999999996</v>
      </c>
      <c r="D266" s="99"/>
    </row>
    <row r="267" spans="1:4" ht="15.75" hidden="1" outlineLevel="1" x14ac:dyDescent="0.2">
      <c r="A267" s="26" t="s">
        <v>39</v>
      </c>
      <c r="B267" s="27" t="s">
        <v>0</v>
      </c>
      <c r="C267" s="26">
        <v>5.2</v>
      </c>
      <c r="D267" s="99"/>
    </row>
    <row r="268" spans="1:4" ht="15.75" hidden="1" outlineLevel="1" x14ac:dyDescent="0.2">
      <c r="A268" s="26" t="s">
        <v>39</v>
      </c>
      <c r="B268" s="27" t="s">
        <v>724</v>
      </c>
      <c r="C268" s="26">
        <v>5.3</v>
      </c>
      <c r="D268" s="99"/>
    </row>
    <row r="269" spans="1:4" ht="15.75" hidden="1" outlineLevel="1" x14ac:dyDescent="0.2">
      <c r="A269" s="26" t="s">
        <v>39</v>
      </c>
      <c r="B269" s="27" t="s">
        <v>2</v>
      </c>
      <c r="C269" s="26">
        <v>5.6</v>
      </c>
      <c r="D269" s="99"/>
    </row>
    <row r="270" spans="1:4" ht="15.75" hidden="1" outlineLevel="1" x14ac:dyDescent="0.2">
      <c r="A270" s="26" t="s">
        <v>39</v>
      </c>
      <c r="B270" s="27" t="s">
        <v>730</v>
      </c>
      <c r="C270" s="28">
        <v>5.0999999999999996</v>
      </c>
      <c r="D270" s="99"/>
    </row>
    <row r="271" spans="1:4" ht="15.75" hidden="1" outlineLevel="1" x14ac:dyDescent="0.2">
      <c r="A271" s="26" t="s">
        <v>39</v>
      </c>
      <c r="B271" s="27" t="s">
        <v>3</v>
      </c>
      <c r="C271" s="26">
        <v>5.14</v>
      </c>
      <c r="D271" s="99"/>
    </row>
    <row r="272" spans="1:4" ht="15.75" hidden="1" outlineLevel="1" x14ac:dyDescent="0.2">
      <c r="A272" s="26" t="s">
        <v>39</v>
      </c>
      <c r="B272" s="27" t="s">
        <v>29</v>
      </c>
      <c r="C272" s="26">
        <v>5.19</v>
      </c>
      <c r="D272" s="99"/>
    </row>
    <row r="273" spans="1:4" ht="15.75" hidden="1" outlineLevel="1" x14ac:dyDescent="0.2">
      <c r="A273" s="26" t="s">
        <v>39</v>
      </c>
      <c r="B273" s="27" t="s">
        <v>28</v>
      </c>
      <c r="C273" s="26">
        <v>5.24</v>
      </c>
      <c r="D273" s="99"/>
    </row>
    <row r="274" spans="1:4" ht="15.75" hidden="1" outlineLevel="1" x14ac:dyDescent="0.2">
      <c r="A274" s="26" t="s">
        <v>39</v>
      </c>
      <c r="B274" s="27" t="s">
        <v>1</v>
      </c>
      <c r="C274" s="26">
        <v>5.26</v>
      </c>
      <c r="D274" s="99"/>
    </row>
    <row r="275" spans="1:4" ht="15.75" hidden="1" outlineLevel="1" x14ac:dyDescent="0.2">
      <c r="A275" s="26" t="s">
        <v>39</v>
      </c>
      <c r="B275" s="27" t="s">
        <v>604</v>
      </c>
      <c r="C275" s="26">
        <v>5.27</v>
      </c>
      <c r="D275" s="99"/>
    </row>
    <row r="276" spans="1:4" ht="15.75" hidden="1" outlineLevel="1" x14ac:dyDescent="0.2">
      <c r="A276" s="26" t="s">
        <v>39</v>
      </c>
      <c r="B276" s="27" t="s">
        <v>605</v>
      </c>
      <c r="C276" s="26">
        <v>5.28</v>
      </c>
      <c r="D276" s="99"/>
    </row>
    <row r="277" spans="1:4" ht="15.75" hidden="1" outlineLevel="1" x14ac:dyDescent="0.2">
      <c r="A277" s="26" t="s">
        <v>39</v>
      </c>
      <c r="B277" s="27" t="s">
        <v>609</v>
      </c>
      <c r="C277" s="26">
        <v>5.29</v>
      </c>
      <c r="D277" s="99"/>
    </row>
    <row r="278" spans="1:4" ht="15.75" hidden="1" outlineLevel="1" x14ac:dyDescent="0.2">
      <c r="A278" s="26" t="s">
        <v>39</v>
      </c>
      <c r="B278" s="27" t="s">
        <v>5</v>
      </c>
      <c r="C278" s="28">
        <v>5.3</v>
      </c>
      <c r="D278" s="99"/>
    </row>
    <row r="279" spans="1:4" ht="15.75" hidden="1" outlineLevel="1" x14ac:dyDescent="0.2">
      <c r="A279" s="26" t="s">
        <v>39</v>
      </c>
      <c r="B279" s="27" t="s">
        <v>10</v>
      </c>
      <c r="C279" s="26">
        <v>5.33</v>
      </c>
      <c r="D279" s="99"/>
    </row>
    <row r="280" spans="1:4" ht="15.75" hidden="1" outlineLevel="1" x14ac:dyDescent="0.2">
      <c r="A280" s="26" t="s">
        <v>39</v>
      </c>
      <c r="B280" s="27" t="s">
        <v>606</v>
      </c>
      <c r="C280" s="26">
        <v>5.36</v>
      </c>
      <c r="D280" s="99"/>
    </row>
    <row r="281" spans="1:4" ht="15.75" hidden="1" outlineLevel="1" x14ac:dyDescent="0.2">
      <c r="A281" s="26" t="s">
        <v>39</v>
      </c>
      <c r="B281" s="27" t="s">
        <v>13</v>
      </c>
      <c r="C281" s="26">
        <v>5.69</v>
      </c>
      <c r="D281" s="99"/>
    </row>
    <row r="282" spans="1:4" ht="15.75" hidden="1" outlineLevel="1" x14ac:dyDescent="0.2">
      <c r="A282" s="26" t="s">
        <v>39</v>
      </c>
      <c r="B282" s="27" t="s">
        <v>14</v>
      </c>
      <c r="C282" s="28">
        <v>5.7</v>
      </c>
      <c r="D282" s="99"/>
    </row>
    <row r="283" spans="1:4" ht="15.75" hidden="1" outlineLevel="1" x14ac:dyDescent="0.2">
      <c r="A283" s="26" t="s">
        <v>39</v>
      </c>
      <c r="B283" s="27" t="s">
        <v>621</v>
      </c>
      <c r="C283" s="26">
        <v>5.74</v>
      </c>
      <c r="D283" s="99"/>
    </row>
    <row r="284" spans="1:4" ht="15.75" hidden="1" outlineLevel="1" x14ac:dyDescent="0.2">
      <c r="A284" s="26" t="s">
        <v>39</v>
      </c>
      <c r="B284" s="27" t="s">
        <v>6</v>
      </c>
      <c r="C284" s="26">
        <v>5.49</v>
      </c>
      <c r="D284" s="99"/>
    </row>
    <row r="285" spans="1:4" ht="15.75" hidden="1" outlineLevel="1" x14ac:dyDescent="0.2">
      <c r="A285" s="26" t="s">
        <v>39</v>
      </c>
      <c r="B285" s="27" t="s">
        <v>8</v>
      </c>
      <c r="C285" s="26">
        <v>5.51</v>
      </c>
      <c r="D285" s="99"/>
    </row>
    <row r="286" spans="1:4" ht="15.75" hidden="1" outlineLevel="1" x14ac:dyDescent="0.2">
      <c r="A286" s="26" t="s">
        <v>39</v>
      </c>
      <c r="B286" s="27" t="s">
        <v>7</v>
      </c>
      <c r="C286" s="26">
        <v>5.52</v>
      </c>
      <c r="D286" s="99"/>
    </row>
    <row r="287" spans="1:4" ht="15.75" hidden="1" outlineLevel="1" x14ac:dyDescent="0.2">
      <c r="A287" s="26" t="s">
        <v>39</v>
      </c>
      <c r="B287" s="27" t="s">
        <v>396</v>
      </c>
      <c r="C287" s="26">
        <v>5.53</v>
      </c>
      <c r="D287" s="99"/>
    </row>
    <row r="288" spans="1:4" ht="15.75" hidden="1" outlineLevel="1" x14ac:dyDescent="0.2">
      <c r="A288" s="26" t="s">
        <v>39</v>
      </c>
      <c r="B288" s="27" t="s">
        <v>773</v>
      </c>
      <c r="C288" s="26">
        <v>5.58</v>
      </c>
      <c r="D288" s="99"/>
    </row>
    <row r="289" spans="1:4" ht="15.75" hidden="1" outlineLevel="1" x14ac:dyDescent="0.2">
      <c r="A289" s="26" t="s">
        <v>39</v>
      </c>
      <c r="B289" s="27" t="s">
        <v>11</v>
      </c>
      <c r="C289" s="26">
        <v>5.54</v>
      </c>
      <c r="D289" s="99"/>
    </row>
    <row r="290" spans="1:4" ht="15.75" hidden="1" outlineLevel="1" x14ac:dyDescent="0.2">
      <c r="A290" s="26" t="s">
        <v>39</v>
      </c>
      <c r="B290" s="27" t="s">
        <v>15</v>
      </c>
      <c r="C290" s="26">
        <v>5.55</v>
      </c>
      <c r="D290" s="99"/>
    </row>
    <row r="291" spans="1:4" ht="15.75" hidden="1" outlineLevel="1" x14ac:dyDescent="0.2">
      <c r="A291" s="26" t="s">
        <v>39</v>
      </c>
      <c r="B291" s="27" t="s">
        <v>1153</v>
      </c>
      <c r="C291" s="26">
        <v>5.63</v>
      </c>
      <c r="D291" s="99"/>
    </row>
    <row r="292" spans="1:4" ht="15.75" hidden="1" outlineLevel="1" x14ac:dyDescent="0.2">
      <c r="A292" s="26" t="s">
        <v>39</v>
      </c>
      <c r="B292" s="27" t="s">
        <v>19</v>
      </c>
      <c r="C292" s="26">
        <v>5.47</v>
      </c>
      <c r="D292" s="99"/>
    </row>
    <row r="293" spans="1:4" ht="15.75" hidden="1" outlineLevel="1" x14ac:dyDescent="0.2">
      <c r="A293" s="26" t="s">
        <v>39</v>
      </c>
      <c r="B293" s="27" t="s">
        <v>30</v>
      </c>
      <c r="C293" s="26">
        <v>5.48</v>
      </c>
      <c r="D293" s="99"/>
    </row>
    <row r="294" spans="1:4" ht="15.75" collapsed="1" x14ac:dyDescent="0.2">
      <c r="A294" s="31" t="s">
        <v>39</v>
      </c>
      <c r="B294" s="27"/>
      <c r="C294" s="26"/>
      <c r="D294" s="99"/>
    </row>
    <row r="295" spans="1:4" ht="15.75" hidden="1" outlineLevel="1" x14ac:dyDescent="0.2">
      <c r="A295" s="26" t="s">
        <v>41</v>
      </c>
      <c r="B295" s="27" t="s">
        <v>651</v>
      </c>
      <c r="C295" s="26">
        <v>5.0999999999999996</v>
      </c>
      <c r="D295" s="99"/>
    </row>
    <row r="296" spans="1:4" ht="15.75" hidden="1" outlineLevel="1" x14ac:dyDescent="0.2">
      <c r="A296" s="26" t="s">
        <v>41</v>
      </c>
      <c r="B296" s="27" t="s">
        <v>0</v>
      </c>
      <c r="C296" s="26">
        <v>5.2</v>
      </c>
      <c r="D296" s="99"/>
    </row>
    <row r="297" spans="1:4" ht="15.75" hidden="1" outlineLevel="1" x14ac:dyDescent="0.2">
      <c r="A297" s="26" t="s">
        <v>41</v>
      </c>
      <c r="B297" s="27" t="s">
        <v>724</v>
      </c>
      <c r="C297" s="26">
        <v>5.3</v>
      </c>
      <c r="D297" s="99"/>
    </row>
    <row r="298" spans="1:4" ht="15.75" hidden="1" outlineLevel="1" x14ac:dyDescent="0.2">
      <c r="A298" s="26" t="s">
        <v>41</v>
      </c>
      <c r="B298" s="27" t="s">
        <v>3</v>
      </c>
      <c r="C298" s="26">
        <v>5.14</v>
      </c>
      <c r="D298" s="99"/>
    </row>
    <row r="299" spans="1:4" ht="15.75" hidden="1" outlineLevel="1" x14ac:dyDescent="0.2">
      <c r="A299" s="26" t="s">
        <v>41</v>
      </c>
      <c r="B299" s="27" t="s">
        <v>29</v>
      </c>
      <c r="C299" s="26">
        <v>5.19</v>
      </c>
      <c r="D299" s="99"/>
    </row>
    <row r="300" spans="1:4" ht="15.75" hidden="1" outlineLevel="1" x14ac:dyDescent="0.2">
      <c r="A300" s="26" t="s">
        <v>41</v>
      </c>
      <c r="B300" s="27" t="s">
        <v>28</v>
      </c>
      <c r="C300" s="26">
        <v>5.24</v>
      </c>
      <c r="D300" s="99"/>
    </row>
    <row r="301" spans="1:4" ht="15.75" hidden="1" outlineLevel="1" x14ac:dyDescent="0.2">
      <c r="A301" s="26" t="s">
        <v>41</v>
      </c>
      <c r="B301" s="27" t="s">
        <v>1</v>
      </c>
      <c r="C301" s="26">
        <v>5.26</v>
      </c>
      <c r="D301" s="99"/>
    </row>
    <row r="302" spans="1:4" ht="15.75" hidden="1" outlineLevel="1" x14ac:dyDescent="0.2">
      <c r="A302" s="26" t="s">
        <v>41</v>
      </c>
      <c r="B302" s="27" t="s">
        <v>604</v>
      </c>
      <c r="C302" s="26">
        <v>5.27</v>
      </c>
      <c r="D302" s="99"/>
    </row>
    <row r="303" spans="1:4" ht="15.75" hidden="1" outlineLevel="1" x14ac:dyDescent="0.2">
      <c r="A303" s="26" t="s">
        <v>41</v>
      </c>
      <c r="B303" s="27" t="s">
        <v>605</v>
      </c>
      <c r="C303" s="26">
        <v>5.28</v>
      </c>
      <c r="D303" s="99"/>
    </row>
    <row r="304" spans="1:4" ht="15.75" hidden="1" outlineLevel="1" x14ac:dyDescent="0.2">
      <c r="A304" s="26" t="s">
        <v>41</v>
      </c>
      <c r="B304" s="27" t="s">
        <v>12</v>
      </c>
      <c r="C304" s="26">
        <v>5.37</v>
      </c>
      <c r="D304" s="99"/>
    </row>
    <row r="305" spans="1:4" ht="15.75" hidden="1" outlineLevel="1" x14ac:dyDescent="0.2">
      <c r="A305" s="26" t="s">
        <v>41</v>
      </c>
      <c r="B305" s="27" t="s">
        <v>6</v>
      </c>
      <c r="C305" s="26">
        <v>5.49</v>
      </c>
      <c r="D305" s="99"/>
    </row>
    <row r="306" spans="1:4" ht="15.75" hidden="1" outlineLevel="1" x14ac:dyDescent="0.2">
      <c r="A306" s="26" t="s">
        <v>41</v>
      </c>
      <c r="B306" s="27" t="s">
        <v>8</v>
      </c>
      <c r="C306" s="26">
        <v>5.51</v>
      </c>
      <c r="D306" s="99"/>
    </row>
    <row r="307" spans="1:4" ht="15.75" hidden="1" outlineLevel="1" x14ac:dyDescent="0.2">
      <c r="A307" s="26" t="s">
        <v>41</v>
      </c>
      <c r="B307" s="27" t="s">
        <v>396</v>
      </c>
      <c r="C307" s="26">
        <v>5.53</v>
      </c>
      <c r="D307" s="99"/>
    </row>
    <row r="308" spans="1:4" ht="15.75" hidden="1" outlineLevel="1" x14ac:dyDescent="0.2">
      <c r="A308" s="26" t="s">
        <v>41</v>
      </c>
      <c r="B308" s="27" t="s">
        <v>13</v>
      </c>
      <c r="C308" s="26">
        <v>5.69</v>
      </c>
      <c r="D308" s="99"/>
    </row>
    <row r="309" spans="1:4" ht="15.75" hidden="1" outlineLevel="1" x14ac:dyDescent="0.2">
      <c r="A309" s="26" t="s">
        <v>41</v>
      </c>
      <c r="B309" s="27" t="s">
        <v>421</v>
      </c>
      <c r="C309" s="26">
        <v>5.75</v>
      </c>
      <c r="D309" s="99"/>
    </row>
    <row r="310" spans="1:4" ht="15.75" hidden="1" outlineLevel="1" x14ac:dyDescent="0.2">
      <c r="A310" s="26" t="s">
        <v>41</v>
      </c>
      <c r="B310" s="27" t="s">
        <v>14</v>
      </c>
      <c r="C310" s="28">
        <v>5.7</v>
      </c>
      <c r="D310" s="99"/>
    </row>
    <row r="311" spans="1:4" ht="15.75" hidden="1" outlineLevel="1" x14ac:dyDescent="0.2">
      <c r="A311" s="26" t="s">
        <v>41</v>
      </c>
      <c r="B311" s="27" t="s">
        <v>621</v>
      </c>
      <c r="C311" s="26">
        <v>5.74</v>
      </c>
      <c r="D311" s="99"/>
    </row>
    <row r="312" spans="1:4" ht="15.75" hidden="1" outlineLevel="1" x14ac:dyDescent="0.2">
      <c r="A312" s="26" t="s">
        <v>41</v>
      </c>
      <c r="B312" s="27" t="s">
        <v>773</v>
      </c>
      <c r="C312" s="26">
        <v>5.58</v>
      </c>
      <c r="D312" s="99"/>
    </row>
    <row r="313" spans="1:4" ht="15.75" hidden="1" outlineLevel="1" x14ac:dyDescent="0.2">
      <c r="A313" s="26" t="s">
        <v>41</v>
      </c>
      <c r="B313" s="27" t="s">
        <v>11</v>
      </c>
      <c r="C313" s="26">
        <v>5.54</v>
      </c>
      <c r="D313" s="99"/>
    </row>
    <row r="314" spans="1:4" ht="15.75" hidden="1" outlineLevel="1" x14ac:dyDescent="0.2">
      <c r="A314" s="26" t="s">
        <v>41</v>
      </c>
      <c r="B314" s="27" t="s">
        <v>15</v>
      </c>
      <c r="C314" s="26">
        <v>5.55</v>
      </c>
      <c r="D314" s="99"/>
    </row>
    <row r="315" spans="1:4" ht="15.75" hidden="1" outlineLevel="1" x14ac:dyDescent="0.2">
      <c r="A315" s="26" t="s">
        <v>41</v>
      </c>
      <c r="B315" s="27" t="s">
        <v>1153</v>
      </c>
      <c r="C315" s="26">
        <v>5.63</v>
      </c>
      <c r="D315" s="99"/>
    </row>
    <row r="316" spans="1:4" ht="15.75" hidden="1" outlineLevel="1" x14ac:dyDescent="0.2">
      <c r="A316" s="26" t="s">
        <v>41</v>
      </c>
      <c r="B316" s="27" t="s">
        <v>1154</v>
      </c>
      <c r="C316" s="26">
        <v>5.65</v>
      </c>
      <c r="D316" s="99"/>
    </row>
    <row r="317" spans="1:4" ht="15.75" hidden="1" outlineLevel="1" x14ac:dyDescent="0.2">
      <c r="A317" s="26" t="s">
        <v>41</v>
      </c>
      <c r="B317" s="27" t="s">
        <v>26</v>
      </c>
      <c r="C317" s="26">
        <v>5.68</v>
      </c>
      <c r="D317" s="99"/>
    </row>
    <row r="318" spans="1:4" ht="15.75" hidden="1" outlineLevel="1" x14ac:dyDescent="0.2">
      <c r="A318" s="26" t="s">
        <v>41</v>
      </c>
      <c r="B318" s="27" t="s">
        <v>19</v>
      </c>
      <c r="C318" s="26">
        <v>5.47</v>
      </c>
      <c r="D318" s="99"/>
    </row>
    <row r="319" spans="1:4" ht="15.75" hidden="1" outlineLevel="1" x14ac:dyDescent="0.2">
      <c r="A319" s="26" t="s">
        <v>41</v>
      </c>
      <c r="B319" s="27" t="s">
        <v>30</v>
      </c>
      <c r="C319" s="26">
        <v>5.48</v>
      </c>
      <c r="D319" s="99"/>
    </row>
    <row r="320" spans="1:4" ht="15.75" collapsed="1" x14ac:dyDescent="0.2">
      <c r="A320" s="31" t="s">
        <v>41</v>
      </c>
      <c r="B320" s="27"/>
      <c r="C320" s="26"/>
      <c r="D320" s="99"/>
    </row>
    <row r="321" spans="1:4" ht="15.75" hidden="1" outlineLevel="1" x14ac:dyDescent="0.2">
      <c r="A321" s="26" t="s">
        <v>42</v>
      </c>
      <c r="B321" s="27" t="s">
        <v>651</v>
      </c>
      <c r="C321" s="26">
        <v>5.0999999999999996</v>
      </c>
      <c r="D321" s="99"/>
    </row>
    <row r="322" spans="1:4" ht="15.75" hidden="1" outlineLevel="1" x14ac:dyDescent="0.2">
      <c r="A322" s="26" t="s">
        <v>42</v>
      </c>
      <c r="B322" s="27" t="s">
        <v>0</v>
      </c>
      <c r="C322" s="26">
        <v>5.2</v>
      </c>
      <c r="D322" s="99"/>
    </row>
    <row r="323" spans="1:4" ht="15.75" hidden="1" outlineLevel="1" x14ac:dyDescent="0.2">
      <c r="A323" s="26" t="s">
        <v>42</v>
      </c>
      <c r="B323" s="27" t="s">
        <v>1</v>
      </c>
      <c r="C323" s="26">
        <v>5.26</v>
      </c>
      <c r="D323" s="99"/>
    </row>
    <row r="324" spans="1:4" ht="15.75" hidden="1" outlineLevel="1" x14ac:dyDescent="0.2">
      <c r="A324" s="26" t="s">
        <v>42</v>
      </c>
      <c r="B324" s="27" t="s">
        <v>3</v>
      </c>
      <c r="C324" s="26">
        <v>5.14</v>
      </c>
      <c r="D324" s="99"/>
    </row>
    <row r="325" spans="1:4" ht="15.75" hidden="1" outlineLevel="1" x14ac:dyDescent="0.2">
      <c r="A325" s="26" t="s">
        <v>42</v>
      </c>
      <c r="B325" s="27" t="s">
        <v>29</v>
      </c>
      <c r="C325" s="26">
        <v>5.19</v>
      </c>
      <c r="D325" s="99"/>
    </row>
    <row r="326" spans="1:4" ht="15.75" hidden="1" outlineLevel="1" x14ac:dyDescent="0.2">
      <c r="A326" s="26" t="s">
        <v>42</v>
      </c>
      <c r="B326" s="27" t="s">
        <v>12</v>
      </c>
      <c r="C326" s="26">
        <v>5.37</v>
      </c>
      <c r="D326" s="99"/>
    </row>
    <row r="327" spans="1:4" ht="15.75" hidden="1" outlineLevel="1" x14ac:dyDescent="0.2">
      <c r="A327" s="26" t="s">
        <v>42</v>
      </c>
      <c r="B327" s="27" t="s">
        <v>13</v>
      </c>
      <c r="C327" s="26">
        <v>5.69</v>
      </c>
      <c r="D327" s="99"/>
    </row>
    <row r="328" spans="1:4" ht="15.75" hidden="1" outlineLevel="1" x14ac:dyDescent="0.2">
      <c r="A328" s="26" t="s">
        <v>42</v>
      </c>
      <c r="B328" s="27" t="s">
        <v>282</v>
      </c>
      <c r="C328" s="28">
        <v>5.8</v>
      </c>
      <c r="D328" s="99"/>
    </row>
    <row r="329" spans="1:4" ht="15.75" hidden="1" outlineLevel="1" x14ac:dyDescent="0.2">
      <c r="A329" s="26" t="s">
        <v>42</v>
      </c>
      <c r="B329" s="27" t="s">
        <v>421</v>
      </c>
      <c r="C329" s="26">
        <v>5.75</v>
      </c>
      <c r="D329" s="99"/>
    </row>
    <row r="330" spans="1:4" ht="15.75" hidden="1" outlineLevel="1" x14ac:dyDescent="0.2">
      <c r="A330" s="26" t="s">
        <v>42</v>
      </c>
      <c r="B330" s="27" t="s">
        <v>14</v>
      </c>
      <c r="C330" s="28">
        <v>5.7</v>
      </c>
      <c r="D330" s="99"/>
    </row>
    <row r="331" spans="1:4" ht="15.75" hidden="1" outlineLevel="1" x14ac:dyDescent="0.2">
      <c r="A331" s="26" t="s">
        <v>42</v>
      </c>
      <c r="B331" s="27" t="s">
        <v>621</v>
      </c>
      <c r="C331" s="26">
        <v>5.74</v>
      </c>
      <c r="D331" s="99"/>
    </row>
    <row r="332" spans="1:4" ht="15.75" hidden="1" outlineLevel="1" x14ac:dyDescent="0.2">
      <c r="A332" s="26" t="s">
        <v>42</v>
      </c>
      <c r="B332" s="27" t="s">
        <v>773</v>
      </c>
      <c r="C332" s="26">
        <v>5.58</v>
      </c>
      <c r="D332" s="99"/>
    </row>
    <row r="333" spans="1:4" ht="15.75" hidden="1" outlineLevel="1" x14ac:dyDescent="0.2">
      <c r="A333" s="26" t="s">
        <v>42</v>
      </c>
      <c r="B333" s="27" t="s">
        <v>15</v>
      </c>
      <c r="C333" s="26">
        <v>5.55</v>
      </c>
      <c r="D333" s="99"/>
    </row>
    <row r="334" spans="1:4" ht="15.75" hidden="1" outlineLevel="1" x14ac:dyDescent="0.2">
      <c r="A334" s="26" t="s">
        <v>42</v>
      </c>
      <c r="B334" s="27" t="s">
        <v>1153</v>
      </c>
      <c r="C334" s="26">
        <v>5.63</v>
      </c>
      <c r="D334" s="99"/>
    </row>
    <row r="335" spans="1:4" ht="15.75" hidden="1" outlineLevel="1" x14ac:dyDescent="0.2">
      <c r="A335" s="26" t="s">
        <v>42</v>
      </c>
      <c r="B335" s="27" t="s">
        <v>1154</v>
      </c>
      <c r="C335" s="26">
        <v>5.65</v>
      </c>
      <c r="D335" s="99"/>
    </row>
    <row r="336" spans="1:4" ht="15.75" hidden="1" outlineLevel="1" x14ac:dyDescent="0.2">
      <c r="A336" s="26" t="s">
        <v>42</v>
      </c>
      <c r="B336" s="27" t="s">
        <v>26</v>
      </c>
      <c r="C336" s="26">
        <v>5.68</v>
      </c>
      <c r="D336" s="99"/>
    </row>
    <row r="337" spans="1:4" ht="15.75" hidden="1" outlineLevel="1" x14ac:dyDescent="0.2">
      <c r="A337" s="26" t="s">
        <v>42</v>
      </c>
      <c r="B337" s="27" t="s">
        <v>19</v>
      </c>
      <c r="C337" s="26">
        <v>5.47</v>
      </c>
      <c r="D337" s="99"/>
    </row>
    <row r="338" spans="1:4" ht="15.75" hidden="1" outlineLevel="1" x14ac:dyDescent="0.2">
      <c r="A338" s="26" t="s">
        <v>42</v>
      </c>
      <c r="B338" s="27" t="s">
        <v>30</v>
      </c>
      <c r="C338" s="26">
        <v>5.48</v>
      </c>
      <c r="D338" s="99"/>
    </row>
    <row r="339" spans="1:4" ht="15.75" collapsed="1" x14ac:dyDescent="0.2">
      <c r="A339" s="31" t="s">
        <v>42</v>
      </c>
      <c r="B339" s="27"/>
      <c r="C339" s="26"/>
      <c r="D339" s="99"/>
    </row>
    <row r="340" spans="1:4" ht="15.75" hidden="1" outlineLevel="1" x14ac:dyDescent="0.2">
      <c r="A340" s="26" t="s">
        <v>667</v>
      </c>
      <c r="B340" s="27" t="s">
        <v>784</v>
      </c>
      <c r="C340" s="26">
        <v>5.0999999999999996</v>
      </c>
      <c r="D340" s="99"/>
    </row>
    <row r="341" spans="1:4" ht="15.75" hidden="1" outlineLevel="1" x14ac:dyDescent="0.2">
      <c r="A341" s="26" t="s">
        <v>667</v>
      </c>
      <c r="B341" s="27" t="s">
        <v>0</v>
      </c>
      <c r="C341" s="26">
        <v>5.2</v>
      </c>
      <c r="D341" s="99"/>
    </row>
    <row r="342" spans="1:4" ht="15.75" hidden="1" outlineLevel="1" x14ac:dyDescent="0.2">
      <c r="A342" s="26" t="s">
        <v>667</v>
      </c>
      <c r="B342" s="27" t="s">
        <v>1</v>
      </c>
      <c r="C342" s="26">
        <v>5.26</v>
      </c>
      <c r="D342" s="99"/>
    </row>
    <row r="343" spans="1:4" ht="15.75" hidden="1" outlineLevel="1" x14ac:dyDescent="0.2">
      <c r="A343" s="26" t="s">
        <v>667</v>
      </c>
      <c r="B343" s="27" t="s">
        <v>758</v>
      </c>
      <c r="C343" s="26">
        <v>5.38</v>
      </c>
      <c r="D343" s="99"/>
    </row>
    <row r="344" spans="1:4" ht="15.75" hidden="1" outlineLevel="1" x14ac:dyDescent="0.2">
      <c r="A344" s="26" t="s">
        <v>667</v>
      </c>
      <c r="B344" s="27" t="s">
        <v>757</v>
      </c>
      <c r="C344" s="26">
        <v>5.39</v>
      </c>
      <c r="D344" s="99"/>
    </row>
    <row r="345" spans="1:4" ht="15.75" hidden="1" outlineLevel="1" x14ac:dyDescent="0.2">
      <c r="A345" s="26" t="s">
        <v>667</v>
      </c>
      <c r="B345" s="27" t="s">
        <v>1161</v>
      </c>
      <c r="C345" s="28">
        <v>5.6</v>
      </c>
      <c r="D345" s="99"/>
    </row>
    <row r="346" spans="1:4" ht="15.75" hidden="1" outlineLevel="1" x14ac:dyDescent="0.2">
      <c r="A346" s="26" t="s">
        <v>667</v>
      </c>
      <c r="B346" s="27" t="s">
        <v>30</v>
      </c>
      <c r="C346" s="26">
        <v>5.48</v>
      </c>
      <c r="D346" s="99"/>
    </row>
    <row r="347" spans="1:4" ht="15.75" collapsed="1" x14ac:dyDescent="0.2">
      <c r="A347" s="31" t="s">
        <v>667</v>
      </c>
      <c r="B347" s="27"/>
      <c r="C347" s="26"/>
      <c r="D347" s="99"/>
    </row>
    <row r="348" spans="1:4" ht="15.75" hidden="1" outlineLevel="1" x14ac:dyDescent="0.2">
      <c r="A348" s="26" t="s">
        <v>43</v>
      </c>
      <c r="B348" s="27" t="s">
        <v>651</v>
      </c>
      <c r="C348" s="26">
        <v>5.0999999999999996</v>
      </c>
      <c r="D348" s="99"/>
    </row>
    <row r="349" spans="1:4" ht="15.75" hidden="1" outlineLevel="1" x14ac:dyDescent="0.2">
      <c r="A349" s="26" t="s">
        <v>43</v>
      </c>
      <c r="B349" s="27" t="s">
        <v>0</v>
      </c>
      <c r="C349" s="26">
        <v>5.2</v>
      </c>
      <c r="D349" s="99"/>
    </row>
    <row r="350" spans="1:4" ht="15.75" hidden="1" outlineLevel="1" x14ac:dyDescent="0.2">
      <c r="A350" s="26" t="s">
        <v>43</v>
      </c>
      <c r="B350" s="27" t="s">
        <v>724</v>
      </c>
      <c r="C350" s="26">
        <v>5.3</v>
      </c>
      <c r="D350" s="99"/>
    </row>
    <row r="351" spans="1:4" ht="15.75" hidden="1" outlineLevel="1" x14ac:dyDescent="0.2">
      <c r="A351" s="26" t="s">
        <v>43</v>
      </c>
      <c r="B351" s="27" t="s">
        <v>2</v>
      </c>
      <c r="C351" s="26">
        <v>5.6</v>
      </c>
      <c r="D351" s="99"/>
    </row>
    <row r="352" spans="1:4" ht="15.75" hidden="1" outlineLevel="1" x14ac:dyDescent="0.2">
      <c r="A352" s="26" t="s">
        <v>43</v>
      </c>
      <c r="B352" s="27" t="s">
        <v>730</v>
      </c>
      <c r="C352" s="28">
        <v>5.0999999999999996</v>
      </c>
      <c r="D352" s="99"/>
    </row>
    <row r="353" spans="1:4" ht="15.75" hidden="1" outlineLevel="1" x14ac:dyDescent="0.2">
      <c r="A353" s="26" t="s">
        <v>43</v>
      </c>
      <c r="B353" s="27" t="s">
        <v>3</v>
      </c>
      <c r="C353" s="26">
        <v>5.14</v>
      </c>
      <c r="D353" s="99"/>
    </row>
    <row r="354" spans="1:4" ht="15.75" hidden="1" outlineLevel="1" x14ac:dyDescent="0.2">
      <c r="A354" s="26" t="s">
        <v>43</v>
      </c>
      <c r="B354" s="27" t="s">
        <v>29</v>
      </c>
      <c r="C354" s="26">
        <v>5.19</v>
      </c>
      <c r="D354" s="99"/>
    </row>
    <row r="355" spans="1:4" ht="15.75" hidden="1" outlineLevel="1" x14ac:dyDescent="0.2">
      <c r="A355" s="26" t="s">
        <v>43</v>
      </c>
      <c r="B355" s="27" t="s">
        <v>28</v>
      </c>
      <c r="C355" s="26">
        <v>5.24</v>
      </c>
      <c r="D355" s="99"/>
    </row>
    <row r="356" spans="1:4" ht="15.75" hidden="1" outlineLevel="1" x14ac:dyDescent="0.2">
      <c r="A356" s="26" t="s">
        <v>43</v>
      </c>
      <c r="B356" s="27" t="s">
        <v>1</v>
      </c>
      <c r="C356" s="26">
        <v>5.26</v>
      </c>
      <c r="D356" s="99"/>
    </row>
    <row r="357" spans="1:4" ht="15.75" hidden="1" outlineLevel="1" x14ac:dyDescent="0.2">
      <c r="A357" s="26" t="s">
        <v>43</v>
      </c>
      <c r="B357" s="27" t="s">
        <v>604</v>
      </c>
      <c r="C357" s="26">
        <v>5.27</v>
      </c>
      <c r="D357" s="99"/>
    </row>
    <row r="358" spans="1:4" ht="15.75" hidden="1" outlineLevel="1" x14ac:dyDescent="0.2">
      <c r="A358" s="26" t="s">
        <v>43</v>
      </c>
      <c r="B358" s="27" t="s">
        <v>605</v>
      </c>
      <c r="C358" s="26">
        <v>5.28</v>
      </c>
      <c r="D358" s="99"/>
    </row>
    <row r="359" spans="1:4" ht="15.75" hidden="1" outlineLevel="1" x14ac:dyDescent="0.2">
      <c r="A359" s="26" t="s">
        <v>43</v>
      </c>
      <c r="B359" s="27" t="s">
        <v>9</v>
      </c>
      <c r="C359" s="26">
        <v>5.31</v>
      </c>
      <c r="D359" s="99"/>
    </row>
    <row r="360" spans="1:4" ht="15.75" hidden="1" outlineLevel="1" x14ac:dyDescent="0.2">
      <c r="A360" s="26" t="s">
        <v>43</v>
      </c>
      <c r="B360" s="27" t="s">
        <v>606</v>
      </c>
      <c r="C360" s="26">
        <v>5.36</v>
      </c>
      <c r="D360" s="99"/>
    </row>
    <row r="361" spans="1:4" ht="15.75" hidden="1" outlineLevel="1" x14ac:dyDescent="0.2">
      <c r="A361" s="26" t="s">
        <v>43</v>
      </c>
      <c r="B361" s="27" t="s">
        <v>12</v>
      </c>
      <c r="C361" s="26">
        <v>5.37</v>
      </c>
      <c r="D361" s="99"/>
    </row>
    <row r="362" spans="1:4" ht="15.75" hidden="1" outlineLevel="1" x14ac:dyDescent="0.2">
      <c r="A362" s="26" t="s">
        <v>43</v>
      </c>
      <c r="B362" s="27" t="s">
        <v>6</v>
      </c>
      <c r="C362" s="26">
        <v>5.49</v>
      </c>
      <c r="D362" s="99"/>
    </row>
    <row r="363" spans="1:4" ht="15.75" hidden="1" outlineLevel="1" x14ac:dyDescent="0.2">
      <c r="A363" s="26" t="s">
        <v>43</v>
      </c>
      <c r="B363" s="27" t="s">
        <v>8</v>
      </c>
      <c r="C363" s="26">
        <v>5.51</v>
      </c>
      <c r="D363" s="99"/>
    </row>
    <row r="364" spans="1:4" ht="15.75" hidden="1" outlineLevel="1" x14ac:dyDescent="0.2">
      <c r="A364" s="26" t="s">
        <v>43</v>
      </c>
      <c r="B364" s="27" t="s">
        <v>7</v>
      </c>
      <c r="C364" s="26">
        <v>5.52</v>
      </c>
      <c r="D364" s="99"/>
    </row>
    <row r="365" spans="1:4" ht="15.75" hidden="1" outlineLevel="1" x14ac:dyDescent="0.2">
      <c r="A365" s="26" t="s">
        <v>43</v>
      </c>
      <c r="B365" s="27" t="s">
        <v>396</v>
      </c>
      <c r="C365" s="26">
        <v>5.53</v>
      </c>
      <c r="D365" s="99"/>
    </row>
    <row r="366" spans="1:4" ht="15.75" hidden="1" outlineLevel="1" x14ac:dyDescent="0.2">
      <c r="A366" s="26" t="s">
        <v>43</v>
      </c>
      <c r="B366" s="27" t="s">
        <v>13</v>
      </c>
      <c r="C366" s="26">
        <v>5.69</v>
      </c>
      <c r="D366" s="99"/>
    </row>
    <row r="367" spans="1:4" ht="15.75" hidden="1" outlineLevel="1" x14ac:dyDescent="0.2">
      <c r="A367" s="26" t="s">
        <v>43</v>
      </c>
      <c r="B367" s="27" t="s">
        <v>282</v>
      </c>
      <c r="C367" s="28">
        <v>5.8</v>
      </c>
      <c r="D367" s="99"/>
    </row>
    <row r="368" spans="1:4" ht="15.75" hidden="1" outlineLevel="1" x14ac:dyDescent="0.2">
      <c r="A368" s="26" t="s">
        <v>43</v>
      </c>
      <c r="B368" s="27" t="s">
        <v>309</v>
      </c>
      <c r="C368" s="28">
        <v>5.72</v>
      </c>
      <c r="D368" s="99"/>
    </row>
    <row r="369" spans="1:4" ht="15.75" hidden="1" outlineLevel="1" x14ac:dyDescent="0.2">
      <c r="A369" s="26" t="s">
        <v>43</v>
      </c>
      <c r="B369" s="27" t="s">
        <v>421</v>
      </c>
      <c r="C369" s="26">
        <v>5.75</v>
      </c>
      <c r="D369" s="99"/>
    </row>
    <row r="370" spans="1:4" ht="15.75" hidden="1" outlineLevel="1" x14ac:dyDescent="0.2">
      <c r="A370" s="26" t="s">
        <v>43</v>
      </c>
      <c r="B370" s="27" t="s">
        <v>14</v>
      </c>
      <c r="C370" s="28">
        <v>5.7</v>
      </c>
      <c r="D370" s="99"/>
    </row>
    <row r="371" spans="1:4" ht="15.75" hidden="1" outlineLevel="1" x14ac:dyDescent="0.2">
      <c r="A371" s="26" t="s">
        <v>43</v>
      </c>
      <c r="B371" s="27" t="s">
        <v>621</v>
      </c>
      <c r="C371" s="26">
        <v>5.74</v>
      </c>
      <c r="D371" s="99"/>
    </row>
    <row r="372" spans="1:4" ht="15.75" hidden="1" outlineLevel="1" x14ac:dyDescent="0.2">
      <c r="A372" s="26" t="s">
        <v>43</v>
      </c>
      <c r="B372" s="27" t="s">
        <v>925</v>
      </c>
      <c r="C372" s="26">
        <v>5.76</v>
      </c>
      <c r="D372" s="99"/>
    </row>
    <row r="373" spans="1:4" ht="15.75" hidden="1" outlineLevel="1" x14ac:dyDescent="0.2">
      <c r="A373" s="26" t="s">
        <v>43</v>
      </c>
      <c r="B373" s="27" t="s">
        <v>669</v>
      </c>
      <c r="C373" s="26">
        <v>5.89</v>
      </c>
      <c r="D373" s="98" t="s">
        <v>935</v>
      </c>
    </row>
    <row r="374" spans="1:4" ht="15.75" hidden="1" outlineLevel="1" x14ac:dyDescent="0.2">
      <c r="A374" s="26" t="s">
        <v>43</v>
      </c>
      <c r="B374" s="27" t="s">
        <v>917</v>
      </c>
      <c r="C374" s="26">
        <v>5.109</v>
      </c>
      <c r="D374" s="98"/>
    </row>
    <row r="375" spans="1:4" ht="15.75" hidden="1" outlineLevel="1" x14ac:dyDescent="0.2">
      <c r="A375" s="26" t="s">
        <v>43</v>
      </c>
      <c r="B375" s="27" t="s">
        <v>372</v>
      </c>
      <c r="C375" s="26">
        <v>5.1109999999999998</v>
      </c>
      <c r="D375" s="99"/>
    </row>
    <row r="376" spans="1:4" ht="15.75" hidden="1" outlineLevel="1" x14ac:dyDescent="0.2">
      <c r="A376" s="26" t="s">
        <v>43</v>
      </c>
      <c r="B376" s="27" t="s">
        <v>16</v>
      </c>
      <c r="C376" s="26">
        <v>5.1120000000000001</v>
      </c>
      <c r="D376" s="99"/>
    </row>
    <row r="377" spans="1:4" ht="15.75" hidden="1" outlineLevel="1" x14ac:dyDescent="0.2">
      <c r="A377" s="26" t="s">
        <v>43</v>
      </c>
      <c r="B377" s="27" t="s">
        <v>475</v>
      </c>
      <c r="C377" s="26">
        <v>5.1130000000000004</v>
      </c>
      <c r="D377" s="99"/>
    </row>
    <row r="378" spans="1:4" ht="15.75" hidden="1" outlineLevel="1" x14ac:dyDescent="0.2">
      <c r="A378" s="26" t="s">
        <v>43</v>
      </c>
      <c r="B378" s="27" t="s">
        <v>773</v>
      </c>
      <c r="C378" s="26">
        <v>5.58</v>
      </c>
      <c r="D378" s="99"/>
    </row>
    <row r="379" spans="1:4" ht="15.75" hidden="1" outlineLevel="1" x14ac:dyDescent="0.2">
      <c r="A379" s="26" t="s">
        <v>43</v>
      </c>
      <c r="B379" s="27" t="s">
        <v>11</v>
      </c>
      <c r="C379" s="26">
        <v>5.54</v>
      </c>
      <c r="D379" s="99"/>
    </row>
    <row r="380" spans="1:4" ht="15.75" hidden="1" outlineLevel="1" x14ac:dyDescent="0.2">
      <c r="A380" s="26" t="s">
        <v>43</v>
      </c>
      <c r="B380" s="27" t="s">
        <v>15</v>
      </c>
      <c r="C380" s="26">
        <v>5.55</v>
      </c>
      <c r="D380" s="99"/>
    </row>
    <row r="381" spans="1:4" ht="15.75" hidden="1" outlineLevel="1" x14ac:dyDescent="0.2">
      <c r="A381" s="26" t="s">
        <v>43</v>
      </c>
      <c r="B381" s="27" t="s">
        <v>1153</v>
      </c>
      <c r="C381" s="26">
        <v>5.63</v>
      </c>
      <c r="D381" s="99"/>
    </row>
    <row r="382" spans="1:4" ht="15.75" hidden="1" outlineLevel="1" x14ac:dyDescent="0.2">
      <c r="A382" s="26" t="s">
        <v>43</v>
      </c>
      <c r="B382" s="27" t="s">
        <v>1154</v>
      </c>
      <c r="C382" s="26">
        <v>5.65</v>
      </c>
      <c r="D382" s="99"/>
    </row>
    <row r="383" spans="1:4" ht="15.75" hidden="1" outlineLevel="1" x14ac:dyDescent="0.2">
      <c r="A383" s="26" t="s">
        <v>43</v>
      </c>
      <c r="B383" s="27" t="s">
        <v>788</v>
      </c>
      <c r="C383" s="26">
        <v>5.66</v>
      </c>
      <c r="D383" s="99"/>
    </row>
    <row r="384" spans="1:4" ht="15.75" hidden="1" outlineLevel="1" x14ac:dyDescent="0.2">
      <c r="A384" s="26" t="s">
        <v>43</v>
      </c>
      <c r="B384" s="27" t="s">
        <v>26</v>
      </c>
      <c r="C384" s="26">
        <v>5.68</v>
      </c>
      <c r="D384" s="99"/>
    </row>
    <row r="385" spans="1:4" ht="15.75" hidden="1" outlineLevel="1" x14ac:dyDescent="0.2">
      <c r="A385" s="26" t="s">
        <v>43</v>
      </c>
      <c r="B385" s="27" t="s">
        <v>19</v>
      </c>
      <c r="C385" s="26">
        <v>5.47</v>
      </c>
      <c r="D385" s="99"/>
    </row>
    <row r="386" spans="1:4" ht="15.75" hidden="1" outlineLevel="1" x14ac:dyDescent="0.2">
      <c r="A386" s="26" t="s">
        <v>43</v>
      </c>
      <c r="B386" s="27" t="s">
        <v>30</v>
      </c>
      <c r="C386" s="26">
        <v>5.48</v>
      </c>
      <c r="D386" s="99"/>
    </row>
    <row r="387" spans="1:4" ht="15.75" collapsed="1" x14ac:dyDescent="0.2">
      <c r="A387" s="31" t="s">
        <v>43</v>
      </c>
      <c r="B387" s="27"/>
      <c r="C387" s="26"/>
      <c r="D387" s="99"/>
    </row>
    <row r="388" spans="1:4" ht="15.75" hidden="1" outlineLevel="1" x14ac:dyDescent="0.2">
      <c r="A388" s="26" t="s">
        <v>44</v>
      </c>
      <c r="B388" s="27" t="s">
        <v>651</v>
      </c>
      <c r="C388" s="26">
        <v>5.0999999999999996</v>
      </c>
      <c r="D388" s="99"/>
    </row>
    <row r="389" spans="1:4" ht="15.75" hidden="1" outlineLevel="1" x14ac:dyDescent="0.2">
      <c r="A389" s="26" t="s">
        <v>44</v>
      </c>
      <c r="B389" s="27" t="s">
        <v>0</v>
      </c>
      <c r="C389" s="26">
        <v>5.2</v>
      </c>
      <c r="D389" s="99"/>
    </row>
    <row r="390" spans="1:4" ht="15.75" hidden="1" outlineLevel="1" x14ac:dyDescent="0.2">
      <c r="A390" s="26" t="s">
        <v>44</v>
      </c>
      <c r="B390" s="27" t="s">
        <v>724</v>
      </c>
      <c r="C390" s="26">
        <v>5.3</v>
      </c>
      <c r="D390" s="99"/>
    </row>
    <row r="391" spans="1:4" ht="15.75" hidden="1" outlineLevel="1" x14ac:dyDescent="0.2">
      <c r="A391" s="26" t="s">
        <v>44</v>
      </c>
      <c r="B391" s="27" t="s">
        <v>2</v>
      </c>
      <c r="C391" s="26">
        <v>5.6</v>
      </c>
      <c r="D391" s="99"/>
    </row>
    <row r="392" spans="1:4" ht="15.75" hidden="1" outlineLevel="1" x14ac:dyDescent="0.2">
      <c r="A392" s="26" t="s">
        <v>44</v>
      </c>
      <c r="B392" s="27" t="s">
        <v>730</v>
      </c>
      <c r="C392" s="28">
        <v>5.0999999999999996</v>
      </c>
      <c r="D392" s="99"/>
    </row>
    <row r="393" spans="1:4" ht="15.75" hidden="1" outlineLevel="1" x14ac:dyDescent="0.2">
      <c r="A393" s="26" t="s">
        <v>44</v>
      </c>
      <c r="B393" s="27" t="s">
        <v>3</v>
      </c>
      <c r="C393" s="26">
        <v>5.14</v>
      </c>
      <c r="D393" s="99"/>
    </row>
    <row r="394" spans="1:4" ht="15.75" hidden="1" outlineLevel="1" x14ac:dyDescent="0.2">
      <c r="A394" s="26" t="s">
        <v>44</v>
      </c>
      <c r="B394" s="27" t="s">
        <v>29</v>
      </c>
      <c r="C394" s="26">
        <v>5.19</v>
      </c>
      <c r="D394" s="99"/>
    </row>
    <row r="395" spans="1:4" ht="15.75" hidden="1" outlineLevel="1" x14ac:dyDescent="0.2">
      <c r="A395" s="26" t="s">
        <v>44</v>
      </c>
      <c r="B395" s="27" t="s">
        <v>28</v>
      </c>
      <c r="C395" s="26">
        <v>5.24</v>
      </c>
      <c r="D395" s="99"/>
    </row>
    <row r="396" spans="1:4" ht="15.75" hidden="1" outlineLevel="1" x14ac:dyDescent="0.2">
      <c r="A396" s="26" t="s">
        <v>44</v>
      </c>
      <c r="B396" s="27" t="s">
        <v>1</v>
      </c>
      <c r="C396" s="26">
        <v>5.26</v>
      </c>
      <c r="D396" s="99"/>
    </row>
    <row r="397" spans="1:4" ht="15.75" hidden="1" outlineLevel="1" x14ac:dyDescent="0.2">
      <c r="A397" s="26" t="s">
        <v>44</v>
      </c>
      <c r="B397" s="27" t="s">
        <v>604</v>
      </c>
      <c r="C397" s="26">
        <v>5.27</v>
      </c>
      <c r="D397" s="99"/>
    </row>
    <row r="398" spans="1:4" ht="15.75" hidden="1" outlineLevel="1" x14ac:dyDescent="0.2">
      <c r="A398" s="26" t="s">
        <v>44</v>
      </c>
      <c r="B398" s="27" t="s">
        <v>605</v>
      </c>
      <c r="C398" s="26">
        <v>5.28</v>
      </c>
      <c r="D398" s="99"/>
    </row>
    <row r="399" spans="1:4" ht="15.75" hidden="1" outlineLevel="1" x14ac:dyDescent="0.2">
      <c r="A399" s="26" t="s">
        <v>44</v>
      </c>
      <c r="B399" s="27" t="s">
        <v>609</v>
      </c>
      <c r="C399" s="26">
        <v>5.29</v>
      </c>
      <c r="D399" s="99"/>
    </row>
    <row r="400" spans="1:4" ht="15.75" hidden="1" outlineLevel="1" x14ac:dyDescent="0.2">
      <c r="A400" s="26" t="s">
        <v>44</v>
      </c>
      <c r="B400" s="27" t="s">
        <v>9</v>
      </c>
      <c r="C400" s="26">
        <v>5.31</v>
      </c>
      <c r="D400" s="99"/>
    </row>
    <row r="401" spans="1:4" ht="15.75" hidden="1" outlineLevel="1" x14ac:dyDescent="0.2">
      <c r="A401" s="26" t="s">
        <v>44</v>
      </c>
      <c r="B401" s="27" t="s">
        <v>606</v>
      </c>
      <c r="C401" s="26">
        <v>5.36</v>
      </c>
      <c r="D401" s="99"/>
    </row>
    <row r="402" spans="1:4" ht="15.75" hidden="1" outlineLevel="1" x14ac:dyDescent="0.2">
      <c r="A402" s="26" t="s">
        <v>44</v>
      </c>
      <c r="B402" s="27" t="s">
        <v>12</v>
      </c>
      <c r="C402" s="26">
        <v>5.37</v>
      </c>
      <c r="D402" s="99"/>
    </row>
    <row r="403" spans="1:4" ht="15.75" hidden="1" outlineLevel="1" x14ac:dyDescent="0.2">
      <c r="A403" s="26" t="s">
        <v>44</v>
      </c>
      <c r="B403" s="27" t="s">
        <v>6</v>
      </c>
      <c r="C403" s="26">
        <v>5.49</v>
      </c>
      <c r="D403" s="99"/>
    </row>
    <row r="404" spans="1:4" ht="15.75" hidden="1" outlineLevel="1" x14ac:dyDescent="0.2">
      <c r="A404" s="26" t="s">
        <v>44</v>
      </c>
      <c r="B404" s="27" t="s">
        <v>8</v>
      </c>
      <c r="C404" s="26">
        <v>5.51</v>
      </c>
      <c r="D404" s="99"/>
    </row>
    <row r="405" spans="1:4" ht="15.75" hidden="1" outlineLevel="1" x14ac:dyDescent="0.2">
      <c r="A405" s="26" t="s">
        <v>44</v>
      </c>
      <c r="B405" s="27" t="s">
        <v>7</v>
      </c>
      <c r="C405" s="26">
        <v>5.52</v>
      </c>
      <c r="D405" s="99"/>
    </row>
    <row r="406" spans="1:4" ht="15.75" hidden="1" outlineLevel="1" x14ac:dyDescent="0.2">
      <c r="A406" s="26" t="s">
        <v>44</v>
      </c>
      <c r="B406" s="27" t="s">
        <v>396</v>
      </c>
      <c r="C406" s="26">
        <v>5.53</v>
      </c>
      <c r="D406" s="99"/>
    </row>
    <row r="407" spans="1:4" ht="15.75" hidden="1" outlineLevel="1" x14ac:dyDescent="0.2">
      <c r="A407" s="26" t="s">
        <v>44</v>
      </c>
      <c r="B407" s="27" t="s">
        <v>13</v>
      </c>
      <c r="C407" s="26">
        <v>5.69</v>
      </c>
      <c r="D407" s="99"/>
    </row>
    <row r="408" spans="1:4" ht="15.75" hidden="1" outlineLevel="1" x14ac:dyDescent="0.2">
      <c r="A408" s="26" t="s">
        <v>44</v>
      </c>
      <c r="B408" s="27" t="s">
        <v>421</v>
      </c>
      <c r="C408" s="26">
        <v>5.75</v>
      </c>
      <c r="D408" s="99"/>
    </row>
    <row r="409" spans="1:4" ht="15.75" hidden="1" outlineLevel="1" x14ac:dyDescent="0.2">
      <c r="A409" s="26" t="s">
        <v>44</v>
      </c>
      <c r="B409" s="27" t="s">
        <v>621</v>
      </c>
      <c r="C409" s="26">
        <v>5.74</v>
      </c>
      <c r="D409" s="99"/>
    </row>
    <row r="410" spans="1:4" ht="15.75" hidden="1" outlineLevel="1" x14ac:dyDescent="0.2">
      <c r="A410" s="26" t="s">
        <v>44</v>
      </c>
      <c r="B410" s="27" t="s">
        <v>14</v>
      </c>
      <c r="C410" s="28">
        <v>5.7</v>
      </c>
      <c r="D410" s="99"/>
    </row>
    <row r="411" spans="1:4" ht="15.75" hidden="1" outlineLevel="1" x14ac:dyDescent="0.2">
      <c r="A411" s="26" t="s">
        <v>44</v>
      </c>
      <c r="B411" s="27" t="s">
        <v>925</v>
      </c>
      <c r="C411" s="26">
        <v>5.76</v>
      </c>
      <c r="D411" s="99"/>
    </row>
    <row r="412" spans="1:4" ht="15.75" hidden="1" outlineLevel="1" x14ac:dyDescent="0.2">
      <c r="A412" s="26" t="s">
        <v>44</v>
      </c>
      <c r="B412" s="27" t="s">
        <v>669</v>
      </c>
      <c r="C412" s="26">
        <v>5.89</v>
      </c>
      <c r="D412" s="98" t="s">
        <v>935</v>
      </c>
    </row>
    <row r="413" spans="1:4" ht="15.75" hidden="1" outlineLevel="1" x14ac:dyDescent="0.2">
      <c r="A413" s="26" t="s">
        <v>44</v>
      </c>
      <c r="B413" s="27" t="s">
        <v>917</v>
      </c>
      <c r="C413" s="26">
        <v>5.109</v>
      </c>
      <c r="D413" s="99"/>
    </row>
    <row r="414" spans="1:4" ht="15.75" hidden="1" outlineLevel="1" x14ac:dyDescent="0.2">
      <c r="A414" s="26" t="s">
        <v>44</v>
      </c>
      <c r="B414" s="27" t="s">
        <v>372</v>
      </c>
      <c r="C414" s="26">
        <v>5.1109999999999998</v>
      </c>
      <c r="D414" s="99"/>
    </row>
    <row r="415" spans="1:4" ht="15.75" hidden="1" outlineLevel="1" x14ac:dyDescent="0.2">
      <c r="A415" s="26" t="s">
        <v>44</v>
      </c>
      <c r="B415" s="27" t="s">
        <v>16</v>
      </c>
      <c r="C415" s="26">
        <v>5.1120000000000001</v>
      </c>
      <c r="D415" s="99"/>
    </row>
    <row r="416" spans="1:4" ht="15.75" hidden="1" outlineLevel="1" x14ac:dyDescent="0.2">
      <c r="A416" s="26" t="s">
        <v>44</v>
      </c>
      <c r="B416" s="27" t="s">
        <v>475</v>
      </c>
      <c r="C416" s="26">
        <v>5.1130000000000004</v>
      </c>
      <c r="D416" s="99"/>
    </row>
    <row r="417" spans="1:4" ht="15.75" hidden="1" outlineLevel="1" x14ac:dyDescent="0.2">
      <c r="A417" s="26" t="s">
        <v>44</v>
      </c>
      <c r="B417" s="27" t="s">
        <v>773</v>
      </c>
      <c r="C417" s="26">
        <v>5.58</v>
      </c>
      <c r="D417" s="99"/>
    </row>
    <row r="418" spans="1:4" ht="15.75" hidden="1" outlineLevel="1" x14ac:dyDescent="0.2">
      <c r="A418" s="26" t="s">
        <v>44</v>
      </c>
      <c r="B418" s="27" t="s">
        <v>11</v>
      </c>
      <c r="C418" s="26">
        <v>5.54</v>
      </c>
      <c r="D418" s="99"/>
    </row>
    <row r="419" spans="1:4" ht="15.75" hidden="1" outlineLevel="1" x14ac:dyDescent="0.2">
      <c r="A419" s="26" t="s">
        <v>44</v>
      </c>
      <c r="B419" s="27" t="s">
        <v>15</v>
      </c>
      <c r="C419" s="26">
        <v>5.55</v>
      </c>
      <c r="D419" s="99"/>
    </row>
    <row r="420" spans="1:4" ht="15.75" hidden="1" outlineLevel="1" x14ac:dyDescent="0.2">
      <c r="A420" s="26" t="s">
        <v>44</v>
      </c>
      <c r="B420" s="27" t="s">
        <v>1153</v>
      </c>
      <c r="C420" s="26">
        <v>5.63</v>
      </c>
      <c r="D420" s="99"/>
    </row>
    <row r="421" spans="1:4" ht="15.75" hidden="1" outlineLevel="1" x14ac:dyDescent="0.2">
      <c r="A421" s="26" t="s">
        <v>44</v>
      </c>
      <c r="B421" s="27" t="s">
        <v>1154</v>
      </c>
      <c r="C421" s="26">
        <v>5.65</v>
      </c>
      <c r="D421" s="99"/>
    </row>
    <row r="422" spans="1:4" ht="15.75" hidden="1" outlineLevel="1" x14ac:dyDescent="0.2">
      <c r="A422" s="26" t="s">
        <v>44</v>
      </c>
      <c r="B422" s="27" t="s">
        <v>788</v>
      </c>
      <c r="C422" s="26">
        <v>5.66</v>
      </c>
      <c r="D422" s="99"/>
    </row>
    <row r="423" spans="1:4" ht="15.75" hidden="1" outlineLevel="1" x14ac:dyDescent="0.2">
      <c r="A423" s="26" t="s">
        <v>44</v>
      </c>
      <c r="B423" s="27" t="s">
        <v>26</v>
      </c>
      <c r="C423" s="26">
        <v>5.68</v>
      </c>
      <c r="D423" s="99"/>
    </row>
    <row r="424" spans="1:4" ht="15.75" hidden="1" outlineLevel="1" x14ac:dyDescent="0.2">
      <c r="A424" s="26" t="s">
        <v>44</v>
      </c>
      <c r="B424" s="27" t="s">
        <v>19</v>
      </c>
      <c r="C424" s="26">
        <v>5.47</v>
      </c>
      <c r="D424" s="99"/>
    </row>
    <row r="425" spans="1:4" ht="15.75" hidden="1" outlineLevel="1" x14ac:dyDescent="0.2">
      <c r="A425" s="26" t="s">
        <v>44</v>
      </c>
      <c r="B425" s="27" t="s">
        <v>30</v>
      </c>
      <c r="C425" s="26">
        <v>5.48</v>
      </c>
      <c r="D425" s="99"/>
    </row>
    <row r="426" spans="1:4" ht="15.75" collapsed="1" x14ac:dyDescent="0.2">
      <c r="A426" s="31" t="s">
        <v>44</v>
      </c>
      <c r="B426" s="27"/>
      <c r="C426" s="26"/>
      <c r="D426" s="99"/>
    </row>
    <row r="427" spans="1:4" ht="15.75" outlineLevel="1" x14ac:dyDescent="0.2">
      <c r="A427" s="26" t="s">
        <v>792</v>
      </c>
      <c r="B427" s="27" t="s">
        <v>651</v>
      </c>
      <c r="C427" s="26">
        <v>5.0999999999999996</v>
      </c>
      <c r="D427" s="99"/>
    </row>
    <row r="428" spans="1:4" ht="15.75" outlineLevel="1" x14ac:dyDescent="0.2">
      <c r="A428" s="26" t="s">
        <v>792</v>
      </c>
      <c r="B428" s="27" t="s">
        <v>0</v>
      </c>
      <c r="C428" s="26">
        <v>5.2</v>
      </c>
      <c r="D428" s="99"/>
    </row>
    <row r="429" spans="1:4" ht="15.75" outlineLevel="1" x14ac:dyDescent="0.2">
      <c r="A429" s="26" t="s">
        <v>792</v>
      </c>
      <c r="B429" s="27" t="s">
        <v>724</v>
      </c>
      <c r="C429" s="26">
        <v>5.3</v>
      </c>
      <c r="D429" s="99"/>
    </row>
    <row r="430" spans="1:4" ht="15.75" outlineLevel="1" x14ac:dyDescent="0.2">
      <c r="A430" s="26" t="s">
        <v>792</v>
      </c>
      <c r="B430" s="27" t="s">
        <v>2</v>
      </c>
      <c r="C430" s="26">
        <v>5.6</v>
      </c>
      <c r="D430" s="99"/>
    </row>
    <row r="431" spans="1:4" ht="15.75" outlineLevel="1" x14ac:dyDescent="0.2">
      <c r="A431" s="26" t="s">
        <v>792</v>
      </c>
      <c r="B431" s="27" t="s">
        <v>730</v>
      </c>
      <c r="C431" s="28">
        <v>5.0999999999999996</v>
      </c>
      <c r="D431" s="99"/>
    </row>
    <row r="432" spans="1:4" ht="15.75" outlineLevel="1" x14ac:dyDescent="0.2">
      <c r="A432" s="26" t="s">
        <v>792</v>
      </c>
      <c r="B432" s="27" t="s">
        <v>3</v>
      </c>
      <c r="C432" s="26">
        <v>5.14</v>
      </c>
      <c r="D432" s="99"/>
    </row>
    <row r="433" spans="1:4" ht="15.75" outlineLevel="1" x14ac:dyDescent="0.2">
      <c r="A433" s="26" t="s">
        <v>792</v>
      </c>
      <c r="B433" s="27" t="s">
        <v>29</v>
      </c>
      <c r="C433" s="26">
        <v>5.19</v>
      </c>
      <c r="D433" s="99"/>
    </row>
    <row r="434" spans="1:4" ht="15.75" outlineLevel="1" x14ac:dyDescent="0.2">
      <c r="A434" s="26" t="s">
        <v>792</v>
      </c>
      <c r="B434" s="27" t="s">
        <v>28</v>
      </c>
      <c r="C434" s="26">
        <v>5.24</v>
      </c>
      <c r="D434" s="99"/>
    </row>
    <row r="435" spans="1:4" ht="15.75" outlineLevel="1" x14ac:dyDescent="0.2">
      <c r="A435" s="26" t="s">
        <v>792</v>
      </c>
      <c r="B435" s="27" t="s">
        <v>1</v>
      </c>
      <c r="C435" s="26">
        <v>5.26</v>
      </c>
      <c r="D435" s="99"/>
    </row>
    <row r="436" spans="1:4" ht="15.75" outlineLevel="1" x14ac:dyDescent="0.2">
      <c r="A436" s="26" t="s">
        <v>792</v>
      </c>
      <c r="B436" s="27" t="s">
        <v>604</v>
      </c>
      <c r="C436" s="26">
        <v>5.27</v>
      </c>
      <c r="D436" s="99"/>
    </row>
    <row r="437" spans="1:4" ht="15.75" outlineLevel="1" x14ac:dyDescent="0.2">
      <c r="A437" s="26" t="s">
        <v>792</v>
      </c>
      <c r="B437" s="27" t="s">
        <v>605</v>
      </c>
      <c r="C437" s="26">
        <v>5.28</v>
      </c>
      <c r="D437" s="99"/>
    </row>
    <row r="438" spans="1:4" ht="15.75" outlineLevel="1" x14ac:dyDescent="0.2">
      <c r="A438" s="26" t="s">
        <v>792</v>
      </c>
      <c r="B438" s="27" t="s">
        <v>609</v>
      </c>
      <c r="C438" s="26">
        <v>5.29</v>
      </c>
      <c r="D438" s="99"/>
    </row>
    <row r="439" spans="1:4" ht="15.75" outlineLevel="1" x14ac:dyDescent="0.2">
      <c r="A439" s="26" t="s">
        <v>792</v>
      </c>
      <c r="B439" s="27" t="s">
        <v>9</v>
      </c>
      <c r="C439" s="26">
        <v>5.31</v>
      </c>
      <c r="D439" s="99"/>
    </row>
    <row r="440" spans="1:4" ht="15.75" outlineLevel="1" x14ac:dyDescent="0.2">
      <c r="A440" s="26" t="s">
        <v>792</v>
      </c>
      <c r="B440" s="27" t="s">
        <v>606</v>
      </c>
      <c r="C440" s="26">
        <v>5.36</v>
      </c>
      <c r="D440" s="99"/>
    </row>
    <row r="441" spans="1:4" ht="15.75" outlineLevel="1" x14ac:dyDescent="0.2">
      <c r="A441" s="26" t="s">
        <v>792</v>
      </c>
      <c r="B441" s="27" t="s">
        <v>12</v>
      </c>
      <c r="C441" s="26">
        <v>5.37</v>
      </c>
      <c r="D441" s="99"/>
    </row>
    <row r="442" spans="1:4" ht="15.75" outlineLevel="1" x14ac:dyDescent="0.2">
      <c r="A442" s="26" t="s">
        <v>792</v>
      </c>
      <c r="B442" s="27" t="s">
        <v>396</v>
      </c>
      <c r="C442" s="26">
        <v>5.53</v>
      </c>
      <c r="D442" s="99"/>
    </row>
    <row r="443" spans="1:4" ht="15.75" outlineLevel="1" x14ac:dyDescent="0.2">
      <c r="A443" s="26" t="s">
        <v>792</v>
      </c>
      <c r="B443" s="27" t="s">
        <v>917</v>
      </c>
      <c r="C443" s="26">
        <v>5.109</v>
      </c>
      <c r="D443" s="99"/>
    </row>
    <row r="444" spans="1:4" ht="15.75" outlineLevel="1" x14ac:dyDescent="0.2">
      <c r="A444" s="26" t="s">
        <v>792</v>
      </c>
      <c r="B444" s="27" t="s">
        <v>372</v>
      </c>
      <c r="C444" s="26">
        <v>5.1109999999999998</v>
      </c>
      <c r="D444" s="99"/>
    </row>
    <row r="445" spans="1:4" ht="15.75" outlineLevel="1" x14ac:dyDescent="0.2">
      <c r="A445" s="26" t="s">
        <v>792</v>
      </c>
      <c r="B445" s="27" t="s">
        <v>16</v>
      </c>
      <c r="C445" s="26">
        <v>5.1120000000000001</v>
      </c>
      <c r="D445" s="99"/>
    </row>
    <row r="446" spans="1:4" ht="15.75" outlineLevel="1" x14ac:dyDescent="0.2">
      <c r="A446" s="26" t="s">
        <v>792</v>
      </c>
      <c r="B446" s="27" t="s">
        <v>475</v>
      </c>
      <c r="C446" s="26">
        <v>5.1130000000000004</v>
      </c>
      <c r="D446" s="99"/>
    </row>
    <row r="447" spans="1:4" ht="15.75" outlineLevel="1" x14ac:dyDescent="0.2">
      <c r="A447" s="26" t="s">
        <v>792</v>
      </c>
      <c r="B447" s="27" t="s">
        <v>773</v>
      </c>
      <c r="C447" s="26">
        <v>5.58</v>
      </c>
      <c r="D447" s="99"/>
    </row>
    <row r="448" spans="1:4" ht="15.75" outlineLevel="1" x14ac:dyDescent="0.2">
      <c r="A448" s="26" t="s">
        <v>792</v>
      </c>
      <c r="B448" s="27" t="s">
        <v>11</v>
      </c>
      <c r="C448" s="26">
        <v>5.54</v>
      </c>
      <c r="D448" s="99"/>
    </row>
    <row r="449" spans="1:4" ht="15.75" outlineLevel="1" x14ac:dyDescent="0.2">
      <c r="A449" s="26" t="s">
        <v>792</v>
      </c>
      <c r="B449" s="27" t="s">
        <v>15</v>
      </c>
      <c r="C449" s="26">
        <v>5.55</v>
      </c>
      <c r="D449" s="99"/>
    </row>
    <row r="450" spans="1:4" ht="15.75" outlineLevel="1" x14ac:dyDescent="0.2">
      <c r="A450" s="26" t="s">
        <v>792</v>
      </c>
      <c r="B450" s="27" t="s">
        <v>1153</v>
      </c>
      <c r="C450" s="26">
        <v>5.63</v>
      </c>
      <c r="D450" s="99"/>
    </row>
    <row r="451" spans="1:4" ht="15.75" outlineLevel="1" x14ac:dyDescent="0.2">
      <c r="A451" s="26" t="s">
        <v>792</v>
      </c>
      <c r="B451" s="27" t="s">
        <v>19</v>
      </c>
      <c r="C451" s="26">
        <v>5.47</v>
      </c>
      <c r="D451" s="99"/>
    </row>
    <row r="452" spans="1:4" ht="15.75" outlineLevel="1" x14ac:dyDescent="0.2">
      <c r="A452" s="26" t="s">
        <v>792</v>
      </c>
      <c r="B452" s="27" t="s">
        <v>30</v>
      </c>
      <c r="C452" s="26">
        <v>5.48</v>
      </c>
      <c r="D452" s="99"/>
    </row>
    <row r="453" spans="1:4" ht="15.75" x14ac:dyDescent="0.2">
      <c r="A453" s="31" t="s">
        <v>792</v>
      </c>
      <c r="B453" s="27"/>
      <c r="C453" s="26"/>
      <c r="D453" s="99"/>
    </row>
    <row r="454" spans="1:4" ht="15.75" outlineLevel="1" x14ac:dyDescent="0.2">
      <c r="A454" s="26" t="s">
        <v>45</v>
      </c>
      <c r="B454" s="27" t="s">
        <v>651</v>
      </c>
      <c r="C454" s="26">
        <v>5.0999999999999996</v>
      </c>
      <c r="D454" s="99"/>
    </row>
    <row r="455" spans="1:4" ht="15.75" outlineLevel="1" x14ac:dyDescent="0.2">
      <c r="A455" s="26" t="s">
        <v>45</v>
      </c>
      <c r="B455" s="27" t="s">
        <v>0</v>
      </c>
      <c r="C455" s="26">
        <v>5.2</v>
      </c>
      <c r="D455" s="99"/>
    </row>
    <row r="456" spans="1:4" ht="15.75" outlineLevel="1" x14ac:dyDescent="0.2">
      <c r="A456" s="26" t="s">
        <v>45</v>
      </c>
      <c r="B456" s="27" t="s">
        <v>780</v>
      </c>
      <c r="C456" s="26">
        <v>5.5</v>
      </c>
      <c r="D456" s="99"/>
    </row>
    <row r="457" spans="1:4" ht="15.75" outlineLevel="1" x14ac:dyDescent="0.2">
      <c r="A457" s="26" t="s">
        <v>45</v>
      </c>
      <c r="B457" s="27" t="s">
        <v>793</v>
      </c>
      <c r="C457" s="26">
        <v>5.8</v>
      </c>
      <c r="D457" s="98" t="s">
        <v>935</v>
      </c>
    </row>
    <row r="458" spans="1:4" ht="15.75" outlineLevel="1" x14ac:dyDescent="0.2">
      <c r="A458" s="26" t="s">
        <v>45</v>
      </c>
      <c r="B458" s="27" t="s">
        <v>781</v>
      </c>
      <c r="C458" s="26">
        <v>5.12</v>
      </c>
      <c r="D458" s="98" t="s">
        <v>935</v>
      </c>
    </row>
    <row r="459" spans="1:4" ht="15.75" outlineLevel="1" x14ac:dyDescent="0.2">
      <c r="A459" s="26" t="s">
        <v>45</v>
      </c>
      <c r="B459" s="27" t="s">
        <v>747</v>
      </c>
      <c r="C459" s="26">
        <v>5.15</v>
      </c>
      <c r="D459" s="99"/>
    </row>
    <row r="460" spans="1:4" ht="15.75" outlineLevel="1" x14ac:dyDescent="0.2">
      <c r="A460" s="26" t="s">
        <v>45</v>
      </c>
      <c r="B460" s="27" t="s">
        <v>746</v>
      </c>
      <c r="C460" s="28">
        <v>5.2</v>
      </c>
      <c r="D460" s="98"/>
    </row>
    <row r="461" spans="1:4" ht="15.75" outlineLevel="1" x14ac:dyDescent="0.2">
      <c r="A461" s="26" t="s">
        <v>45</v>
      </c>
      <c r="B461" s="27" t="s">
        <v>751</v>
      </c>
      <c r="C461" s="26">
        <v>5.25</v>
      </c>
      <c r="D461" s="99"/>
    </row>
    <row r="462" spans="1:4" ht="15.75" outlineLevel="1" x14ac:dyDescent="0.2">
      <c r="A462" s="26" t="s">
        <v>45</v>
      </c>
      <c r="B462" s="27" t="s">
        <v>1</v>
      </c>
      <c r="C462" s="26">
        <v>5.26</v>
      </c>
      <c r="D462" s="99"/>
    </row>
    <row r="463" spans="1:4" ht="15.75" outlineLevel="1" x14ac:dyDescent="0.2">
      <c r="A463" s="26" t="s">
        <v>45</v>
      </c>
      <c r="B463" s="27" t="s">
        <v>289</v>
      </c>
      <c r="C463" s="26">
        <v>5.1139999999999999</v>
      </c>
      <c r="D463" s="98" t="s">
        <v>935</v>
      </c>
    </row>
    <row r="464" spans="1:4" ht="15.75" outlineLevel="1" x14ac:dyDescent="0.2">
      <c r="A464" s="26" t="s">
        <v>45</v>
      </c>
      <c r="B464" s="27" t="s">
        <v>604</v>
      </c>
      <c r="C464" s="26">
        <v>5.27</v>
      </c>
      <c r="D464" s="99"/>
    </row>
    <row r="465" spans="1:4" ht="15.75" outlineLevel="1" x14ac:dyDescent="0.2">
      <c r="A465" s="26" t="s">
        <v>45</v>
      </c>
      <c r="B465" s="27" t="s">
        <v>739</v>
      </c>
      <c r="C465" s="26">
        <v>5.1150000000000002</v>
      </c>
      <c r="D465" s="98" t="s">
        <v>935</v>
      </c>
    </row>
    <row r="466" spans="1:4" ht="15.75" outlineLevel="1" x14ac:dyDescent="0.2">
      <c r="A466" s="26" t="s">
        <v>45</v>
      </c>
      <c r="B466" s="27" t="s">
        <v>754</v>
      </c>
      <c r="C466" s="26">
        <v>5.1159999999999997</v>
      </c>
      <c r="D466" s="98" t="s">
        <v>935</v>
      </c>
    </row>
    <row r="467" spans="1:4" ht="15.75" outlineLevel="1" x14ac:dyDescent="0.2">
      <c r="A467" s="26" t="s">
        <v>45</v>
      </c>
      <c r="B467" s="27" t="s">
        <v>605</v>
      </c>
      <c r="C467" s="26">
        <v>5.28</v>
      </c>
      <c r="D467" s="99"/>
    </row>
    <row r="468" spans="1:4" ht="15.75" outlineLevel="1" x14ac:dyDescent="0.2">
      <c r="A468" s="26" t="s">
        <v>45</v>
      </c>
      <c r="B468" s="27" t="s">
        <v>606</v>
      </c>
      <c r="C468" s="26">
        <v>5.36</v>
      </c>
      <c r="D468" s="99"/>
    </row>
    <row r="469" spans="1:4" ht="15.75" outlineLevel="1" x14ac:dyDescent="0.2">
      <c r="A469" s="26" t="s">
        <v>45</v>
      </c>
      <c r="B469" s="27" t="s">
        <v>12</v>
      </c>
      <c r="C469" s="26">
        <v>5.37</v>
      </c>
      <c r="D469" s="99"/>
    </row>
    <row r="470" spans="1:4" ht="15.75" outlineLevel="1" x14ac:dyDescent="0.2">
      <c r="A470" s="26" t="s">
        <v>45</v>
      </c>
      <c r="B470" s="27" t="s">
        <v>396</v>
      </c>
      <c r="C470" s="26">
        <v>5.53</v>
      </c>
      <c r="D470" s="99"/>
    </row>
    <row r="471" spans="1:4" ht="15.75" outlineLevel="1" x14ac:dyDescent="0.2">
      <c r="A471" s="26" t="s">
        <v>45</v>
      </c>
      <c r="B471" s="27" t="s">
        <v>917</v>
      </c>
      <c r="C471" s="26">
        <v>5.109</v>
      </c>
      <c r="D471" s="99"/>
    </row>
    <row r="472" spans="1:4" ht="15.75" outlineLevel="1" x14ac:dyDescent="0.2">
      <c r="A472" s="26" t="s">
        <v>45</v>
      </c>
      <c r="B472" s="27" t="s">
        <v>372</v>
      </c>
      <c r="C472" s="26">
        <v>5.1109999999999998</v>
      </c>
      <c r="D472" s="99"/>
    </row>
    <row r="473" spans="1:4" ht="15.75" outlineLevel="1" x14ac:dyDescent="0.2">
      <c r="A473" s="26" t="s">
        <v>45</v>
      </c>
      <c r="B473" s="27" t="s">
        <v>16</v>
      </c>
      <c r="C473" s="26">
        <v>5.1120000000000001</v>
      </c>
      <c r="D473" s="99"/>
    </row>
    <row r="474" spans="1:4" ht="15.75" outlineLevel="1" x14ac:dyDescent="0.2">
      <c r="A474" s="26" t="s">
        <v>45</v>
      </c>
      <c r="B474" s="27" t="s">
        <v>11</v>
      </c>
      <c r="C474" s="26">
        <v>5.54</v>
      </c>
      <c r="D474" s="99"/>
    </row>
    <row r="475" spans="1:4" ht="15.75" outlineLevel="1" x14ac:dyDescent="0.2">
      <c r="A475" s="26" t="s">
        <v>45</v>
      </c>
      <c r="B475" s="27" t="s">
        <v>936</v>
      </c>
      <c r="C475" s="26">
        <v>5.61</v>
      </c>
      <c r="D475" s="99"/>
    </row>
    <row r="476" spans="1:4" ht="15.75" outlineLevel="1" x14ac:dyDescent="0.2">
      <c r="A476" s="26" t="s">
        <v>45</v>
      </c>
      <c r="B476" s="27" t="s">
        <v>1153</v>
      </c>
      <c r="C476" s="26">
        <v>5.63</v>
      </c>
      <c r="D476" s="99"/>
    </row>
    <row r="477" spans="1:4" ht="15.75" outlineLevel="1" x14ac:dyDescent="0.2">
      <c r="A477" s="26" t="s">
        <v>45</v>
      </c>
      <c r="B477" s="27" t="s">
        <v>736</v>
      </c>
      <c r="C477" s="26">
        <v>5.46</v>
      </c>
      <c r="D477" s="99"/>
    </row>
    <row r="478" spans="1:4" ht="15.75" outlineLevel="1" x14ac:dyDescent="0.2">
      <c r="A478" s="26" t="s">
        <v>45</v>
      </c>
      <c r="B478" s="27" t="s">
        <v>19</v>
      </c>
      <c r="C478" s="26">
        <v>5.47</v>
      </c>
      <c r="D478" s="99"/>
    </row>
    <row r="479" spans="1:4" ht="15.75" outlineLevel="1" x14ac:dyDescent="0.2">
      <c r="A479" s="26" t="s">
        <v>45</v>
      </c>
      <c r="B479" s="27" t="s">
        <v>30</v>
      </c>
      <c r="C479" s="26">
        <v>5.48</v>
      </c>
      <c r="D479" s="99"/>
    </row>
    <row r="480" spans="1:4" ht="15.75" x14ac:dyDescent="0.2">
      <c r="A480" s="31" t="s">
        <v>45</v>
      </c>
      <c r="B480" s="27"/>
      <c r="C480" s="26"/>
      <c r="D480" s="99"/>
    </row>
    <row r="481" spans="1:4" ht="15.75" hidden="1" outlineLevel="1" x14ac:dyDescent="0.2">
      <c r="A481" s="26" t="s">
        <v>46</v>
      </c>
      <c r="B481" s="27" t="s">
        <v>651</v>
      </c>
      <c r="C481" s="26">
        <v>5.0999999999999996</v>
      </c>
      <c r="D481" s="99"/>
    </row>
    <row r="482" spans="1:4" ht="15.75" hidden="1" outlineLevel="1" x14ac:dyDescent="0.2">
      <c r="A482" s="26" t="s">
        <v>46</v>
      </c>
      <c r="B482" s="27" t="s">
        <v>0</v>
      </c>
      <c r="C482" s="26">
        <v>5.2</v>
      </c>
      <c r="D482" s="99"/>
    </row>
    <row r="483" spans="1:4" ht="15.75" hidden="1" outlineLevel="1" x14ac:dyDescent="0.2">
      <c r="A483" s="26" t="s">
        <v>46</v>
      </c>
      <c r="B483" s="27" t="s">
        <v>724</v>
      </c>
      <c r="C483" s="26">
        <v>5.3</v>
      </c>
      <c r="D483" s="99"/>
    </row>
    <row r="484" spans="1:4" ht="15.75" hidden="1" outlineLevel="1" x14ac:dyDescent="0.2">
      <c r="A484" s="26" t="s">
        <v>46</v>
      </c>
      <c r="B484" s="27" t="s">
        <v>2</v>
      </c>
      <c r="C484" s="26">
        <v>5.6</v>
      </c>
      <c r="D484" s="99"/>
    </row>
    <row r="485" spans="1:4" ht="15.75" hidden="1" outlineLevel="1" x14ac:dyDescent="0.2">
      <c r="A485" s="26" t="s">
        <v>46</v>
      </c>
      <c r="B485" s="27" t="s">
        <v>730</v>
      </c>
      <c r="C485" s="28">
        <v>5.0999999999999996</v>
      </c>
      <c r="D485" s="99"/>
    </row>
    <row r="486" spans="1:4" ht="15.75" hidden="1" outlineLevel="1" x14ac:dyDescent="0.2">
      <c r="A486" s="26" t="s">
        <v>46</v>
      </c>
      <c r="B486" s="27" t="s">
        <v>3</v>
      </c>
      <c r="C486" s="26">
        <v>5.14</v>
      </c>
      <c r="D486" s="99"/>
    </row>
    <row r="487" spans="1:4" ht="15.75" hidden="1" outlineLevel="1" x14ac:dyDescent="0.2">
      <c r="A487" s="26" t="s">
        <v>46</v>
      </c>
      <c r="B487" s="27" t="s">
        <v>29</v>
      </c>
      <c r="C487" s="26">
        <v>5.19</v>
      </c>
      <c r="D487" s="99"/>
    </row>
    <row r="488" spans="1:4" ht="15.75" hidden="1" outlineLevel="1" x14ac:dyDescent="0.2">
      <c r="A488" s="26" t="s">
        <v>46</v>
      </c>
      <c r="B488" s="27" t="s">
        <v>28</v>
      </c>
      <c r="C488" s="26">
        <v>5.24</v>
      </c>
      <c r="D488" s="99"/>
    </row>
    <row r="489" spans="1:4" ht="15.75" hidden="1" outlineLevel="1" x14ac:dyDescent="0.2">
      <c r="A489" s="26" t="s">
        <v>46</v>
      </c>
      <c r="B489" s="27" t="s">
        <v>604</v>
      </c>
      <c r="C489" s="26">
        <v>5.27</v>
      </c>
      <c r="D489" s="99"/>
    </row>
    <row r="490" spans="1:4" ht="15.75" hidden="1" outlineLevel="1" x14ac:dyDescent="0.2">
      <c r="A490" s="26" t="s">
        <v>46</v>
      </c>
      <c r="B490" s="27" t="s">
        <v>605</v>
      </c>
      <c r="C490" s="26">
        <v>5.28</v>
      </c>
      <c r="D490" s="99"/>
    </row>
    <row r="491" spans="1:4" ht="15.75" hidden="1" outlineLevel="1" x14ac:dyDescent="0.2">
      <c r="A491" s="26" t="s">
        <v>46</v>
      </c>
      <c r="B491" s="27" t="s">
        <v>609</v>
      </c>
      <c r="C491" s="26">
        <v>5.29</v>
      </c>
      <c r="D491" s="99"/>
    </row>
    <row r="492" spans="1:4" ht="15.75" hidden="1" outlineLevel="1" x14ac:dyDescent="0.2">
      <c r="A492" s="26" t="s">
        <v>46</v>
      </c>
      <c r="B492" s="27" t="s">
        <v>738</v>
      </c>
      <c r="C492" s="26">
        <v>5.34</v>
      </c>
      <c r="D492" s="99"/>
    </row>
    <row r="493" spans="1:4" ht="15.75" hidden="1" outlineLevel="1" x14ac:dyDescent="0.2">
      <c r="A493" s="26" t="s">
        <v>46</v>
      </c>
      <c r="B493" s="27" t="s">
        <v>9</v>
      </c>
      <c r="C493" s="26">
        <v>5.31</v>
      </c>
      <c r="D493" s="99"/>
    </row>
    <row r="494" spans="1:4" ht="15.75" hidden="1" outlineLevel="1" x14ac:dyDescent="0.2">
      <c r="A494" s="26" t="s">
        <v>46</v>
      </c>
      <c r="B494" s="27" t="s">
        <v>666</v>
      </c>
      <c r="C494" s="26">
        <v>5.101</v>
      </c>
      <c r="D494" s="99"/>
    </row>
    <row r="495" spans="1:4" ht="15.75" hidden="1" outlineLevel="1" x14ac:dyDescent="0.2">
      <c r="A495" s="26" t="s">
        <v>46</v>
      </c>
      <c r="B495" s="27" t="s">
        <v>606</v>
      </c>
      <c r="C495" s="26">
        <v>5.36</v>
      </c>
      <c r="D495" s="99"/>
    </row>
    <row r="496" spans="1:4" ht="15.75" hidden="1" outlineLevel="1" x14ac:dyDescent="0.2">
      <c r="A496" s="26" t="s">
        <v>46</v>
      </c>
      <c r="B496" s="27" t="s">
        <v>12</v>
      </c>
      <c r="C496" s="26">
        <v>5.37</v>
      </c>
      <c r="D496" s="99"/>
    </row>
    <row r="497" spans="1:4" ht="15.75" hidden="1" outlineLevel="1" x14ac:dyDescent="0.2">
      <c r="A497" s="26" t="s">
        <v>46</v>
      </c>
      <c r="B497" s="27" t="s">
        <v>396</v>
      </c>
      <c r="C497" s="26">
        <v>5.53</v>
      </c>
      <c r="D497" s="99"/>
    </row>
    <row r="498" spans="1:4" ht="15.75" hidden="1" outlineLevel="1" x14ac:dyDescent="0.2">
      <c r="A498" s="26" t="s">
        <v>46</v>
      </c>
      <c r="B498" s="27" t="s">
        <v>917</v>
      </c>
      <c r="C498" s="26">
        <v>5.109</v>
      </c>
      <c r="D498" s="99"/>
    </row>
    <row r="499" spans="1:4" ht="15.75" hidden="1" outlineLevel="1" x14ac:dyDescent="0.2">
      <c r="A499" s="26" t="s">
        <v>46</v>
      </c>
      <c r="B499" s="27" t="s">
        <v>372</v>
      </c>
      <c r="C499" s="26">
        <v>5.1109999999999998</v>
      </c>
      <c r="D499" s="99"/>
    </row>
    <row r="500" spans="1:4" ht="15.75" hidden="1" outlineLevel="1" x14ac:dyDescent="0.2">
      <c r="A500" s="26" t="s">
        <v>46</v>
      </c>
      <c r="B500" s="27" t="s">
        <v>16</v>
      </c>
      <c r="C500" s="26">
        <v>5.1120000000000001</v>
      </c>
      <c r="D500" s="99"/>
    </row>
    <row r="501" spans="1:4" ht="15.75" hidden="1" outlineLevel="1" x14ac:dyDescent="0.2">
      <c r="A501" s="26" t="s">
        <v>46</v>
      </c>
      <c r="B501" s="27" t="s">
        <v>23</v>
      </c>
      <c r="C501" s="26">
        <v>5.1020000000000003</v>
      </c>
      <c r="D501" s="99"/>
    </row>
    <row r="502" spans="1:4" ht="15.75" hidden="1" outlineLevel="1" x14ac:dyDescent="0.2">
      <c r="A502" s="26" t="s">
        <v>46</v>
      </c>
      <c r="B502" s="27" t="s">
        <v>613</v>
      </c>
      <c r="C502" s="29">
        <v>5.0999999999999996</v>
      </c>
      <c r="D502" s="99"/>
    </row>
    <row r="503" spans="1:4" ht="15.75" hidden="1" outlineLevel="1" x14ac:dyDescent="0.2">
      <c r="A503" s="26" t="s">
        <v>46</v>
      </c>
      <c r="B503" s="27" t="s">
        <v>773</v>
      </c>
      <c r="C503" s="26">
        <v>5.58</v>
      </c>
      <c r="D503" s="99"/>
    </row>
    <row r="504" spans="1:4" ht="15.75" hidden="1" outlineLevel="1" x14ac:dyDescent="0.2">
      <c r="A504" s="26" t="s">
        <v>46</v>
      </c>
      <c r="B504" s="27" t="s">
        <v>15</v>
      </c>
      <c r="C504" s="26">
        <v>5.55</v>
      </c>
      <c r="D504" s="99"/>
    </row>
    <row r="505" spans="1:4" ht="15.75" hidden="1" outlineLevel="1" x14ac:dyDescent="0.2">
      <c r="A505" s="26" t="s">
        <v>46</v>
      </c>
      <c r="B505" s="27" t="s">
        <v>11</v>
      </c>
      <c r="C505" s="26">
        <v>5.54</v>
      </c>
      <c r="D505" s="99"/>
    </row>
    <row r="506" spans="1:4" ht="15.75" hidden="1" outlineLevel="1" x14ac:dyDescent="0.2">
      <c r="A506" s="26" t="s">
        <v>46</v>
      </c>
      <c r="B506" s="27" t="s">
        <v>1153</v>
      </c>
      <c r="C506" s="26">
        <v>5.63</v>
      </c>
      <c r="D506" s="99"/>
    </row>
    <row r="507" spans="1:4" ht="15.75" hidden="1" outlineLevel="1" x14ac:dyDescent="0.2">
      <c r="A507" s="26" t="s">
        <v>46</v>
      </c>
      <c r="B507" s="27" t="s">
        <v>19</v>
      </c>
      <c r="C507" s="26">
        <v>5.47</v>
      </c>
      <c r="D507" s="99"/>
    </row>
    <row r="508" spans="1:4" ht="15.75" hidden="1" outlineLevel="1" x14ac:dyDescent="0.2">
      <c r="A508" s="26" t="s">
        <v>46</v>
      </c>
      <c r="B508" s="27" t="s">
        <v>30</v>
      </c>
      <c r="C508" s="26">
        <v>5.48</v>
      </c>
      <c r="D508" s="99"/>
    </row>
    <row r="509" spans="1:4" ht="15.75" collapsed="1" x14ac:dyDescent="0.2">
      <c r="A509" s="31" t="s">
        <v>46</v>
      </c>
      <c r="B509" s="27"/>
      <c r="C509" s="26"/>
      <c r="D509" s="99"/>
    </row>
    <row r="510" spans="1:4" ht="15.75" hidden="1" outlineLevel="1" x14ac:dyDescent="0.2">
      <c r="A510" s="26" t="s">
        <v>47</v>
      </c>
      <c r="B510" s="27" t="s">
        <v>651</v>
      </c>
      <c r="C510" s="26">
        <v>5.0999999999999996</v>
      </c>
      <c r="D510" s="99"/>
    </row>
    <row r="511" spans="1:4" ht="15.75" hidden="1" outlineLevel="1" x14ac:dyDescent="0.2">
      <c r="A511" s="26" t="s">
        <v>47</v>
      </c>
      <c r="B511" s="27" t="s">
        <v>0</v>
      </c>
      <c r="C511" s="26">
        <v>5.2</v>
      </c>
      <c r="D511" s="99"/>
    </row>
    <row r="512" spans="1:4" ht="15.75" hidden="1" outlineLevel="1" x14ac:dyDescent="0.2">
      <c r="A512" s="26" t="s">
        <v>47</v>
      </c>
      <c r="B512" s="27" t="s">
        <v>724</v>
      </c>
      <c r="C512" s="26">
        <v>5.3</v>
      </c>
      <c r="D512" s="99"/>
    </row>
    <row r="513" spans="1:4" ht="15.75" hidden="1" outlineLevel="1" x14ac:dyDescent="0.2">
      <c r="A513" s="26" t="s">
        <v>47</v>
      </c>
      <c r="B513" s="27" t="s">
        <v>2</v>
      </c>
      <c r="C513" s="26">
        <v>5.6</v>
      </c>
      <c r="D513" s="99"/>
    </row>
    <row r="514" spans="1:4" ht="15.75" hidden="1" outlineLevel="1" x14ac:dyDescent="0.2">
      <c r="A514" s="26" t="s">
        <v>47</v>
      </c>
      <c r="B514" s="27" t="s">
        <v>730</v>
      </c>
      <c r="C514" s="28">
        <v>5.0999999999999996</v>
      </c>
      <c r="D514" s="99"/>
    </row>
    <row r="515" spans="1:4" ht="15.75" hidden="1" outlineLevel="1" x14ac:dyDescent="0.2">
      <c r="A515" s="26" t="s">
        <v>47</v>
      </c>
      <c r="B515" s="27" t="s">
        <v>3</v>
      </c>
      <c r="C515" s="26">
        <v>5.14</v>
      </c>
      <c r="D515" s="99"/>
    </row>
    <row r="516" spans="1:4" ht="15.75" hidden="1" outlineLevel="1" x14ac:dyDescent="0.2">
      <c r="A516" s="26" t="s">
        <v>47</v>
      </c>
      <c r="B516" s="27" t="s">
        <v>29</v>
      </c>
      <c r="C516" s="26">
        <v>5.19</v>
      </c>
      <c r="D516" s="99"/>
    </row>
    <row r="517" spans="1:4" ht="15.75" hidden="1" outlineLevel="1" x14ac:dyDescent="0.2">
      <c r="A517" s="26" t="s">
        <v>47</v>
      </c>
      <c r="B517" s="27" t="s">
        <v>28</v>
      </c>
      <c r="C517" s="26">
        <v>5.24</v>
      </c>
      <c r="D517" s="99"/>
    </row>
    <row r="518" spans="1:4" ht="15.75" hidden="1" outlineLevel="1" x14ac:dyDescent="0.2">
      <c r="A518" s="26" t="s">
        <v>47</v>
      </c>
      <c r="B518" s="27" t="s">
        <v>1</v>
      </c>
      <c r="C518" s="26">
        <v>5.26</v>
      </c>
      <c r="D518" s="99"/>
    </row>
    <row r="519" spans="1:4" ht="15.75" hidden="1" outlineLevel="1" x14ac:dyDescent="0.2">
      <c r="A519" s="26" t="s">
        <v>47</v>
      </c>
      <c r="B519" s="27" t="s">
        <v>604</v>
      </c>
      <c r="C519" s="26">
        <v>5.27</v>
      </c>
      <c r="D519" s="99"/>
    </row>
    <row r="520" spans="1:4" ht="15.75" hidden="1" outlineLevel="1" x14ac:dyDescent="0.2">
      <c r="A520" s="26" t="s">
        <v>47</v>
      </c>
      <c r="B520" s="27" t="s">
        <v>605</v>
      </c>
      <c r="C520" s="26">
        <v>5.28</v>
      </c>
      <c r="D520" s="99"/>
    </row>
    <row r="521" spans="1:4" ht="15.75" hidden="1" outlineLevel="1" x14ac:dyDescent="0.2">
      <c r="A521" s="26" t="s">
        <v>47</v>
      </c>
      <c r="B521" s="27" t="s">
        <v>9</v>
      </c>
      <c r="C521" s="26">
        <v>5.31</v>
      </c>
      <c r="D521" s="99"/>
    </row>
    <row r="522" spans="1:4" ht="15.75" hidden="1" outlineLevel="1" x14ac:dyDescent="0.2">
      <c r="A522" s="26" t="s">
        <v>47</v>
      </c>
      <c r="B522" s="27" t="s">
        <v>10</v>
      </c>
      <c r="C522" s="26">
        <v>5.33</v>
      </c>
      <c r="D522" s="99"/>
    </row>
    <row r="523" spans="1:4" ht="15.75" hidden="1" outlineLevel="1" x14ac:dyDescent="0.2">
      <c r="A523" s="26" t="s">
        <v>47</v>
      </c>
      <c r="B523" s="27" t="s">
        <v>666</v>
      </c>
      <c r="C523" s="26">
        <v>5.101</v>
      </c>
      <c r="D523" s="99"/>
    </row>
    <row r="524" spans="1:4" ht="15.75" hidden="1" outlineLevel="1" x14ac:dyDescent="0.2">
      <c r="A524" s="26" t="s">
        <v>47</v>
      </c>
      <c r="B524" s="27" t="s">
        <v>606</v>
      </c>
      <c r="C524" s="26">
        <v>5.36</v>
      </c>
      <c r="D524" s="99"/>
    </row>
    <row r="525" spans="1:4" ht="15.75" hidden="1" outlineLevel="1" x14ac:dyDescent="0.2">
      <c r="A525" s="26" t="s">
        <v>47</v>
      </c>
      <c r="B525" s="27" t="s">
        <v>12</v>
      </c>
      <c r="C525" s="26">
        <v>5.37</v>
      </c>
      <c r="D525" s="99"/>
    </row>
    <row r="526" spans="1:4" ht="15.75" hidden="1" outlineLevel="1" x14ac:dyDescent="0.2">
      <c r="A526" s="26" t="s">
        <v>47</v>
      </c>
      <c r="B526" s="27" t="s">
        <v>396</v>
      </c>
      <c r="C526" s="26">
        <v>5.53</v>
      </c>
      <c r="D526" s="99"/>
    </row>
    <row r="527" spans="1:4" ht="15.75" hidden="1" outlineLevel="1" x14ac:dyDescent="0.2">
      <c r="A527" s="26" t="s">
        <v>47</v>
      </c>
      <c r="B527" s="27" t="s">
        <v>917</v>
      </c>
      <c r="C527" s="26">
        <v>5.109</v>
      </c>
      <c r="D527" s="99"/>
    </row>
    <row r="528" spans="1:4" ht="15.75" hidden="1" outlineLevel="1" x14ac:dyDescent="0.2">
      <c r="A528" s="26" t="s">
        <v>47</v>
      </c>
      <c r="B528" s="27" t="s">
        <v>372</v>
      </c>
      <c r="C528" s="26">
        <v>5.1109999999999998</v>
      </c>
      <c r="D528" s="99"/>
    </row>
    <row r="529" spans="1:4" ht="15.75" hidden="1" outlineLevel="1" x14ac:dyDescent="0.2">
      <c r="A529" s="26" t="s">
        <v>47</v>
      </c>
      <c r="B529" s="27" t="s">
        <v>16</v>
      </c>
      <c r="C529" s="26">
        <v>5.1120000000000001</v>
      </c>
      <c r="D529" s="99"/>
    </row>
    <row r="530" spans="1:4" ht="15.75" hidden="1" outlineLevel="1" x14ac:dyDescent="0.2">
      <c r="A530" s="26" t="s">
        <v>47</v>
      </c>
      <c r="B530" s="27" t="s">
        <v>23</v>
      </c>
      <c r="C530" s="26">
        <v>5.1020000000000003</v>
      </c>
      <c r="D530" s="99"/>
    </row>
    <row r="531" spans="1:4" ht="15.75" hidden="1" outlineLevel="1" x14ac:dyDescent="0.2">
      <c r="A531" s="26" t="s">
        <v>47</v>
      </c>
      <c r="B531" s="27" t="s">
        <v>613</v>
      </c>
      <c r="C531" s="29">
        <v>5.0999999999999996</v>
      </c>
      <c r="D531" s="99"/>
    </row>
    <row r="532" spans="1:4" ht="15.75" hidden="1" outlineLevel="1" x14ac:dyDescent="0.2">
      <c r="A532" s="26" t="s">
        <v>47</v>
      </c>
      <c r="B532" s="27" t="s">
        <v>773</v>
      </c>
      <c r="C532" s="26">
        <v>5.58</v>
      </c>
      <c r="D532" s="99"/>
    </row>
    <row r="533" spans="1:4" ht="15.75" hidden="1" outlineLevel="1" x14ac:dyDescent="0.2">
      <c r="A533" s="26" t="s">
        <v>47</v>
      </c>
      <c r="B533" s="27" t="s">
        <v>15</v>
      </c>
      <c r="C533" s="26">
        <v>5.55</v>
      </c>
      <c r="D533" s="99"/>
    </row>
    <row r="534" spans="1:4" ht="15.75" hidden="1" outlineLevel="1" x14ac:dyDescent="0.2">
      <c r="A534" s="26" t="s">
        <v>47</v>
      </c>
      <c r="B534" s="27" t="s">
        <v>11</v>
      </c>
      <c r="C534" s="26">
        <v>5.54</v>
      </c>
      <c r="D534" s="99"/>
    </row>
    <row r="535" spans="1:4" ht="15.75" hidden="1" outlineLevel="1" x14ac:dyDescent="0.2">
      <c r="A535" s="26" t="s">
        <v>47</v>
      </c>
      <c r="B535" s="27" t="s">
        <v>1153</v>
      </c>
      <c r="C535" s="26">
        <v>5.63</v>
      </c>
      <c r="D535" s="99"/>
    </row>
    <row r="536" spans="1:4" ht="15.75" hidden="1" outlineLevel="1" x14ac:dyDescent="0.2">
      <c r="A536" s="26" t="s">
        <v>47</v>
      </c>
      <c r="B536" s="27" t="s">
        <v>19</v>
      </c>
      <c r="C536" s="26">
        <v>5.47</v>
      </c>
      <c r="D536" s="99"/>
    </row>
    <row r="537" spans="1:4" ht="15.75" hidden="1" outlineLevel="1" x14ac:dyDescent="0.2">
      <c r="A537" s="26" t="s">
        <v>47</v>
      </c>
      <c r="B537" s="27" t="s">
        <v>30</v>
      </c>
      <c r="C537" s="26">
        <v>5.48</v>
      </c>
      <c r="D537" s="99"/>
    </row>
    <row r="538" spans="1:4" ht="15.75" collapsed="1" x14ac:dyDescent="0.2">
      <c r="A538" s="31" t="s">
        <v>47</v>
      </c>
      <c r="B538" s="27"/>
      <c r="C538" s="26"/>
      <c r="D538" s="99"/>
    </row>
    <row r="539" spans="1:4" ht="15.75" hidden="1" outlineLevel="1" x14ac:dyDescent="0.2">
      <c r="A539" s="26" t="s">
        <v>461</v>
      </c>
      <c r="B539" s="27" t="s">
        <v>651</v>
      </c>
      <c r="C539" s="26">
        <v>5.0999999999999996</v>
      </c>
      <c r="D539" s="99"/>
    </row>
    <row r="540" spans="1:4" ht="15.75" hidden="1" outlineLevel="1" x14ac:dyDescent="0.2">
      <c r="A540" s="26" t="s">
        <v>461</v>
      </c>
      <c r="B540" s="27" t="s">
        <v>0</v>
      </c>
      <c r="C540" s="26">
        <v>5.2</v>
      </c>
      <c r="D540" s="99"/>
    </row>
    <row r="541" spans="1:4" ht="15.75" hidden="1" outlineLevel="1" x14ac:dyDescent="0.2">
      <c r="A541" s="26" t="s">
        <v>461</v>
      </c>
      <c r="B541" s="27" t="s">
        <v>1</v>
      </c>
      <c r="C541" s="26">
        <v>5.26</v>
      </c>
      <c r="D541" s="99"/>
    </row>
    <row r="542" spans="1:4" ht="15.75" hidden="1" outlineLevel="1" x14ac:dyDescent="0.2">
      <c r="A542" s="26" t="s">
        <v>461</v>
      </c>
      <c r="B542" s="27" t="s">
        <v>418</v>
      </c>
      <c r="C542" s="26">
        <v>5.21</v>
      </c>
      <c r="D542" s="99"/>
    </row>
    <row r="543" spans="1:4" ht="15.75" hidden="1" outlineLevel="1" x14ac:dyDescent="0.2">
      <c r="A543" s="26" t="s">
        <v>461</v>
      </c>
      <c r="B543" s="27" t="s">
        <v>798</v>
      </c>
      <c r="C543" s="26">
        <v>5.53</v>
      </c>
      <c r="D543" s="99"/>
    </row>
    <row r="544" spans="1:4" ht="15.75" hidden="1" outlineLevel="1" x14ac:dyDescent="0.2">
      <c r="A544" s="26" t="s">
        <v>461</v>
      </c>
      <c r="B544" s="27" t="s">
        <v>11</v>
      </c>
      <c r="C544" s="26">
        <v>5.54</v>
      </c>
      <c r="D544" s="99"/>
    </row>
    <row r="545" spans="1:4" ht="15.75" hidden="1" outlineLevel="1" x14ac:dyDescent="0.2">
      <c r="A545" s="26" t="s">
        <v>461</v>
      </c>
      <c r="B545" s="27" t="s">
        <v>326</v>
      </c>
      <c r="C545" s="26">
        <v>5.58</v>
      </c>
      <c r="D545" s="99"/>
    </row>
    <row r="546" spans="1:4" ht="15.75" hidden="1" outlineLevel="1" x14ac:dyDescent="0.2">
      <c r="A546" s="26" t="s">
        <v>461</v>
      </c>
      <c r="B546" s="27" t="s">
        <v>330</v>
      </c>
      <c r="C546" s="26">
        <v>5.1180000000000003</v>
      </c>
      <c r="D546" s="99"/>
    </row>
    <row r="547" spans="1:4" ht="15.75" hidden="1" outlineLevel="1" x14ac:dyDescent="0.2">
      <c r="A547" s="26" t="s">
        <v>461</v>
      </c>
      <c r="B547" s="27" t="s">
        <v>328</v>
      </c>
      <c r="C547" s="26">
        <v>5.47</v>
      </c>
      <c r="D547" s="99"/>
    </row>
    <row r="548" spans="1:4" ht="15.75" hidden="1" outlineLevel="1" x14ac:dyDescent="0.2">
      <c r="A548" s="26" t="s">
        <v>461</v>
      </c>
      <c r="B548" s="27" t="s">
        <v>329</v>
      </c>
      <c r="C548" s="26">
        <v>5.48</v>
      </c>
      <c r="D548" s="99"/>
    </row>
    <row r="549" spans="1:4" ht="15.75" hidden="1" outlineLevel="1" x14ac:dyDescent="0.2">
      <c r="A549" s="26" t="s">
        <v>461</v>
      </c>
      <c r="B549" s="27" t="s">
        <v>419</v>
      </c>
      <c r="C549" s="26">
        <v>5.21</v>
      </c>
      <c r="D549" s="99"/>
    </row>
    <row r="550" spans="1:4" ht="15.75" hidden="1" outlineLevel="1" x14ac:dyDescent="0.2">
      <c r="A550" s="26" t="s">
        <v>461</v>
      </c>
      <c r="B550" s="27" t="s">
        <v>799</v>
      </c>
      <c r="C550" s="26">
        <v>5.53</v>
      </c>
      <c r="D550" s="99"/>
    </row>
    <row r="551" spans="1:4" ht="15.75" hidden="1" outlineLevel="1" x14ac:dyDescent="0.2">
      <c r="A551" s="26" t="s">
        <v>461</v>
      </c>
      <c r="B551" s="27" t="s">
        <v>11</v>
      </c>
      <c r="C551" s="26">
        <v>5.54</v>
      </c>
      <c r="D551" s="99"/>
    </row>
    <row r="552" spans="1:4" ht="15.75" hidden="1" outlineLevel="1" x14ac:dyDescent="0.2">
      <c r="A552" s="26" t="s">
        <v>461</v>
      </c>
      <c r="B552" s="27" t="s">
        <v>327</v>
      </c>
      <c r="C552" s="26">
        <v>5.58</v>
      </c>
      <c r="D552" s="99"/>
    </row>
    <row r="553" spans="1:4" ht="15.75" hidden="1" outlineLevel="1" x14ac:dyDescent="0.2">
      <c r="A553" s="26" t="s">
        <v>461</v>
      </c>
      <c r="B553" s="27" t="s">
        <v>331</v>
      </c>
      <c r="C553" s="26">
        <v>5.1180000000000003</v>
      </c>
      <c r="D553" s="99"/>
    </row>
    <row r="554" spans="1:4" ht="15.75" hidden="1" outlineLevel="1" x14ac:dyDescent="0.2">
      <c r="A554" s="26" t="s">
        <v>461</v>
      </c>
      <c r="B554" s="27" t="s">
        <v>944</v>
      </c>
      <c r="C554" s="26">
        <v>5.47</v>
      </c>
      <c r="D554" s="99"/>
    </row>
    <row r="555" spans="1:4" ht="15.75" hidden="1" outlineLevel="1" x14ac:dyDescent="0.2">
      <c r="A555" s="26" t="s">
        <v>461</v>
      </c>
      <c r="B555" s="27" t="s">
        <v>945</v>
      </c>
      <c r="C555" s="26">
        <v>5.48</v>
      </c>
      <c r="D555" s="99"/>
    </row>
    <row r="556" spans="1:4" ht="15.75" hidden="1" outlineLevel="1" x14ac:dyDescent="0.2">
      <c r="A556" s="26" t="s">
        <v>461</v>
      </c>
      <c r="B556" s="27" t="s">
        <v>1160</v>
      </c>
      <c r="C556" s="26">
        <v>5.63</v>
      </c>
      <c r="D556" s="99"/>
    </row>
    <row r="557" spans="1:4" ht="15.75" hidden="1" outlineLevel="1" x14ac:dyDescent="0.2">
      <c r="A557" s="26" t="s">
        <v>461</v>
      </c>
      <c r="B557" s="27" t="s">
        <v>604</v>
      </c>
      <c r="C557" s="26">
        <v>5.27</v>
      </c>
      <c r="D557" s="99"/>
    </row>
    <row r="558" spans="1:4" ht="15.75" hidden="1" outlineLevel="1" x14ac:dyDescent="0.2">
      <c r="A558" s="26" t="s">
        <v>461</v>
      </c>
      <c r="B558" s="27" t="s">
        <v>605</v>
      </c>
      <c r="C558" s="26">
        <v>5.28</v>
      </c>
      <c r="D558" s="99"/>
    </row>
    <row r="559" spans="1:4" ht="15.75" hidden="1" outlineLevel="1" x14ac:dyDescent="0.2">
      <c r="A559" s="26" t="s">
        <v>461</v>
      </c>
      <c r="B559" s="27" t="s">
        <v>464</v>
      </c>
      <c r="C559" s="26">
        <v>5.35</v>
      </c>
      <c r="D559" s="99"/>
    </row>
    <row r="560" spans="1:4" ht="15.75" hidden="1" outlineLevel="1" x14ac:dyDescent="0.2">
      <c r="A560" s="26" t="s">
        <v>461</v>
      </c>
      <c r="B560" s="27" t="s">
        <v>343</v>
      </c>
      <c r="C560" s="26">
        <v>5.1189999999999998</v>
      </c>
      <c r="D560" s="99"/>
    </row>
    <row r="561" spans="1:4" ht="15.75" hidden="1" outlineLevel="1" x14ac:dyDescent="0.2">
      <c r="A561" s="26" t="s">
        <v>461</v>
      </c>
      <c r="B561" s="27" t="s">
        <v>463</v>
      </c>
      <c r="C561" s="29">
        <v>5.12</v>
      </c>
      <c r="D561" s="99"/>
    </row>
    <row r="562" spans="1:4" ht="15.75" hidden="1" outlineLevel="1" x14ac:dyDescent="0.2">
      <c r="A562" s="26" t="s">
        <v>461</v>
      </c>
      <c r="B562" s="27" t="s">
        <v>99</v>
      </c>
      <c r="C562" s="26">
        <v>5.1210000000000004</v>
      </c>
      <c r="D562" s="99"/>
    </row>
    <row r="563" spans="1:4" ht="15.75" hidden="1" outlineLevel="1" x14ac:dyDescent="0.2">
      <c r="A563" s="26" t="s">
        <v>461</v>
      </c>
      <c r="B563" s="27" t="s">
        <v>606</v>
      </c>
      <c r="C563" s="26">
        <v>5.36</v>
      </c>
      <c r="D563" s="99"/>
    </row>
    <row r="564" spans="1:4" ht="15.75" hidden="1" outlineLevel="1" x14ac:dyDescent="0.2">
      <c r="A564" s="26" t="s">
        <v>461</v>
      </c>
      <c r="B564" s="27" t="s">
        <v>365</v>
      </c>
      <c r="C564" s="26">
        <v>5.1219999999999999</v>
      </c>
      <c r="D564" s="99"/>
    </row>
    <row r="565" spans="1:4" ht="15.75" hidden="1" outlineLevel="1" x14ac:dyDescent="0.2">
      <c r="A565" s="26" t="s">
        <v>461</v>
      </c>
      <c r="B565" s="27" t="s">
        <v>366</v>
      </c>
      <c r="C565" s="26">
        <v>5.1230000000000002</v>
      </c>
      <c r="D565" s="99"/>
    </row>
    <row r="566" spans="1:4" ht="15.75" hidden="1" outlineLevel="1" x14ac:dyDescent="0.2">
      <c r="A566" s="26" t="s">
        <v>461</v>
      </c>
      <c r="B566" s="27" t="s">
        <v>612</v>
      </c>
      <c r="C566" s="26">
        <v>5.1239999999999997</v>
      </c>
      <c r="D566" s="99"/>
    </row>
    <row r="567" spans="1:4" ht="15.75" hidden="1" outlineLevel="1" x14ac:dyDescent="0.2">
      <c r="A567" s="26" t="s">
        <v>461</v>
      </c>
      <c r="B567" s="27" t="s">
        <v>308</v>
      </c>
      <c r="C567" s="26">
        <v>5.125</v>
      </c>
      <c r="D567" s="99"/>
    </row>
    <row r="568" spans="1:4" ht="15.75" hidden="1" outlineLevel="1" x14ac:dyDescent="0.2">
      <c r="A568" s="26" t="s">
        <v>461</v>
      </c>
      <c r="B568" s="27" t="s">
        <v>368</v>
      </c>
      <c r="C568" s="26">
        <v>5.1260000000000003</v>
      </c>
      <c r="D568" s="99"/>
    </row>
    <row r="569" spans="1:4" ht="15.75" hidden="1" outlineLevel="1" x14ac:dyDescent="0.2">
      <c r="A569" s="26" t="s">
        <v>461</v>
      </c>
      <c r="B569" s="27" t="s">
        <v>737</v>
      </c>
      <c r="C569" s="26">
        <v>5.1269999999999998</v>
      </c>
      <c r="D569" s="99"/>
    </row>
    <row r="570" spans="1:4" ht="15.75" hidden="1" outlineLevel="1" x14ac:dyDescent="0.2">
      <c r="A570" s="26" t="s">
        <v>461</v>
      </c>
      <c r="B570" s="27" t="s">
        <v>309</v>
      </c>
      <c r="C570" s="28">
        <v>5.72</v>
      </c>
      <c r="D570" s="99"/>
    </row>
    <row r="571" spans="1:4" ht="15.75" hidden="1" outlineLevel="1" x14ac:dyDescent="0.2">
      <c r="A571" s="26" t="s">
        <v>461</v>
      </c>
      <c r="B571" s="27" t="s">
        <v>310</v>
      </c>
      <c r="C571" s="26">
        <v>5.1280000000000001</v>
      </c>
      <c r="D571" s="99"/>
    </row>
    <row r="572" spans="1:4" ht="15.75" hidden="1" outlineLevel="1" x14ac:dyDescent="0.2">
      <c r="A572" s="26" t="s">
        <v>461</v>
      </c>
      <c r="B572" s="27" t="s">
        <v>349</v>
      </c>
      <c r="C572" s="26">
        <v>5.1289999999999996</v>
      </c>
      <c r="D572" s="98" t="s">
        <v>935</v>
      </c>
    </row>
    <row r="573" spans="1:4" ht="15.75" hidden="1" outlineLevel="1" x14ac:dyDescent="0.2">
      <c r="A573" s="26" t="s">
        <v>461</v>
      </c>
      <c r="B573" s="27" t="s">
        <v>367</v>
      </c>
      <c r="C573" s="26">
        <v>5.1310000000000002</v>
      </c>
      <c r="D573" s="99"/>
    </row>
    <row r="574" spans="1:4" ht="15.75" hidden="1" outlineLevel="1" x14ac:dyDescent="0.2">
      <c r="A574" s="26" t="s">
        <v>461</v>
      </c>
      <c r="B574" s="27" t="s">
        <v>617</v>
      </c>
      <c r="C574" s="26">
        <v>5.1319999999999997</v>
      </c>
      <c r="D574" s="98" t="s">
        <v>935</v>
      </c>
    </row>
    <row r="575" spans="1:4" ht="15.75" hidden="1" outlineLevel="1" x14ac:dyDescent="0.2">
      <c r="A575" s="26" t="s">
        <v>461</v>
      </c>
      <c r="B575" s="27" t="s">
        <v>364</v>
      </c>
      <c r="C575" s="26">
        <v>5.133</v>
      </c>
      <c r="D575" s="98" t="s">
        <v>935</v>
      </c>
    </row>
    <row r="576" spans="1:4" ht="15.75" hidden="1" outlineLevel="1" x14ac:dyDescent="0.2">
      <c r="A576" s="26" t="s">
        <v>461</v>
      </c>
      <c r="B576" s="27" t="s">
        <v>458</v>
      </c>
      <c r="C576" s="26">
        <v>5.1340000000000003</v>
      </c>
      <c r="D576" s="98" t="s">
        <v>935</v>
      </c>
    </row>
    <row r="577" spans="1:4" ht="15.75" hidden="1" outlineLevel="1" x14ac:dyDescent="0.2">
      <c r="A577" s="26" t="s">
        <v>461</v>
      </c>
      <c r="B577" s="27" t="s">
        <v>436</v>
      </c>
      <c r="C577" s="29">
        <v>5.13</v>
      </c>
      <c r="D577" s="99"/>
    </row>
    <row r="578" spans="1:4" ht="15.75" hidden="1" outlineLevel="1" x14ac:dyDescent="0.2">
      <c r="A578" s="26" t="s">
        <v>461</v>
      </c>
      <c r="B578" s="27" t="s">
        <v>19</v>
      </c>
      <c r="C578" s="26">
        <v>5.47</v>
      </c>
      <c r="D578" s="99"/>
    </row>
    <row r="579" spans="1:4" ht="15.75" hidden="1" outlineLevel="1" x14ac:dyDescent="0.2">
      <c r="A579" s="26" t="s">
        <v>461</v>
      </c>
      <c r="B579" s="27" t="s">
        <v>30</v>
      </c>
      <c r="C579" s="26">
        <v>5.48</v>
      </c>
      <c r="D579" s="99"/>
    </row>
    <row r="580" spans="1:4" ht="15.75" collapsed="1" x14ac:dyDescent="0.2">
      <c r="A580" s="31" t="s">
        <v>461</v>
      </c>
      <c r="B580" s="27"/>
      <c r="C580" s="26"/>
      <c r="D580" s="99"/>
    </row>
    <row r="581" spans="1:4" ht="15.75" hidden="1" outlineLevel="1" x14ac:dyDescent="0.2">
      <c r="A581" s="26" t="s">
        <v>48</v>
      </c>
      <c r="B581" s="27" t="s">
        <v>651</v>
      </c>
      <c r="C581" s="26">
        <v>5.0999999999999996</v>
      </c>
      <c r="D581" s="99"/>
    </row>
    <row r="582" spans="1:4" ht="15.75" hidden="1" outlineLevel="1" x14ac:dyDescent="0.2">
      <c r="A582" s="26" t="s">
        <v>48</v>
      </c>
      <c r="B582" s="27" t="s">
        <v>0</v>
      </c>
      <c r="C582" s="26">
        <v>5.2</v>
      </c>
      <c r="D582" s="99"/>
    </row>
    <row r="583" spans="1:4" ht="15.75" hidden="1" outlineLevel="1" x14ac:dyDescent="0.2">
      <c r="A583" s="26" t="s">
        <v>48</v>
      </c>
      <c r="B583" s="27" t="s">
        <v>725</v>
      </c>
      <c r="C583" s="26">
        <v>5.9</v>
      </c>
      <c r="D583" s="98" t="s">
        <v>935</v>
      </c>
    </row>
    <row r="584" spans="1:4" ht="15.75" hidden="1" outlineLevel="1" x14ac:dyDescent="0.2">
      <c r="A584" s="26" t="s">
        <v>48</v>
      </c>
      <c r="B584" s="27" t="s">
        <v>726</v>
      </c>
      <c r="C584" s="26">
        <v>5.13</v>
      </c>
      <c r="D584" s="98" t="s">
        <v>935</v>
      </c>
    </row>
    <row r="585" spans="1:4" ht="15.75" hidden="1" outlineLevel="1" x14ac:dyDescent="0.2">
      <c r="A585" s="26" t="s">
        <v>48</v>
      </c>
      <c r="B585" s="27" t="s">
        <v>727</v>
      </c>
      <c r="C585" s="26">
        <v>5.16</v>
      </c>
      <c r="D585" s="98" t="s">
        <v>935</v>
      </c>
    </row>
    <row r="586" spans="1:4" ht="15.75" hidden="1" outlineLevel="1" x14ac:dyDescent="0.2">
      <c r="A586" s="26" t="s">
        <v>48</v>
      </c>
      <c r="B586" s="27" t="s">
        <v>728</v>
      </c>
      <c r="C586" s="26">
        <v>5.22</v>
      </c>
      <c r="D586" s="98"/>
    </row>
    <row r="587" spans="1:4" ht="15.75" hidden="1" outlineLevel="1" x14ac:dyDescent="0.2">
      <c r="A587" s="26" t="s">
        <v>48</v>
      </c>
      <c r="B587" s="27" t="s">
        <v>1</v>
      </c>
      <c r="C587" s="26">
        <v>5.26</v>
      </c>
      <c r="D587" s="99"/>
    </row>
    <row r="588" spans="1:4" ht="15.75" hidden="1" outlineLevel="1" x14ac:dyDescent="0.2">
      <c r="A588" s="26" t="s">
        <v>48</v>
      </c>
      <c r="B588" s="27" t="s">
        <v>916</v>
      </c>
      <c r="C588" s="26">
        <v>5.77</v>
      </c>
      <c r="D588" s="99"/>
    </row>
    <row r="589" spans="1:4" ht="15.75" hidden="1" outlineLevel="1" x14ac:dyDescent="0.2">
      <c r="A589" s="26" t="s">
        <v>48</v>
      </c>
      <c r="B589" s="27" t="s">
        <v>604</v>
      </c>
      <c r="C589" s="26">
        <v>5.27</v>
      </c>
      <c r="D589" s="99"/>
    </row>
    <row r="590" spans="1:4" ht="15.75" hidden="1" outlineLevel="1" x14ac:dyDescent="0.2">
      <c r="A590" s="26" t="s">
        <v>48</v>
      </c>
      <c r="B590" s="27" t="s">
        <v>605</v>
      </c>
      <c r="C590" s="26">
        <v>5.28</v>
      </c>
      <c r="D590" s="98" t="s">
        <v>935</v>
      </c>
    </row>
    <row r="591" spans="1:4" ht="15.75" hidden="1" outlineLevel="1" x14ac:dyDescent="0.2">
      <c r="A591" s="26" t="s">
        <v>48</v>
      </c>
      <c r="B591" s="27" t="s">
        <v>9</v>
      </c>
      <c r="C591" s="26">
        <v>5.31</v>
      </c>
      <c r="D591" s="99"/>
    </row>
    <row r="592" spans="1:4" ht="15.75" hidden="1" outlineLevel="1" x14ac:dyDescent="0.2">
      <c r="A592" s="26" t="s">
        <v>48</v>
      </c>
      <c r="B592" s="27" t="s">
        <v>606</v>
      </c>
      <c r="C592" s="26">
        <v>5.36</v>
      </c>
      <c r="D592" s="99"/>
    </row>
    <row r="593" spans="1:4" ht="15.75" hidden="1" outlineLevel="1" x14ac:dyDescent="0.2">
      <c r="A593" s="26" t="s">
        <v>48</v>
      </c>
      <c r="B593" s="27" t="s">
        <v>297</v>
      </c>
      <c r="C593" s="26">
        <v>5.78</v>
      </c>
      <c r="D593" s="99"/>
    </row>
    <row r="594" spans="1:4" ht="15.75" hidden="1" outlineLevel="1" x14ac:dyDescent="0.2">
      <c r="A594" s="26" t="s">
        <v>48</v>
      </c>
      <c r="B594" s="27" t="s">
        <v>592</v>
      </c>
      <c r="C594" s="26">
        <v>5.79</v>
      </c>
      <c r="D594" s="98" t="s">
        <v>935</v>
      </c>
    </row>
    <row r="595" spans="1:4" ht="15.75" hidden="1" outlineLevel="1" x14ac:dyDescent="0.2">
      <c r="A595" s="26" t="s">
        <v>48</v>
      </c>
      <c r="B595" s="27" t="s">
        <v>732</v>
      </c>
      <c r="C595" s="26">
        <v>5.41</v>
      </c>
      <c r="D595" s="99"/>
    </row>
    <row r="596" spans="1:4" ht="15.75" hidden="1" outlineLevel="1" x14ac:dyDescent="0.2">
      <c r="A596" s="26" t="s">
        <v>48</v>
      </c>
      <c r="B596" s="27" t="s">
        <v>6</v>
      </c>
      <c r="C596" s="26">
        <v>5.49</v>
      </c>
      <c r="D596" s="99"/>
    </row>
    <row r="597" spans="1:4" ht="15.75" hidden="1" outlineLevel="1" x14ac:dyDescent="0.2">
      <c r="A597" s="26" t="s">
        <v>48</v>
      </c>
      <c r="B597" s="27" t="s">
        <v>8</v>
      </c>
      <c r="C597" s="26">
        <v>5.51</v>
      </c>
      <c r="D597" s="99"/>
    </row>
    <row r="598" spans="1:4" ht="15.75" hidden="1" outlineLevel="1" x14ac:dyDescent="0.2">
      <c r="A598" s="26" t="s">
        <v>48</v>
      </c>
      <c r="B598" s="27" t="s">
        <v>777</v>
      </c>
      <c r="C598" s="26">
        <v>5.52</v>
      </c>
      <c r="D598" s="99"/>
    </row>
    <row r="599" spans="1:4" ht="15.75" hidden="1" outlineLevel="1" x14ac:dyDescent="0.2">
      <c r="A599" s="26" t="s">
        <v>48</v>
      </c>
      <c r="B599" s="27" t="s">
        <v>396</v>
      </c>
      <c r="C599" s="26">
        <v>5.53</v>
      </c>
      <c r="D599" s="99"/>
    </row>
    <row r="600" spans="1:4" ht="15.75" hidden="1" outlineLevel="1" x14ac:dyDescent="0.2">
      <c r="A600" s="26" t="s">
        <v>48</v>
      </c>
      <c r="B600" s="27" t="s">
        <v>13</v>
      </c>
      <c r="C600" s="26">
        <v>5.69</v>
      </c>
      <c r="D600" s="99"/>
    </row>
    <row r="601" spans="1:4" ht="15.75" hidden="1" outlineLevel="1" x14ac:dyDescent="0.2">
      <c r="A601" s="26" t="s">
        <v>48</v>
      </c>
      <c r="B601" s="27" t="s">
        <v>440</v>
      </c>
      <c r="C601" s="26">
        <v>5.71</v>
      </c>
      <c r="D601" s="99"/>
    </row>
    <row r="602" spans="1:4" ht="15.75" hidden="1" outlineLevel="1" x14ac:dyDescent="0.2">
      <c r="A602" s="26" t="s">
        <v>48</v>
      </c>
      <c r="B602" s="27" t="s">
        <v>14</v>
      </c>
      <c r="C602" s="28">
        <v>5.7</v>
      </c>
      <c r="D602" s="99"/>
    </row>
    <row r="603" spans="1:4" ht="15.75" hidden="1" outlineLevel="1" x14ac:dyDescent="0.2">
      <c r="A603" s="26" t="s">
        <v>48</v>
      </c>
      <c r="B603" s="27" t="s">
        <v>282</v>
      </c>
      <c r="C603" s="28">
        <v>5.8</v>
      </c>
      <c r="D603" s="98" t="s">
        <v>935</v>
      </c>
    </row>
    <row r="604" spans="1:4" ht="15.75" hidden="1" outlineLevel="1" x14ac:dyDescent="0.2">
      <c r="A604" s="26" t="s">
        <v>48</v>
      </c>
      <c r="B604" s="27" t="s">
        <v>309</v>
      </c>
      <c r="C604" s="28">
        <v>5.72</v>
      </c>
      <c r="D604" s="98" t="s">
        <v>935</v>
      </c>
    </row>
    <row r="605" spans="1:4" ht="15.75" hidden="1" outlineLevel="1" x14ac:dyDescent="0.2">
      <c r="A605" s="26" t="s">
        <v>48</v>
      </c>
      <c r="B605" s="27" t="s">
        <v>673</v>
      </c>
      <c r="C605" s="26">
        <v>5.73</v>
      </c>
      <c r="D605" s="98" t="s">
        <v>935</v>
      </c>
    </row>
    <row r="606" spans="1:4" ht="15.75" hidden="1" outlineLevel="1" x14ac:dyDescent="0.2">
      <c r="A606" s="26" t="s">
        <v>48</v>
      </c>
      <c r="B606" s="27" t="s">
        <v>621</v>
      </c>
      <c r="C606" s="26">
        <v>5.74</v>
      </c>
      <c r="D606" s="99"/>
    </row>
    <row r="607" spans="1:4" ht="15.75" hidden="1" outlineLevel="1" x14ac:dyDescent="0.2">
      <c r="A607" s="26" t="s">
        <v>48</v>
      </c>
      <c r="B607" s="27" t="s">
        <v>421</v>
      </c>
      <c r="C607" s="26">
        <v>5.75</v>
      </c>
      <c r="D607" s="99"/>
    </row>
    <row r="608" spans="1:4" ht="15.75" hidden="1" outlineLevel="1" x14ac:dyDescent="0.2">
      <c r="A608" s="26" t="s">
        <v>48</v>
      </c>
      <c r="B608" s="27" t="s">
        <v>925</v>
      </c>
      <c r="C608" s="26">
        <v>5.76</v>
      </c>
      <c r="D608" s="99"/>
    </row>
    <row r="609" spans="1:4" ht="15.75" hidden="1" outlineLevel="1" x14ac:dyDescent="0.2">
      <c r="A609" s="26" t="s">
        <v>48</v>
      </c>
      <c r="B609" s="27" t="s">
        <v>20</v>
      </c>
      <c r="C609" s="26">
        <v>5.81</v>
      </c>
      <c r="D609" s="98" t="s">
        <v>935</v>
      </c>
    </row>
    <row r="610" spans="1:4" ht="15.75" hidden="1" outlineLevel="1" x14ac:dyDescent="0.2">
      <c r="A610" s="26" t="s">
        <v>48</v>
      </c>
      <c r="B610" s="27" t="s">
        <v>768</v>
      </c>
      <c r="C610" s="26">
        <v>5.82</v>
      </c>
      <c r="D610" s="98" t="s">
        <v>935</v>
      </c>
    </row>
    <row r="611" spans="1:4" ht="15.75" hidden="1" outlineLevel="1" x14ac:dyDescent="0.2">
      <c r="A611" s="26" t="s">
        <v>48</v>
      </c>
      <c r="B611" s="27" t="s">
        <v>658</v>
      </c>
      <c r="C611" s="26">
        <v>5.83</v>
      </c>
      <c r="D611" s="98" t="s">
        <v>935</v>
      </c>
    </row>
    <row r="612" spans="1:4" ht="15.75" hidden="1" outlineLevel="1" x14ac:dyDescent="0.2">
      <c r="A612" s="26" t="s">
        <v>48</v>
      </c>
      <c r="B612" s="27" t="s">
        <v>659</v>
      </c>
      <c r="C612" s="26">
        <v>5.84</v>
      </c>
      <c r="D612" s="99"/>
    </row>
    <row r="613" spans="1:4" ht="15.75" hidden="1" outlineLevel="1" x14ac:dyDescent="0.2">
      <c r="A613" s="26" t="s">
        <v>48</v>
      </c>
      <c r="B613" s="27" t="s">
        <v>850</v>
      </c>
      <c r="C613" s="26">
        <v>5.85</v>
      </c>
      <c r="D613" s="98" t="s">
        <v>935</v>
      </c>
    </row>
    <row r="614" spans="1:4" ht="15.75" hidden="1" outlineLevel="1" x14ac:dyDescent="0.2">
      <c r="A614" s="26" t="s">
        <v>48</v>
      </c>
      <c r="B614" s="27" t="s">
        <v>420</v>
      </c>
      <c r="C614" s="26">
        <v>5.86</v>
      </c>
      <c r="D614" s="98" t="s">
        <v>935</v>
      </c>
    </row>
    <row r="615" spans="1:4" ht="15.75" hidden="1" outlineLevel="1" x14ac:dyDescent="0.2">
      <c r="A615" s="26" t="s">
        <v>48</v>
      </c>
      <c r="B615" s="27" t="s">
        <v>21</v>
      </c>
      <c r="C615" s="26">
        <v>5.88</v>
      </c>
      <c r="D615" s="98" t="s">
        <v>935</v>
      </c>
    </row>
    <row r="616" spans="1:4" ht="15.75" hidden="1" outlineLevel="1" x14ac:dyDescent="0.2">
      <c r="A616" s="26" t="s">
        <v>48</v>
      </c>
      <c r="B616" s="27" t="s">
        <v>674</v>
      </c>
      <c r="C616" s="26">
        <v>5.87</v>
      </c>
      <c r="D616" s="99"/>
    </row>
    <row r="617" spans="1:4" ht="15.75" hidden="1" outlineLevel="1" x14ac:dyDescent="0.2">
      <c r="A617" s="26" t="s">
        <v>48</v>
      </c>
      <c r="B617" s="27" t="s">
        <v>917</v>
      </c>
      <c r="C617" s="26">
        <v>5.109</v>
      </c>
      <c r="D617" s="99"/>
    </row>
    <row r="618" spans="1:4" ht="15.75" hidden="1" outlineLevel="1" x14ac:dyDescent="0.2">
      <c r="A618" s="26" t="s">
        <v>48</v>
      </c>
      <c r="B618" s="27" t="s">
        <v>731</v>
      </c>
      <c r="C618" s="29">
        <v>5.1100000000000003</v>
      </c>
      <c r="D618" s="98" t="s">
        <v>935</v>
      </c>
    </row>
    <row r="619" spans="1:4" ht="15.75" hidden="1" outlineLevel="1" x14ac:dyDescent="0.2">
      <c r="A619" s="26" t="s">
        <v>48</v>
      </c>
      <c r="B619" s="27" t="s">
        <v>372</v>
      </c>
      <c r="C619" s="26">
        <v>5.1109999999999998</v>
      </c>
      <c r="D619" s="99"/>
    </row>
    <row r="620" spans="1:4" ht="15.75" hidden="1" outlineLevel="1" x14ac:dyDescent="0.2">
      <c r="A620" s="26" t="s">
        <v>48</v>
      </c>
      <c r="B620" s="27" t="s">
        <v>16</v>
      </c>
      <c r="C620" s="26">
        <v>5.1120000000000001</v>
      </c>
      <c r="D620" s="99"/>
    </row>
    <row r="621" spans="1:4" ht="15.75" hidden="1" outlineLevel="1" x14ac:dyDescent="0.2">
      <c r="A621" s="26" t="s">
        <v>48</v>
      </c>
      <c r="B621" s="27" t="s">
        <v>475</v>
      </c>
      <c r="C621" s="26">
        <v>5.1130000000000004</v>
      </c>
      <c r="D621" s="99"/>
    </row>
    <row r="622" spans="1:4" ht="15.75" hidden="1" outlineLevel="1" x14ac:dyDescent="0.2">
      <c r="A622" s="26" t="s">
        <v>48</v>
      </c>
      <c r="B622" s="27" t="s">
        <v>622</v>
      </c>
      <c r="C622" s="26">
        <v>5.99</v>
      </c>
      <c r="D622" s="98" t="s">
        <v>935</v>
      </c>
    </row>
    <row r="623" spans="1:4" ht="15.75" hidden="1" outlineLevel="1" x14ac:dyDescent="0.2">
      <c r="A623" s="26" t="s">
        <v>48</v>
      </c>
      <c r="B623" s="27" t="s">
        <v>948</v>
      </c>
      <c r="C623" s="26">
        <v>5.58</v>
      </c>
      <c r="D623" s="98"/>
    </row>
    <row r="624" spans="1:4" ht="15.75" hidden="1" outlineLevel="1" x14ac:dyDescent="0.2">
      <c r="A624" s="26" t="s">
        <v>48</v>
      </c>
      <c r="B624" s="27" t="s">
        <v>11</v>
      </c>
      <c r="C624" s="26">
        <v>5.54</v>
      </c>
      <c r="D624" s="99"/>
    </row>
    <row r="625" spans="1:4" ht="15.75" hidden="1" outlineLevel="1" x14ac:dyDescent="0.2">
      <c r="A625" s="26" t="s">
        <v>48</v>
      </c>
      <c r="B625" s="27" t="s">
        <v>729</v>
      </c>
      <c r="C625" s="26">
        <v>5.56</v>
      </c>
      <c r="D625" s="99"/>
    </row>
    <row r="626" spans="1:4" ht="15.75" hidden="1" outlineLevel="1" x14ac:dyDescent="0.2">
      <c r="A626" s="26" t="s">
        <v>48</v>
      </c>
      <c r="B626" s="27" t="s">
        <v>1153</v>
      </c>
      <c r="C626" s="26">
        <v>5.63</v>
      </c>
      <c r="D626" s="99"/>
    </row>
    <row r="627" spans="1:4" ht="15.75" hidden="1" outlineLevel="1" x14ac:dyDescent="0.2">
      <c r="A627" s="26" t="s">
        <v>48</v>
      </c>
      <c r="B627" s="27" t="s">
        <v>787</v>
      </c>
      <c r="C627" s="26">
        <v>5.64</v>
      </c>
      <c r="D627" s="99"/>
    </row>
    <row r="628" spans="1:4" ht="15.75" hidden="1" outlineLevel="1" x14ac:dyDescent="0.2">
      <c r="A628" s="26" t="s">
        <v>48</v>
      </c>
      <c r="B628" s="27" t="s">
        <v>1154</v>
      </c>
      <c r="C628" s="26">
        <v>5.65</v>
      </c>
      <c r="D628" s="99"/>
    </row>
    <row r="629" spans="1:4" ht="15.75" hidden="1" outlineLevel="1" x14ac:dyDescent="0.2">
      <c r="A629" s="26" t="s">
        <v>48</v>
      </c>
      <c r="B629" s="27" t="s">
        <v>788</v>
      </c>
      <c r="C629" s="26">
        <v>5.66</v>
      </c>
      <c r="D629" s="99"/>
    </row>
    <row r="630" spans="1:4" ht="15.75" hidden="1" outlineLevel="1" x14ac:dyDescent="0.2">
      <c r="A630" s="26" t="s">
        <v>48</v>
      </c>
      <c r="B630" s="27" t="s">
        <v>669</v>
      </c>
      <c r="C630" s="26">
        <v>5.89</v>
      </c>
      <c r="D630" s="98" t="s">
        <v>935</v>
      </c>
    </row>
    <row r="631" spans="1:4" ht="15.75" hidden="1" outlineLevel="1" x14ac:dyDescent="0.2">
      <c r="A631" s="26" t="s">
        <v>48</v>
      </c>
      <c r="B631" s="27" t="s">
        <v>26</v>
      </c>
      <c r="C631" s="26">
        <v>5.68</v>
      </c>
      <c r="D631" s="99"/>
    </row>
    <row r="632" spans="1:4" ht="15.75" hidden="1" outlineLevel="1" x14ac:dyDescent="0.2">
      <c r="A632" s="26" t="s">
        <v>48</v>
      </c>
      <c r="B632" s="27" t="s">
        <v>19</v>
      </c>
      <c r="C632" s="26">
        <v>5.47</v>
      </c>
      <c r="D632" s="99"/>
    </row>
    <row r="633" spans="1:4" ht="15.75" hidden="1" outlineLevel="1" x14ac:dyDescent="0.2">
      <c r="A633" s="26" t="s">
        <v>48</v>
      </c>
      <c r="B633" s="27" t="s">
        <v>30</v>
      </c>
      <c r="C633" s="26">
        <v>5.48</v>
      </c>
      <c r="D633" s="99"/>
    </row>
    <row r="634" spans="1:4" ht="15.75" collapsed="1" x14ac:dyDescent="0.2">
      <c r="A634" s="31" t="s">
        <v>48</v>
      </c>
      <c r="B634" s="27"/>
      <c r="C634" s="26"/>
      <c r="D634" s="99"/>
    </row>
    <row r="635" spans="1:4" ht="15.75" hidden="1" outlineLevel="1" x14ac:dyDescent="0.2">
      <c r="A635" s="26" t="s">
        <v>49</v>
      </c>
      <c r="B635" s="27" t="s">
        <v>651</v>
      </c>
      <c r="C635" s="26">
        <v>5.0999999999999996</v>
      </c>
      <c r="D635" s="99"/>
    </row>
    <row r="636" spans="1:4" ht="15.75" hidden="1" outlineLevel="1" x14ac:dyDescent="0.2">
      <c r="A636" s="26" t="s">
        <v>49</v>
      </c>
      <c r="B636" s="27" t="s">
        <v>0</v>
      </c>
      <c r="C636" s="26">
        <v>5.2</v>
      </c>
      <c r="D636" s="99"/>
    </row>
    <row r="637" spans="1:4" ht="15.75" hidden="1" outlineLevel="1" x14ac:dyDescent="0.2">
      <c r="A637" s="26" t="s">
        <v>49</v>
      </c>
      <c r="B637" s="27" t="s">
        <v>724</v>
      </c>
      <c r="C637" s="26">
        <v>5.3</v>
      </c>
      <c r="D637" s="99"/>
    </row>
    <row r="638" spans="1:4" ht="15.75" hidden="1" outlineLevel="1" x14ac:dyDescent="0.2">
      <c r="A638" s="26" t="s">
        <v>49</v>
      </c>
      <c r="B638" s="27" t="s">
        <v>2</v>
      </c>
      <c r="C638" s="26">
        <v>5.6</v>
      </c>
      <c r="D638" s="99"/>
    </row>
    <row r="639" spans="1:4" ht="15.75" hidden="1" outlineLevel="1" x14ac:dyDescent="0.2">
      <c r="A639" s="26" t="s">
        <v>49</v>
      </c>
      <c r="B639" s="27" t="s">
        <v>730</v>
      </c>
      <c r="C639" s="28">
        <v>5.0999999999999996</v>
      </c>
      <c r="D639" s="99"/>
    </row>
    <row r="640" spans="1:4" ht="15.75" hidden="1" outlineLevel="1" x14ac:dyDescent="0.2">
      <c r="A640" s="26" t="s">
        <v>49</v>
      </c>
      <c r="B640" s="27" t="s">
        <v>3</v>
      </c>
      <c r="C640" s="26">
        <v>5.14</v>
      </c>
      <c r="D640" s="99"/>
    </row>
    <row r="641" spans="1:4" ht="15.75" hidden="1" outlineLevel="1" x14ac:dyDescent="0.2">
      <c r="A641" s="26" t="s">
        <v>49</v>
      </c>
      <c r="B641" s="27" t="s">
        <v>29</v>
      </c>
      <c r="C641" s="26">
        <v>5.19</v>
      </c>
      <c r="D641" s="99"/>
    </row>
    <row r="642" spans="1:4" ht="15.75" hidden="1" outlineLevel="1" x14ac:dyDescent="0.2">
      <c r="A642" s="26" t="s">
        <v>49</v>
      </c>
      <c r="B642" s="27" t="s">
        <v>28</v>
      </c>
      <c r="C642" s="26">
        <v>5.24</v>
      </c>
      <c r="D642" s="99"/>
    </row>
    <row r="643" spans="1:4" ht="15.75" hidden="1" outlineLevel="1" x14ac:dyDescent="0.2">
      <c r="A643" s="26" t="s">
        <v>49</v>
      </c>
      <c r="B643" s="27" t="s">
        <v>1</v>
      </c>
      <c r="C643" s="26">
        <v>5.26</v>
      </c>
      <c r="D643" s="99"/>
    </row>
    <row r="644" spans="1:4" ht="15.75" hidden="1" outlineLevel="1" x14ac:dyDescent="0.2">
      <c r="A644" s="26" t="s">
        <v>49</v>
      </c>
      <c r="B644" s="27" t="s">
        <v>604</v>
      </c>
      <c r="C644" s="26">
        <v>5.27</v>
      </c>
      <c r="D644" s="99"/>
    </row>
    <row r="645" spans="1:4" ht="15.75" hidden="1" outlineLevel="1" x14ac:dyDescent="0.2">
      <c r="A645" s="26" t="s">
        <v>49</v>
      </c>
      <c r="B645" s="27" t="s">
        <v>605</v>
      </c>
      <c r="C645" s="26">
        <v>5.28</v>
      </c>
      <c r="D645" s="99"/>
    </row>
    <row r="646" spans="1:4" ht="15.75" hidden="1" outlineLevel="1" x14ac:dyDescent="0.2">
      <c r="A646" s="26" t="s">
        <v>49</v>
      </c>
      <c r="B646" s="27" t="s">
        <v>606</v>
      </c>
      <c r="C646" s="26">
        <v>5.36</v>
      </c>
      <c r="D646" s="99"/>
    </row>
    <row r="647" spans="1:4" ht="15.75" hidden="1" outlineLevel="1" x14ac:dyDescent="0.2">
      <c r="A647" s="26" t="s">
        <v>49</v>
      </c>
      <c r="B647" s="27" t="s">
        <v>10</v>
      </c>
      <c r="C647" s="26">
        <v>5.33</v>
      </c>
      <c r="D647" s="99"/>
    </row>
    <row r="648" spans="1:4" ht="15.75" hidden="1" outlineLevel="1" x14ac:dyDescent="0.2">
      <c r="A648" s="26" t="s">
        <v>49</v>
      </c>
      <c r="B648" s="27" t="s">
        <v>12</v>
      </c>
      <c r="C648" s="26">
        <v>5.37</v>
      </c>
      <c r="D648" s="99"/>
    </row>
    <row r="649" spans="1:4" ht="15.75" hidden="1" outlineLevel="1" x14ac:dyDescent="0.2">
      <c r="A649" s="26" t="s">
        <v>49</v>
      </c>
      <c r="B649" s="27" t="s">
        <v>6</v>
      </c>
      <c r="C649" s="26">
        <v>5.49</v>
      </c>
      <c r="D649" s="99"/>
    </row>
    <row r="650" spans="1:4" ht="15.75" hidden="1" outlineLevel="1" x14ac:dyDescent="0.2">
      <c r="A650" s="26" t="s">
        <v>49</v>
      </c>
      <c r="B650" s="27" t="s">
        <v>8</v>
      </c>
      <c r="C650" s="26">
        <v>5.51</v>
      </c>
      <c r="D650" s="99"/>
    </row>
    <row r="651" spans="1:4" ht="15.75" hidden="1" outlineLevel="1" x14ac:dyDescent="0.2">
      <c r="A651" s="26" t="s">
        <v>49</v>
      </c>
      <c r="B651" s="27" t="s">
        <v>7</v>
      </c>
      <c r="C651" s="26">
        <v>5.52</v>
      </c>
      <c r="D651" s="99"/>
    </row>
    <row r="652" spans="1:4" ht="15.75" hidden="1" outlineLevel="1" x14ac:dyDescent="0.2">
      <c r="A652" s="26" t="s">
        <v>49</v>
      </c>
      <c r="B652" s="27" t="s">
        <v>396</v>
      </c>
      <c r="C652" s="26">
        <v>5.53</v>
      </c>
      <c r="D652" s="99"/>
    </row>
    <row r="653" spans="1:4" ht="15.75" hidden="1" outlineLevel="1" x14ac:dyDescent="0.2">
      <c r="A653" s="26" t="s">
        <v>49</v>
      </c>
      <c r="B653" s="27" t="s">
        <v>13</v>
      </c>
      <c r="C653" s="26">
        <v>5.69</v>
      </c>
      <c r="D653" s="99"/>
    </row>
    <row r="654" spans="1:4" ht="15.75" hidden="1" outlineLevel="1" x14ac:dyDescent="0.2">
      <c r="A654" s="26" t="s">
        <v>49</v>
      </c>
      <c r="B654" s="27" t="s">
        <v>14</v>
      </c>
      <c r="C654" s="28">
        <v>5.7</v>
      </c>
      <c r="D654" s="99"/>
    </row>
    <row r="655" spans="1:4" ht="15.75" hidden="1" outlineLevel="1" x14ac:dyDescent="0.2">
      <c r="A655" s="26" t="s">
        <v>49</v>
      </c>
      <c r="B655" s="27" t="s">
        <v>621</v>
      </c>
      <c r="C655" s="26">
        <v>5.74</v>
      </c>
      <c r="D655" s="99"/>
    </row>
    <row r="656" spans="1:4" ht="15.75" hidden="1" outlineLevel="1" x14ac:dyDescent="0.2">
      <c r="A656" s="26" t="s">
        <v>49</v>
      </c>
      <c r="B656" s="27" t="s">
        <v>917</v>
      </c>
      <c r="C656" s="26">
        <v>5.109</v>
      </c>
      <c r="D656" s="99"/>
    </row>
    <row r="657" spans="1:4" ht="15.75" hidden="1" outlineLevel="1" x14ac:dyDescent="0.2">
      <c r="A657" s="26" t="s">
        <v>49</v>
      </c>
      <c r="B657" s="27" t="s">
        <v>372</v>
      </c>
      <c r="C657" s="26">
        <v>5.1109999999999998</v>
      </c>
      <c r="D657" s="99"/>
    </row>
    <row r="658" spans="1:4" ht="15.75" hidden="1" outlineLevel="1" x14ac:dyDescent="0.2">
      <c r="A658" s="26" t="s">
        <v>49</v>
      </c>
      <c r="B658" s="27" t="s">
        <v>16</v>
      </c>
      <c r="C658" s="26">
        <v>5.1120000000000001</v>
      </c>
      <c r="D658" s="99"/>
    </row>
    <row r="659" spans="1:4" ht="15.75" hidden="1" outlineLevel="1" x14ac:dyDescent="0.2">
      <c r="A659" s="26" t="s">
        <v>49</v>
      </c>
      <c r="B659" s="27" t="s">
        <v>773</v>
      </c>
      <c r="C659" s="26">
        <v>5.58</v>
      </c>
      <c r="D659" s="99"/>
    </row>
    <row r="660" spans="1:4" ht="15.75" hidden="1" outlineLevel="1" x14ac:dyDescent="0.2">
      <c r="A660" s="26" t="s">
        <v>49</v>
      </c>
      <c r="B660" s="27" t="s">
        <v>11</v>
      </c>
      <c r="C660" s="26">
        <v>5.54</v>
      </c>
      <c r="D660" s="99"/>
    </row>
    <row r="661" spans="1:4" ht="15.75" hidden="1" outlineLevel="1" x14ac:dyDescent="0.2">
      <c r="A661" s="26" t="s">
        <v>49</v>
      </c>
      <c r="B661" s="27" t="s">
        <v>15</v>
      </c>
      <c r="C661" s="26">
        <v>5.55</v>
      </c>
      <c r="D661" s="99"/>
    </row>
    <row r="662" spans="1:4" ht="15.75" hidden="1" outlineLevel="1" x14ac:dyDescent="0.2">
      <c r="A662" s="26" t="s">
        <v>49</v>
      </c>
      <c r="B662" s="27" t="s">
        <v>1153</v>
      </c>
      <c r="C662" s="26">
        <v>5.63</v>
      </c>
      <c r="D662" s="99"/>
    </row>
    <row r="663" spans="1:4" ht="15.75" hidden="1" outlineLevel="1" x14ac:dyDescent="0.2">
      <c r="A663" s="26" t="s">
        <v>49</v>
      </c>
      <c r="B663" s="27" t="s">
        <v>19</v>
      </c>
      <c r="C663" s="26">
        <v>5.47</v>
      </c>
      <c r="D663" s="99"/>
    </row>
    <row r="664" spans="1:4" ht="15.75" hidden="1" outlineLevel="1" x14ac:dyDescent="0.2">
      <c r="A664" s="26" t="s">
        <v>49</v>
      </c>
      <c r="B664" s="27" t="s">
        <v>30</v>
      </c>
      <c r="C664" s="26">
        <v>5.48</v>
      </c>
      <c r="D664" s="99"/>
    </row>
    <row r="665" spans="1:4" ht="15.75" collapsed="1" x14ac:dyDescent="0.2">
      <c r="A665" s="31" t="s">
        <v>49</v>
      </c>
      <c r="B665" s="27"/>
      <c r="C665" s="26"/>
      <c r="D665" s="99"/>
    </row>
    <row r="666" spans="1:4" ht="15.75" hidden="1" outlineLevel="1" x14ac:dyDescent="0.2">
      <c r="A666" s="26" t="s">
        <v>50</v>
      </c>
      <c r="B666" s="27" t="s">
        <v>651</v>
      </c>
      <c r="C666" s="26">
        <v>5.0999999999999996</v>
      </c>
      <c r="D666" s="99"/>
    </row>
    <row r="667" spans="1:4" ht="15.75" hidden="1" outlineLevel="1" x14ac:dyDescent="0.2">
      <c r="A667" s="26" t="s">
        <v>50</v>
      </c>
      <c r="B667" s="27" t="s">
        <v>0</v>
      </c>
      <c r="C667" s="26">
        <v>5.2</v>
      </c>
      <c r="D667" s="99"/>
    </row>
    <row r="668" spans="1:4" ht="15.75" hidden="1" outlineLevel="1" x14ac:dyDescent="0.2">
      <c r="A668" s="26" t="s">
        <v>50</v>
      </c>
      <c r="B668" s="27" t="s">
        <v>723</v>
      </c>
      <c r="C668" s="26">
        <v>5.4</v>
      </c>
      <c r="D668" s="99"/>
    </row>
    <row r="669" spans="1:4" ht="15.75" hidden="1" outlineLevel="1" x14ac:dyDescent="0.2">
      <c r="A669" s="26" t="s">
        <v>50</v>
      </c>
      <c r="B669" s="27" t="s">
        <v>741</v>
      </c>
      <c r="C669" s="26">
        <v>5.7</v>
      </c>
      <c r="D669" s="99"/>
    </row>
    <row r="670" spans="1:4" ht="15.75" hidden="1" outlineLevel="1" x14ac:dyDescent="0.2">
      <c r="A670" s="26" t="s">
        <v>50</v>
      </c>
      <c r="B670" s="27" t="s">
        <v>742</v>
      </c>
      <c r="C670" s="26">
        <v>5.1100000000000003</v>
      </c>
      <c r="D670" s="99"/>
    </row>
    <row r="671" spans="1:4" ht="15.75" hidden="1" outlineLevel="1" x14ac:dyDescent="0.2">
      <c r="A671" s="26" t="s">
        <v>50</v>
      </c>
      <c r="B671" s="27" t="s">
        <v>1</v>
      </c>
      <c r="C671" s="26">
        <v>5.26</v>
      </c>
      <c r="D671" s="99"/>
    </row>
    <row r="672" spans="1:4" ht="15.75" hidden="1" outlineLevel="1" x14ac:dyDescent="0.2">
      <c r="A672" s="26" t="s">
        <v>50</v>
      </c>
      <c r="B672" s="27" t="s">
        <v>625</v>
      </c>
      <c r="C672" s="26">
        <v>5.43</v>
      </c>
      <c r="D672" s="99"/>
    </row>
    <row r="673" spans="1:4" ht="15.75" hidden="1" outlineLevel="1" x14ac:dyDescent="0.2">
      <c r="A673" s="26" t="s">
        <v>50</v>
      </c>
      <c r="B673" s="27" t="s">
        <v>604</v>
      </c>
      <c r="C673" s="26">
        <v>5.27</v>
      </c>
      <c r="D673" s="99"/>
    </row>
    <row r="674" spans="1:4" ht="15.75" hidden="1" outlineLevel="1" x14ac:dyDescent="0.2">
      <c r="A674" s="26" t="s">
        <v>50</v>
      </c>
      <c r="B674" s="27" t="s">
        <v>605</v>
      </c>
      <c r="C674" s="26">
        <v>5.28</v>
      </c>
      <c r="D674" s="99"/>
    </row>
    <row r="675" spans="1:4" ht="15.75" hidden="1" outlineLevel="1" x14ac:dyDescent="0.2">
      <c r="A675" s="26" t="s">
        <v>50</v>
      </c>
      <c r="B675" s="27" t="s">
        <v>606</v>
      </c>
      <c r="C675" s="26">
        <v>5.36</v>
      </c>
      <c r="D675" s="99"/>
    </row>
    <row r="676" spans="1:4" ht="15.75" hidden="1" outlineLevel="1" x14ac:dyDescent="0.2">
      <c r="A676" s="26" t="s">
        <v>50</v>
      </c>
      <c r="B676" s="27" t="s">
        <v>772</v>
      </c>
      <c r="C676" s="28">
        <v>5.5</v>
      </c>
      <c r="D676" s="99"/>
    </row>
    <row r="677" spans="1:4" ht="15.75" hidden="1" outlineLevel="1" x14ac:dyDescent="0.2">
      <c r="A677" s="26" t="s">
        <v>50</v>
      </c>
      <c r="B677" s="27" t="s">
        <v>8</v>
      </c>
      <c r="C677" s="26">
        <v>5.51</v>
      </c>
      <c r="D677" s="99"/>
    </row>
    <row r="678" spans="1:4" ht="15.75" hidden="1" outlineLevel="1" x14ac:dyDescent="0.2">
      <c r="A678" s="26" t="s">
        <v>50</v>
      </c>
      <c r="B678" s="27" t="s">
        <v>396</v>
      </c>
      <c r="C678" s="26">
        <v>5.53</v>
      </c>
      <c r="D678" s="99"/>
    </row>
    <row r="679" spans="1:4" ht="15.75" hidden="1" outlineLevel="1" x14ac:dyDescent="0.2">
      <c r="A679" s="26" t="s">
        <v>50</v>
      </c>
      <c r="B679" s="27" t="s">
        <v>13</v>
      </c>
      <c r="C679" s="26">
        <v>5.69</v>
      </c>
      <c r="D679" s="99"/>
    </row>
    <row r="680" spans="1:4" ht="15.75" hidden="1" outlineLevel="1" x14ac:dyDescent="0.2">
      <c r="A680" s="26" t="s">
        <v>50</v>
      </c>
      <c r="B680" s="27" t="s">
        <v>14</v>
      </c>
      <c r="C680" s="28">
        <v>5.7</v>
      </c>
      <c r="D680" s="98" t="s">
        <v>935</v>
      </c>
    </row>
    <row r="681" spans="1:4" ht="15.75" hidden="1" outlineLevel="1" x14ac:dyDescent="0.2">
      <c r="A681" s="26" t="s">
        <v>50</v>
      </c>
      <c r="B681" s="27" t="s">
        <v>621</v>
      </c>
      <c r="C681" s="26">
        <v>5.74</v>
      </c>
      <c r="D681" s="99"/>
    </row>
    <row r="682" spans="1:4" ht="15.75" hidden="1" outlineLevel="1" x14ac:dyDescent="0.2">
      <c r="A682" s="26" t="s">
        <v>50</v>
      </c>
      <c r="B682" s="27" t="s">
        <v>922</v>
      </c>
      <c r="C682" s="26">
        <v>5.59</v>
      </c>
      <c r="D682" s="99"/>
    </row>
    <row r="683" spans="1:4" ht="15.75" hidden="1" outlineLevel="1" x14ac:dyDescent="0.2">
      <c r="A683" s="26" t="s">
        <v>50</v>
      </c>
      <c r="B683" s="27" t="s">
        <v>11</v>
      </c>
      <c r="C683" s="26">
        <v>5.54</v>
      </c>
      <c r="D683" s="99"/>
    </row>
    <row r="684" spans="1:4" ht="15.75" hidden="1" outlineLevel="1" x14ac:dyDescent="0.2">
      <c r="A684" s="26" t="s">
        <v>50</v>
      </c>
      <c r="B684" s="27" t="s">
        <v>795</v>
      </c>
      <c r="C684" s="26">
        <v>5.57</v>
      </c>
      <c r="D684" s="99"/>
    </row>
    <row r="685" spans="1:4" ht="15.75" hidden="1" outlineLevel="1" x14ac:dyDescent="0.2">
      <c r="A685" s="26" t="s">
        <v>50</v>
      </c>
      <c r="B685" s="27" t="s">
        <v>1153</v>
      </c>
      <c r="C685" s="26">
        <v>5.63</v>
      </c>
      <c r="D685" s="99"/>
    </row>
    <row r="686" spans="1:4" ht="15.75" hidden="1" outlineLevel="1" x14ac:dyDescent="0.2">
      <c r="A686" s="26" t="s">
        <v>50</v>
      </c>
      <c r="B686" s="27" t="s">
        <v>19</v>
      </c>
      <c r="C686" s="26">
        <v>5.47</v>
      </c>
      <c r="D686" s="99"/>
    </row>
    <row r="687" spans="1:4" ht="15.75" hidden="1" outlineLevel="1" x14ac:dyDescent="0.2">
      <c r="A687" s="26" t="s">
        <v>50</v>
      </c>
      <c r="B687" s="27" t="s">
        <v>30</v>
      </c>
      <c r="C687" s="26">
        <v>5.48</v>
      </c>
      <c r="D687" s="99"/>
    </row>
    <row r="688" spans="1:4" ht="15.75" collapsed="1" x14ac:dyDescent="0.2">
      <c r="A688" s="31" t="s">
        <v>50</v>
      </c>
      <c r="B688" s="27"/>
      <c r="C688" s="26"/>
      <c r="D688" s="99"/>
    </row>
    <row r="689" spans="1:4" ht="15.75" hidden="1" outlineLevel="1" x14ac:dyDescent="0.2">
      <c r="A689" s="26" t="s">
        <v>51</v>
      </c>
      <c r="B689" s="27" t="s">
        <v>651</v>
      </c>
      <c r="C689" s="26">
        <v>5.0999999999999996</v>
      </c>
      <c r="D689" s="99"/>
    </row>
    <row r="690" spans="1:4" ht="15.75" hidden="1" outlineLevel="1" x14ac:dyDescent="0.2">
      <c r="A690" s="26" t="s">
        <v>51</v>
      </c>
      <c r="B690" s="27" t="s">
        <v>0</v>
      </c>
      <c r="C690" s="26">
        <v>5.2</v>
      </c>
      <c r="D690" s="99"/>
    </row>
    <row r="691" spans="1:4" ht="15.75" hidden="1" outlineLevel="1" x14ac:dyDescent="0.2">
      <c r="A691" s="26" t="s">
        <v>51</v>
      </c>
      <c r="B691" s="27" t="s">
        <v>299</v>
      </c>
      <c r="C691" s="26">
        <v>5.17</v>
      </c>
      <c r="D691" s="99"/>
    </row>
    <row r="692" spans="1:4" ht="15.75" hidden="1" outlineLevel="1" x14ac:dyDescent="0.2">
      <c r="A692" s="26" t="s">
        <v>51</v>
      </c>
      <c r="B692" s="27" t="s">
        <v>1</v>
      </c>
      <c r="C692" s="26">
        <v>5.26</v>
      </c>
      <c r="D692" s="99"/>
    </row>
    <row r="693" spans="1:4" ht="15.75" hidden="1" outlineLevel="1" x14ac:dyDescent="0.2">
      <c r="A693" s="26" t="s">
        <v>51</v>
      </c>
      <c r="B693" s="27" t="s">
        <v>782</v>
      </c>
      <c r="C693" s="26">
        <v>5.1029999999999998</v>
      </c>
      <c r="D693" s="99"/>
    </row>
    <row r="694" spans="1:4" ht="15.75" hidden="1" outlineLevel="1" x14ac:dyDescent="0.2">
      <c r="A694" s="26" t="s">
        <v>51</v>
      </c>
      <c r="B694" s="27" t="s">
        <v>606</v>
      </c>
      <c r="C694" s="26">
        <v>5.36</v>
      </c>
      <c r="D694" s="99"/>
    </row>
    <row r="695" spans="1:4" ht="15.75" hidden="1" outlineLevel="1" x14ac:dyDescent="0.2">
      <c r="A695" s="26" t="s">
        <v>51</v>
      </c>
      <c r="B695" s="27" t="s">
        <v>12</v>
      </c>
      <c r="C695" s="26">
        <v>5.37</v>
      </c>
      <c r="D695" s="99"/>
    </row>
    <row r="696" spans="1:4" ht="15.75" hidden="1" outlineLevel="1" x14ac:dyDescent="0.2">
      <c r="A696" s="26" t="s">
        <v>51</v>
      </c>
      <c r="B696" s="27" t="s">
        <v>24</v>
      </c>
      <c r="C696" s="26">
        <v>5.1040000000000001</v>
      </c>
      <c r="D696" s="99"/>
    </row>
    <row r="697" spans="1:4" ht="15.75" hidden="1" outlineLevel="1" x14ac:dyDescent="0.2">
      <c r="A697" s="26" t="s">
        <v>51</v>
      </c>
      <c r="B697" s="27" t="s">
        <v>286</v>
      </c>
      <c r="C697" s="26">
        <v>5.1050000000000004</v>
      </c>
      <c r="D697" s="99"/>
    </row>
    <row r="698" spans="1:4" ht="15.75" hidden="1" outlineLevel="1" x14ac:dyDescent="0.2">
      <c r="A698" s="26" t="s">
        <v>51</v>
      </c>
      <c r="B698" s="27" t="s">
        <v>25</v>
      </c>
      <c r="C698" s="26">
        <v>5.1059999999999999</v>
      </c>
      <c r="D698" s="99"/>
    </row>
    <row r="699" spans="1:4" ht="15.75" hidden="1" outlineLevel="1" x14ac:dyDescent="0.2">
      <c r="A699" s="26" t="s">
        <v>51</v>
      </c>
      <c r="B699" s="27" t="s">
        <v>949</v>
      </c>
      <c r="C699" s="26">
        <v>5.1070000000000002</v>
      </c>
      <c r="D699" s="99"/>
    </row>
    <row r="700" spans="1:4" ht="15.75" hidden="1" outlineLevel="1" x14ac:dyDescent="0.2">
      <c r="A700" s="26" t="s">
        <v>51</v>
      </c>
      <c r="B700" s="27" t="s">
        <v>288</v>
      </c>
      <c r="C700" s="26">
        <v>5.1079999999999997</v>
      </c>
      <c r="D700" s="98" t="s">
        <v>935</v>
      </c>
    </row>
    <row r="701" spans="1:4" ht="15.75" hidden="1" outlineLevel="1" x14ac:dyDescent="0.2">
      <c r="A701" s="26" t="s">
        <v>51</v>
      </c>
      <c r="B701" s="27" t="s">
        <v>917</v>
      </c>
      <c r="C701" s="26">
        <v>5.109</v>
      </c>
      <c r="D701" s="99"/>
    </row>
    <row r="702" spans="1:4" ht="15.75" hidden="1" outlineLevel="1" x14ac:dyDescent="0.2">
      <c r="A702" s="26" t="s">
        <v>51</v>
      </c>
      <c r="B702" s="27" t="s">
        <v>731</v>
      </c>
      <c r="C702" s="29">
        <v>5.1100000000000003</v>
      </c>
      <c r="D702" s="98" t="s">
        <v>935</v>
      </c>
    </row>
    <row r="703" spans="1:4" ht="15.75" hidden="1" outlineLevel="1" x14ac:dyDescent="0.2">
      <c r="A703" s="26" t="s">
        <v>51</v>
      </c>
      <c r="B703" s="27" t="s">
        <v>372</v>
      </c>
      <c r="C703" s="26">
        <v>5.1109999999999998</v>
      </c>
      <c r="D703" s="99"/>
    </row>
    <row r="704" spans="1:4" ht="15.75" hidden="1" outlineLevel="1" x14ac:dyDescent="0.2">
      <c r="A704" s="26" t="s">
        <v>51</v>
      </c>
      <c r="B704" s="27" t="s">
        <v>16</v>
      </c>
      <c r="C704" s="26">
        <v>5.1120000000000001</v>
      </c>
      <c r="D704" s="99"/>
    </row>
    <row r="705" spans="1:4" ht="15.75" hidden="1" outlineLevel="1" x14ac:dyDescent="0.2">
      <c r="A705" s="26" t="s">
        <v>51</v>
      </c>
      <c r="B705" s="27" t="s">
        <v>396</v>
      </c>
      <c r="C705" s="26">
        <v>5.53</v>
      </c>
      <c r="D705" s="99"/>
    </row>
    <row r="706" spans="1:4" ht="15.75" hidden="1" outlineLevel="1" x14ac:dyDescent="0.2">
      <c r="A706" s="26" t="s">
        <v>51</v>
      </c>
      <c r="B706" s="27" t="s">
        <v>787</v>
      </c>
      <c r="C706" s="26">
        <v>5.64</v>
      </c>
      <c r="D706" s="99"/>
    </row>
    <row r="707" spans="1:4" ht="15.75" hidden="1" outlineLevel="1" x14ac:dyDescent="0.2">
      <c r="A707" s="26" t="s">
        <v>51</v>
      </c>
      <c r="B707" s="27" t="s">
        <v>1153</v>
      </c>
      <c r="C707" s="26">
        <v>5.63</v>
      </c>
      <c r="D707" s="99"/>
    </row>
    <row r="708" spans="1:4" ht="15.75" hidden="1" outlineLevel="1" x14ac:dyDescent="0.2">
      <c r="A708" s="26" t="s">
        <v>51</v>
      </c>
      <c r="B708" s="27" t="s">
        <v>1154</v>
      </c>
      <c r="C708" s="26">
        <v>5.65</v>
      </c>
      <c r="D708" s="99"/>
    </row>
    <row r="709" spans="1:4" ht="15.75" hidden="1" outlineLevel="1" x14ac:dyDescent="0.2">
      <c r="A709" s="26" t="s">
        <v>51</v>
      </c>
      <c r="B709" s="27" t="s">
        <v>788</v>
      </c>
      <c r="C709" s="26">
        <v>5.66</v>
      </c>
      <c r="D709" s="99"/>
    </row>
    <row r="710" spans="1:4" ht="15.75" hidden="1" outlineLevel="1" x14ac:dyDescent="0.2">
      <c r="A710" s="26" t="s">
        <v>51</v>
      </c>
      <c r="B710" s="27" t="s">
        <v>26</v>
      </c>
      <c r="C710" s="26">
        <v>5.68</v>
      </c>
      <c r="D710" s="99"/>
    </row>
    <row r="711" spans="1:4" ht="15.75" hidden="1" outlineLevel="1" x14ac:dyDescent="0.2">
      <c r="A711" s="26" t="s">
        <v>51</v>
      </c>
      <c r="B711" s="27" t="s">
        <v>19</v>
      </c>
      <c r="C711" s="26">
        <v>5.47</v>
      </c>
      <c r="D711" s="99"/>
    </row>
    <row r="712" spans="1:4" ht="15.75" hidden="1" outlineLevel="1" x14ac:dyDescent="0.2">
      <c r="A712" s="26" t="s">
        <v>51</v>
      </c>
      <c r="B712" s="27" t="s">
        <v>30</v>
      </c>
      <c r="C712" s="26">
        <v>5.48</v>
      </c>
      <c r="D712" s="99"/>
    </row>
    <row r="713" spans="1:4" ht="15.75" collapsed="1" x14ac:dyDescent="0.2">
      <c r="A713" s="31" t="s">
        <v>51</v>
      </c>
      <c r="B713" s="27"/>
      <c r="C713" s="26"/>
      <c r="D713" s="99"/>
    </row>
    <row r="714" spans="1:4" ht="15.75" hidden="1" outlineLevel="1" x14ac:dyDescent="0.2">
      <c r="A714" s="26" t="s">
        <v>937</v>
      </c>
      <c r="B714" s="27" t="s">
        <v>651</v>
      </c>
      <c r="C714" s="26">
        <v>5.0999999999999996</v>
      </c>
      <c r="D714" s="99"/>
    </row>
    <row r="715" spans="1:4" ht="15.75" hidden="1" outlineLevel="1" x14ac:dyDescent="0.2">
      <c r="A715" s="26" t="s">
        <v>937</v>
      </c>
      <c r="B715" s="27" t="s">
        <v>0</v>
      </c>
      <c r="C715" s="26">
        <v>5.2</v>
      </c>
      <c r="D715" s="99"/>
    </row>
    <row r="716" spans="1:4" ht="15.75" hidden="1" outlineLevel="1" x14ac:dyDescent="0.2">
      <c r="A716" s="26" t="s">
        <v>937</v>
      </c>
      <c r="B716" s="27" t="s">
        <v>724</v>
      </c>
      <c r="C716" s="26">
        <v>5.3</v>
      </c>
      <c r="D716" s="99"/>
    </row>
    <row r="717" spans="1:4" ht="15.75" hidden="1" outlineLevel="1" x14ac:dyDescent="0.2">
      <c r="A717" s="26" t="s">
        <v>937</v>
      </c>
      <c r="B717" s="27" t="s">
        <v>2</v>
      </c>
      <c r="C717" s="26">
        <v>5.6</v>
      </c>
      <c r="D717" s="99"/>
    </row>
    <row r="718" spans="1:4" ht="15.75" hidden="1" outlineLevel="1" x14ac:dyDescent="0.2">
      <c r="A718" s="26" t="s">
        <v>937</v>
      </c>
      <c r="B718" s="27" t="s">
        <v>730</v>
      </c>
      <c r="C718" s="28">
        <v>5.0999999999999996</v>
      </c>
      <c r="D718" s="99"/>
    </row>
    <row r="719" spans="1:4" ht="15.75" hidden="1" outlineLevel="1" x14ac:dyDescent="0.2">
      <c r="A719" s="26" t="s">
        <v>937</v>
      </c>
      <c r="B719" s="27" t="s">
        <v>3</v>
      </c>
      <c r="C719" s="26">
        <v>5.14</v>
      </c>
      <c r="D719" s="99"/>
    </row>
    <row r="720" spans="1:4" ht="15.75" hidden="1" outlineLevel="1" x14ac:dyDescent="0.2">
      <c r="A720" s="26" t="s">
        <v>937</v>
      </c>
      <c r="B720" s="27" t="s">
        <v>29</v>
      </c>
      <c r="C720" s="26">
        <v>5.19</v>
      </c>
      <c r="D720" s="99"/>
    </row>
    <row r="721" spans="1:4" ht="15.75" hidden="1" outlineLevel="1" x14ac:dyDescent="0.2">
      <c r="A721" s="26" t="s">
        <v>937</v>
      </c>
      <c r="B721" s="27" t="s">
        <v>28</v>
      </c>
      <c r="C721" s="26">
        <v>5.24</v>
      </c>
      <c r="D721" s="99"/>
    </row>
    <row r="722" spans="1:4" ht="15.75" hidden="1" outlineLevel="1" x14ac:dyDescent="0.2">
      <c r="A722" s="26" t="s">
        <v>937</v>
      </c>
      <c r="B722" s="27" t="s">
        <v>1</v>
      </c>
      <c r="C722" s="26">
        <v>5.26</v>
      </c>
      <c r="D722" s="99"/>
    </row>
    <row r="723" spans="1:4" ht="15.75" hidden="1" outlineLevel="1" x14ac:dyDescent="0.2">
      <c r="A723" s="26" t="s">
        <v>937</v>
      </c>
      <c r="B723" s="27" t="s">
        <v>604</v>
      </c>
      <c r="C723" s="26">
        <v>5.27</v>
      </c>
      <c r="D723" s="99"/>
    </row>
    <row r="724" spans="1:4" ht="15.75" hidden="1" outlineLevel="1" x14ac:dyDescent="0.2">
      <c r="A724" s="26" t="s">
        <v>937</v>
      </c>
      <c r="B724" s="27" t="s">
        <v>605</v>
      </c>
      <c r="C724" s="26">
        <v>5.28</v>
      </c>
      <c r="D724" s="99"/>
    </row>
    <row r="725" spans="1:4" ht="15.75" hidden="1" outlineLevel="1" x14ac:dyDescent="0.2">
      <c r="A725" s="26" t="s">
        <v>937</v>
      </c>
      <c r="B725" s="27" t="s">
        <v>9</v>
      </c>
      <c r="C725" s="26">
        <v>5.31</v>
      </c>
      <c r="D725" s="99"/>
    </row>
    <row r="726" spans="1:4" ht="15.75" hidden="1" outlineLevel="1" x14ac:dyDescent="0.2">
      <c r="A726" s="26" t="s">
        <v>937</v>
      </c>
      <c r="B726" s="27" t="s">
        <v>606</v>
      </c>
      <c r="C726" s="26">
        <v>5.36</v>
      </c>
      <c r="D726" s="99"/>
    </row>
    <row r="727" spans="1:4" ht="15.75" hidden="1" outlineLevel="1" x14ac:dyDescent="0.2">
      <c r="A727" s="26" t="s">
        <v>937</v>
      </c>
      <c r="B727" s="27" t="s">
        <v>396</v>
      </c>
      <c r="C727" s="26">
        <v>5.53</v>
      </c>
      <c r="D727" s="99"/>
    </row>
    <row r="728" spans="1:4" ht="15.75" hidden="1" outlineLevel="1" x14ac:dyDescent="0.2">
      <c r="A728" s="26" t="s">
        <v>937</v>
      </c>
      <c r="B728" s="27" t="s">
        <v>917</v>
      </c>
      <c r="C728" s="26">
        <v>5.109</v>
      </c>
      <c r="D728" s="99"/>
    </row>
    <row r="729" spans="1:4" ht="15.75" hidden="1" outlineLevel="1" x14ac:dyDescent="0.2">
      <c r="A729" s="26" t="s">
        <v>937</v>
      </c>
      <c r="B729" s="27" t="s">
        <v>372</v>
      </c>
      <c r="C729" s="26">
        <v>5.1109999999999998</v>
      </c>
      <c r="D729" s="99"/>
    </row>
    <row r="730" spans="1:4" ht="15.75" hidden="1" outlineLevel="1" x14ac:dyDescent="0.2">
      <c r="A730" s="26" t="s">
        <v>937</v>
      </c>
      <c r="B730" s="27" t="s">
        <v>16</v>
      </c>
      <c r="C730" s="26">
        <v>5.1120000000000001</v>
      </c>
      <c r="D730" s="99"/>
    </row>
    <row r="731" spans="1:4" ht="15.75" hidden="1" outlineLevel="1" x14ac:dyDescent="0.2">
      <c r="A731" s="26" t="s">
        <v>937</v>
      </c>
      <c r="B731" s="27" t="s">
        <v>475</v>
      </c>
      <c r="C731" s="26">
        <v>5.1130000000000004</v>
      </c>
      <c r="D731" s="99"/>
    </row>
    <row r="732" spans="1:4" ht="15.75" hidden="1" outlineLevel="1" x14ac:dyDescent="0.2">
      <c r="A732" s="26" t="s">
        <v>937</v>
      </c>
      <c r="B732" s="27" t="s">
        <v>618</v>
      </c>
      <c r="C732" s="26">
        <v>5.117</v>
      </c>
      <c r="D732" s="99"/>
    </row>
    <row r="733" spans="1:4" ht="15.75" hidden="1" outlineLevel="1" x14ac:dyDescent="0.2">
      <c r="A733" s="26" t="s">
        <v>937</v>
      </c>
      <c r="B733" s="27" t="s">
        <v>1156</v>
      </c>
      <c r="C733" s="26">
        <v>5.67</v>
      </c>
      <c r="D733" s="99"/>
    </row>
    <row r="734" spans="1:4" ht="15.75" hidden="1" outlineLevel="1" x14ac:dyDescent="0.2">
      <c r="A734" s="26" t="s">
        <v>937</v>
      </c>
      <c r="B734" s="27" t="s">
        <v>1153</v>
      </c>
      <c r="C734" s="26">
        <v>5.63</v>
      </c>
      <c r="D734" s="99"/>
    </row>
    <row r="735" spans="1:4" ht="15.75" hidden="1" outlineLevel="1" x14ac:dyDescent="0.2">
      <c r="A735" s="26" t="s">
        <v>937</v>
      </c>
      <c r="B735" s="27" t="s">
        <v>19</v>
      </c>
      <c r="C735" s="26">
        <v>5.47</v>
      </c>
      <c r="D735" s="99"/>
    </row>
    <row r="736" spans="1:4" ht="15.75" hidden="1" outlineLevel="1" x14ac:dyDescent="0.2">
      <c r="A736" s="26" t="s">
        <v>937</v>
      </c>
      <c r="B736" s="27" t="s">
        <v>30</v>
      </c>
      <c r="C736" s="26">
        <v>5.48</v>
      </c>
      <c r="D736" s="99"/>
    </row>
    <row r="737" spans="1:4" ht="15.75" collapsed="1" x14ac:dyDescent="0.2">
      <c r="A737" s="31" t="s">
        <v>959</v>
      </c>
      <c r="B737" s="27"/>
      <c r="C737" s="26"/>
      <c r="D737" s="99"/>
    </row>
    <row r="738" spans="1:4" ht="15.75" hidden="1" outlineLevel="1" x14ac:dyDescent="0.2">
      <c r="A738" s="26" t="s">
        <v>52</v>
      </c>
      <c r="B738" s="27" t="s">
        <v>651</v>
      </c>
      <c r="C738" s="26">
        <v>5.0999999999999996</v>
      </c>
      <c r="D738" s="99"/>
    </row>
    <row r="739" spans="1:4" ht="15.75" hidden="1" outlineLevel="1" x14ac:dyDescent="0.2">
      <c r="A739" s="26" t="s">
        <v>52</v>
      </c>
      <c r="B739" s="27" t="s">
        <v>0</v>
      </c>
      <c r="C739" s="26">
        <v>5.2</v>
      </c>
      <c r="D739" s="99"/>
    </row>
    <row r="740" spans="1:4" ht="15.75" hidden="1" outlineLevel="1" x14ac:dyDescent="0.2">
      <c r="A740" s="26" t="s">
        <v>52</v>
      </c>
      <c r="B740" s="27" t="s">
        <v>785</v>
      </c>
      <c r="C740" s="26">
        <v>5.18</v>
      </c>
      <c r="D740" s="99"/>
    </row>
    <row r="741" spans="1:4" ht="15.75" hidden="1" outlineLevel="1" x14ac:dyDescent="0.2">
      <c r="A741" s="26" t="s">
        <v>52</v>
      </c>
      <c r="B741" s="27" t="s">
        <v>786</v>
      </c>
      <c r="C741" s="26">
        <v>5.23</v>
      </c>
      <c r="D741" s="99"/>
    </row>
    <row r="742" spans="1:4" ht="15.75" hidden="1" outlineLevel="1" x14ac:dyDescent="0.2">
      <c r="A742" s="26" t="s">
        <v>52</v>
      </c>
      <c r="B742" s="27" t="s">
        <v>1</v>
      </c>
      <c r="C742" s="26">
        <v>5.26</v>
      </c>
      <c r="D742" s="99"/>
    </row>
    <row r="743" spans="1:4" ht="15.75" hidden="1" outlineLevel="1" x14ac:dyDescent="0.2">
      <c r="A743" s="26" t="s">
        <v>52</v>
      </c>
      <c r="B743" s="27" t="s">
        <v>604</v>
      </c>
      <c r="C743" s="26">
        <v>5.27</v>
      </c>
      <c r="D743" s="99"/>
    </row>
    <row r="744" spans="1:4" ht="15.75" hidden="1" outlineLevel="1" x14ac:dyDescent="0.2">
      <c r="A744" s="26" t="s">
        <v>52</v>
      </c>
      <c r="B744" s="27" t="s">
        <v>605</v>
      </c>
      <c r="C744" s="26">
        <v>5.28</v>
      </c>
      <c r="D744" s="99"/>
    </row>
    <row r="745" spans="1:4" ht="15.75" hidden="1" outlineLevel="1" x14ac:dyDescent="0.2">
      <c r="A745" s="26" t="s">
        <v>52</v>
      </c>
      <c r="B745" s="27" t="s">
        <v>606</v>
      </c>
      <c r="C745" s="26">
        <v>5.36</v>
      </c>
      <c r="D745" s="99"/>
    </row>
    <row r="746" spans="1:4" ht="15.75" hidden="1" outlineLevel="1" x14ac:dyDescent="0.2">
      <c r="A746" s="26" t="s">
        <v>52</v>
      </c>
      <c r="B746" s="27" t="s">
        <v>794</v>
      </c>
      <c r="C746" s="26">
        <v>5.44</v>
      </c>
      <c r="D746" s="99"/>
    </row>
    <row r="747" spans="1:4" ht="15.75" hidden="1" outlineLevel="1" x14ac:dyDescent="0.2">
      <c r="A747" s="26" t="s">
        <v>52</v>
      </c>
      <c r="B747" s="27" t="s">
        <v>396</v>
      </c>
      <c r="C747" s="26">
        <v>5.53</v>
      </c>
      <c r="D747" s="99"/>
    </row>
    <row r="748" spans="1:4" ht="15.75" hidden="1" outlineLevel="1" x14ac:dyDescent="0.2">
      <c r="A748" s="26" t="s">
        <v>52</v>
      </c>
      <c r="B748" s="27" t="s">
        <v>16</v>
      </c>
      <c r="C748" s="26">
        <v>5.1120000000000001</v>
      </c>
      <c r="D748" s="99"/>
    </row>
    <row r="749" spans="1:4" ht="15.75" hidden="1" outlineLevel="1" x14ac:dyDescent="0.2">
      <c r="A749" s="26" t="s">
        <v>52</v>
      </c>
      <c r="B749" s="27" t="s">
        <v>922</v>
      </c>
      <c r="C749" s="26">
        <v>5.59</v>
      </c>
      <c r="D749" s="99"/>
    </row>
    <row r="750" spans="1:4" ht="15.75" hidden="1" outlineLevel="1" x14ac:dyDescent="0.2">
      <c r="A750" s="26" t="s">
        <v>52</v>
      </c>
      <c r="B750" s="27" t="s">
        <v>11</v>
      </c>
      <c r="C750" s="26">
        <v>5.54</v>
      </c>
      <c r="D750" s="99"/>
    </row>
    <row r="751" spans="1:4" ht="15.75" hidden="1" outlineLevel="1" x14ac:dyDescent="0.2">
      <c r="A751" s="26" t="s">
        <v>52</v>
      </c>
      <c r="B751" s="27" t="s">
        <v>1153</v>
      </c>
      <c r="C751" s="26">
        <v>5.63</v>
      </c>
      <c r="D751" s="99"/>
    </row>
    <row r="752" spans="1:4" ht="15.75" hidden="1" outlineLevel="1" x14ac:dyDescent="0.2">
      <c r="A752" s="26" t="s">
        <v>52</v>
      </c>
      <c r="B752" s="27" t="s">
        <v>1154</v>
      </c>
      <c r="C752" s="26">
        <v>5.65</v>
      </c>
      <c r="D752" s="99"/>
    </row>
    <row r="753" spans="1:4" ht="15.75" hidden="1" outlineLevel="1" x14ac:dyDescent="0.2">
      <c r="A753" s="26" t="s">
        <v>52</v>
      </c>
      <c r="B753" s="27" t="s">
        <v>26</v>
      </c>
      <c r="C753" s="26">
        <v>5.68</v>
      </c>
      <c r="D753" s="99"/>
    </row>
    <row r="754" spans="1:4" ht="15.75" hidden="1" outlineLevel="1" x14ac:dyDescent="0.2">
      <c r="A754" s="26" t="s">
        <v>52</v>
      </c>
      <c r="B754" s="27" t="s">
        <v>19</v>
      </c>
      <c r="C754" s="26">
        <v>5.47</v>
      </c>
      <c r="D754" s="99"/>
    </row>
    <row r="755" spans="1:4" ht="15.75" hidden="1" outlineLevel="1" x14ac:dyDescent="0.2">
      <c r="A755" s="26" t="s">
        <v>52</v>
      </c>
      <c r="B755" s="27" t="s">
        <v>30</v>
      </c>
      <c r="C755" s="26">
        <v>5.48</v>
      </c>
      <c r="D755" s="99"/>
    </row>
    <row r="756" spans="1:4" ht="15.75" collapsed="1" x14ac:dyDescent="0.2">
      <c r="A756" s="31" t="s">
        <v>52</v>
      </c>
      <c r="B756" s="27"/>
      <c r="C756" s="26"/>
      <c r="D756" s="99"/>
    </row>
    <row r="757" spans="1:4" ht="15.75" hidden="1" outlineLevel="1" x14ac:dyDescent="0.2">
      <c r="A757" s="26" t="s">
        <v>755</v>
      </c>
      <c r="B757" s="27" t="s">
        <v>651</v>
      </c>
      <c r="C757" s="26">
        <v>5.0999999999999996</v>
      </c>
      <c r="D757" s="99"/>
    </row>
    <row r="758" spans="1:4" ht="15.75" hidden="1" outlineLevel="1" x14ac:dyDescent="0.2">
      <c r="A758" s="26" t="s">
        <v>755</v>
      </c>
      <c r="B758" s="27" t="s">
        <v>0</v>
      </c>
      <c r="C758" s="26">
        <v>5.2</v>
      </c>
      <c r="D758" s="99"/>
    </row>
    <row r="759" spans="1:4" ht="15.75" hidden="1" outlineLevel="1" x14ac:dyDescent="0.2">
      <c r="A759" s="26" t="s">
        <v>755</v>
      </c>
      <c r="B759" s="27" t="s">
        <v>725</v>
      </c>
      <c r="C759" s="26">
        <v>5.9</v>
      </c>
      <c r="D759" s="98" t="s">
        <v>935</v>
      </c>
    </row>
    <row r="760" spans="1:4" ht="15.75" hidden="1" outlineLevel="1" x14ac:dyDescent="0.2">
      <c r="A760" s="26" t="s">
        <v>755</v>
      </c>
      <c r="B760" s="27" t="s">
        <v>726</v>
      </c>
      <c r="C760" s="26">
        <v>5.13</v>
      </c>
      <c r="D760" s="99"/>
    </row>
    <row r="761" spans="1:4" ht="15.75" hidden="1" outlineLevel="1" x14ac:dyDescent="0.2">
      <c r="A761" s="26" t="s">
        <v>755</v>
      </c>
      <c r="B761" s="27" t="s">
        <v>727</v>
      </c>
      <c r="C761" s="26">
        <v>5.16</v>
      </c>
      <c r="D761" s="98" t="s">
        <v>935</v>
      </c>
    </row>
    <row r="762" spans="1:4" ht="15.75" hidden="1" outlineLevel="1" x14ac:dyDescent="0.2">
      <c r="A762" s="26" t="s">
        <v>755</v>
      </c>
      <c r="B762" s="27" t="s">
        <v>728</v>
      </c>
      <c r="C762" s="26">
        <v>5.22</v>
      </c>
      <c r="D762" s="98"/>
    </row>
    <row r="763" spans="1:4" ht="15.75" hidden="1" outlineLevel="1" x14ac:dyDescent="0.2">
      <c r="A763" s="26" t="s">
        <v>755</v>
      </c>
      <c r="B763" s="27" t="s">
        <v>733</v>
      </c>
      <c r="C763" s="26">
        <v>5.42</v>
      </c>
      <c r="D763" s="99"/>
    </row>
    <row r="764" spans="1:4" ht="15.75" hidden="1" outlineLevel="1" x14ac:dyDescent="0.2">
      <c r="A764" s="26" t="s">
        <v>755</v>
      </c>
      <c r="B764" s="27" t="s">
        <v>604</v>
      </c>
      <c r="C764" s="26">
        <v>5.27</v>
      </c>
      <c r="D764" s="99"/>
    </row>
    <row r="765" spans="1:4" ht="15.75" hidden="1" outlineLevel="1" x14ac:dyDescent="0.2">
      <c r="A765" s="26" t="s">
        <v>755</v>
      </c>
      <c r="B765" s="27" t="s">
        <v>605</v>
      </c>
      <c r="C765" s="26">
        <v>5.28</v>
      </c>
      <c r="D765" s="98" t="s">
        <v>935</v>
      </c>
    </row>
    <row r="766" spans="1:4" ht="15.75" hidden="1" outlineLevel="1" x14ac:dyDescent="0.2">
      <c r="A766" s="26" t="s">
        <v>755</v>
      </c>
      <c r="B766" s="27" t="s">
        <v>606</v>
      </c>
      <c r="C766" s="26">
        <v>5.36</v>
      </c>
      <c r="D766" s="99"/>
    </row>
    <row r="767" spans="1:4" ht="15.75" hidden="1" outlineLevel="1" x14ac:dyDescent="0.2">
      <c r="A767" s="26" t="s">
        <v>755</v>
      </c>
      <c r="B767" s="27" t="s">
        <v>6</v>
      </c>
      <c r="C767" s="26">
        <v>5.49</v>
      </c>
      <c r="D767" s="99"/>
    </row>
    <row r="768" spans="1:4" ht="15.75" hidden="1" outlineLevel="1" x14ac:dyDescent="0.2">
      <c r="A768" s="26" t="s">
        <v>755</v>
      </c>
      <c r="B768" s="27" t="s">
        <v>8</v>
      </c>
      <c r="C768" s="26">
        <v>5.51</v>
      </c>
      <c r="D768" s="99"/>
    </row>
    <row r="769" spans="1:4" ht="15.75" hidden="1" outlineLevel="1" x14ac:dyDescent="0.2">
      <c r="A769" s="26" t="s">
        <v>755</v>
      </c>
      <c r="B769" s="27" t="s">
        <v>777</v>
      </c>
      <c r="C769" s="26">
        <v>5.52</v>
      </c>
      <c r="D769" s="99"/>
    </row>
    <row r="770" spans="1:4" ht="15.75" hidden="1" outlineLevel="1" x14ac:dyDescent="0.2">
      <c r="A770" s="26" t="s">
        <v>755</v>
      </c>
      <c r="B770" s="27" t="s">
        <v>396</v>
      </c>
      <c r="C770" s="26">
        <v>5.53</v>
      </c>
      <c r="D770" s="99"/>
    </row>
    <row r="771" spans="1:4" ht="15.75" hidden="1" outlineLevel="1" x14ac:dyDescent="0.2">
      <c r="A771" s="26" t="s">
        <v>755</v>
      </c>
      <c r="B771" s="27" t="s">
        <v>11</v>
      </c>
      <c r="C771" s="26">
        <v>5.54</v>
      </c>
      <c r="D771" s="99"/>
    </row>
    <row r="772" spans="1:4" ht="15.75" hidden="1" outlineLevel="1" x14ac:dyDescent="0.2">
      <c r="A772" s="26" t="s">
        <v>755</v>
      </c>
      <c r="B772" s="27" t="s">
        <v>14</v>
      </c>
      <c r="C772" s="28">
        <v>5.7</v>
      </c>
      <c r="D772" s="99"/>
    </row>
    <row r="773" spans="1:4" ht="15.75" hidden="1" outlineLevel="1" x14ac:dyDescent="0.2">
      <c r="A773" s="26" t="s">
        <v>755</v>
      </c>
      <c r="B773" s="27" t="s">
        <v>440</v>
      </c>
      <c r="C773" s="26">
        <v>5.71</v>
      </c>
      <c r="D773" s="99"/>
    </row>
    <row r="774" spans="1:4" ht="15.75" hidden="1" outlineLevel="1" x14ac:dyDescent="0.2">
      <c r="A774" s="26" t="s">
        <v>755</v>
      </c>
      <c r="B774" s="27" t="s">
        <v>796</v>
      </c>
      <c r="C774" s="28">
        <v>5.9</v>
      </c>
      <c r="D774" s="99"/>
    </row>
    <row r="775" spans="1:4" ht="15.75" hidden="1" outlineLevel="1" x14ac:dyDescent="0.2">
      <c r="A775" s="26" t="s">
        <v>755</v>
      </c>
      <c r="B775" s="27" t="s">
        <v>1157</v>
      </c>
      <c r="C775" s="26">
        <v>5.91</v>
      </c>
      <c r="D775" s="99"/>
    </row>
    <row r="776" spans="1:4" ht="15.75" hidden="1" outlineLevel="1" x14ac:dyDescent="0.2">
      <c r="A776" s="26" t="s">
        <v>755</v>
      </c>
      <c r="B776" s="27" t="s">
        <v>748</v>
      </c>
      <c r="C776" s="26">
        <v>5.97</v>
      </c>
      <c r="D776" s="99"/>
    </row>
    <row r="777" spans="1:4" ht="15.75" collapsed="1" x14ac:dyDescent="0.2">
      <c r="A777" s="31" t="s">
        <v>755</v>
      </c>
      <c r="B777" s="27"/>
      <c r="C777" s="26"/>
      <c r="D777" s="99"/>
    </row>
    <row r="778" spans="1:4" ht="15.75" hidden="1" outlineLevel="1" x14ac:dyDescent="0.2">
      <c r="A778" s="26" t="s">
        <v>774</v>
      </c>
      <c r="B778" s="27" t="s">
        <v>651</v>
      </c>
      <c r="C778" s="26">
        <v>5.0999999999999996</v>
      </c>
      <c r="D778" s="99"/>
    </row>
    <row r="779" spans="1:4" ht="15.75" hidden="1" outlineLevel="1" x14ac:dyDescent="0.2">
      <c r="A779" s="26" t="s">
        <v>774</v>
      </c>
      <c r="B779" s="27" t="s">
        <v>0</v>
      </c>
      <c r="C779" s="26">
        <v>5.2</v>
      </c>
      <c r="D779" s="99"/>
    </row>
    <row r="780" spans="1:4" ht="15.75" hidden="1" outlineLevel="1" x14ac:dyDescent="0.2">
      <c r="A780" s="26" t="s">
        <v>774</v>
      </c>
      <c r="B780" s="27" t="s">
        <v>1</v>
      </c>
      <c r="C780" s="26">
        <v>5.26</v>
      </c>
      <c r="D780" s="99"/>
    </row>
    <row r="781" spans="1:4" ht="15.75" hidden="1" outlineLevel="1" x14ac:dyDescent="0.2">
      <c r="A781" s="26" t="s">
        <v>774</v>
      </c>
      <c r="B781" s="27" t="s">
        <v>780</v>
      </c>
      <c r="C781" s="26">
        <v>5.5</v>
      </c>
      <c r="D781" s="99"/>
    </row>
    <row r="782" spans="1:4" ht="15.75" hidden="1" outlineLevel="1" x14ac:dyDescent="0.2">
      <c r="A782" s="26" t="s">
        <v>774</v>
      </c>
      <c r="B782" s="27" t="s">
        <v>793</v>
      </c>
      <c r="C782" s="26">
        <v>5.8</v>
      </c>
      <c r="D782" s="98" t="s">
        <v>935</v>
      </c>
    </row>
    <row r="783" spans="1:4" ht="15.75" hidden="1" outlineLevel="1" x14ac:dyDescent="0.2">
      <c r="A783" s="26" t="s">
        <v>774</v>
      </c>
      <c r="B783" s="27" t="s">
        <v>781</v>
      </c>
      <c r="C783" s="26">
        <v>5.12</v>
      </c>
      <c r="D783" s="26"/>
    </row>
    <row r="784" spans="1:4" ht="15.75" hidden="1" outlineLevel="1" x14ac:dyDescent="0.2">
      <c r="A784" s="26" t="s">
        <v>774</v>
      </c>
      <c r="B784" s="27" t="s">
        <v>747</v>
      </c>
      <c r="C784" s="26">
        <v>5.15</v>
      </c>
      <c r="D784" s="26"/>
    </row>
    <row r="785" spans="1:4" ht="15.75" hidden="1" outlineLevel="1" x14ac:dyDescent="0.2">
      <c r="A785" s="26" t="s">
        <v>774</v>
      </c>
      <c r="B785" s="27" t="s">
        <v>746</v>
      </c>
      <c r="C785" s="28">
        <v>5.2</v>
      </c>
      <c r="D785" s="98"/>
    </row>
    <row r="786" spans="1:4" ht="15.75" hidden="1" outlineLevel="1" x14ac:dyDescent="0.2">
      <c r="A786" s="26" t="s">
        <v>774</v>
      </c>
      <c r="B786" s="27" t="s">
        <v>751</v>
      </c>
      <c r="C786" s="26">
        <v>5.25</v>
      </c>
      <c r="D786" s="26"/>
    </row>
    <row r="787" spans="1:4" ht="15.75" hidden="1" outlineLevel="1" x14ac:dyDescent="0.2">
      <c r="A787" s="26" t="s">
        <v>774</v>
      </c>
      <c r="B787" s="27" t="s">
        <v>396</v>
      </c>
      <c r="C787" s="26">
        <v>5.53</v>
      </c>
      <c r="D787" s="26"/>
    </row>
    <row r="788" spans="1:4" ht="15.75" hidden="1" outlineLevel="1" x14ac:dyDescent="0.2">
      <c r="A788" s="26" t="s">
        <v>774</v>
      </c>
      <c r="B788" s="27" t="s">
        <v>745</v>
      </c>
      <c r="C788" s="28">
        <v>5.4</v>
      </c>
      <c r="D788" s="26"/>
    </row>
    <row r="789" spans="1:4" ht="15.75" hidden="1" outlineLevel="1" x14ac:dyDescent="0.2">
      <c r="A789" s="26" t="s">
        <v>774</v>
      </c>
      <c r="B789" s="27" t="s">
        <v>923</v>
      </c>
      <c r="C789" s="26">
        <v>5.92</v>
      </c>
      <c r="D789" s="26"/>
    </row>
    <row r="790" spans="1:4" ht="15.75" hidden="1" outlineLevel="1" x14ac:dyDescent="0.2">
      <c r="A790" s="26" t="s">
        <v>774</v>
      </c>
      <c r="B790" s="27" t="s">
        <v>1158</v>
      </c>
      <c r="C790" s="26">
        <v>5.93</v>
      </c>
      <c r="D790" s="26"/>
    </row>
    <row r="791" spans="1:4" ht="31.5" hidden="1" outlineLevel="1" x14ac:dyDescent="0.2">
      <c r="A791" s="26" t="s">
        <v>774</v>
      </c>
      <c r="B791" s="27" t="s">
        <v>924</v>
      </c>
      <c r="C791" s="26">
        <v>5.94</v>
      </c>
      <c r="D791" s="26"/>
    </row>
    <row r="792" spans="1:4" ht="15.75" hidden="1" outlineLevel="1" x14ac:dyDescent="0.2">
      <c r="A792" s="26" t="s">
        <v>774</v>
      </c>
      <c r="B792" s="27" t="s">
        <v>1159</v>
      </c>
      <c r="C792" s="26">
        <v>5.95</v>
      </c>
      <c r="D792" s="26"/>
    </row>
    <row r="793" spans="1:4" ht="15.75" hidden="1" outlineLevel="1" x14ac:dyDescent="0.2">
      <c r="A793" s="26" t="s">
        <v>774</v>
      </c>
      <c r="B793" s="27" t="s">
        <v>22</v>
      </c>
      <c r="C793" s="26">
        <v>5.98</v>
      </c>
      <c r="D793" s="26"/>
    </row>
    <row r="794" spans="1:4" ht="15.75" hidden="1" outlineLevel="1" x14ac:dyDescent="0.2">
      <c r="A794" s="26" t="s">
        <v>774</v>
      </c>
      <c r="B794" s="27" t="s">
        <v>797</v>
      </c>
      <c r="C794" s="26">
        <v>5.96</v>
      </c>
      <c r="D794" s="26"/>
    </row>
    <row r="795" spans="1:4" ht="15.75" collapsed="1" x14ac:dyDescent="0.2">
      <c r="A795" s="31" t="s">
        <v>774</v>
      </c>
      <c r="B795" s="27"/>
      <c r="C795" s="26"/>
      <c r="D795" s="26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7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17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25"/>
    </row>
    <row r="15" spans="1:2" ht="15" x14ac:dyDescent="0.25">
      <c r="A15" s="17" t="s">
        <v>513</v>
      </c>
    </row>
    <row r="16" spans="1:2" x14ac:dyDescent="0.2">
      <c r="A16" s="23" t="s">
        <v>514</v>
      </c>
    </row>
    <row r="17" spans="1:2" x14ac:dyDescent="0.2">
      <c r="A17" s="23" t="s">
        <v>515</v>
      </c>
    </row>
    <row r="18" spans="1:2" x14ac:dyDescent="0.2">
      <c r="A18" s="23" t="s">
        <v>516</v>
      </c>
    </row>
    <row r="19" spans="1:2" x14ac:dyDescent="0.2">
      <c r="A19" s="23" t="s">
        <v>517</v>
      </c>
    </row>
    <row r="21" spans="1:2" ht="15" x14ac:dyDescent="0.25">
      <c r="A21" s="24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7" t="s">
        <v>571</v>
      </c>
      <c r="B34" s="17" t="s">
        <v>429</v>
      </c>
    </row>
    <row r="35" spans="1:2" x14ac:dyDescent="0.2">
      <c r="A35" s="9" t="s">
        <v>574</v>
      </c>
      <c r="B35" s="119">
        <v>520023185</v>
      </c>
    </row>
    <row r="36" spans="1:2" x14ac:dyDescent="0.2">
      <c r="A36" t="s">
        <v>575</v>
      </c>
      <c r="B36" s="119">
        <v>520024647</v>
      </c>
    </row>
    <row r="37" spans="1:2" x14ac:dyDescent="0.2">
      <c r="A37" t="s">
        <v>578</v>
      </c>
      <c r="B37" s="119">
        <v>520004896</v>
      </c>
    </row>
    <row r="38" spans="1:2" x14ac:dyDescent="0.2">
      <c r="A38" t="s">
        <v>573</v>
      </c>
      <c r="B38" s="119">
        <v>520042540</v>
      </c>
    </row>
    <row r="39" spans="1:2" x14ac:dyDescent="0.2">
      <c r="A39" t="s">
        <v>1186</v>
      </c>
      <c r="B39" s="119">
        <v>520021916</v>
      </c>
    </row>
    <row r="40" spans="1:2" x14ac:dyDescent="0.2">
      <c r="A40" t="s">
        <v>586</v>
      </c>
      <c r="B40" s="9">
        <v>510015951</v>
      </c>
    </row>
    <row r="41" spans="1:2" x14ac:dyDescent="0.2">
      <c r="A41" t="s">
        <v>1187</v>
      </c>
      <c r="B41" s="9">
        <v>510888985</v>
      </c>
    </row>
    <row r="42" spans="1:2" x14ac:dyDescent="0.2">
      <c r="A42" t="s">
        <v>577</v>
      </c>
      <c r="B42" s="9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9">
        <v>520027848</v>
      </c>
    </row>
    <row r="47" spans="1:2" x14ac:dyDescent="0.2">
      <c r="A47" t="s">
        <v>1189</v>
      </c>
      <c r="B47" s="9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9">
        <v>512304882</v>
      </c>
    </row>
    <row r="50" spans="1:2" x14ac:dyDescent="0.2">
      <c r="A50" t="s">
        <v>1191</v>
      </c>
      <c r="B50" s="9">
        <v>512310509</v>
      </c>
    </row>
    <row r="51" spans="1:2" x14ac:dyDescent="0.2">
      <c r="A51" t="s">
        <v>1192</v>
      </c>
      <c r="B51" s="9">
        <v>512904608</v>
      </c>
    </row>
    <row r="52" spans="1:2" x14ac:dyDescent="0.2">
      <c r="A52" t="s">
        <v>1193</v>
      </c>
      <c r="B52" s="9">
        <v>500500376</v>
      </c>
    </row>
    <row r="53" spans="1:2" x14ac:dyDescent="0.2">
      <c r="A53" t="s">
        <v>581</v>
      </c>
      <c r="B53" s="9">
        <v>520044025</v>
      </c>
    </row>
    <row r="54" spans="1:2" x14ac:dyDescent="0.2">
      <c r="A54" t="s">
        <v>1194</v>
      </c>
      <c r="B54" s="9">
        <v>513136895</v>
      </c>
    </row>
    <row r="55" spans="1:2" x14ac:dyDescent="0.2">
      <c r="A55" t="s">
        <v>580</v>
      </c>
      <c r="B55" s="9">
        <v>520004078</v>
      </c>
    </row>
    <row r="56" spans="1:2" x14ac:dyDescent="0.2">
      <c r="A56" t="s">
        <v>584</v>
      </c>
      <c r="B56" s="9">
        <v>515761625</v>
      </c>
    </row>
    <row r="57" spans="1:2" x14ac:dyDescent="0.2">
      <c r="A57" t="s">
        <v>583</v>
      </c>
      <c r="B57" s="9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9">
        <v>516687407</v>
      </c>
    </row>
    <row r="60" spans="1:2" x14ac:dyDescent="0.2">
      <c r="A60" t="s">
        <v>1196</v>
      </c>
      <c r="B60" s="9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9">
        <v>520027954</v>
      </c>
    </row>
    <row r="63" spans="1:2" x14ac:dyDescent="0.2">
      <c r="A63" t="s">
        <v>536</v>
      </c>
      <c r="B63" s="9">
        <v>512362914</v>
      </c>
    </row>
    <row r="64" spans="1:2" x14ac:dyDescent="0.2">
      <c r="A64" t="s">
        <v>563</v>
      </c>
      <c r="B64" s="9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9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9">
        <v>520027715</v>
      </c>
    </row>
    <row r="70" spans="1:2" x14ac:dyDescent="0.2">
      <c r="A70" t="s">
        <v>553</v>
      </c>
      <c r="B70" s="9">
        <v>520028861</v>
      </c>
    </row>
    <row r="71" spans="1:2" x14ac:dyDescent="0.2">
      <c r="A71" t="s">
        <v>591</v>
      </c>
      <c r="B71" s="9">
        <v>520029620</v>
      </c>
    </row>
    <row r="72" spans="1:2" x14ac:dyDescent="0.2">
      <c r="A72" t="s">
        <v>520</v>
      </c>
      <c r="B72" s="9">
        <v>520030743</v>
      </c>
    </row>
    <row r="73" spans="1:2" x14ac:dyDescent="0.2">
      <c r="A73" t="s">
        <v>1198</v>
      </c>
      <c r="B73" s="9">
        <v>520030198</v>
      </c>
    </row>
    <row r="74" spans="1:2" x14ac:dyDescent="0.2">
      <c r="A74" t="s">
        <v>1199</v>
      </c>
      <c r="B74" s="9">
        <v>520042631</v>
      </c>
    </row>
    <row r="75" spans="1:2" x14ac:dyDescent="0.2">
      <c r="A75" t="s">
        <v>542</v>
      </c>
      <c r="B75" s="9">
        <v>520030941</v>
      </c>
    </row>
    <row r="76" spans="1:2" x14ac:dyDescent="0.2">
      <c r="A76" t="s">
        <v>562</v>
      </c>
      <c r="B76" s="9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9">
        <v>510927536</v>
      </c>
    </row>
    <row r="80" spans="1:2" x14ac:dyDescent="0.2">
      <c r="A80" t="s">
        <v>1200</v>
      </c>
      <c r="B80" s="9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9">
        <v>520034968</v>
      </c>
    </row>
    <row r="83" spans="1:2" x14ac:dyDescent="0.2">
      <c r="A83" t="s">
        <v>531</v>
      </c>
      <c r="B83" s="9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9">
        <v>520042615</v>
      </c>
    </row>
    <row r="86" spans="1:2" x14ac:dyDescent="0.2">
      <c r="A86" t="s">
        <v>548</v>
      </c>
      <c r="B86" s="9">
        <v>520042607</v>
      </c>
    </row>
    <row r="87" spans="1:2" x14ac:dyDescent="0.2">
      <c r="A87" t="s">
        <v>526</v>
      </c>
      <c r="B87" s="9">
        <v>520019688</v>
      </c>
    </row>
    <row r="88" spans="1:2" x14ac:dyDescent="0.2">
      <c r="A88" t="s">
        <v>564</v>
      </c>
      <c r="B88" s="9">
        <v>570014928</v>
      </c>
    </row>
    <row r="89" spans="1:2" x14ac:dyDescent="0.2">
      <c r="A89" t="s">
        <v>543</v>
      </c>
      <c r="B89" s="9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9">
        <v>570005959</v>
      </c>
    </row>
    <row r="92" spans="1:2" x14ac:dyDescent="0.2">
      <c r="A92" t="s">
        <v>540</v>
      </c>
      <c r="B92" s="9">
        <v>570002618</v>
      </c>
    </row>
    <row r="93" spans="1:2" x14ac:dyDescent="0.2">
      <c r="A93" t="s">
        <v>1201</v>
      </c>
      <c r="B93" s="9">
        <v>511789190</v>
      </c>
    </row>
    <row r="94" spans="1:2" x14ac:dyDescent="0.2">
      <c r="A94" t="s">
        <v>522</v>
      </c>
      <c r="B94" s="9">
        <v>520022518</v>
      </c>
    </row>
    <row r="95" spans="1:2" x14ac:dyDescent="0.2">
      <c r="A95" t="s">
        <v>521</v>
      </c>
      <c r="B95" s="9">
        <v>520031659</v>
      </c>
    </row>
    <row r="96" spans="1:2" x14ac:dyDescent="0.2">
      <c r="A96" t="s">
        <v>525</v>
      </c>
      <c r="B96" s="9">
        <v>570007476</v>
      </c>
    </row>
    <row r="97" spans="1:2" x14ac:dyDescent="0.2">
      <c r="A97" t="s">
        <v>527</v>
      </c>
      <c r="B97" s="9">
        <v>570009852</v>
      </c>
    </row>
    <row r="98" spans="1:2" x14ac:dyDescent="0.2">
      <c r="A98" t="s">
        <v>518</v>
      </c>
      <c r="B98" s="9">
        <v>510800402</v>
      </c>
    </row>
    <row r="99" spans="1:2" x14ac:dyDescent="0.2">
      <c r="A99" t="s">
        <v>552</v>
      </c>
      <c r="B99" s="9">
        <v>510773922</v>
      </c>
    </row>
    <row r="100" spans="1:2" x14ac:dyDescent="0.2">
      <c r="A100" t="s">
        <v>559</v>
      </c>
      <c r="B100" s="9">
        <v>512008335</v>
      </c>
    </row>
    <row r="101" spans="1:2" x14ac:dyDescent="0.2">
      <c r="A101" t="s">
        <v>570</v>
      </c>
      <c r="B101" s="9">
        <v>510142789</v>
      </c>
    </row>
    <row r="102" spans="1:2" x14ac:dyDescent="0.2">
      <c r="A102" t="s">
        <v>547</v>
      </c>
      <c r="B102" s="9">
        <v>520028556</v>
      </c>
    </row>
    <row r="103" spans="1:2" x14ac:dyDescent="0.2">
      <c r="A103" t="s">
        <v>537</v>
      </c>
      <c r="B103" s="9">
        <v>520030693</v>
      </c>
    </row>
    <row r="104" spans="1:2" x14ac:dyDescent="0.2">
      <c r="A104" t="s">
        <v>561</v>
      </c>
      <c r="B104" s="9">
        <v>520042573</v>
      </c>
    </row>
    <row r="105" spans="1:2" x14ac:dyDescent="0.2">
      <c r="A105" t="s">
        <v>565</v>
      </c>
      <c r="B105" s="9">
        <v>511423048</v>
      </c>
    </row>
    <row r="106" spans="1:2" x14ac:dyDescent="0.2">
      <c r="A106" t="s">
        <v>530</v>
      </c>
      <c r="B106" s="9">
        <v>570011767</v>
      </c>
    </row>
    <row r="107" spans="1:2" x14ac:dyDescent="0.2">
      <c r="A107" t="s">
        <v>1202</v>
      </c>
      <c r="B107" s="9">
        <v>512065202</v>
      </c>
    </row>
    <row r="108" spans="1:2" x14ac:dyDescent="0.2">
      <c r="A108" t="s">
        <v>1203</v>
      </c>
      <c r="B108" s="9">
        <v>512711409</v>
      </c>
    </row>
    <row r="109" spans="1:2" x14ac:dyDescent="0.2">
      <c r="A109" t="s">
        <v>1204</v>
      </c>
      <c r="B109" s="9">
        <v>520005497</v>
      </c>
    </row>
    <row r="110" spans="1:2" x14ac:dyDescent="0.2">
      <c r="A110" t="s">
        <v>1205</v>
      </c>
      <c r="B110" s="9">
        <v>570024109</v>
      </c>
    </row>
    <row r="111" spans="1:2" x14ac:dyDescent="0.2">
      <c r="A111" t="s">
        <v>568</v>
      </c>
      <c r="B111" s="9">
        <v>520020447</v>
      </c>
    </row>
    <row r="112" spans="1:2" x14ac:dyDescent="0.2">
      <c r="A112" t="s">
        <v>566</v>
      </c>
      <c r="B112" s="9">
        <v>520023094</v>
      </c>
    </row>
    <row r="113" spans="1:2" x14ac:dyDescent="0.2">
      <c r="A113" t="s">
        <v>569</v>
      </c>
      <c r="B113" s="9">
        <v>520028812</v>
      </c>
    </row>
    <row r="114" spans="1:2" x14ac:dyDescent="0.2">
      <c r="A114" t="s">
        <v>567</v>
      </c>
      <c r="B114" s="9">
        <v>520022963</v>
      </c>
    </row>
    <row r="115" spans="1:2" x14ac:dyDescent="0.2">
      <c r="A115" t="s">
        <v>545</v>
      </c>
      <c r="B115" s="9">
        <v>520027251</v>
      </c>
    </row>
    <row r="116" spans="1:2" x14ac:dyDescent="0.2">
      <c r="A116" t="s">
        <v>546</v>
      </c>
      <c r="B116" s="9">
        <v>520028390</v>
      </c>
    </row>
    <row r="117" spans="1:2" x14ac:dyDescent="0.2">
      <c r="A117" t="s">
        <v>1206</v>
      </c>
      <c r="B117" s="9">
        <v>513026484</v>
      </c>
    </row>
    <row r="118" spans="1:2" x14ac:dyDescent="0.2">
      <c r="A118" t="s">
        <v>533</v>
      </c>
      <c r="B118" s="9">
        <v>513173393</v>
      </c>
    </row>
    <row r="119" spans="1:2" x14ac:dyDescent="0.2">
      <c r="A119" t="s">
        <v>541</v>
      </c>
      <c r="B119" s="9">
        <v>513452003</v>
      </c>
    </row>
    <row r="120" spans="1:2" x14ac:dyDescent="0.2">
      <c r="A120" t="s">
        <v>532</v>
      </c>
      <c r="B120" s="9">
        <v>513611509</v>
      </c>
    </row>
    <row r="121" spans="1:2" x14ac:dyDescent="0.2">
      <c r="A121" t="s">
        <v>803</v>
      </c>
      <c r="B121" s="9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9">
        <v>512237744</v>
      </c>
    </row>
    <row r="124" spans="1:2" x14ac:dyDescent="0.2">
      <c r="A124" t="s">
        <v>549</v>
      </c>
      <c r="B124" s="9">
        <v>512267592</v>
      </c>
    </row>
    <row r="125" spans="1:2" x14ac:dyDescent="0.2">
      <c r="A125" t="s">
        <v>1207</v>
      </c>
      <c r="B125" s="9">
        <v>514767490</v>
      </c>
    </row>
    <row r="126" spans="1:2" x14ac:dyDescent="0.2">
      <c r="A126" t="s">
        <v>804</v>
      </c>
      <c r="B126" s="9">
        <v>514956465</v>
      </c>
    </row>
    <row r="127" spans="1:2" x14ac:dyDescent="0.2">
      <c r="A127" t="s">
        <v>538</v>
      </c>
      <c r="B127" s="9">
        <v>512245812</v>
      </c>
    </row>
    <row r="128" spans="1:2" x14ac:dyDescent="0.2">
      <c r="A128" t="s">
        <v>1208</v>
      </c>
      <c r="B128" s="9">
        <v>515447035</v>
      </c>
    </row>
    <row r="129" spans="1:2" x14ac:dyDescent="0.2">
      <c r="A129" t="s">
        <v>1209</v>
      </c>
      <c r="B129" s="9">
        <v>516463635</v>
      </c>
    </row>
    <row r="130" spans="1:2" x14ac:dyDescent="0.2">
      <c r="A130" t="s">
        <v>1210</v>
      </c>
      <c r="B130" s="9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בועז בנימין</cp:lastModifiedBy>
  <cp:lastPrinted>2022-08-08T09:16:18Z</cp:lastPrinted>
  <dcterms:created xsi:type="dcterms:W3CDTF">2021-05-03T04:41:48Z</dcterms:created>
  <dcterms:modified xsi:type="dcterms:W3CDTF">2025-09-08T12:31:13Z</dcterms:modified>
</cp:coreProperties>
</file>