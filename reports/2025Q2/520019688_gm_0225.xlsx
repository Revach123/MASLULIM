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גמל לאתר\"/>
    </mc:Choice>
  </mc:AlternateContent>
  <xr:revisionPtr revIDLastSave="0" documentId="13_ncr:1_{4CC55975-C821-4822-AC1F-BD153D8A1F1B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סקירת דוח רואה חשבון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<sst xmlns="http://schemas.openxmlformats.org/spreadsheetml/2006/main" count="5740" uniqueCount="1453">
  <si>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</si>
  <si>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</si>
  <si>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</si>
  <si>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</si>
  <si>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</si>
  <si>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</si>
  <si>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</si>
  <si>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</si>
  <si>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</si>
  <si>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</si>
  <si>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</si>
  <si>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</si>
  <si>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</si>
  <si>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</si>
  <si>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</si>
  <si>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</si>
  <si>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</si>
  <si>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</si>
  <si>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</si>
  <si>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</si>
  <si>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</si>
  <si>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</si>
  <si>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</si>
  <si>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</si>
  <si>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</si>
  <si>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</si>
  <si>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</si>
  <si>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</si>
  <si>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</si>
  <si>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</si>
  <si>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</si>
  <si>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</si>
  <si>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</si>
  <si>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</si>
  <si>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</si>
  <si>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</si>
  <si>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</si>
  <si>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</si>
  <si>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</si>
  <si>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</si>
  <si>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</si>
  <si>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</si>
  <si>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</si>
  <si>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</si>
  <si>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</si>
  <si>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</si>
  <si>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</si>
  <si>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</si>
  <si>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</si>
  <si>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</si>
  <si>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</si>
  <si>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</si>
  <si>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</si>
  <si>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</si>
  <si>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</si>
  <si>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</si>
  <si>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</si>
  <si>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</si>
  <si>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</si>
  <si>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</si>
  <si>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</si>
  <si>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</si>
  <si>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</si>
  <si>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</si>
  <si>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</si>
  <si>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</si>
  <si>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</si>
  <si>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</si>
  <si>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</si>
  <si>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</si>
  <si>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</si>
  <si>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</si>
  <si>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</si>
  <si>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</si>
  <si>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</si>
  <si>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</si>
  <si>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</si>
  <si>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</si>
  <si>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</si>
  <si>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</si>
  <si>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</si>
  <si>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</si>
  <si>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</si>
  <si>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</si>
  <si>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</si>
  <si>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</si>
  <si>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</si>
  <si>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</si>
  <si>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</si>
  <si>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</si>
  <si>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</si>
  <si>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</si>
  <si>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</si>
  <si>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</si>
  <si>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</si>
  <si>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</si>
  <si>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</si>
  <si>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</si>
  <si>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</si>
  <si>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</si>
  <si>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</si>
  <si>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</si>
  <si>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</si>
  <si>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</si>
  <si>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</si>
  <si>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</si>
  <si>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</si>
  <si>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</si>
  <si>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</si>
  <si>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</si>
  <si>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</si>
  <si>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</si>
  <si>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</si>
  <si>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</si>
  <si>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</si>
  <si>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</si>
  <si>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</si>
  <si>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</si>
  <si>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</si>
  <si>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</si>
  <si>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</si>
  <si>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</si>
  <si>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</si>
  <si>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</si>
  <si>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</si>
  <si>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</si>
  <si>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</si>
  <si>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</si>
  <si>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</si>
  <si>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</si>
  <si>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</si>
  <si>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</si>
  <si>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</si>
  <si>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</si>
  <si>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</si>
  <si>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</si>
  <si>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</si>
  <si>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</si>
  <si>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</si>
  <si>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</si>
  <si>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</si>
  <si>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</si>
  <si>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</si>
  <si>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</si>
  <si>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</si>
  <si>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</si>
  <si>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</si>
  <si>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</si>
  <si>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</si>
  <si>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</si>
  <si>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</si>
  <si>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</si>
  <si>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</si>
  <si>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</si>
  <si>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</si>
  <si>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</si>
  <si>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</si>
  <si>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</si>
  <si>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</si>
  <si>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</si>
  <si>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</si>
  <si>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</si>
  <si>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</si>
  <si>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</si>
  <si>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</si>
  <si>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</si>
  <si>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</si>
  <si>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</si>
  <si>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</si>
  <si>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</si>
  <si>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</si>
  <si>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</si>
  <si>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</si>
  <si>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</si>
  <si>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</si>
  <si>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</si>
  <si>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</si>
  <si>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</si>
  <si>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</si>
  <si>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</si>
  <si>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</si>
  <si>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</si>
  <si>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</si>
  <si>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</si>
  <si>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</si>
  <si>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</si>
  <si>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</si>
  <si>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</si>
  <si>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</si>
  <si>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</si>
  <si>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</si>
  <si>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</si>
  <si>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</si>
  <si>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</si>
  <si>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</si>
  <si>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</si>
  <si>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</si>
  <si>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</si>
  <si>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</si>
  <si>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</si>
  <si>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</si>
  <si>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</si>
  <si>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</si>
  <si>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</si>
  <si>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</si>
  <si>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</si>
  <si>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</si>
  <si>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</si>
  <si>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</si>
  <si>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</si>
  <si>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</si>
  <si>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</si>
  <si>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</si>
  <si>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</si>
  <si>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</si>
  <si>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</si>
  <si>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</si>
  <si>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</si>
  <si>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</si>
  <si>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</si>
  <si>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</si>
  <si>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</si>
  <si>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</si>
  <si>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</si>
  <si>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</si>
  <si>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</si>
  <si>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</si>
  <si>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</si>
  <si>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</si>
  <si>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</si>
  <si>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</si>
  <si>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</si>
  <si>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</si>
  <si>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</si>
  <si>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</si>
  <si>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</si>
  <si>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</si>
  <si>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</si>
  <si>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</si>
  <si>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</si>
  <si>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</si>
  <si>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</si>
  <si>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</si>
  <si>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</si>
  <si>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</si>
  <si>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</si>
  <si>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</si>
  <si>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</si>
  <si>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</si>
  <si>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</si>
  <si>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</si>
  <si>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</si>
  <si>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</si>
  <si>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</si>
  <si>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</si>
  <si>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</si>
  <si>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</si>
  <si>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</si>
  <si>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</si>
  <si>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</si>
  <si>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</si>
  <si>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</si>
  <si>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</si>
  <si>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</si>
  <si>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</si>
  <si>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</si>
  <si>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</si>
  <si>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</si>
  <si>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</si>
  <si>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</si>
  <si>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</si>
  <si>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</si>
  <si>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</si>
  <si>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</si>
  <si>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</si>
  <si>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</si>
  <si>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</si>
  <si>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</si>
  <si>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</si>
  <si>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</si>
  <si>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</si>
  <si>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</si>
  <si>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</si>
  <si>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</si>
  <si>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</si>
  <si>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</si>
  <si>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</si>
  <si>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</si>
  <si>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</si>
  <si>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</si>
  <si>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</si>
  <si>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</si>
  <si>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</si>
  <si>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</si>
  <si>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</si>
  <si>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</si>
  <si>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</si>
  <si>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</si>
  <si>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</si>
  <si>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</si>
  <si>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</si>
  <si>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</si>
  <si>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</si>
  <si>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</si>
  <si>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</si>
  <si>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</si>
  <si>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</si>
  <si>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</si>
  <si>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</si>
  <si>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</si>
  <si>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</si>
  <si>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</si>
  <si>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</si>
  <si>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</si>
  <si>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</si>
  <si>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</si>
  <si>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</si>
  <si>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</si>
  <si>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</si>
  <si>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</si>
  <si>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</si>
  <si>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</si>
  <si>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</si>
  <si>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</si>
  <si>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</si>
  <si>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</si>
  <si>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</si>
  <si>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</si>
  <si>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</si>
  <si>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</si>
  <si>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</si>
  <si>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</si>
  <si>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</si>
  <si>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</si>
  <si>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</si>
  <si>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</si>
  <si>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</si>
  <si>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</si>
  <si>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</si>
  <si>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</si>
  <si>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</si>
  <si>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</si>
  <si>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</si>
  <si>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</si>
  <si>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</si>
  <si>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</si>
  <si>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</si>
  <si>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</si>
  <si>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</si>
  <si>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</si>
  <si>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</si>
  <si>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</si>
  <si>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</si>
  <si>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</si>
  <si>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</si>
  <si>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</si>
  <si>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</si>
  <si>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</si>
  <si>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</si>
  <si>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</si>
  <si>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</si>
  <si>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</si>
  <si>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</si>
  <si>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</si>
  <si>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</si>
  <si>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</si>
  <si>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</si>
  <si>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</si>
  <si>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</si>
  <si>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</si>
  <si>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</si>
  <si>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</si>
  <si>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</si>
  <si>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</si>
  <si>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</si>
  <si>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</si>
  <si>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</si>
  <si>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</si>
  <si>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</si>
  <si>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</si>
  <si>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</si>
  <si>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</si>
  <si>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</si>
  <si>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</si>
  <si>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</si>
  <si>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</si>
  <si>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</si>
  <si>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</si>
  <si>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</si>
  <si>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</si>
  <si>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</si>
  <si>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</si>
  <si>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</si>
  <si>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</si>
  <si>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</si>
  <si>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</si>
  <si>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</si>
  <si>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</si>
  <si>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</si>
  <si>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</si>
  <si>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</si>
  <si>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</si>
  <si>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</si>
  <si>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</si>
  <si>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</si>
  <si>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</si>
  <si>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</si>
  <si>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</si>
  <si>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</si>
  <si>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</si>
  <si>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</si>
  <si>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</si>
  <si>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</si>
  <si>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</si>
  <si>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</si>
  <si>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</si>
  <si>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</si>
  <si>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</si>
  <si>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</si>
  <si>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</si>
  <si>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</si>
  <si>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</si>
  <si>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</si>
  <si>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</si>
  <si>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</si>
  <si>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</si>
  <si>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</si>
  <si>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</si>
  <si>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</si>
  <si>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</si>
  <si>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</si>
  <si>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</si>
  <si>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</si>
  <si>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</si>
  <si>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</si>
  <si>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</si>
  <si>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</si>
  <si>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</si>
  <si>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</si>
  <si>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</si>
  <si>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</si>
  <si>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</si>
  <si>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</si>
  <si>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</si>
  <si>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</si>
  <si>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</si>
  <si>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</si>
  <si>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</si>
  <si>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</si>
  <si>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</si>
  <si>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</si>
  <si>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</si>
  <si>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</si>
  <si>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</si>
  <si>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</si>
  <si>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</si>
  <si>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</si>
  <si>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</si>
  <si>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</si>
  <si>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</si>
  <si>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</si>
  <si>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</si>
  <si>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</si>
  <si>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</si>
  <si>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</si>
  <si>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</si>
  <si>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</si>
  <si>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</si>
  <si>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</si>
  <si>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</si>
  <si>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</si>
  <si>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</si>
  <si>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</si>
  <si>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</si>
  <si>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</si>
  <si>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</si>
  <si>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</si>
  <si>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</si>
  <si>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</si>
  <si>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</si>
  <si>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</si>
  <si>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</si>
  <si>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</si>
  <si>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</si>
  <si>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</si>
  <si>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</si>
  <si>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</si>
  <si>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</si>
  <si>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</si>
  <si>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</si>
  <si>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</si>
  <si>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</si>
  <si>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</si>
  <si>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</si>
  <si>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</si>
  <si>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</si>
  <si>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</si>
  <si>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</si>
  <si>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</si>
  <si>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</si>
  <si>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</si>
  <si>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</si>
  <si>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</si>
  <si>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</si>
  <si>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</si>
  <si>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</si>
  <si>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</si>
  <si>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</si>
  <si>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</si>
  <si>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</si>
  <si>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</si>
  <si>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</si>
  <si>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</si>
  <si>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</si>
  <si>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</si>
  <si>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</si>
  <si>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</si>
  <si>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</si>
  <si>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</si>
  <si>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</si>
  <si>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</si>
  <si>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</si>
  <si>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</si>
  <si>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</si>
  <si>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</si>
  <si>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</si>
  <si>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</si>
  <si>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</si>
  <si>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</si>
  <si>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</si>
  <si>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</si>
  <si>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</si>
  <si>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</si>
  <si>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</si>
  <si>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</si>
  <si>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</si>
  <si>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</si>
  <si>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</si>
  <si>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</si>
  <si>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</si>
  <si>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</si>
  <si>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</si>
  <si>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</si>
  <si>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</si>
  <si>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</si>
  <si>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</si>
  <si>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</si>
  <si>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</si>
  <si>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</si>
  <si>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</si>
  <si>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</si>
  <si>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</si>
  <si>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</si>
  <si>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</si>
  <si>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</si>
  <si>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</si>
  <si>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</si>
  <si>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</si>
  <si>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</si>
  <si>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</si>
  <si>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</si>
  <si>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</si>
  <si>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</si>
  <si>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</si>
  <si>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</si>
  <si>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</si>
  <si>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</si>
  <si>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</si>
  <si>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</si>
  <si>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</si>
  <si>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</si>
  <si>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</si>
  <si>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</si>
  <si>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</si>
  <si>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</si>
  <si>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</si>
  <si>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</si>
  <si>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</si>
  <si>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</si>
  <si>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</si>
  <si>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</si>
  <si>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</si>
  <si>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</si>
  <si>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</si>
  <si>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</si>
  <si>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</si>
  <si>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</si>
  <si>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</si>
  <si>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</si>
  <si>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</si>
  <si>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</si>
  <si>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</si>
  <si>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</si>
  <si>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</si>
  <si>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</si>
  <si>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</si>
  <si>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</si>
  <si>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</si>
  <si>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</si>
  <si>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</si>
  <si>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</si>
  <si>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</si>
  <si>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</si>
  <si>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</si>
  <si>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</si>
  <si>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</si>
  <si>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</si>
  <si>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</si>
  <si>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</si>
  <si>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</si>
  <si>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</si>
  <si>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</si>
  <si>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</si>
  <si>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</si>
  <si>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</si>
  <si>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</si>
  <si>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</si>
  <si>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</si>
  <si>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</si>
  <si>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</si>
  <si>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</si>
  <si>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</si>
  <si>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</si>
  <si>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</si>
  <si>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</si>
  <si>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</si>
  <si>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</si>
  <si>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</si>
  <si>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</si>
  <si>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</si>
  <si>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</si>
  <si>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</si>
  <si>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</si>
  <si>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</si>
  <si>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</si>
  <si>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</si>
  <si>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</si>
  <si>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</si>
  <si>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</si>
  <si>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</si>
  <si>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</si>
  <si>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</si>
  <si>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</si>
  <si>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</si>
  <si>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</si>
  <si>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</si>
  <si>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</si>
  <si>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</si>
  <si>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</si>
  <si>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</si>
  <si>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</si>
  <si>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</si>
  <si>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</si>
  <si>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</si>
  <si>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</si>
  <si>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</si>
  <si>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</si>
  <si>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</si>
  <si>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</si>
  <si>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</si>
  <si>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</si>
  <si>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</si>
  <si>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</si>
  <si>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</si>
  <si>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</si>
  <si>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</si>
  <si>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</si>
  <si>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</si>
  <si>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</si>
  <si>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</si>
  <si>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</si>
  <si>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</si>
  <si>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</si>
  <si>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</si>
  <si>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</si>
  <si>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</si>
  <si>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</si>
  <si>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</si>
  <si>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</si>
  <si>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</si>
  <si>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</si>
  <si>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</si>
  <si>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</si>
  <si>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</si>
  <si>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</si>
  <si>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</si>
  <si>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</si>
  <si>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</si>
  <si>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</si>
  <si>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</si>
  <si>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</si>
  <si>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</si>
  <si>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</si>
  <si>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</si>
  <si>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</si>
  <si>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</si>
  <si>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</si>
  <si>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</si>
  <si>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</si>
  <si>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</si>
  <si>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</si>
  <si>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</si>
  <si>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</si>
  <si>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</si>
  <si>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</si>
  <si>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</si>
  <si>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</si>
  <si>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</si>
  <si>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</si>
  <si>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</si>
  <si>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</si>
  <si>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</si>
  <si>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</si>
  <si>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</si>
  <si>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</si>
  <si>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</si>
  <si>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</si>
  <si>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</si>
  <si>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</si>
  <si>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</si>
  <si>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</si>
  <si>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</si>
  <si>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</si>
  <si>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</si>
  <si>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</si>
  <si>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</si>
  <si>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</si>
  <si>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</si>
  <si>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</si>
  <si>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</si>
  <si>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</si>
  <si>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</si>
  <si>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</si>
  <si>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</si>
  <si>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</si>
  <si>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</si>
  <si>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</si>
  <si>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</si>
  <si>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</si>
  <si>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</si>
  <si>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</si>
  <si>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</si>
  <si>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</si>
  <si>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</si>
  <si>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</si>
  <si>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</si>
  <si>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</si>
  <si>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</si>
  <si>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</si>
  <si>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</si>
  <si>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</si>
  <si>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</si>
  <si>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</si>
  <si>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</si>
  <si>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</si>
  <si>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</si>
  <si>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</si>
  <si>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</si>
  <si>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</si>
  <si>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</si>
  <si>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</si>
  <si>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</si>
  <si>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</si>
  <si>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</si>
  <si>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</si>
  <si>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</si>
  <si>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</si>
  <si>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</si>
  <si>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</si>
  <si>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</si>
  <si>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</si>
  <si>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</si>
  <si>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</si>
  <si>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</si>
  <si>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</si>
  <si>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</si>
  <si>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</si>
  <si>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</si>
  <si>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</si>
  <si>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</si>
  <si>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</si>
  <si>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</si>
  <si>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</si>
  <si>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</si>
  <si>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</si>
  <si>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</si>
  <si>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</si>
  <si>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</si>
  <si>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</si>
  <si>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</si>
  <si>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</si>
  <si>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</si>
  <si>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</si>
  <si>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</si>
  <si>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</si>
  <si>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</si>
  <si>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</si>
  <si>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</si>
  <si>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</si>
  <si>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</si>
  <si>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</si>
  <si>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</si>
  <si>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</si>
  <si>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</si>
  <si>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</si>
  <si>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</si>
  <si>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</si>
  <si>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</si>
  <si>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</si>
  <si>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</si>
  <si>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</si>
  <si>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</si>
  <si>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</si>
  <si>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</si>
  <si>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</si>
  <si>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</si>
  <si>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</si>
  <si>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</si>
  <si>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</si>
  <si>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</si>
  <si>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</si>
  <si>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</si>
  <si>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</si>
  <si>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</si>
  <si>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</si>
  <si>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</si>
  <si>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</si>
  <si>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</si>
  <si>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</si>
  <si>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</si>
  <si>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</si>
  <si>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</si>
  <si>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</si>
  <si>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</si>
  <si>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</si>
  <si>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</si>
  <si>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</si>
  <si>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</si>
  <si>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</si>
  <si>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</si>
  <si>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</si>
  <si>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</si>
  <si>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</si>
  <si>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</si>
  <si>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</si>
  <si>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</si>
  <si>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</si>
  <si>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</si>
  <si>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</si>
  <si>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</si>
  <si>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</si>
  <si>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</si>
  <si>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</si>
  <si>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</si>
  <si>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</si>
  <si>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</si>
  <si>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</si>
  <si>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</si>
  <si>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</si>
  <si>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</si>
  <si>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</si>
  <si>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</si>
  <si>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</si>
  <si>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</si>
  <si>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</si>
  <si>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</si>
  <si>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</si>
  <si>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</si>
  <si>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</si>
  <si>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</si>
  <si>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</si>
  <si>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</si>
  <si>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</si>
  <si>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</si>
  <si>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</si>
  <si>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</si>
  <si>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</si>
  <si>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</si>
  <si>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</si>
  <si>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</si>
  <si>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</si>
  <si>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</si>
  <si>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</si>
  <si>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</si>
  <si>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</si>
  <si>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</si>
  <si>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</si>
  <si>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</si>
  <si>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</si>
  <si>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</si>
  <si>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</si>
  <si>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</si>
  <si>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</si>
  <si>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</si>
  <si>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</si>
  <si>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</si>
  <si>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</si>
  <si>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</si>
  <si>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</si>
  <si>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</si>
  <si>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</si>
  <si>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</si>
  <si>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</si>
  <si>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</si>
  <si>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</si>
  <si>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</si>
  <si>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</si>
  <si>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</si>
  <si>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</si>
  <si>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</si>
  <si>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</si>
  <si>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</si>
  <si>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</si>
  <si>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</si>
  <si>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</si>
  <si>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</si>
  <si>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</si>
  <si>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</si>
  <si>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</si>
  <si>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</si>
  <si>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</si>
  <si>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</si>
  <si>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</si>
  <si>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</si>
  <si>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</si>
  <si>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</si>
  <si>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</si>
  <si>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</si>
  <si>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</si>
  <si>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</si>
  <si>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</si>
  <si>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</si>
  <si>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</si>
  <si>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</si>
  <si>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</si>
  <si>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</si>
  <si>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</si>
  <si>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</si>
  <si>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</si>
  <si>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</si>
  <si>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</si>
  <si>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</si>
  <si>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</si>
  <si>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</si>
  <si>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</si>
  <si>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</si>
  <si>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</si>
  <si>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</si>
  <si>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</si>
  <si>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</si>
  <si>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</si>
  <si>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</si>
  <si>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</si>
  <si>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</si>
  <si>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</si>
  <si>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</si>
  <si>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</si>
  <si>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</si>
  <si>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</si>
  <si>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</si>
  <si>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</si>
  <si>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</si>
  <si>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</si>
  <si>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</si>
  <si>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</si>
  <si>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</si>
  <si>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</si>
  <si>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</si>
  <si>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</si>
  <si>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</si>
  <si>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</si>
  <si>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</si>
  <si>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</si>
  <si>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</si>
  <si>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</si>
  <si>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</si>
  <si>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</si>
  <si>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</si>
  <si>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</si>
  <si>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</si>
  <si>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</si>
  <si>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</si>
  <si>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</si>
  <si>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</si>
  <si>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</si>
  <si>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</si>
  <si>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</si>
  <si>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</si>
  <si>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</si>
  <si>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</si>
  <si>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</si>
  <si>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</si>
  <si>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</si>
  <si>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</si>
  <si>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</si>
  <si>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</si>
  <si>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</si>
  <si>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</si>
  <si>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</si>
  <si>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</si>
  <si>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</si>
  <si>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</si>
  <si>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</si>
  <si>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</si>
  <si>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</si>
  <si>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</si>
  <si>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</si>
  <si>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</si>
  <si>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</si>
  <si>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</si>
  <si>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</si>
  <si>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</si>
  <si>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</si>
  <si>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</si>
  <si>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</si>
  <si>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</si>
  <si>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</si>
  <si>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</si>
  <si>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</si>
  <si>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</si>
  <si>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</si>
  <si>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</si>
  <si>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</si>
  <si>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</si>
  <si>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</si>
  <si>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</si>
  <si>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</si>
  <si>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</si>
  <si>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</si>
  <si>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</si>
  <si>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</si>
  <si>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</si>
  <si>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</si>
  <si>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</si>
  <si>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</si>
  <si>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</si>
  <si>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</si>
  <si>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</si>
  <si>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</si>
  <si>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</si>
  <si>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</si>
  <si>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</si>
  <si>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</si>
  <si>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</si>
  <si>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</si>
  <si>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</si>
  <si>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</si>
  <si>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</si>
  <si>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</si>
  <si>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</si>
  <si>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</si>
  <si>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</si>
  <si>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</si>
  <si>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</si>
  <si>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</si>
  <si>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</si>
  <si>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</si>
  <si>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</si>
  <si>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</si>
  <si>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</si>
  <si>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</si>
  <si>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</si>
  <si>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</si>
  <si>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</si>
  <si>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</si>
  <si>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</si>
  <si>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</si>
  <si>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</si>
  <si>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</si>
  <si>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</si>
  <si>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</si>
  <si>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</si>
  <si>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</si>
  <si>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</si>
  <si>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</si>
  <si>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</si>
  <si>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</si>
  <si>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</si>
  <si>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</si>
  <si>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</si>
  <si>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</si>
  <si>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</si>
  <si>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</si>
  <si>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</si>
  <si>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</si>
  <si>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</si>
  <si>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</si>
  <si>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</si>
  <si>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</si>
  <si>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</si>
  <si>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</si>
  <si>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</si>
  <si>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</si>
  <si>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</si>
  <si>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</si>
  <si>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</si>
  <si>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</si>
  <si>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</si>
  <si>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</si>
  <si>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</si>
  <si>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</si>
  <si>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</si>
  <si>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</si>
  <si>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</si>
  <si>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</si>
  <si>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</si>
  <si>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</si>
  <si>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</si>
  <si>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</si>
  <si>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</si>
  <si>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</si>
  <si>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</si>
  <si>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</si>
  <si>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</si>
  <si>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</si>
  <si>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</si>
  <si>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</si>
  <si>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</si>
  <si>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</si>
  <si>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</si>
  <si>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</si>
  <si>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</si>
  <si>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</si>
  <si>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</si>
  <si>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</si>
  <si>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</si>
  <si>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</si>
  <si>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</si>
  <si>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</si>
  <si>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</si>
  <si>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</si>
  <si>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</si>
  <si>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</si>
  <si>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</si>
  <si>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</si>
  <si>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</si>
  <si>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</si>
  <si>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</si>
  <si>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</si>
  <si>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</si>
  <si>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</si>
  <si>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</si>
  <si>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</si>
  <si>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</si>
  <si>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</si>
  <si>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</si>
  <si>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</si>
  <si>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</si>
  <si>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</si>
  <si>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</si>
  <si>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</si>
  <si>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</si>
  <si>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</si>
  <si>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</si>
  <si>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</si>
  <si>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</si>
  <si>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</si>
  <si>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</si>
  <si>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</si>
  <si>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</si>
  <si>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</si>
  <si>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</si>
  <si>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</si>
  <si>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</si>
  <si>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</si>
  <si>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</si>
  <si>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</si>
  <si>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</si>
  <si>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</si>
  <si>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</si>
  <si>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</si>
  <si>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</si>
  <si>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</si>
  <si>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</si>
  <si>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</si>
  <si>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</si>
  <si>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</si>
  <si>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</si>
  <si>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</si>
  <si>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</si>
  <si>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</si>
  <si>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</si>
  <si>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</si>
  <si>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</si>
  <si>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</si>
  <si>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</si>
  <si>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</si>
  <si>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</si>
  <si>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</si>
  <si>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</si>
  <si>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</si>
  <si>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</si>
  <si>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</si>
  <si>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</si>
  <si>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</si>
  <si>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</si>
  <si>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</si>
  <si>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</si>
  <si>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</si>
  <si>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</si>
  <si>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</si>
  <si>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</si>
  <si>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</si>
  <si>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</si>
  <si>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</si>
  <si>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</si>
  <si>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</si>
  <si>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</si>
  <si>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</si>
  <si>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</si>
  <si>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</si>
  <si>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</si>
  <si>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</si>
  <si>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</si>
  <si>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</si>
  <si>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ILS</t>
  </si>
  <si>
    <t>1.000000</t>
  </si>
  <si>
    <t>GBP</t>
  </si>
  <si>
    <t>CAD</t>
  </si>
  <si>
    <t>USD</t>
  </si>
  <si>
    <t>ממשלת ישראל</t>
  </si>
  <si>
    <t>ממשל צמודה 0527</t>
  </si>
  <si>
    <t>IL0011408478</t>
  </si>
  <si>
    <t>ilRF</t>
  </si>
  <si>
    <t>ממשלתי שקלי 142</t>
  </si>
  <si>
    <t>IL0011254005</t>
  </si>
  <si>
    <t>ממשל שקלית 0226</t>
  </si>
  <si>
    <t>IL0011746976</t>
  </si>
  <si>
    <t>מקמ 0516</t>
  </si>
  <si>
    <t>IL0082605150</t>
  </si>
  <si>
    <t>ממשל צמודה 1028</t>
  </si>
  <si>
    <t>IL0011973265</t>
  </si>
  <si>
    <t>ממשל צמודה 1033</t>
  </si>
  <si>
    <t>IL0012043795</t>
  </si>
  <si>
    <t>בזק החברה הישראלית לתקשורת בע"מ</t>
  </si>
  <si>
    <t>בזק  אגח 12</t>
  </si>
  <si>
    <t>IL0023002426</t>
  </si>
  <si>
    <t>Aa2.il</t>
  </si>
  <si>
    <t>דיסקונט מנפיקים בע"מ</t>
  </si>
  <si>
    <t>דיסקונט מנפיקים אגח טו</t>
  </si>
  <si>
    <t>IL0074803045</t>
  </si>
  <si>
    <t>בנק הפועלים</t>
  </si>
  <si>
    <t>פועלים אגח 201</t>
  </si>
  <si>
    <t>IL0011913451</t>
  </si>
  <si>
    <t>Aaa.il</t>
  </si>
  <si>
    <t>חברת החשמל לישראל בע"מ</t>
  </si>
  <si>
    <t>חשמל אגח 27</t>
  </si>
  <si>
    <t>IL0060002107</t>
  </si>
  <si>
    <t>מימון ישיר</t>
  </si>
  <si>
    <t>מימון ישיר אג' 5</t>
  </si>
  <si>
    <t>IL0011828311</t>
  </si>
  <si>
    <t>A1.il</t>
  </si>
  <si>
    <t>או פי סי אנרגיה</t>
  </si>
  <si>
    <t>או פי סי  אגח ב</t>
  </si>
  <si>
    <t>IL0011660573</t>
  </si>
  <si>
    <t>ilA+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</si>
  <si>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</si>
  <si>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</si>
  <si>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</si>
  <si>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</si>
  <si>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</si>
  <si>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</si>
  <si>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</si>
  <si>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נייס</t>
  </si>
  <si>
    <t>IL0002730112</t>
  </si>
  <si>
    <t>הראל קרנות נאמנות בע"מ</t>
  </si>
  <si>
    <t>הראל סל תלבונד שקלי</t>
  </si>
  <si>
    <t>IL0011505232</t>
  </si>
  <si>
    <t>מגדל קרנות נאמנות בע"מ</t>
  </si>
  <si>
    <t>MTF סל תל בונד שקלי 50</t>
  </si>
  <si>
    <t>IL0011501686</t>
  </si>
  <si>
    <t>הראל סל תל בונד שקלי 50</t>
  </si>
  <si>
    <t>IL0011507139</t>
  </si>
  <si>
    <t>מיטב תכלית קרנות נאמנות בע"מ</t>
  </si>
  <si>
    <t>תכלית סל (40) ת"א 125</t>
  </si>
  <si>
    <t>IL0011437188</t>
  </si>
  <si>
    <t>קסם קרנות נאמנות בע"מ</t>
  </si>
  <si>
    <t>קסם ETF תלבונד-שקלי 1-3</t>
  </si>
  <si>
    <t>IL0011936890</t>
  </si>
  <si>
    <t>MTF סל (4A) ת"א 35</t>
  </si>
  <si>
    <t>IL0011501843</t>
  </si>
  <si>
    <t>אי.בי.אי - קרנות נאמנות בע"מ</t>
  </si>
  <si>
    <t>אי בי אי (פסגות לשעבר)  ETF תא 125</t>
  </si>
  <si>
    <t>IL0011488082</t>
  </si>
  <si>
    <t>קסם ETF תא 35</t>
  </si>
  <si>
    <t>IL0011465700</t>
  </si>
  <si>
    <t>תכלית סל (00) תל בונד שקלי</t>
  </si>
  <si>
    <t>IL0011451841</t>
  </si>
  <si>
    <t>הראל סל תלבונד 60</t>
  </si>
  <si>
    <t>IL0011504730</t>
  </si>
  <si>
    <t>MTF סל (00) תל בונד צמודות</t>
  </si>
  <si>
    <t>IL0011501017</t>
  </si>
  <si>
    <t>קסם ETF ת"א 125</t>
  </si>
  <si>
    <t>IL0011463564</t>
  </si>
  <si>
    <t>קסם ETFי (00) תל בונד צמודות</t>
  </si>
  <si>
    <t>IL0011469272</t>
  </si>
  <si>
    <t>אי.בי.אי (פסגות לשעבר) ETF תלבונד 60</t>
  </si>
  <si>
    <t>IL0011480063</t>
  </si>
  <si>
    <t>קסם ETF תלבונד 20</t>
  </si>
  <si>
    <t>IL0011459604</t>
  </si>
  <si>
    <t>מור ניהול קרנות נאמנות (2013) בע"מ</t>
  </si>
  <si>
    <t>מור סל (4A) תא 90</t>
  </si>
  <si>
    <t>IL0011961468</t>
  </si>
  <si>
    <t>קסם ETFי (00) תל בונד צמודות-יתר</t>
  </si>
  <si>
    <t>IL0011469355</t>
  </si>
  <si>
    <t>מור סל (4A ) תא 35</t>
  </si>
  <si>
    <t>IL0011943805</t>
  </si>
  <si>
    <t>תכלית סל (00) תל בונד צמודות-יתר</t>
  </si>
  <si>
    <t>IL0011446908</t>
  </si>
  <si>
    <t>קסם תל בונד שקלי 50</t>
  </si>
  <si>
    <t>IL0011507626</t>
  </si>
  <si>
    <t>הראל סל תלבונד 40</t>
  </si>
  <si>
    <t>IL0011504995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</si>
  <si>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</si>
  <si>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</si>
  <si>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</si>
  <si>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</si>
  <si>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</si>
  <si>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</si>
  <si>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INVESCO MARKETS PLC</t>
  </si>
  <si>
    <t>ECPGFXU8A2SHKVVGJI15</t>
  </si>
  <si>
    <t>MXWO  LN -  MSCI World (P)</t>
  </si>
  <si>
    <t>IE00B60SX394</t>
  </si>
  <si>
    <t>INVESCO</t>
  </si>
  <si>
    <t>MXUK GY Invesco Europe ex UK (POALIM)</t>
  </si>
  <si>
    <t>IE00BYX5K108</t>
  </si>
  <si>
    <t>Global X</t>
  </si>
  <si>
    <t>254900QBKK4WBSO3GE51</t>
  </si>
  <si>
    <t>HXT  CN -  Canada TSX 60 (P)</t>
  </si>
  <si>
    <t>CA37963M1086</t>
  </si>
  <si>
    <t>State Street</t>
  </si>
  <si>
    <t>549300ZFEEJ2IP5VME73</t>
  </si>
  <si>
    <t>SWRD  LN -  MSCI World (P)</t>
  </si>
  <si>
    <t>IE00BFY0GT14</t>
  </si>
  <si>
    <t>IVV US Ishares S&amp;P (Poalim)</t>
  </si>
  <si>
    <t>US4642872000</t>
  </si>
  <si>
    <t>AMUNDI INVT SOLUTIONS</t>
  </si>
  <si>
    <t>549300FMBJ5S1PXQ2305</t>
  </si>
  <si>
    <t>U127  LN -  MSCI Emerging Markets (P)</t>
  </si>
  <si>
    <t>LU2573966905</t>
  </si>
  <si>
    <t>AUEM  FP -  MSCI Emerging Markets (P)</t>
  </si>
  <si>
    <t>LU1681045453</t>
  </si>
  <si>
    <t>LCJD  LN -   MSCI Japan (P)</t>
  </si>
  <si>
    <t>LU1781541252</t>
  </si>
  <si>
    <t>Xtrackers</t>
  </si>
  <si>
    <t>549300PKYNYSI1CU4632</t>
  </si>
  <si>
    <t>XPXD LN DB Pacific Ex- Japan  (POALIM)</t>
  </si>
  <si>
    <t>LU0322252338</t>
  </si>
  <si>
    <t>LYXOR INTL</t>
  </si>
  <si>
    <t>BCEHGB.99999.SL.442</t>
  </si>
  <si>
    <t>L100  LN -   FTSE 100 (P)</t>
  </si>
  <si>
    <t>LU1650492173</t>
  </si>
  <si>
    <t>HSBC</t>
  </si>
  <si>
    <t>MLU0ZO3ML4LN2LL2TL39</t>
  </si>
  <si>
    <t>HMWD LN HSBC MSCI WORLD (Poalim)</t>
  </si>
  <si>
    <t>IE00B4X9L533</t>
  </si>
  <si>
    <t>SPY SPDR S&amp;P 500 (poalim)</t>
  </si>
  <si>
    <t>US78462F1030</t>
  </si>
  <si>
    <t>Vanguard Group Inc</t>
  </si>
  <si>
    <t>5493002789CX3L0CJP65</t>
  </si>
  <si>
    <t>VOO VANGUARD S&amp;P 500 ETF (POALIM)</t>
  </si>
  <si>
    <t>US9229083632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</si>
  <si>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</si>
  <si>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</si>
  <si>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</si>
  <si>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</si>
  <si>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</si>
  <si>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</si>
  <si>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לאומי</t>
  </si>
  <si>
    <t>בלל ש.הון 31.01.27 6.6%</t>
  </si>
  <si>
    <t>פועלים-ש.הון 12/27 6.6%</t>
  </si>
  <si>
    <t>פויכטונגר השקעות</t>
  </si>
  <si>
    <t>פויכטונגר הש</t>
  </si>
  <si>
    <t>IL0010853237</t>
  </si>
  <si>
    <t>Kedma</t>
  </si>
  <si>
    <t>Kedma Capital Partners IV</t>
  </si>
  <si>
    <t>Greenfield Partners</t>
  </si>
  <si>
    <t>Greenfield Partners Fund III</t>
  </si>
  <si>
    <t>NOY Infrastructure and Energy</t>
  </si>
  <si>
    <t>Noy Fund V</t>
  </si>
  <si>
    <t>Shaked Partners</t>
  </si>
  <si>
    <t>Shaked Partners Fund II</t>
  </si>
  <si>
    <t>CVC Capital Partners</t>
  </si>
  <si>
    <t>Klirmark IV</t>
  </si>
  <si>
    <t>Green Lantern</t>
  </si>
  <si>
    <t>Green Lantern VI</t>
  </si>
  <si>
    <t>Neuberger Berman</t>
  </si>
  <si>
    <t>NB Strategic Co-Investment Partners V</t>
  </si>
  <si>
    <t>Waterland Private Equity Investments B.V.</t>
  </si>
  <si>
    <t>Macquarie Infrastructure Partners VI</t>
  </si>
  <si>
    <t>Harbourvest</t>
  </si>
  <si>
    <t>HarbourVest Co-Investment VII Combined</t>
  </si>
  <si>
    <t>Faropoint</t>
  </si>
  <si>
    <t>Faropoint Industrial SLB Fund Parallel 2</t>
  </si>
  <si>
    <t>Kohlberg Investors X - TE-B</t>
  </si>
  <si>
    <t>Clearlake Capital Partners</t>
  </si>
  <si>
    <t>Clearlake VIII</t>
  </si>
  <si>
    <t>Pantheon Ventures Inc.</t>
  </si>
  <si>
    <t>Pantheon Senior Debt Secondary III</t>
  </si>
  <si>
    <t>Kohlberg Investors X - TE</t>
  </si>
  <si>
    <t>Prime Green Energy Infrastructure Fund II</t>
  </si>
  <si>
    <t>DIGITALBRIDGE PARTNERS</t>
  </si>
  <si>
    <t>DIGITALBRIDGE PARTNERS III, LP</t>
  </si>
  <si>
    <t>Copenhagen Infrastructure Partners</t>
  </si>
  <si>
    <t>COPENHAGEN INFRASTRUCTURE V</t>
  </si>
  <si>
    <t>Levine Leichtman Capital Partners Inc.</t>
  </si>
  <si>
    <t>Levine Leichtman VII</t>
  </si>
  <si>
    <t>Dover Street XI - MVM</t>
  </si>
  <si>
    <t>One Equity Partners</t>
  </si>
  <si>
    <t>One Equity Partners IX</t>
  </si>
  <si>
    <t>MONARCH</t>
  </si>
  <si>
    <t>MONARCH CAPITAL PARTNERS OFFSHORE VI LP</t>
  </si>
  <si>
    <t>LS Power Equity Partners</t>
  </si>
  <si>
    <t>LS POWER FUND V</t>
  </si>
  <si>
    <t>Hamilton Lane</t>
  </si>
  <si>
    <t>Hamilton Secondary Fund VI - MVM</t>
  </si>
  <si>
    <t>CVC IX</t>
  </si>
  <si>
    <t>Berkshire Fund</t>
  </si>
  <si>
    <t>Berkshire Fund XI-F</t>
  </si>
  <si>
    <t>KPS Special Situations Fund VI</t>
  </si>
  <si>
    <t>Bridgepoint</t>
  </si>
  <si>
    <t>BRIDGEPOINT EUROPE VII</t>
  </si>
  <si>
    <t>MIZBILIT</t>
  </si>
  <si>
    <t>USDILS</t>
  </si>
  <si>
    <t>נדל"ן מניב - מגורים (כולל דיור מוגן)</t>
  </si>
  <si>
    <t>ilA-</t>
  </si>
  <si>
    <t>קבועה</t>
  </si>
  <si>
    <t>A2.il</t>
  </si>
  <si>
    <t>נדל"ן מניב - מסחר</t>
  </si>
  <si>
    <t>Aa1.il</t>
  </si>
  <si>
    <t>Baa1.il</t>
  </si>
  <si>
    <t>12-600</t>
  </si>
  <si>
    <t>A3.il</t>
  </si>
  <si>
    <t>Kedma Capital G.P.G.P. Ltd.</t>
  </si>
  <si>
    <t>Klirmark Capital Ltd.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</si>
  <si>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</si>
  <si>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</si>
  <si>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</si>
  <si>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</si>
  <si>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</si>
  <si>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</si>
  <si>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Dover Street XI</t>
  </si>
  <si>
    <t>Hamilton Secondary Fund VI</t>
  </si>
  <si>
    <t>Levine Leichtman Capital Partners, Inc.</t>
  </si>
  <si>
    <t xml:space="preserve">One Equity Partners </t>
  </si>
  <si>
    <t>Thoma Bravo</t>
  </si>
  <si>
    <t>Thoma Bravo Fund XVI</t>
  </si>
  <si>
    <t xml:space="preserve">HarbourVest </t>
  </si>
  <si>
    <t>Vintage Investment Partners</t>
  </si>
  <si>
    <t>Vintage FOF VIII (Access)</t>
  </si>
  <si>
    <t>HG CAPITAL</t>
  </si>
  <si>
    <t>HG Saturn 4</t>
  </si>
  <si>
    <t>520019688_gm_p_0225.xlsx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</si>
</sst>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_ ;\-#,##0.000\ "/>
    <numFmt numFmtId="169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right"/>
    </xf>
    <xf numFmtId="0" fontId="0" fillId="0" borderId="0" xfId="0" applyFill="1"/>
    <xf numFmtId="14" fontId="0" fillId="0" borderId="0" xfId="0" applyNumberFormat="1" applyFill="1"/>
    <xf numFmtId="0" fontId="0" fillId="0" borderId="2" xfId="0" applyFill="1" applyBorder="1" applyAlignment="1">
      <alignment horizontal="center"/>
    </xf>
    <xf numFmtId="168" fontId="0" fillId="0" borderId="2" xfId="0" applyNumberFormat="1" applyFill="1" applyBorder="1"/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0" fillId="0" borderId="0" xfId="0" applyNumberFormat="1" applyFill="1"/>
    <xf numFmtId="169" fontId="0" fillId="0" borderId="0" xfId="0" applyNumberFormat="1"/>
    <xf numFmtId="3" fontId="22" fillId="0" borderId="2" xfId="3" quotePrefix="1" applyNumberFormat="1" applyFont="1" applyFill="1" applyBorder="1" applyAlignment="1">
      <alignment horizontal="left"/>
    </xf>
    <xf numFmtId="169" fontId="23" fillId="0" borderId="0" xfId="0" applyNumberFormat="1" applyFont="1" applyFill="1"/>
    <xf numFmtId="0" fontId="24" fillId="0" borderId="0" xfId="0" applyFont="1"/>
    <xf numFmtId="0" fontId="25" fillId="0" borderId="0" xfId="0" applyFont="1" applyAlignment="1">
      <alignment horizontal="left"/>
    </xf>
    <xf numFmtId="0" fontId="0" fillId="0" borderId="2" xfId="0" quotePrefix="1" applyBorder="1" applyAlignment="1">
      <alignment horizontal="left"/>
    </xf>
    <xf numFmtId="0" fontId="25" fillId="0" borderId="0" xfId="0" quotePrefix="1" applyFont="1" applyFill="1" applyAlignment="1">
      <alignment horizontal="left"/>
    </xf>
    <xf numFmtId="167" fontId="0" fillId="0" borderId="0" xfId="0" applyNumberFormat="1" applyFont="1" applyAlignment="1"/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447675</xdr:colOff>
      <xdr:row>46</xdr:row>
      <xdr:rowOff>72231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C21A3EE-493C-4B8B-9702-94FC0DE43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213125" y="0"/>
          <a:ext cx="5934075" cy="8397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4C94-5FA6-49F9-955B-BEA83C1C4015}">
  <dimension ref="A1"/>
  <sheetViews>
    <sheetView rightToLeft="1" tabSelected="1" workbookViewId="0">
      <selection activeCell="J11" sqref="J11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workbookViewId="0">
      <selection activeCell="D8" sqref="D8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100.25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155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55" t="s">
        <v>1452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30" priority="1" operator="containsText" text="Please fill in data">
      <formula>NOT(ISERROR(SEARCH(("Please fill in data"),(D21))))</formula>
    </cfRule>
  </conditionalFormatting>
  <conditionalFormatting sqref="D17">
    <cfRule type="containsText" dxfId="29" priority="2" operator="containsText" text="Please fill in data">
      <formula>NOT(ISERROR(SEARCH(("Please fill in data"),(D17))))</formula>
    </cfRule>
  </conditionalFormatting>
  <conditionalFormatting sqref="D19">
    <cfRule type="containsText" dxfId="28" priority="3" operator="containsText" text="Please fill in data">
      <formula>NOT(ISERROR(SEARCH(("Please fill in data"),(D19))))</formula>
    </cfRule>
  </conditionalFormatting>
  <conditionalFormatting sqref="D16">
    <cfRule type="containsText" dxfId="27" priority="4" operator="containsText" text="Please fill in data">
      <formula>NOT(ISERROR(SEARCH(("Please fill in data"),(D16))))</formula>
    </cfRule>
  </conditionalFormatting>
  <conditionalFormatting sqref="D3">
    <cfRule type="containsText" dxfId="26" priority="5" operator="containsText" text="Please fill in data">
      <formula>NOT(ISERROR(SEARCH(("Please fill in data"),(D3))))</formula>
    </cfRule>
  </conditionalFormatting>
  <conditionalFormatting sqref="D7">
    <cfRule type="containsText" dxfId="25" priority="6" operator="containsText" text="Please fill in data">
      <formula>NOT(ISERROR(SEARCH(("Please fill in data"),(D7))))</formula>
    </cfRule>
  </conditionalFormatting>
  <conditionalFormatting sqref="D8">
    <cfRule type="containsText" dxfId="24" priority="7" operator="containsText" text="Please fill in data">
      <formula>NOT(ISERROR(SEARCH(("Please fill in data"),(D8))))</formula>
    </cfRule>
  </conditionalFormatting>
  <conditionalFormatting sqref="D5">
    <cfRule type="containsText" dxfId="23" priority="8" operator="containsText" text="Please fill in data">
      <formula>NOT(ISERROR(SEARCH(("Please fill in data"),(D5))))</formula>
    </cfRule>
  </conditionalFormatting>
  <conditionalFormatting sqref="D9">
    <cfRule type="containsText" dxfId="22" priority="9" operator="containsText" text="Please fill in data">
      <formula>NOT(ISERROR(SEARCH(("Please fill in data"),(D9))))</formula>
    </cfRule>
  </conditionalFormatting>
  <conditionalFormatting sqref="D11">
    <cfRule type="containsText" dxfId="21" priority="10" operator="containsText" text="Please fill in data">
      <formula>NOT(ISERROR(SEARCH(("Please fill in data"),(D11))))</formula>
    </cfRule>
  </conditionalFormatting>
  <conditionalFormatting sqref="D13">
    <cfRule type="containsText" dxfId="20" priority="11" operator="containsText" text="Please fill in data">
      <formula>NOT(ISERROR(SEARCH(("Please fill in data"),(D13))))</formula>
    </cfRule>
  </conditionalFormatting>
  <conditionalFormatting sqref="D15">
    <cfRule type="containsText" dxfId="19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20517.876810000002</v>
      </c>
      <c r="C3" s="116"/>
      <c r="D3" s="117"/>
      <c r="E3" s="114">
        <f>IFERROR(B3/$B$30,0)</f>
        <v>2.3707957560236807E-2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125842.72873</v>
      </c>
      <c r="C4" s="116"/>
      <c r="D4" s="117"/>
      <c r="E4" s="114">
        <f t="shared" ref="E4:E29" si="0">IFERROR(B4/$B$30,0)</f>
        <v>0.14540851861149434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2589.8000299999999</v>
      </c>
      <c r="C6" s="116"/>
      <c r="D6" s="117"/>
      <c r="E6" s="114">
        <f t="shared" si="0"/>
        <v>2.9924572493200386E-3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1428.6074000000001</v>
      </c>
      <c r="C7" s="116"/>
      <c r="D7" s="117"/>
      <c r="E7" s="114">
        <f t="shared" si="0"/>
        <v>1.650724581450504E-3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675597.12964000006</v>
      </c>
      <c r="C8" s="116"/>
      <c r="D8" s="117"/>
      <c r="E8" s="114">
        <f t="shared" si="0"/>
        <v>0.78063769588072329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0</v>
      </c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0</v>
      </c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0</v>
      </c>
      <c r="C15" s="116"/>
      <c r="D15" s="117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477.72393</v>
      </c>
      <c r="C18" s="116"/>
      <c r="D18" s="117"/>
      <c r="E18" s="114">
        <f t="shared" si="0"/>
        <v>5.5199954473016154E-4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6"/>
      <c r="D19" s="117"/>
      <c r="E19" s="114">
        <f t="shared" si="0"/>
        <v>2.4149492542398652E-9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23713.142759999999</v>
      </c>
      <c r="C20" s="116"/>
      <c r="D20" s="117"/>
      <c r="E20" s="114">
        <f t="shared" si="0"/>
        <v>2.7400017427725097E-2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10543.68988</v>
      </c>
      <c r="C23" s="116"/>
      <c r="D23" s="117"/>
      <c r="E23" s="114">
        <f t="shared" si="0"/>
        <v>1.2183002876862399E-2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4731.9146900000005</v>
      </c>
      <c r="C24" s="116"/>
      <c r="D24" s="117"/>
      <c r="E24" s="114">
        <f t="shared" si="0"/>
        <v>5.4676238525082129E-3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0</v>
      </c>
      <c r="C26" s="116"/>
      <c r="D26" s="117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0</v>
      </c>
      <c r="C29" s="116"/>
      <c r="D29" s="117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865442.61595999997</v>
      </c>
      <c r="C30" s="118"/>
      <c r="D30" s="118"/>
      <c r="E30" s="115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3">
        <v>3103.826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3">
        <v>54138.978000000003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H16" sqref="H1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526</v>
      </c>
      <c r="B2" s="121">
        <v>526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26.50675</v>
      </c>
      <c r="M2" s="122">
        <v>3.9552</v>
      </c>
      <c r="N2" s="123"/>
      <c r="O2" s="122">
        <v>104.8395</v>
      </c>
      <c r="P2" s="123">
        <v>5.1089999999999998E-3</v>
      </c>
      <c r="Q2" s="123">
        <v>1.21E-4</v>
      </c>
    </row>
    <row r="3" spans="1:26" ht="15" customHeight="1">
      <c r="A3" s="121">
        <v>526</v>
      </c>
      <c r="B3" s="121">
        <v>526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1.2465900000000001</v>
      </c>
      <c r="M3" s="122">
        <v>1</v>
      </c>
      <c r="N3" s="123"/>
      <c r="O3" s="122">
        <v>1.2465900000000001</v>
      </c>
      <c r="P3" s="123">
        <v>6.0000000000000002E-5</v>
      </c>
      <c r="Q3" s="123">
        <v>9.9999999999999995E-7</v>
      </c>
    </row>
    <row r="4" spans="1:26" ht="15" customHeight="1">
      <c r="A4" s="121">
        <v>526</v>
      </c>
      <c r="B4" s="121">
        <v>526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0.55650999999999995</v>
      </c>
      <c r="M4" s="122">
        <v>4.6235999999999997</v>
      </c>
      <c r="N4" s="123"/>
      <c r="O4" s="122">
        <v>2.57308</v>
      </c>
      <c r="P4" s="123">
        <v>1.25E-4</v>
      </c>
      <c r="Q4" s="123">
        <v>1.9999999999999999E-6</v>
      </c>
    </row>
    <row r="5" spans="1:26" ht="15" customHeight="1">
      <c r="A5" s="121">
        <v>526</v>
      </c>
      <c r="B5" s="121">
        <v>526</v>
      </c>
      <c r="C5" s="120" t="s">
        <v>1241</v>
      </c>
      <c r="D5" s="132" t="s">
        <v>1431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120.29991</v>
      </c>
      <c r="M5" s="122">
        <v>1</v>
      </c>
      <c r="N5" s="123"/>
      <c r="O5" s="122">
        <v>120.29991</v>
      </c>
      <c r="P5" s="123">
        <v>5.8630000000000002E-3</v>
      </c>
      <c r="Q5" s="123">
        <v>1.3899999999999999E-4</v>
      </c>
    </row>
    <row r="6" spans="1:26" ht="15" customHeight="1">
      <c r="A6" s="121">
        <v>526</v>
      </c>
      <c r="B6" s="121">
        <v>526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0.32416</v>
      </c>
      <c r="M6" s="122">
        <v>2.4674</v>
      </c>
      <c r="N6" s="123"/>
      <c r="O6" s="122">
        <v>0.79983000000000004</v>
      </c>
      <c r="P6" s="123">
        <v>3.8000000000000002E-5</v>
      </c>
      <c r="Q6" s="123">
        <v>0</v>
      </c>
    </row>
    <row r="7" spans="1:26" ht="15" customHeight="1">
      <c r="A7" s="121">
        <v>526</v>
      </c>
      <c r="B7" s="121">
        <v>526</v>
      </c>
      <c r="C7" s="120" t="s">
        <v>1213</v>
      </c>
      <c r="D7" s="120" t="s">
        <v>1214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3.9699999999999996E-3</v>
      </c>
      <c r="M7" s="122">
        <v>3.3719999999999999</v>
      </c>
      <c r="N7" s="123"/>
      <c r="O7" s="122">
        <v>1.3390000000000001E-2</v>
      </c>
      <c r="P7" s="123">
        <v>0</v>
      </c>
      <c r="Q7" s="123">
        <v>0</v>
      </c>
    </row>
    <row r="8" spans="1:26" ht="15" customHeight="1">
      <c r="A8" s="121">
        <v>526</v>
      </c>
      <c r="B8" s="121">
        <v>526</v>
      </c>
      <c r="C8" s="120" t="s">
        <v>1241</v>
      </c>
      <c r="D8" s="132" t="s">
        <v>1431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1219</v>
      </c>
      <c r="L8" s="122">
        <v>1258.26116</v>
      </c>
      <c r="M8" s="122">
        <v>3.3719999999999999</v>
      </c>
      <c r="N8" s="123"/>
      <c r="O8" s="122">
        <v>4242.8566300000002</v>
      </c>
      <c r="P8" s="123">
        <v>0.206788</v>
      </c>
      <c r="Q8" s="123">
        <v>4.9020000000000001E-3</v>
      </c>
    </row>
    <row r="9" spans="1:26" ht="15" customHeight="1">
      <c r="A9" s="121">
        <v>526</v>
      </c>
      <c r="B9" s="121">
        <v>526</v>
      </c>
      <c r="C9" s="120" t="s">
        <v>1209</v>
      </c>
      <c r="D9" s="120" t="s">
        <v>1210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5.3976899999999999</v>
      </c>
      <c r="M9" s="122">
        <v>3.3719999999999999</v>
      </c>
      <c r="N9" s="123"/>
      <c r="O9" s="122">
        <v>18.20101</v>
      </c>
      <c r="P9" s="123">
        <v>8.8699999999999998E-4</v>
      </c>
      <c r="Q9" s="123">
        <v>2.0999999999999999E-5</v>
      </c>
    </row>
    <row r="10" spans="1:26" ht="15" customHeight="1">
      <c r="A10" s="121">
        <v>526</v>
      </c>
      <c r="B10" s="121">
        <v>526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1212</v>
      </c>
      <c r="L10" s="122">
        <v>8.8000000000000003E-4</v>
      </c>
      <c r="M10" s="122">
        <v>3.9552</v>
      </c>
      <c r="N10" s="123"/>
      <c r="O10" s="122">
        <v>3.48E-3</v>
      </c>
      <c r="P10" s="123">
        <v>0</v>
      </c>
      <c r="Q10" s="123">
        <v>0</v>
      </c>
    </row>
    <row r="11" spans="1:26" ht="15" customHeight="1">
      <c r="A11" s="121">
        <v>526</v>
      </c>
      <c r="B11" s="121">
        <v>526</v>
      </c>
      <c r="C11" s="120" t="s">
        <v>1241</v>
      </c>
      <c r="D11" s="132" t="s">
        <v>1431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1212</v>
      </c>
      <c r="L11" s="122">
        <v>3.4533299999999998</v>
      </c>
      <c r="M11" s="122">
        <v>3.9552</v>
      </c>
      <c r="N11" s="123"/>
      <c r="O11" s="122">
        <v>13.658609999999999</v>
      </c>
      <c r="P11" s="123">
        <v>6.6500000000000001E-4</v>
      </c>
      <c r="Q11" s="123">
        <v>1.5E-5</v>
      </c>
    </row>
    <row r="12" spans="1:26" ht="15" customHeight="1">
      <c r="A12" s="121">
        <v>526</v>
      </c>
      <c r="B12" s="121">
        <v>526</v>
      </c>
      <c r="C12" s="120" t="s">
        <v>1209</v>
      </c>
      <c r="D12" s="120" t="s">
        <v>1210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1215</v>
      </c>
      <c r="L12" s="122">
        <v>0.93293000000000004</v>
      </c>
      <c r="M12" s="122">
        <v>1</v>
      </c>
      <c r="N12" s="123"/>
      <c r="O12" s="122">
        <v>0.93293000000000004</v>
      </c>
      <c r="P12" s="123">
        <v>4.5000000000000003E-5</v>
      </c>
      <c r="Q12" s="123">
        <v>9.9999999999999995E-7</v>
      </c>
    </row>
    <row r="13" spans="1:26" ht="15" customHeight="1">
      <c r="A13" s="121">
        <v>526</v>
      </c>
      <c r="B13" s="121">
        <v>526</v>
      </c>
      <c r="C13" s="120" t="s">
        <v>1209</v>
      </c>
      <c r="D13" s="120" t="s">
        <v>1210</v>
      </c>
      <c r="E13" s="120" t="s">
        <v>314</v>
      </c>
      <c r="F13" s="120" t="s">
        <v>938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1215</v>
      </c>
      <c r="L13" s="122">
        <v>16012.451849999999</v>
      </c>
      <c r="M13" s="122">
        <v>1</v>
      </c>
      <c r="N13" s="120"/>
      <c r="O13" s="122">
        <v>16012.451849999999</v>
      </c>
      <c r="P13" s="123">
        <v>0.78041400000000005</v>
      </c>
      <c r="Q13" s="123">
        <v>1.8501E-2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1220</v>
      </c>
      <c r="D2" s="120" t="s">
        <v>1221</v>
      </c>
      <c r="E2" s="121" t="s">
        <v>1222</v>
      </c>
      <c r="F2" s="120" t="s">
        <v>944</v>
      </c>
      <c r="G2" s="120" t="s">
        <v>203</v>
      </c>
      <c r="H2" s="120" t="s">
        <v>203</v>
      </c>
      <c r="I2" s="120" t="s">
        <v>339</v>
      </c>
      <c r="J2" s="120" t="s">
        <v>1223</v>
      </c>
      <c r="K2" s="120" t="s">
        <v>412</v>
      </c>
      <c r="L2" s="120" t="s">
        <v>1215</v>
      </c>
      <c r="M2" s="122">
        <v>1.91</v>
      </c>
      <c r="N2" s="124">
        <v>46538</v>
      </c>
      <c r="O2" s="123">
        <v>7.4999999999999997E-3</v>
      </c>
      <c r="P2" s="123">
        <v>2.0899999999999998E-2</v>
      </c>
      <c r="Q2" s="122"/>
      <c r="R2" s="122">
        <v>5624317</v>
      </c>
      <c r="S2" s="122">
        <v>1</v>
      </c>
      <c r="T2" s="122">
        <v>115.45</v>
      </c>
      <c r="U2" s="122">
        <v>6493.2739799999999</v>
      </c>
      <c r="V2" s="122"/>
      <c r="W2" s="120"/>
      <c r="X2" s="123">
        <v>2.3000000000000001E-4</v>
      </c>
      <c r="Y2" s="123">
        <v>5.1597999999999998E-2</v>
      </c>
      <c r="Z2" s="123">
        <v>7.502E-3</v>
      </c>
    </row>
    <row r="3" spans="1:26" ht="15" customHeight="1">
      <c r="A3" s="121">
        <v>526</v>
      </c>
      <c r="B3" s="121">
        <v>526</v>
      </c>
      <c r="C3" s="120" t="s">
        <v>1220</v>
      </c>
      <c r="D3" s="120" t="s">
        <v>1224</v>
      </c>
      <c r="E3" s="121" t="s">
        <v>1225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1223</v>
      </c>
      <c r="K3" s="120" t="s">
        <v>412</v>
      </c>
      <c r="L3" s="120" t="s">
        <v>1215</v>
      </c>
      <c r="M3" s="122">
        <v>11.43</v>
      </c>
      <c r="N3" s="124">
        <v>51897</v>
      </c>
      <c r="O3" s="123">
        <v>5.5E-2</v>
      </c>
      <c r="P3" s="123">
        <v>4.3499999999999997E-2</v>
      </c>
      <c r="Q3" s="120"/>
      <c r="R3" s="122">
        <v>25543270</v>
      </c>
      <c r="S3" s="122">
        <v>1</v>
      </c>
      <c r="T3" s="122">
        <v>115.63</v>
      </c>
      <c r="U3" s="122">
        <v>29535.683099999998</v>
      </c>
      <c r="V3" s="120"/>
      <c r="W3" s="120"/>
      <c r="X3" s="123">
        <v>8.8900000000000003E-4</v>
      </c>
      <c r="Y3" s="123">
        <v>0.23470299999999999</v>
      </c>
      <c r="Z3" s="123">
        <v>3.4126999999999998E-2</v>
      </c>
    </row>
    <row r="4" spans="1:26" ht="15" customHeight="1">
      <c r="A4" s="121">
        <v>526</v>
      </c>
      <c r="B4" s="121">
        <v>526</v>
      </c>
      <c r="C4" s="120" t="s">
        <v>1220</v>
      </c>
      <c r="D4" s="120" t="s">
        <v>1226</v>
      </c>
      <c r="E4" s="121" t="s">
        <v>1227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1223</v>
      </c>
      <c r="K4" s="120" t="s">
        <v>412</v>
      </c>
      <c r="L4" s="120" t="s">
        <v>1215</v>
      </c>
      <c r="M4" s="122">
        <v>0.66</v>
      </c>
      <c r="N4" s="124">
        <v>46080</v>
      </c>
      <c r="O4" s="123">
        <v>5.0000000000000001E-3</v>
      </c>
      <c r="P4" s="123">
        <v>4.0300000000000002E-2</v>
      </c>
      <c r="Q4" s="120"/>
      <c r="R4" s="122">
        <v>20435071</v>
      </c>
      <c r="S4" s="122">
        <v>1</v>
      </c>
      <c r="T4" s="122">
        <v>97.91</v>
      </c>
      <c r="U4" s="122">
        <v>20007.978019999999</v>
      </c>
      <c r="V4" s="120"/>
      <c r="W4" s="120"/>
      <c r="X4" s="123">
        <v>7.3499999999999998E-4</v>
      </c>
      <c r="Y4" s="123">
        <v>0.15899099999999999</v>
      </c>
      <c r="Z4" s="123">
        <v>2.3118E-2</v>
      </c>
    </row>
    <row r="5" spans="1:26" ht="15" customHeight="1">
      <c r="A5" s="121">
        <v>526</v>
      </c>
      <c r="B5" s="121">
        <v>526</v>
      </c>
      <c r="C5" s="120" t="s">
        <v>1220</v>
      </c>
      <c r="D5" s="120" t="s">
        <v>1228</v>
      </c>
      <c r="E5" s="121" t="s">
        <v>1229</v>
      </c>
      <c r="F5" s="120" t="s">
        <v>950</v>
      </c>
      <c r="G5" s="120" t="s">
        <v>203</v>
      </c>
      <c r="H5" s="120" t="s">
        <v>203</v>
      </c>
      <c r="I5" s="120" t="s">
        <v>339</v>
      </c>
      <c r="J5" s="120" t="s">
        <v>1223</v>
      </c>
      <c r="K5" s="120" t="s">
        <v>412</v>
      </c>
      <c r="L5" s="120" t="s">
        <v>1215</v>
      </c>
      <c r="M5" s="122">
        <v>0.85</v>
      </c>
      <c r="N5" s="124">
        <v>46148</v>
      </c>
      <c r="O5" s="123">
        <v>0</v>
      </c>
      <c r="P5" s="123">
        <v>4.1200000000000001E-2</v>
      </c>
      <c r="Q5" s="120"/>
      <c r="R5" s="122">
        <v>15490575</v>
      </c>
      <c r="S5" s="122">
        <v>1</v>
      </c>
      <c r="T5" s="122">
        <v>96.64</v>
      </c>
      <c r="U5" s="122">
        <v>14970.09168</v>
      </c>
      <c r="V5" s="120"/>
      <c r="W5" s="120"/>
      <c r="X5" s="123">
        <v>8.5999999999999998E-4</v>
      </c>
      <c r="Y5" s="123">
        <v>0.11895799999999999</v>
      </c>
      <c r="Z5" s="123">
        <v>1.7297E-2</v>
      </c>
    </row>
    <row r="6" spans="1:26" ht="15" customHeight="1">
      <c r="A6" s="121">
        <v>526</v>
      </c>
      <c r="B6" s="121">
        <v>526</v>
      </c>
      <c r="C6" s="120" t="s">
        <v>1220</v>
      </c>
      <c r="D6" s="120" t="s">
        <v>1230</v>
      </c>
      <c r="E6" s="121" t="s">
        <v>1231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1223</v>
      </c>
      <c r="K6" s="120" t="s">
        <v>412</v>
      </c>
      <c r="L6" s="120" t="s">
        <v>1215</v>
      </c>
      <c r="M6" s="122">
        <v>3.27</v>
      </c>
      <c r="N6" s="124">
        <v>47057</v>
      </c>
      <c r="O6" s="123">
        <v>1.0999999999999999E-2</v>
      </c>
      <c r="P6" s="123">
        <v>2.0500000000000001E-2</v>
      </c>
      <c r="Q6" s="120"/>
      <c r="R6" s="122">
        <v>9687664</v>
      </c>
      <c r="S6" s="122">
        <v>1</v>
      </c>
      <c r="T6" s="122">
        <v>103.51</v>
      </c>
      <c r="U6" s="122">
        <v>10027.701010000001</v>
      </c>
      <c r="V6" s="120"/>
      <c r="W6" s="120"/>
      <c r="X6" s="123">
        <v>3.0800000000000001E-4</v>
      </c>
      <c r="Y6" s="123">
        <v>7.9684000000000005E-2</v>
      </c>
      <c r="Z6" s="123">
        <v>1.1586000000000001E-2</v>
      </c>
    </row>
    <row r="7" spans="1:26" ht="15" customHeight="1">
      <c r="A7" s="121">
        <v>526</v>
      </c>
      <c r="B7" s="121">
        <v>526</v>
      </c>
      <c r="C7" s="120" t="s">
        <v>1220</v>
      </c>
      <c r="D7" s="120" t="s">
        <v>1232</v>
      </c>
      <c r="E7" s="121" t="s">
        <v>1233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1223</v>
      </c>
      <c r="K7" s="120" t="s">
        <v>412</v>
      </c>
      <c r="L7" s="120" t="s">
        <v>1215</v>
      </c>
      <c r="M7" s="122">
        <v>7.78</v>
      </c>
      <c r="N7" s="124">
        <v>48883</v>
      </c>
      <c r="O7" s="123">
        <v>1.6E-2</v>
      </c>
      <c r="P7" s="123">
        <v>1.9699999999999999E-2</v>
      </c>
      <c r="Q7" s="120"/>
      <c r="R7" s="122">
        <v>43376574</v>
      </c>
      <c r="S7" s="122">
        <v>1</v>
      </c>
      <c r="T7" s="122">
        <v>103.3</v>
      </c>
      <c r="U7" s="122">
        <v>44808.000939999998</v>
      </c>
      <c r="V7" s="120"/>
      <c r="W7" s="120"/>
      <c r="X7" s="123">
        <v>1.8320000000000001E-3</v>
      </c>
      <c r="Y7" s="123">
        <v>0.35606300000000002</v>
      </c>
      <c r="Z7" s="123">
        <v>5.1774000000000001E-2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8"/>
  <sheetViews>
    <sheetView rightToLeft="1" topLeftCell="J1" workbookViewId="0">
      <selection activeCell="X10" sqref="X1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526</v>
      </c>
      <c r="B2" s="121">
        <v>526</v>
      </c>
      <c r="C2" s="120" t="s">
        <v>1234</v>
      </c>
      <c r="D2" s="121">
        <v>520031931</v>
      </c>
      <c r="E2" s="120" t="s">
        <v>308</v>
      </c>
      <c r="F2" s="120" t="s">
        <v>1235</v>
      </c>
      <c r="G2" s="121" t="s">
        <v>1236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1237</v>
      </c>
      <c r="Q2" s="120" t="s">
        <v>414</v>
      </c>
      <c r="R2" s="120" t="s">
        <v>406</v>
      </c>
      <c r="S2" s="120" t="s">
        <v>1215</v>
      </c>
      <c r="T2" s="122">
        <v>2.82</v>
      </c>
      <c r="U2" s="124">
        <v>47635</v>
      </c>
      <c r="V2" s="123">
        <v>1.7000000000000001E-2</v>
      </c>
      <c r="W2" s="123">
        <v>2.53E-2</v>
      </c>
      <c r="X2" s="120" t="s">
        <v>411</v>
      </c>
      <c r="Y2" s="120"/>
      <c r="Z2" s="122">
        <v>671031</v>
      </c>
      <c r="AA2" s="122">
        <v>1</v>
      </c>
      <c r="AB2" s="122">
        <v>112.86</v>
      </c>
      <c r="AC2" s="122"/>
      <c r="AD2" s="122">
        <v>757.32559000000003</v>
      </c>
      <c r="AE2" s="122"/>
      <c r="AF2" s="122"/>
      <c r="AG2" s="120"/>
      <c r="AH2" s="123">
        <v>5.2800000000000004E-4</v>
      </c>
      <c r="AI2" s="123">
        <v>0.29242600000000002</v>
      </c>
      <c r="AJ2" s="123">
        <v>8.7500000000000002E-4</v>
      </c>
    </row>
    <row r="3" spans="1:36" ht="15" customHeight="1">
      <c r="A3" s="121">
        <v>526</v>
      </c>
      <c r="B3" s="121">
        <v>526</v>
      </c>
      <c r="C3" s="120" t="s">
        <v>1238</v>
      </c>
      <c r="D3" s="121">
        <v>520029935</v>
      </c>
      <c r="E3" s="120" t="s">
        <v>308</v>
      </c>
      <c r="F3" s="120" t="s">
        <v>1239</v>
      </c>
      <c r="G3" s="121" t="s">
        <v>1240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1215</v>
      </c>
      <c r="T3" s="122">
        <v>3.5</v>
      </c>
      <c r="U3" s="124">
        <v>48441</v>
      </c>
      <c r="V3" s="123">
        <v>2E-3</v>
      </c>
      <c r="W3" s="123">
        <v>2.5999999999999999E-2</v>
      </c>
      <c r="X3" s="120" t="s">
        <v>411</v>
      </c>
      <c r="Y3" s="120"/>
      <c r="Z3" s="122">
        <v>0.21</v>
      </c>
      <c r="AA3" s="122">
        <v>1</v>
      </c>
      <c r="AB3" s="122">
        <v>105.05</v>
      </c>
      <c r="AC3" s="120"/>
      <c r="AD3" s="122">
        <v>2.2000000000000001E-4</v>
      </c>
      <c r="AE3" s="120"/>
      <c r="AF3" s="120"/>
      <c r="AG3" s="120"/>
      <c r="AH3" s="123">
        <v>0</v>
      </c>
      <c r="AI3" s="123">
        <v>0</v>
      </c>
      <c r="AJ3" s="123">
        <v>0</v>
      </c>
    </row>
    <row r="4" spans="1:36" ht="15" customHeight="1">
      <c r="A4" s="121">
        <v>526</v>
      </c>
      <c r="B4" s="121">
        <v>526</v>
      </c>
      <c r="C4" s="120" t="s">
        <v>1241</v>
      </c>
      <c r="D4" s="121">
        <v>520000118</v>
      </c>
      <c r="E4" s="120" t="s">
        <v>308</v>
      </c>
      <c r="F4" s="120" t="s">
        <v>1242</v>
      </c>
      <c r="G4" s="121" t="s">
        <v>1243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1244</v>
      </c>
      <c r="Q4" s="120" t="s">
        <v>414</v>
      </c>
      <c r="R4" s="120" t="s">
        <v>406</v>
      </c>
      <c r="S4" s="120" t="s">
        <v>1215</v>
      </c>
      <c r="T4" s="122">
        <v>3.72</v>
      </c>
      <c r="U4" s="124">
        <v>48547</v>
      </c>
      <c r="V4" s="123">
        <v>1.3899999999999999E-2</v>
      </c>
      <c r="W4" s="123">
        <v>2.5100000000000001E-2</v>
      </c>
      <c r="X4" s="120" t="s">
        <v>411</v>
      </c>
      <c r="Y4" s="120"/>
      <c r="Z4" s="122">
        <v>0.18</v>
      </c>
      <c r="AA4" s="122">
        <v>1</v>
      </c>
      <c r="AB4" s="122">
        <v>105.13</v>
      </c>
      <c r="AC4" s="120"/>
      <c r="AD4" s="122">
        <v>1.9000000000000001E-4</v>
      </c>
      <c r="AE4" s="120"/>
      <c r="AF4" s="120"/>
      <c r="AG4" s="120"/>
      <c r="AH4" s="123">
        <v>0</v>
      </c>
      <c r="AI4" s="123">
        <v>0</v>
      </c>
      <c r="AJ4" s="123">
        <v>0</v>
      </c>
    </row>
    <row r="5" spans="1:36" ht="15" customHeight="1">
      <c r="A5" s="121">
        <v>526</v>
      </c>
      <c r="B5" s="121">
        <v>526</v>
      </c>
      <c r="C5" s="120" t="s">
        <v>1245</v>
      </c>
      <c r="D5" s="121">
        <v>520000472</v>
      </c>
      <c r="E5" s="120" t="s">
        <v>308</v>
      </c>
      <c r="F5" s="120" t="s">
        <v>1246</v>
      </c>
      <c r="G5" s="121" t="s">
        <v>1247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1215</v>
      </c>
      <c r="T5" s="122">
        <v>2.77</v>
      </c>
      <c r="U5" s="124">
        <v>47220</v>
      </c>
      <c r="V5" s="123">
        <v>3.85E-2</v>
      </c>
      <c r="W5" s="123">
        <v>2.46E-2</v>
      </c>
      <c r="X5" s="120" t="s">
        <v>411</v>
      </c>
      <c r="Y5" s="120"/>
      <c r="Z5" s="122">
        <v>0.52</v>
      </c>
      <c r="AA5" s="122">
        <v>1</v>
      </c>
      <c r="AB5" s="122">
        <v>123.46</v>
      </c>
      <c r="AC5" s="120"/>
      <c r="AD5" s="122">
        <v>6.4000000000000005E-4</v>
      </c>
      <c r="AE5" s="120"/>
      <c r="AF5" s="120"/>
      <c r="AG5" s="120"/>
      <c r="AH5" s="123">
        <v>0</v>
      </c>
      <c r="AI5" s="123">
        <v>0</v>
      </c>
      <c r="AJ5" s="123">
        <v>0</v>
      </c>
    </row>
    <row r="6" spans="1:36" ht="15" customHeight="1">
      <c r="A6" s="121">
        <v>526</v>
      </c>
      <c r="B6" s="121">
        <v>526</v>
      </c>
      <c r="C6" s="120" t="s">
        <v>1248</v>
      </c>
      <c r="D6" s="121">
        <v>513893123</v>
      </c>
      <c r="E6" s="120" t="s">
        <v>308</v>
      </c>
      <c r="F6" s="120" t="s">
        <v>1249</v>
      </c>
      <c r="G6" s="121" t="s">
        <v>1250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442</v>
      </c>
      <c r="O6" s="120" t="s">
        <v>338</v>
      </c>
      <c r="P6" s="120" t="s">
        <v>1251</v>
      </c>
      <c r="Q6" s="120" t="s">
        <v>414</v>
      </c>
      <c r="R6" s="120" t="s">
        <v>406</v>
      </c>
      <c r="S6" s="120" t="s">
        <v>1215</v>
      </c>
      <c r="T6" s="122">
        <v>2.78</v>
      </c>
      <c r="U6" s="124">
        <v>48060</v>
      </c>
      <c r="V6" s="123">
        <v>0.01</v>
      </c>
      <c r="W6" s="123">
        <v>3.1E-2</v>
      </c>
      <c r="X6" s="120" t="s">
        <v>411</v>
      </c>
      <c r="Y6" s="120"/>
      <c r="Z6" s="122">
        <v>911206.12</v>
      </c>
      <c r="AA6" s="122">
        <v>1</v>
      </c>
      <c r="AB6" s="122">
        <v>108.19</v>
      </c>
      <c r="AC6" s="120"/>
      <c r="AD6" s="122">
        <v>985.83389999999997</v>
      </c>
      <c r="AE6" s="120"/>
      <c r="AF6" s="120"/>
      <c r="AG6" s="120"/>
      <c r="AH6" s="123">
        <v>5.0600000000000005E-4</v>
      </c>
      <c r="AI6" s="123">
        <v>0.38066</v>
      </c>
      <c r="AJ6" s="123">
        <v>1.139E-3</v>
      </c>
    </row>
    <row r="7" spans="1:36" ht="15" customHeight="1">
      <c r="A7" s="121">
        <v>526</v>
      </c>
      <c r="B7" s="121">
        <v>526</v>
      </c>
      <c r="C7" s="120" t="s">
        <v>1252</v>
      </c>
      <c r="D7" s="121">
        <v>514401702</v>
      </c>
      <c r="E7" s="120" t="s">
        <v>308</v>
      </c>
      <c r="F7" s="120" t="s">
        <v>1253</v>
      </c>
      <c r="G7" s="121" t="s">
        <v>1254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439</v>
      </c>
      <c r="O7" s="120" t="s">
        <v>338</v>
      </c>
      <c r="P7" s="120" t="s">
        <v>1255</v>
      </c>
      <c r="Q7" s="120" t="s">
        <v>412</v>
      </c>
      <c r="R7" s="120" t="s">
        <v>406</v>
      </c>
      <c r="S7" s="120" t="s">
        <v>1215</v>
      </c>
      <c r="T7" s="122">
        <v>2.4700000000000002</v>
      </c>
      <c r="U7" s="124">
        <v>47027</v>
      </c>
      <c r="V7" s="123">
        <v>2.7E-2</v>
      </c>
      <c r="W7" s="123">
        <v>3.0800000000000001E-2</v>
      </c>
      <c r="X7" s="120" t="s">
        <v>411</v>
      </c>
      <c r="Y7" s="120"/>
      <c r="Z7" s="122">
        <v>0.55000000000000004</v>
      </c>
      <c r="AA7" s="122">
        <v>1</v>
      </c>
      <c r="AB7" s="122">
        <v>116.37</v>
      </c>
      <c r="AC7" s="120"/>
      <c r="AD7" s="122">
        <v>6.4000000000000005E-4</v>
      </c>
      <c r="AE7" s="120"/>
      <c r="AF7" s="120"/>
      <c r="AG7" s="120"/>
      <c r="AH7" s="123">
        <v>0</v>
      </c>
      <c r="AI7" s="123">
        <v>0</v>
      </c>
      <c r="AJ7" s="123">
        <v>0</v>
      </c>
    </row>
    <row r="8" spans="1:36" ht="15" customHeight="1">
      <c r="A8" s="121">
        <v>526</v>
      </c>
      <c r="B8" s="121">
        <v>526</v>
      </c>
      <c r="C8" s="120" t="s">
        <v>1256</v>
      </c>
      <c r="D8" s="121">
        <v>513623314</v>
      </c>
      <c r="E8" s="120" t="s">
        <v>308</v>
      </c>
      <c r="F8" s="120" t="s">
        <v>1257</v>
      </c>
      <c r="G8" s="121" t="s">
        <v>1258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463</v>
      </c>
      <c r="O8" s="120" t="s">
        <v>338</v>
      </c>
      <c r="P8" s="120" t="s">
        <v>1259</v>
      </c>
      <c r="Q8" s="120" t="s">
        <v>414</v>
      </c>
      <c r="R8" s="120" t="s">
        <v>406</v>
      </c>
      <c r="S8" s="120" t="s">
        <v>1215</v>
      </c>
      <c r="T8" s="122">
        <v>3.77</v>
      </c>
      <c r="U8" s="124">
        <v>47937</v>
      </c>
      <c r="V8" s="123">
        <v>1.3299999999999999E-2</v>
      </c>
      <c r="W8" s="123">
        <v>2.8500000000000001E-2</v>
      </c>
      <c r="X8" s="120" t="s">
        <v>411</v>
      </c>
      <c r="Y8" s="120"/>
      <c r="Z8" s="122">
        <v>763425.47</v>
      </c>
      <c r="AA8" s="122">
        <v>1</v>
      </c>
      <c r="AB8" s="122">
        <v>110.9</v>
      </c>
      <c r="AC8" s="120"/>
      <c r="AD8" s="122">
        <v>846.63885000000005</v>
      </c>
      <c r="AE8" s="120"/>
      <c r="AF8" s="120"/>
      <c r="AG8" s="120"/>
      <c r="AH8" s="123">
        <v>6.78E-4</v>
      </c>
      <c r="AI8" s="123">
        <v>0.32691199999999998</v>
      </c>
      <c r="AJ8" s="123">
        <v>9.7799999999999992E-4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XFC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.87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/>
    <col min="27" max="16383" width="12.625" hidden="1"/>
    <col min="16384" max="16384" width="0.875" hidden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 t="s">
        <v>1260</v>
      </c>
      <c r="D2" s="121">
        <v>520044322</v>
      </c>
      <c r="E2" s="120" t="s">
        <v>308</v>
      </c>
      <c r="F2" s="120" t="s">
        <v>1261</v>
      </c>
      <c r="G2" s="121" t="s">
        <v>1262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453</v>
      </c>
      <c r="O2" s="120" t="s">
        <v>338</v>
      </c>
      <c r="P2" s="120" t="s">
        <v>1215</v>
      </c>
      <c r="Q2" s="122">
        <v>1111</v>
      </c>
      <c r="R2" s="122">
        <v>1</v>
      </c>
      <c r="S2" s="122">
        <v>69740</v>
      </c>
      <c r="T2" s="122"/>
      <c r="U2" s="122">
        <v>774.81140000000005</v>
      </c>
      <c r="V2" s="123">
        <v>5.8999999999999998E-5</v>
      </c>
      <c r="W2" s="123">
        <v>0.542354</v>
      </c>
      <c r="X2" s="123">
        <v>8.9499999999999996E-4</v>
      </c>
    </row>
    <row r="3" spans="1:26" ht="15" customHeight="1">
      <c r="A3" s="121">
        <v>526</v>
      </c>
      <c r="B3" s="121">
        <v>526</v>
      </c>
      <c r="C3" s="120" t="s">
        <v>1263</v>
      </c>
      <c r="D3" s="121">
        <v>520036872</v>
      </c>
      <c r="E3" s="120" t="s">
        <v>308</v>
      </c>
      <c r="F3" s="120" t="s">
        <v>1263</v>
      </c>
      <c r="G3" s="121" t="s">
        <v>1264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479</v>
      </c>
      <c r="O3" s="120" t="s">
        <v>338</v>
      </c>
      <c r="P3" s="120" t="s">
        <v>1215</v>
      </c>
      <c r="Q3" s="122">
        <v>1144</v>
      </c>
      <c r="R3" s="122">
        <v>1</v>
      </c>
      <c r="S3" s="122">
        <v>57150</v>
      </c>
      <c r="T3" s="120"/>
      <c r="U3" s="122">
        <v>653.79600000000005</v>
      </c>
      <c r="V3" s="123">
        <v>1.5E-5</v>
      </c>
      <c r="W3" s="123">
        <v>0.45764500000000002</v>
      </c>
      <c r="X3" s="123">
        <v>7.5500000000000003E-4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 t="s">
        <v>1265</v>
      </c>
      <c r="D2" s="121">
        <v>511776783</v>
      </c>
      <c r="E2" s="120" t="s">
        <v>308</v>
      </c>
      <c r="F2" s="120" t="s">
        <v>1266</v>
      </c>
      <c r="G2" s="121" t="s">
        <v>1267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1215</v>
      </c>
      <c r="P2" s="122">
        <v>698440</v>
      </c>
      <c r="Q2" s="122">
        <v>1</v>
      </c>
      <c r="R2" s="122">
        <v>415.44</v>
      </c>
      <c r="S2" s="122"/>
      <c r="T2" s="122">
        <v>2901.5991399999998</v>
      </c>
      <c r="U2" s="123">
        <v>2.5579999999999999E-3</v>
      </c>
      <c r="V2" s="123">
        <v>4.2940000000000001E-3</v>
      </c>
      <c r="W2" s="123">
        <v>3.3519999999999999E-3</v>
      </c>
    </row>
    <row r="3" spans="1:26" ht="15" customHeight="1">
      <c r="A3" s="121">
        <v>526</v>
      </c>
      <c r="B3" s="121">
        <v>526</v>
      </c>
      <c r="C3" s="120" t="s">
        <v>1268</v>
      </c>
      <c r="D3" s="121">
        <v>511303661</v>
      </c>
      <c r="E3" s="120" t="s">
        <v>308</v>
      </c>
      <c r="F3" s="120" t="s">
        <v>1269</v>
      </c>
      <c r="G3" s="121" t="s">
        <v>1270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631</v>
      </c>
      <c r="N3" s="120" t="s">
        <v>338</v>
      </c>
      <c r="O3" s="120" t="s">
        <v>1215</v>
      </c>
      <c r="P3" s="122">
        <v>838016</v>
      </c>
      <c r="Q3" s="122">
        <v>1</v>
      </c>
      <c r="R3" s="122">
        <v>335.82</v>
      </c>
      <c r="S3" s="122"/>
      <c r="T3" s="122">
        <v>2814.2253300000002</v>
      </c>
      <c r="U3" s="123">
        <v>3.3519999999999999E-3</v>
      </c>
      <c r="V3" s="123">
        <v>4.1650000000000003E-3</v>
      </c>
      <c r="W3" s="123">
        <v>3.251E-3</v>
      </c>
    </row>
    <row r="4" spans="1:26" ht="15" customHeight="1">
      <c r="A4" s="121">
        <v>526</v>
      </c>
      <c r="B4" s="121">
        <v>526</v>
      </c>
      <c r="C4" s="120" t="s">
        <v>1265</v>
      </c>
      <c r="D4" s="121">
        <v>511776783</v>
      </c>
      <c r="E4" s="120" t="s">
        <v>308</v>
      </c>
      <c r="F4" s="120" t="s">
        <v>1271</v>
      </c>
      <c r="G4" s="121" t="s">
        <v>1272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1215</v>
      </c>
      <c r="P4" s="122">
        <v>5456070</v>
      </c>
      <c r="Q4" s="122">
        <v>1</v>
      </c>
      <c r="R4" s="122">
        <v>417.86</v>
      </c>
      <c r="S4" s="122"/>
      <c r="T4" s="122">
        <v>22798.734100000001</v>
      </c>
      <c r="U4" s="123">
        <v>4.0889000000000002E-2</v>
      </c>
      <c r="V4" s="123">
        <v>3.3745999999999998E-2</v>
      </c>
      <c r="W4" s="123">
        <v>2.6342999999999998E-2</v>
      </c>
    </row>
    <row r="5" spans="1:26" ht="15" customHeight="1">
      <c r="A5" s="121">
        <v>526</v>
      </c>
      <c r="B5" s="121">
        <v>526</v>
      </c>
      <c r="C5" s="120" t="s">
        <v>1273</v>
      </c>
      <c r="D5" s="121">
        <v>513534974</v>
      </c>
      <c r="E5" s="120" t="s">
        <v>308</v>
      </c>
      <c r="F5" s="120" t="s">
        <v>1274</v>
      </c>
      <c r="G5" s="121" t="s">
        <v>1275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571</v>
      </c>
      <c r="N5" s="120" t="s">
        <v>338</v>
      </c>
      <c r="O5" s="120" t="s">
        <v>1215</v>
      </c>
      <c r="P5" s="122">
        <v>1697610</v>
      </c>
      <c r="Q5" s="122">
        <v>1</v>
      </c>
      <c r="R5" s="122">
        <v>2969</v>
      </c>
      <c r="S5" s="122"/>
      <c r="T5" s="122">
        <v>50402.0409</v>
      </c>
      <c r="U5" s="123">
        <v>3.8679999999999999E-3</v>
      </c>
      <c r="V5" s="123">
        <v>7.4603000000000003E-2</v>
      </c>
      <c r="W5" s="123">
        <v>5.8237999999999998E-2</v>
      </c>
    </row>
    <row r="6" spans="1:26" ht="15" customHeight="1">
      <c r="A6" s="121">
        <v>526</v>
      </c>
      <c r="B6" s="121">
        <v>526</v>
      </c>
      <c r="C6" s="120" t="s">
        <v>1276</v>
      </c>
      <c r="D6" s="121">
        <v>510938608</v>
      </c>
      <c r="E6" s="120" t="s">
        <v>308</v>
      </c>
      <c r="F6" s="120" t="s">
        <v>1277</v>
      </c>
      <c r="G6" s="121" t="s">
        <v>1278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631</v>
      </c>
      <c r="N6" s="120" t="s">
        <v>338</v>
      </c>
      <c r="O6" s="120" t="s">
        <v>1215</v>
      </c>
      <c r="P6" s="122">
        <v>631230</v>
      </c>
      <c r="Q6" s="122">
        <v>1</v>
      </c>
      <c r="R6" s="122">
        <v>4546.33</v>
      </c>
      <c r="S6" s="122"/>
      <c r="T6" s="122">
        <v>28697.798859999999</v>
      </c>
      <c r="U6" s="123">
        <v>5.9325999999999997E-2</v>
      </c>
      <c r="V6" s="123">
        <v>4.2477000000000001E-2</v>
      </c>
      <c r="W6" s="123">
        <v>3.3159000000000001E-2</v>
      </c>
    </row>
    <row r="7" spans="1:26" ht="15" customHeight="1">
      <c r="A7" s="121">
        <v>526</v>
      </c>
      <c r="B7" s="121">
        <v>526</v>
      </c>
      <c r="C7" s="120" t="s">
        <v>1268</v>
      </c>
      <c r="D7" s="121">
        <v>511303661</v>
      </c>
      <c r="E7" s="120" t="s">
        <v>308</v>
      </c>
      <c r="F7" s="120" t="s">
        <v>1279</v>
      </c>
      <c r="G7" s="121" t="s">
        <v>1280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1215</v>
      </c>
      <c r="P7" s="122">
        <v>1037543</v>
      </c>
      <c r="Q7" s="122">
        <v>1</v>
      </c>
      <c r="R7" s="122">
        <v>3968</v>
      </c>
      <c r="S7" s="122"/>
      <c r="T7" s="122">
        <v>41169.70624</v>
      </c>
      <c r="U7" s="123">
        <v>1.4822E-2</v>
      </c>
      <c r="V7" s="123">
        <v>6.0937999999999999E-2</v>
      </c>
      <c r="W7" s="123">
        <v>4.7570000000000001E-2</v>
      </c>
    </row>
    <row r="8" spans="1:26" ht="15" customHeight="1">
      <c r="A8" s="121">
        <v>526</v>
      </c>
      <c r="B8" s="121">
        <v>526</v>
      </c>
      <c r="C8" s="120" t="s">
        <v>1281</v>
      </c>
      <c r="D8" s="121">
        <v>513765339</v>
      </c>
      <c r="E8" s="120" t="s">
        <v>308</v>
      </c>
      <c r="F8" s="120" t="s">
        <v>1282</v>
      </c>
      <c r="G8" s="121" t="s">
        <v>1283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571</v>
      </c>
      <c r="N8" s="120" t="s">
        <v>338</v>
      </c>
      <c r="O8" s="120" t="s">
        <v>1215</v>
      </c>
      <c r="P8" s="122">
        <v>1112067</v>
      </c>
      <c r="Q8" s="122">
        <v>1</v>
      </c>
      <c r="R8" s="122">
        <v>2952</v>
      </c>
      <c r="S8" s="122"/>
      <c r="T8" s="122">
        <v>32828.217839999998</v>
      </c>
      <c r="U8" s="123">
        <v>2.771E-3</v>
      </c>
      <c r="V8" s="123">
        <v>4.8591000000000002E-2</v>
      </c>
      <c r="W8" s="123">
        <v>3.7932E-2</v>
      </c>
    </row>
    <row r="9" spans="1:26" ht="15" customHeight="1">
      <c r="A9" s="121">
        <v>526</v>
      </c>
      <c r="B9" s="121">
        <v>526</v>
      </c>
      <c r="C9" s="120" t="s">
        <v>1276</v>
      </c>
      <c r="D9" s="121">
        <v>510938608</v>
      </c>
      <c r="E9" s="120" t="s">
        <v>308</v>
      </c>
      <c r="F9" s="120" t="s">
        <v>1284</v>
      </c>
      <c r="G9" s="121" t="s">
        <v>1285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1215</v>
      </c>
      <c r="P9" s="122">
        <v>19170.93</v>
      </c>
      <c r="Q9" s="122">
        <v>1</v>
      </c>
      <c r="R9" s="122">
        <v>28980</v>
      </c>
      <c r="S9" s="122"/>
      <c r="T9" s="122">
        <v>5555.7355100000004</v>
      </c>
      <c r="U9" s="123">
        <v>9.8999999999999999E-4</v>
      </c>
      <c r="V9" s="123">
        <v>8.2229999999999994E-3</v>
      </c>
      <c r="W9" s="123">
        <v>6.4190000000000002E-3</v>
      </c>
    </row>
    <row r="10" spans="1:26" ht="15" customHeight="1">
      <c r="A10" s="121">
        <v>526</v>
      </c>
      <c r="B10" s="121">
        <v>526</v>
      </c>
      <c r="C10" s="120" t="s">
        <v>1273</v>
      </c>
      <c r="D10" s="121">
        <v>513534974</v>
      </c>
      <c r="E10" s="120" t="s">
        <v>308</v>
      </c>
      <c r="F10" s="120" t="s">
        <v>1286</v>
      </c>
      <c r="G10" s="121" t="s">
        <v>1287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631</v>
      </c>
      <c r="N10" s="120" t="s">
        <v>338</v>
      </c>
      <c r="O10" s="120" t="s">
        <v>1215</v>
      </c>
      <c r="P10" s="122">
        <v>929115</v>
      </c>
      <c r="Q10" s="122">
        <v>1</v>
      </c>
      <c r="R10" s="122">
        <v>416.89</v>
      </c>
      <c r="S10" s="122"/>
      <c r="T10" s="122">
        <v>3873.3875200000002</v>
      </c>
      <c r="U10" s="123">
        <v>1.2650000000000001E-3</v>
      </c>
      <c r="V10" s="123">
        <v>5.7330000000000002E-3</v>
      </c>
      <c r="W10" s="123">
        <v>4.4749999999999998E-3</v>
      </c>
    </row>
    <row r="11" spans="1:26" ht="15" customHeight="1">
      <c r="A11" s="121">
        <v>526</v>
      </c>
      <c r="B11" s="121">
        <v>526</v>
      </c>
      <c r="C11" s="120" t="s">
        <v>1265</v>
      </c>
      <c r="D11" s="121">
        <v>511776783</v>
      </c>
      <c r="E11" s="120" t="s">
        <v>308</v>
      </c>
      <c r="F11" s="120" t="s">
        <v>1288</v>
      </c>
      <c r="G11" s="121" t="s">
        <v>1289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575</v>
      </c>
      <c r="N11" s="120" t="s">
        <v>338</v>
      </c>
      <c r="O11" s="120" t="s">
        <v>1215</v>
      </c>
      <c r="P11" s="122">
        <v>5436463</v>
      </c>
      <c r="Q11" s="122">
        <v>1</v>
      </c>
      <c r="R11" s="122">
        <v>382.71</v>
      </c>
      <c r="S11" s="122"/>
      <c r="T11" s="122">
        <v>20805.887549999999</v>
      </c>
      <c r="U11" s="123">
        <v>1.7596000000000001E-2</v>
      </c>
      <c r="V11" s="123">
        <v>3.0796E-2</v>
      </c>
      <c r="W11" s="123">
        <v>2.4039999999999999E-2</v>
      </c>
    </row>
    <row r="12" spans="1:26" ht="15" customHeight="1">
      <c r="A12" s="121">
        <v>526</v>
      </c>
      <c r="B12" s="121">
        <v>526</v>
      </c>
      <c r="C12" s="120" t="s">
        <v>1268</v>
      </c>
      <c r="D12" s="121">
        <v>511303661</v>
      </c>
      <c r="E12" s="120" t="s">
        <v>308</v>
      </c>
      <c r="F12" s="120" t="s">
        <v>1290</v>
      </c>
      <c r="G12" s="121" t="s">
        <v>1291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572</v>
      </c>
      <c r="N12" s="120" t="s">
        <v>338</v>
      </c>
      <c r="O12" s="120" t="s">
        <v>1215</v>
      </c>
      <c r="P12" s="122">
        <v>468623</v>
      </c>
      <c r="Q12" s="122">
        <v>1</v>
      </c>
      <c r="R12" s="122">
        <v>432.86</v>
      </c>
      <c r="S12" s="122"/>
      <c r="T12" s="122">
        <v>2028.48152</v>
      </c>
      <c r="U12" s="123">
        <v>4.0740000000000004E-3</v>
      </c>
      <c r="V12" s="123">
        <v>3.0019999999999999E-3</v>
      </c>
      <c r="W12" s="123">
        <v>2.343E-3</v>
      </c>
    </row>
    <row r="13" spans="1:26" ht="15" customHeight="1">
      <c r="A13" s="121">
        <v>526</v>
      </c>
      <c r="B13" s="121">
        <v>526</v>
      </c>
      <c r="C13" s="120" t="s">
        <v>1276</v>
      </c>
      <c r="D13" s="121">
        <v>510938608</v>
      </c>
      <c r="E13" s="120" t="s">
        <v>308</v>
      </c>
      <c r="F13" s="120" t="s">
        <v>1292</v>
      </c>
      <c r="G13" s="121" t="s">
        <v>1293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571</v>
      </c>
      <c r="N13" s="120" t="s">
        <v>338</v>
      </c>
      <c r="O13" s="120" t="s">
        <v>1215</v>
      </c>
      <c r="P13" s="122">
        <v>41634</v>
      </c>
      <c r="Q13" s="122">
        <v>1</v>
      </c>
      <c r="R13" s="122">
        <v>29540</v>
      </c>
      <c r="S13" s="122"/>
      <c r="T13" s="122">
        <v>12298.6836</v>
      </c>
      <c r="U13" s="123">
        <v>1.175E-3</v>
      </c>
      <c r="V13" s="123">
        <v>1.8204000000000001E-2</v>
      </c>
      <c r="W13" s="123">
        <v>1.421E-2</v>
      </c>
    </row>
    <row r="14" spans="1:26" ht="15" customHeight="1">
      <c r="A14" s="121">
        <v>526</v>
      </c>
      <c r="B14" s="121">
        <v>526</v>
      </c>
      <c r="C14" s="120" t="s">
        <v>1276</v>
      </c>
      <c r="D14" s="121">
        <v>510938608</v>
      </c>
      <c r="E14" s="120" t="s">
        <v>308</v>
      </c>
      <c r="F14" s="120" t="s">
        <v>1294</v>
      </c>
      <c r="G14" s="121" t="s">
        <v>1295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572</v>
      </c>
      <c r="N14" s="120" t="s">
        <v>338</v>
      </c>
      <c r="O14" s="120" t="s">
        <v>1215</v>
      </c>
      <c r="P14" s="122">
        <v>335961</v>
      </c>
      <c r="Q14" s="122">
        <v>1</v>
      </c>
      <c r="R14" s="122">
        <v>3968.37</v>
      </c>
      <c r="S14" s="122"/>
      <c r="T14" s="122">
        <v>13332.17554</v>
      </c>
      <c r="U14" s="123">
        <v>2.1828E-2</v>
      </c>
      <c r="V14" s="123">
        <v>1.9733000000000001E-2</v>
      </c>
      <c r="W14" s="123">
        <v>1.5405E-2</v>
      </c>
    </row>
    <row r="15" spans="1:26" ht="15" customHeight="1">
      <c r="A15" s="121">
        <v>526</v>
      </c>
      <c r="B15" s="121">
        <v>526</v>
      </c>
      <c r="C15" s="120" t="s">
        <v>1281</v>
      </c>
      <c r="D15" s="121">
        <v>513765339</v>
      </c>
      <c r="E15" s="120" t="s">
        <v>308</v>
      </c>
      <c r="F15" s="120" t="s">
        <v>1296</v>
      </c>
      <c r="G15" s="121" t="s">
        <v>1297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575</v>
      </c>
      <c r="N15" s="120" t="s">
        <v>338</v>
      </c>
      <c r="O15" s="120" t="s">
        <v>1215</v>
      </c>
      <c r="P15" s="122">
        <v>6844452.9800000004</v>
      </c>
      <c r="Q15" s="122">
        <v>1</v>
      </c>
      <c r="R15" s="122">
        <v>384.85</v>
      </c>
      <c r="S15" s="122"/>
      <c r="T15" s="122">
        <v>26340.87729</v>
      </c>
      <c r="U15" s="123">
        <v>4.9779999999999998E-3</v>
      </c>
      <c r="V15" s="123">
        <v>3.8989000000000003E-2</v>
      </c>
      <c r="W15" s="123">
        <v>3.0436000000000001E-2</v>
      </c>
    </row>
    <row r="16" spans="1:26" ht="15" customHeight="1">
      <c r="A16" s="121">
        <v>526</v>
      </c>
      <c r="B16" s="121">
        <v>526</v>
      </c>
      <c r="C16" s="120" t="s">
        <v>1276</v>
      </c>
      <c r="D16" s="121">
        <v>510938608</v>
      </c>
      <c r="E16" s="120" t="s">
        <v>308</v>
      </c>
      <c r="F16" s="120" t="s">
        <v>1298</v>
      </c>
      <c r="G16" s="121" t="s">
        <v>1299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572</v>
      </c>
      <c r="N16" s="120" t="s">
        <v>338</v>
      </c>
      <c r="O16" s="120" t="s">
        <v>1215</v>
      </c>
      <c r="P16" s="122">
        <v>0.39</v>
      </c>
      <c r="Q16" s="122">
        <v>1</v>
      </c>
      <c r="R16" s="122">
        <v>3896.38</v>
      </c>
      <c r="S16" s="122"/>
      <c r="T16" s="122">
        <v>1.52E-2</v>
      </c>
      <c r="U16" s="123">
        <v>0</v>
      </c>
      <c r="V16" s="123">
        <v>0</v>
      </c>
      <c r="W16" s="123">
        <v>0</v>
      </c>
    </row>
    <row r="17" spans="1:23" ht="15" customHeight="1">
      <c r="A17" s="121">
        <v>526</v>
      </c>
      <c r="B17" s="121">
        <v>526</v>
      </c>
      <c r="C17" s="120" t="s">
        <v>1300</v>
      </c>
      <c r="D17" s="121">
        <v>514884485</v>
      </c>
      <c r="E17" s="120" t="s">
        <v>308</v>
      </c>
      <c r="F17" s="120" t="s">
        <v>1301</v>
      </c>
      <c r="G17" s="121" t="s">
        <v>1302</v>
      </c>
      <c r="H17" s="120" t="s">
        <v>320</v>
      </c>
      <c r="I17" s="120" t="s">
        <v>965</v>
      </c>
      <c r="J17" s="120" t="s">
        <v>203</v>
      </c>
      <c r="K17" s="120" t="s">
        <v>203</v>
      </c>
      <c r="L17" s="120" t="s">
        <v>339</v>
      </c>
      <c r="M17" s="130" t="s">
        <v>576</v>
      </c>
      <c r="N17" s="120" t="s">
        <v>338</v>
      </c>
      <c r="O17" s="120" t="s">
        <v>1215</v>
      </c>
      <c r="P17" s="122">
        <v>275733</v>
      </c>
      <c r="Q17" s="122">
        <v>1</v>
      </c>
      <c r="R17" s="122">
        <v>8401</v>
      </c>
      <c r="S17" s="122"/>
      <c r="T17" s="122">
        <v>23164.32933</v>
      </c>
      <c r="U17" s="123">
        <v>2.2416999999999999E-2</v>
      </c>
      <c r="V17" s="123">
        <v>3.4286999999999998E-2</v>
      </c>
      <c r="W17" s="123">
        <v>2.6765000000000001E-2</v>
      </c>
    </row>
    <row r="18" spans="1:23" ht="15" customHeight="1">
      <c r="A18" s="121">
        <v>526</v>
      </c>
      <c r="B18" s="121">
        <v>526</v>
      </c>
      <c r="C18" s="120" t="s">
        <v>1276</v>
      </c>
      <c r="D18" s="121">
        <v>510938608</v>
      </c>
      <c r="E18" s="120" t="s">
        <v>308</v>
      </c>
      <c r="F18" s="120" t="s">
        <v>1303</v>
      </c>
      <c r="G18" s="121" t="s">
        <v>1304</v>
      </c>
      <c r="H18" s="120" t="s">
        <v>320</v>
      </c>
      <c r="I18" s="120" t="s">
        <v>967</v>
      </c>
      <c r="J18" s="120" t="s">
        <v>203</v>
      </c>
      <c r="K18" s="120" t="s">
        <v>203</v>
      </c>
      <c r="L18" s="120" t="s">
        <v>339</v>
      </c>
      <c r="M18" s="130" t="s">
        <v>572</v>
      </c>
      <c r="N18" s="120" t="s">
        <v>338</v>
      </c>
      <c r="O18" s="120" t="s">
        <v>1215</v>
      </c>
      <c r="P18" s="122">
        <v>561201</v>
      </c>
      <c r="Q18" s="122">
        <v>1</v>
      </c>
      <c r="R18" s="122">
        <v>4090</v>
      </c>
      <c r="S18" s="122"/>
      <c r="T18" s="122">
        <v>22953.120900000002</v>
      </c>
      <c r="U18" s="123">
        <v>2.8858999999999999E-2</v>
      </c>
      <c r="V18" s="123">
        <v>3.3973999999999997E-2</v>
      </c>
      <c r="W18" s="123">
        <v>2.6520999999999999E-2</v>
      </c>
    </row>
    <row r="19" spans="1:23" ht="15" customHeight="1">
      <c r="A19" s="121">
        <v>526</v>
      </c>
      <c r="B19" s="121">
        <v>526</v>
      </c>
      <c r="C19" s="120" t="s">
        <v>1300</v>
      </c>
      <c r="D19" s="121">
        <v>514884485</v>
      </c>
      <c r="E19" s="120" t="s">
        <v>308</v>
      </c>
      <c r="F19" s="120" t="s">
        <v>1305</v>
      </c>
      <c r="G19" s="121" t="s">
        <v>1306</v>
      </c>
      <c r="H19" s="120" t="s">
        <v>320</v>
      </c>
      <c r="I19" s="120" t="s">
        <v>965</v>
      </c>
      <c r="J19" s="120" t="s">
        <v>203</v>
      </c>
      <c r="K19" s="120" t="s">
        <v>203</v>
      </c>
      <c r="L19" s="120" t="s">
        <v>339</v>
      </c>
      <c r="M19" s="130" t="s">
        <v>573</v>
      </c>
      <c r="N19" s="120" t="s">
        <v>338</v>
      </c>
      <c r="O19" s="120" t="s">
        <v>1215</v>
      </c>
      <c r="P19" s="122">
        <v>71733</v>
      </c>
      <c r="Q19" s="122">
        <v>1</v>
      </c>
      <c r="R19" s="122">
        <v>8352</v>
      </c>
      <c r="S19" s="122"/>
      <c r="T19" s="122">
        <v>5991.1401599999999</v>
      </c>
      <c r="U19" s="123">
        <v>1.0246999999999999E-2</v>
      </c>
      <c r="V19" s="123">
        <v>8.8669999999999999E-3</v>
      </c>
      <c r="W19" s="123">
        <v>6.9220000000000002E-3</v>
      </c>
    </row>
    <row r="20" spans="1:23" ht="15" customHeight="1">
      <c r="A20" s="121">
        <v>526</v>
      </c>
      <c r="B20" s="121">
        <v>526</v>
      </c>
      <c r="C20" s="120" t="s">
        <v>1273</v>
      </c>
      <c r="D20" s="121">
        <v>513534974</v>
      </c>
      <c r="E20" s="120" t="s">
        <v>308</v>
      </c>
      <c r="F20" s="120" t="s">
        <v>1307</v>
      </c>
      <c r="G20" s="121" t="s">
        <v>1308</v>
      </c>
      <c r="H20" s="120" t="s">
        <v>320</v>
      </c>
      <c r="I20" s="120" t="s">
        <v>967</v>
      </c>
      <c r="J20" s="120" t="s">
        <v>203</v>
      </c>
      <c r="K20" s="120" t="s">
        <v>203</v>
      </c>
      <c r="L20" s="120" t="s">
        <v>339</v>
      </c>
      <c r="M20" s="130" t="s">
        <v>572</v>
      </c>
      <c r="N20" s="120" t="s">
        <v>338</v>
      </c>
      <c r="O20" s="120" t="s">
        <v>1215</v>
      </c>
      <c r="P20" s="122">
        <v>458827</v>
      </c>
      <c r="Q20" s="122">
        <v>1</v>
      </c>
      <c r="R20" s="122">
        <v>4106.2</v>
      </c>
      <c r="S20" s="122"/>
      <c r="T20" s="122">
        <v>18840.35427</v>
      </c>
      <c r="U20" s="123">
        <v>3.3431000000000002E-2</v>
      </c>
      <c r="V20" s="123">
        <v>2.7886000000000001E-2</v>
      </c>
      <c r="W20" s="123">
        <v>2.1769E-2</v>
      </c>
    </row>
    <row r="21" spans="1:23" ht="15" customHeight="1">
      <c r="A21" s="121">
        <v>526</v>
      </c>
      <c r="B21" s="121">
        <v>526</v>
      </c>
      <c r="C21" s="120" t="s">
        <v>1276</v>
      </c>
      <c r="D21" s="121">
        <v>510938608</v>
      </c>
      <c r="E21" s="120" t="s">
        <v>308</v>
      </c>
      <c r="F21" s="120" t="s">
        <v>1309</v>
      </c>
      <c r="G21" s="121" t="s">
        <v>1310</v>
      </c>
      <c r="H21" s="120" t="s">
        <v>320</v>
      </c>
      <c r="I21" s="120" t="s">
        <v>967</v>
      </c>
      <c r="J21" s="120" t="s">
        <v>203</v>
      </c>
      <c r="K21" s="120" t="s">
        <v>203</v>
      </c>
      <c r="L21" s="120" t="s">
        <v>339</v>
      </c>
      <c r="M21" s="130" t="s">
        <v>631</v>
      </c>
      <c r="N21" s="120" t="s">
        <v>338</v>
      </c>
      <c r="O21" s="120" t="s">
        <v>1215</v>
      </c>
      <c r="P21" s="122">
        <v>81346</v>
      </c>
      <c r="Q21" s="122">
        <v>1</v>
      </c>
      <c r="R21" s="122">
        <v>4200.04</v>
      </c>
      <c r="S21" s="122"/>
      <c r="T21" s="122">
        <v>3416.5645399999999</v>
      </c>
      <c r="U21" s="123">
        <v>2.0839999999999999E-3</v>
      </c>
      <c r="V21" s="123">
        <v>5.0569999999999999E-3</v>
      </c>
      <c r="W21" s="123">
        <v>3.947E-3</v>
      </c>
    </row>
    <row r="22" spans="1:23" ht="15" customHeight="1">
      <c r="A22" s="121">
        <v>526</v>
      </c>
      <c r="B22" s="121">
        <v>526</v>
      </c>
      <c r="C22" s="120" t="s">
        <v>1265</v>
      </c>
      <c r="D22" s="121">
        <v>511776783</v>
      </c>
      <c r="E22" s="120" t="s">
        <v>308</v>
      </c>
      <c r="F22" s="120" t="s">
        <v>1311</v>
      </c>
      <c r="G22" s="121" t="s">
        <v>1312</v>
      </c>
      <c r="H22" s="120" t="s">
        <v>320</v>
      </c>
      <c r="I22" s="120" t="s">
        <v>967</v>
      </c>
      <c r="J22" s="120" t="s">
        <v>203</v>
      </c>
      <c r="K22" s="120" t="s">
        <v>203</v>
      </c>
      <c r="L22" s="120" t="s">
        <v>339</v>
      </c>
      <c r="M22" s="130" t="s">
        <v>574</v>
      </c>
      <c r="N22" s="120" t="s">
        <v>338</v>
      </c>
      <c r="O22" s="120" t="s">
        <v>1215</v>
      </c>
      <c r="P22" s="122">
        <v>2636862</v>
      </c>
      <c r="Q22" s="122">
        <v>1</v>
      </c>
      <c r="R22" s="122">
        <v>373.51</v>
      </c>
      <c r="S22" s="122"/>
      <c r="T22" s="122">
        <v>9848.94326</v>
      </c>
      <c r="U22" s="123">
        <v>1.8197999999999999E-2</v>
      </c>
      <c r="V22" s="123">
        <v>1.4578000000000001E-2</v>
      </c>
      <c r="W22" s="123">
        <v>1.1379999999999999E-2</v>
      </c>
    </row>
    <row r="23" spans="1:23" ht="15" customHeight="1">
      <c r="A23" s="121">
        <v>526</v>
      </c>
      <c r="B23" s="121">
        <v>526</v>
      </c>
      <c r="C23" s="120" t="s">
        <v>1273</v>
      </c>
      <c r="D23" s="121">
        <v>513534974</v>
      </c>
      <c r="E23" s="120" t="s">
        <v>308</v>
      </c>
      <c r="F23" s="120" t="s">
        <v>1313</v>
      </c>
      <c r="G23" s="121" t="s">
        <v>1314</v>
      </c>
      <c r="H23" s="120" t="s">
        <v>320</v>
      </c>
      <c r="I23" s="120" t="s">
        <v>965</v>
      </c>
      <c r="J23" s="120" t="s">
        <v>203</v>
      </c>
      <c r="K23" s="120" t="s">
        <v>203</v>
      </c>
      <c r="L23" s="120" t="s">
        <v>339</v>
      </c>
      <c r="M23" s="130" t="s">
        <v>573</v>
      </c>
      <c r="N23" s="120" t="s">
        <v>338</v>
      </c>
      <c r="O23" s="120" t="s">
        <v>1215</v>
      </c>
      <c r="P23" s="122">
        <v>337179</v>
      </c>
      <c r="Q23" s="122">
        <v>1</v>
      </c>
      <c r="R23" s="122">
        <v>2913</v>
      </c>
      <c r="S23" s="122"/>
      <c r="T23" s="122">
        <v>9822.0242699999999</v>
      </c>
      <c r="U23" s="123">
        <v>1.3140000000000001E-3</v>
      </c>
      <c r="V23" s="123">
        <v>1.4538000000000001E-2</v>
      </c>
      <c r="W23" s="123">
        <v>1.1349E-2</v>
      </c>
    </row>
    <row r="24" spans="1:23" ht="15" customHeight="1">
      <c r="A24" s="121">
        <v>526</v>
      </c>
      <c r="B24" s="121">
        <v>526</v>
      </c>
      <c r="C24" s="120" t="s">
        <v>1315</v>
      </c>
      <c r="D24" s="121" t="s">
        <v>1316</v>
      </c>
      <c r="E24" s="120" t="s">
        <v>312</v>
      </c>
      <c r="F24" s="120" t="s">
        <v>1317</v>
      </c>
      <c r="G24" s="121" t="s">
        <v>1318</v>
      </c>
      <c r="H24" s="120" t="s">
        <v>320</v>
      </c>
      <c r="I24" s="120" t="s">
        <v>966</v>
      </c>
      <c r="J24" s="120" t="s">
        <v>204</v>
      </c>
      <c r="K24" s="120" t="s">
        <v>288</v>
      </c>
      <c r="L24" s="120" t="s">
        <v>379</v>
      </c>
      <c r="M24" s="130" t="s">
        <v>734</v>
      </c>
      <c r="N24" s="120" t="s">
        <v>338</v>
      </c>
      <c r="O24" s="120" t="s">
        <v>1219</v>
      </c>
      <c r="P24" s="122">
        <v>33349</v>
      </c>
      <c r="Q24" s="122">
        <v>3.3719999999999999</v>
      </c>
      <c r="R24" s="122">
        <v>11766</v>
      </c>
      <c r="S24" s="122"/>
      <c r="T24" s="122">
        <v>13231.19974</v>
      </c>
      <c r="U24" s="123">
        <v>3.6000000000000001E-5</v>
      </c>
      <c r="V24" s="123">
        <v>1.9584000000000001E-2</v>
      </c>
      <c r="W24" s="123">
        <v>1.5288E-2</v>
      </c>
    </row>
    <row r="25" spans="1:23" ht="15" customHeight="1">
      <c r="A25" s="121">
        <v>526</v>
      </c>
      <c r="B25" s="121">
        <v>526</v>
      </c>
      <c r="C25" s="120" t="s">
        <v>1319</v>
      </c>
      <c r="D25" s="121" t="s">
        <v>1320</v>
      </c>
      <c r="E25" s="120" t="s">
        <v>312</v>
      </c>
      <c r="F25" s="120" t="s">
        <v>1321</v>
      </c>
      <c r="G25" s="121" t="s">
        <v>1322</v>
      </c>
      <c r="H25" s="120" t="s">
        <v>320</v>
      </c>
      <c r="I25" s="120" t="s">
        <v>966</v>
      </c>
      <c r="J25" s="120" t="s">
        <v>204</v>
      </c>
      <c r="K25" s="120" t="s">
        <v>288</v>
      </c>
      <c r="L25" s="120" t="s">
        <v>379</v>
      </c>
      <c r="M25" s="130" t="s">
        <v>734</v>
      </c>
      <c r="N25" s="120" t="s">
        <v>338</v>
      </c>
      <c r="O25" s="120" t="s">
        <v>1219</v>
      </c>
      <c r="P25" s="122">
        <v>65306</v>
      </c>
      <c r="Q25" s="122">
        <v>3.3719999999999999</v>
      </c>
      <c r="R25" s="122">
        <v>12626</v>
      </c>
      <c r="S25" s="122"/>
      <c r="T25" s="122">
        <v>27803.945909999999</v>
      </c>
      <c r="U25" s="123">
        <v>1.193E-3</v>
      </c>
      <c r="V25" s="123">
        <v>4.1154000000000003E-2</v>
      </c>
      <c r="W25" s="123">
        <v>3.2126000000000002E-2</v>
      </c>
    </row>
    <row r="26" spans="1:23" ht="15" customHeight="1">
      <c r="A26" s="121">
        <v>526</v>
      </c>
      <c r="B26" s="121">
        <v>526</v>
      </c>
      <c r="C26" s="120" t="s">
        <v>1323</v>
      </c>
      <c r="D26" s="121" t="s">
        <v>1320</v>
      </c>
      <c r="E26" s="120" t="s">
        <v>312</v>
      </c>
      <c r="F26" s="120" t="s">
        <v>1324</v>
      </c>
      <c r="G26" s="121" t="s">
        <v>1325</v>
      </c>
      <c r="H26" s="120" t="s">
        <v>320</v>
      </c>
      <c r="I26" s="120" t="s">
        <v>966</v>
      </c>
      <c r="J26" s="120" t="s">
        <v>204</v>
      </c>
      <c r="K26" s="120" t="s">
        <v>292</v>
      </c>
      <c r="L26" s="120" t="s">
        <v>313</v>
      </c>
      <c r="M26" s="130" t="s">
        <v>734</v>
      </c>
      <c r="N26" s="120" t="s">
        <v>338</v>
      </c>
      <c r="O26" s="120" t="s">
        <v>1212</v>
      </c>
      <c r="P26" s="122">
        <v>96477</v>
      </c>
      <c r="Q26" s="122">
        <v>3.9552</v>
      </c>
      <c r="R26" s="122">
        <v>3934.5</v>
      </c>
      <c r="S26" s="122"/>
      <c r="T26" s="122">
        <v>15013.494500000001</v>
      </c>
      <c r="U26" s="123">
        <v>0.116079</v>
      </c>
      <c r="V26" s="123">
        <v>2.2221999999999999E-2</v>
      </c>
      <c r="W26" s="123">
        <v>1.7347000000000001E-2</v>
      </c>
    </row>
    <row r="27" spans="1:23" ht="15" customHeight="1">
      <c r="A27" s="121">
        <v>526</v>
      </c>
      <c r="B27" s="121">
        <v>526</v>
      </c>
      <c r="C27" s="120" t="s">
        <v>1326</v>
      </c>
      <c r="D27" s="121" t="s">
        <v>1327</v>
      </c>
      <c r="E27" s="120" t="s">
        <v>312</v>
      </c>
      <c r="F27" s="120" t="s">
        <v>1328</v>
      </c>
      <c r="G27" s="121" t="s">
        <v>1329</v>
      </c>
      <c r="H27" s="120" t="s">
        <v>320</v>
      </c>
      <c r="I27" s="120" t="s">
        <v>966</v>
      </c>
      <c r="J27" s="120" t="s">
        <v>204</v>
      </c>
      <c r="K27" s="120" t="s">
        <v>281</v>
      </c>
      <c r="L27" s="120" t="s">
        <v>401</v>
      </c>
      <c r="M27" s="130" t="s">
        <v>734</v>
      </c>
      <c r="N27" s="120" t="s">
        <v>338</v>
      </c>
      <c r="O27" s="120" t="s">
        <v>1218</v>
      </c>
      <c r="P27" s="122">
        <v>22276</v>
      </c>
      <c r="Q27" s="122">
        <v>2.4674</v>
      </c>
      <c r="R27" s="122">
        <v>7056</v>
      </c>
      <c r="S27" s="122"/>
      <c r="T27" s="122">
        <v>3878.2458999999999</v>
      </c>
      <c r="U27" s="123">
        <v>3.7399999999999998E-4</v>
      </c>
      <c r="V27" s="123">
        <v>5.7400000000000003E-3</v>
      </c>
      <c r="W27" s="123">
        <v>4.4809999999999997E-3</v>
      </c>
    </row>
    <row r="28" spans="1:23" ht="15" customHeight="1">
      <c r="A28" s="121">
        <v>526</v>
      </c>
      <c r="B28" s="121">
        <v>526</v>
      </c>
      <c r="C28" s="120" t="s">
        <v>1330</v>
      </c>
      <c r="D28" s="121" t="s">
        <v>1331</v>
      </c>
      <c r="E28" s="120" t="s">
        <v>312</v>
      </c>
      <c r="F28" s="120" t="s">
        <v>1332</v>
      </c>
      <c r="G28" s="121" t="s">
        <v>1333</v>
      </c>
      <c r="H28" s="120" t="s">
        <v>320</v>
      </c>
      <c r="I28" s="120" t="s">
        <v>966</v>
      </c>
      <c r="J28" s="120" t="s">
        <v>204</v>
      </c>
      <c r="K28" s="120" t="s">
        <v>288</v>
      </c>
      <c r="L28" s="120" t="s">
        <v>379</v>
      </c>
      <c r="M28" s="130" t="s">
        <v>734</v>
      </c>
      <c r="N28" s="120" t="s">
        <v>338</v>
      </c>
      <c r="O28" s="120" t="s">
        <v>1219</v>
      </c>
      <c r="P28" s="122">
        <v>234674</v>
      </c>
      <c r="Q28" s="122">
        <v>3.3719999999999999</v>
      </c>
      <c r="R28" s="122">
        <v>4296.25</v>
      </c>
      <c r="S28" s="122"/>
      <c r="T28" s="122">
        <v>33997.116779999997</v>
      </c>
      <c r="U28" s="123">
        <v>7.9199999999999995E-4</v>
      </c>
      <c r="V28" s="123">
        <v>5.0320999999999998E-2</v>
      </c>
      <c r="W28" s="123">
        <v>3.9281999999999997E-2</v>
      </c>
    </row>
    <row r="29" spans="1:23" ht="15" customHeight="1">
      <c r="A29" s="121">
        <v>526</v>
      </c>
      <c r="B29" s="121">
        <v>526</v>
      </c>
      <c r="C29" s="120" t="s">
        <v>1315</v>
      </c>
      <c r="D29" s="121" t="s">
        <v>1316</v>
      </c>
      <c r="E29" s="120" t="s">
        <v>312</v>
      </c>
      <c r="F29" s="120" t="s">
        <v>1334</v>
      </c>
      <c r="G29" s="121" t="s">
        <v>1335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1219</v>
      </c>
      <c r="P29" s="122">
        <v>30473</v>
      </c>
      <c r="Q29" s="122">
        <v>3.3719999999999999</v>
      </c>
      <c r="R29" s="122">
        <v>62090</v>
      </c>
      <c r="S29" s="122"/>
      <c r="T29" s="122">
        <v>63800.552179999999</v>
      </c>
      <c r="U29" s="123">
        <v>3.0000000000000001E-5</v>
      </c>
      <c r="V29" s="123">
        <v>9.4435000000000005E-2</v>
      </c>
      <c r="W29" s="123">
        <v>7.3719999999999994E-2</v>
      </c>
    </row>
    <row r="30" spans="1:23" ht="15" customHeight="1">
      <c r="A30" s="121">
        <v>526</v>
      </c>
      <c r="B30" s="121">
        <v>526</v>
      </c>
      <c r="C30" s="120" t="s">
        <v>1336</v>
      </c>
      <c r="D30" s="121" t="s">
        <v>1337</v>
      </c>
      <c r="E30" s="120" t="s">
        <v>312</v>
      </c>
      <c r="F30" s="120" t="s">
        <v>1338</v>
      </c>
      <c r="G30" s="121" t="s">
        <v>1339</v>
      </c>
      <c r="H30" s="120" t="s">
        <v>320</v>
      </c>
      <c r="I30" s="120" t="s">
        <v>966</v>
      </c>
      <c r="J30" s="120" t="s">
        <v>204</v>
      </c>
      <c r="K30" s="120" t="s">
        <v>295</v>
      </c>
      <c r="L30" s="120" t="s">
        <v>379</v>
      </c>
      <c r="M30" s="130" t="s">
        <v>734</v>
      </c>
      <c r="N30" s="120" t="s">
        <v>338</v>
      </c>
      <c r="O30" s="120" t="s">
        <v>1219</v>
      </c>
      <c r="P30" s="122">
        <v>2113</v>
      </c>
      <c r="Q30" s="122">
        <v>3.3719999999999999</v>
      </c>
      <c r="R30" s="122">
        <v>5416</v>
      </c>
      <c r="S30" s="122"/>
      <c r="T30" s="122">
        <v>385.89195000000001</v>
      </c>
      <c r="U30" s="123">
        <v>3.4999999999999997E-5</v>
      </c>
      <c r="V30" s="123">
        <v>5.71E-4</v>
      </c>
      <c r="W30" s="123">
        <v>4.4499999999999997E-4</v>
      </c>
    </row>
    <row r="31" spans="1:23" ht="15" customHeight="1">
      <c r="A31" s="121">
        <v>526</v>
      </c>
      <c r="B31" s="121">
        <v>526</v>
      </c>
      <c r="C31" s="120" t="s">
        <v>1336</v>
      </c>
      <c r="D31" s="121" t="s">
        <v>1337</v>
      </c>
      <c r="E31" s="120" t="s">
        <v>312</v>
      </c>
      <c r="F31" s="120" t="s">
        <v>1340</v>
      </c>
      <c r="G31" s="121" t="s">
        <v>1341</v>
      </c>
      <c r="H31" s="120" t="s">
        <v>320</v>
      </c>
      <c r="I31" s="120" t="s">
        <v>966</v>
      </c>
      <c r="J31" s="120" t="s">
        <v>204</v>
      </c>
      <c r="K31" s="120" t="s">
        <v>295</v>
      </c>
      <c r="L31" s="120" t="s">
        <v>363</v>
      </c>
      <c r="M31" s="130" t="s">
        <v>734</v>
      </c>
      <c r="N31" s="120" t="s">
        <v>338</v>
      </c>
      <c r="O31" s="120" t="s">
        <v>1219</v>
      </c>
      <c r="P31" s="122">
        <v>1460009</v>
      </c>
      <c r="Q31" s="122">
        <v>3.3719999999999999</v>
      </c>
      <c r="R31" s="122">
        <v>623.49</v>
      </c>
      <c r="S31" s="122"/>
      <c r="T31" s="122">
        <v>30695.3501</v>
      </c>
      <c r="U31" s="123">
        <v>8.6390000000000008E-3</v>
      </c>
      <c r="V31" s="123">
        <v>4.5434000000000002E-2</v>
      </c>
      <c r="W31" s="123">
        <v>3.5466999999999999E-2</v>
      </c>
    </row>
    <row r="32" spans="1:23" ht="15" customHeight="1">
      <c r="A32" s="121">
        <v>526</v>
      </c>
      <c r="B32" s="121">
        <v>526</v>
      </c>
      <c r="C32" s="120" t="s">
        <v>1336</v>
      </c>
      <c r="D32" s="121" t="s">
        <v>1337</v>
      </c>
      <c r="E32" s="120" t="s">
        <v>312</v>
      </c>
      <c r="F32" s="120" t="s">
        <v>1342</v>
      </c>
      <c r="G32" s="121" t="s">
        <v>1343</v>
      </c>
      <c r="H32" s="120" t="s">
        <v>320</v>
      </c>
      <c r="I32" s="120" t="s">
        <v>966</v>
      </c>
      <c r="J32" s="120" t="s">
        <v>204</v>
      </c>
      <c r="K32" s="120" t="s">
        <v>250</v>
      </c>
      <c r="L32" s="120" t="s">
        <v>379</v>
      </c>
      <c r="M32" s="130" t="s">
        <v>734</v>
      </c>
      <c r="N32" s="120" t="s">
        <v>338</v>
      </c>
      <c r="O32" s="120" t="s">
        <v>1219</v>
      </c>
      <c r="P32" s="122">
        <v>167184</v>
      </c>
      <c r="Q32" s="122">
        <v>3.3719999999999999</v>
      </c>
      <c r="R32" s="122">
        <v>1985.8</v>
      </c>
      <c r="S32" s="122"/>
      <c r="T32" s="122">
        <v>11194.83725</v>
      </c>
      <c r="U32" s="123">
        <v>6.7000000000000002E-4</v>
      </c>
      <c r="V32" s="123">
        <v>1.6570000000000001E-2</v>
      </c>
      <c r="W32" s="123">
        <v>1.2935E-2</v>
      </c>
    </row>
    <row r="33" spans="1:23" ht="15" customHeight="1">
      <c r="A33" s="121">
        <v>526</v>
      </c>
      <c r="B33" s="121">
        <v>526</v>
      </c>
      <c r="C33" s="120" t="s">
        <v>1344</v>
      </c>
      <c r="D33" s="121" t="s">
        <v>1345</v>
      </c>
      <c r="E33" s="120" t="s">
        <v>312</v>
      </c>
      <c r="F33" s="120" t="s">
        <v>1346</v>
      </c>
      <c r="G33" s="121" t="s">
        <v>1347</v>
      </c>
      <c r="H33" s="120" t="s">
        <v>320</v>
      </c>
      <c r="I33" s="120" t="s">
        <v>966</v>
      </c>
      <c r="J33" s="120" t="s">
        <v>204</v>
      </c>
      <c r="K33" s="120" t="s">
        <v>303</v>
      </c>
      <c r="L33" s="120" t="s">
        <v>379</v>
      </c>
      <c r="M33" s="130" t="s">
        <v>734</v>
      </c>
      <c r="N33" s="120" t="s">
        <v>338</v>
      </c>
      <c r="O33" s="120" t="s">
        <v>1219</v>
      </c>
      <c r="P33" s="122">
        <v>12361</v>
      </c>
      <c r="Q33" s="122">
        <v>3.3719999999999999</v>
      </c>
      <c r="R33" s="122">
        <v>8487.5</v>
      </c>
      <c r="S33" s="122"/>
      <c r="T33" s="122">
        <v>3537.6996600000002</v>
      </c>
      <c r="U33" s="123">
        <v>1.8129999999999999E-3</v>
      </c>
      <c r="V33" s="123">
        <v>5.2360000000000002E-3</v>
      </c>
      <c r="W33" s="123">
        <v>4.0870000000000004E-3</v>
      </c>
    </row>
    <row r="34" spans="1:23" ht="15" customHeight="1">
      <c r="A34" s="121">
        <v>526</v>
      </c>
      <c r="B34" s="121">
        <v>526</v>
      </c>
      <c r="C34" s="120" t="s">
        <v>1348</v>
      </c>
      <c r="D34" s="121" t="s">
        <v>1349</v>
      </c>
      <c r="E34" s="120" t="s">
        <v>313</v>
      </c>
      <c r="F34" s="120" t="s">
        <v>1350</v>
      </c>
      <c r="G34" s="121" t="s">
        <v>1351</v>
      </c>
      <c r="H34" s="120" t="s">
        <v>320</v>
      </c>
      <c r="I34" s="120" t="s">
        <v>966</v>
      </c>
      <c r="J34" s="120" t="s">
        <v>204</v>
      </c>
      <c r="K34" s="120" t="s">
        <v>232</v>
      </c>
      <c r="L34" s="120" t="s">
        <v>343</v>
      </c>
      <c r="M34" s="130" t="s">
        <v>734</v>
      </c>
      <c r="N34" s="120" t="s">
        <v>338</v>
      </c>
      <c r="O34" s="120" t="s">
        <v>1217</v>
      </c>
      <c r="P34" s="122">
        <v>68520</v>
      </c>
      <c r="Q34" s="122">
        <v>4.6235999999999997</v>
      </c>
      <c r="R34" s="122">
        <v>1550.8</v>
      </c>
      <c r="S34" s="122"/>
      <c r="T34" s="122">
        <v>4913.0750900000003</v>
      </c>
      <c r="U34" s="123">
        <v>1.7960000000000001E-3</v>
      </c>
      <c r="V34" s="123">
        <v>7.2719999999999998E-3</v>
      </c>
      <c r="W34" s="123">
        <v>5.6759999999999996E-3</v>
      </c>
    </row>
    <row r="35" spans="1:23" ht="15" customHeight="1">
      <c r="A35" s="121">
        <v>526</v>
      </c>
      <c r="B35" s="121">
        <v>526</v>
      </c>
      <c r="C35" s="120" t="s">
        <v>1352</v>
      </c>
      <c r="D35" s="121" t="s">
        <v>1353</v>
      </c>
      <c r="E35" s="120" t="s">
        <v>312</v>
      </c>
      <c r="F35" s="120" t="s">
        <v>1354</v>
      </c>
      <c r="G35" s="121" t="s">
        <v>1355</v>
      </c>
      <c r="H35" s="120" t="s">
        <v>320</v>
      </c>
      <c r="I35" s="120" t="s">
        <v>966</v>
      </c>
      <c r="J35" s="120" t="s">
        <v>204</v>
      </c>
      <c r="K35" s="120" t="s">
        <v>288</v>
      </c>
      <c r="L35" s="120" t="s">
        <v>379</v>
      </c>
      <c r="M35" s="130" t="s">
        <v>734</v>
      </c>
      <c r="N35" s="120" t="s">
        <v>338</v>
      </c>
      <c r="O35" s="120" t="s">
        <v>1219</v>
      </c>
      <c r="P35" s="122">
        <v>58544</v>
      </c>
      <c r="Q35" s="122">
        <v>3.3719999999999999</v>
      </c>
      <c r="R35" s="122">
        <v>4043</v>
      </c>
      <c r="S35" s="122"/>
      <c r="T35" s="122">
        <v>7981.3011800000004</v>
      </c>
      <c r="U35" s="123">
        <v>1.9100000000000001E-4</v>
      </c>
      <c r="V35" s="123">
        <v>1.1813000000000001E-2</v>
      </c>
      <c r="W35" s="123">
        <v>9.2219999999999993E-3</v>
      </c>
    </row>
    <row r="36" spans="1:23" ht="15" customHeight="1">
      <c r="A36" s="121">
        <v>526</v>
      </c>
      <c r="B36" s="121">
        <v>526</v>
      </c>
      <c r="C36" s="120" t="s">
        <v>1330</v>
      </c>
      <c r="D36" s="121" t="s">
        <v>1331</v>
      </c>
      <c r="E36" s="120" t="s">
        <v>312</v>
      </c>
      <c r="F36" s="120" t="s">
        <v>1356</v>
      </c>
      <c r="G36" s="121" t="s">
        <v>1357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1219</v>
      </c>
      <c r="P36" s="122">
        <v>26125</v>
      </c>
      <c r="Q36" s="122">
        <v>3.3719999999999999</v>
      </c>
      <c r="R36" s="122">
        <v>61785</v>
      </c>
      <c r="S36" s="122">
        <v>46.009169999999997</v>
      </c>
      <c r="T36" s="122">
        <v>54583.711900000002</v>
      </c>
      <c r="U36" s="123">
        <v>2.5000000000000001E-5</v>
      </c>
      <c r="V36" s="123">
        <v>8.0792000000000003E-2</v>
      </c>
      <c r="W36" s="123">
        <v>6.3070000000000001E-2</v>
      </c>
    </row>
    <row r="37" spans="1:23" ht="15" customHeight="1">
      <c r="A37" s="121">
        <v>526</v>
      </c>
      <c r="B37" s="121">
        <v>526</v>
      </c>
      <c r="C37" s="120" t="s">
        <v>1358</v>
      </c>
      <c r="D37" s="121" t="s">
        <v>1359</v>
      </c>
      <c r="E37" s="120" t="s">
        <v>312</v>
      </c>
      <c r="F37" s="120" t="s">
        <v>1360</v>
      </c>
      <c r="G37" s="121" t="s">
        <v>1361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1219</v>
      </c>
      <c r="P37" s="122">
        <v>23264</v>
      </c>
      <c r="Q37" s="122">
        <v>3.3719999999999999</v>
      </c>
      <c r="R37" s="122">
        <v>56803</v>
      </c>
      <c r="S37" s="122">
        <v>40.588700000000003</v>
      </c>
      <c r="T37" s="122">
        <v>44696.664629999999</v>
      </c>
      <c r="U37" s="123">
        <v>1.9000000000000001E-5</v>
      </c>
      <c r="V37" s="123">
        <v>6.6157999999999995E-2</v>
      </c>
      <c r="W37" s="123">
        <v>5.1645000000000003E-2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526</v>
      </c>
      <c r="B2" s="121">
        <v>526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6" t="s">
        <v>68</v>
      </c>
      <c r="F1" s="127" t="s">
        <v>97</v>
      </c>
      <c r="G1" s="125" t="s">
        <v>72</v>
      </c>
      <c r="H1" s="25" t="s">
        <v>98</v>
      </c>
      <c r="I1" s="127" t="s">
        <v>73</v>
      </c>
      <c r="J1" s="128" t="s">
        <v>62</v>
      </c>
      <c r="K1" s="128" t="s">
        <v>74</v>
      </c>
      <c r="L1" s="125" t="s">
        <v>76</v>
      </c>
      <c r="M1" s="125" t="s">
        <v>77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1"/>
      <c r="F2" s="124"/>
      <c r="G2" s="122"/>
      <c r="H2" s="120"/>
      <c r="I2" s="124"/>
      <c r="J2" s="123"/>
      <c r="K2" s="123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F1" workbookViewId="0">
      <selection activeCell="T11" sqref="T1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526</v>
      </c>
      <c r="B2" s="121">
        <v>526</v>
      </c>
      <c r="C2" s="120" t="s">
        <v>1362</v>
      </c>
      <c r="D2" s="121">
        <v>550004428</v>
      </c>
      <c r="E2" s="120" t="s">
        <v>308</v>
      </c>
      <c r="F2" s="120" t="s">
        <v>1363</v>
      </c>
      <c r="G2" s="121" t="s">
        <v>1364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455</v>
      </c>
      <c r="N2" s="120" t="s">
        <v>338</v>
      </c>
      <c r="O2" s="124">
        <v>32794</v>
      </c>
      <c r="P2" s="120" t="s">
        <v>409</v>
      </c>
      <c r="Q2" s="120" t="s">
        <v>409</v>
      </c>
      <c r="R2" s="120" t="s">
        <v>409</v>
      </c>
      <c r="S2" s="120" t="s">
        <v>1215</v>
      </c>
      <c r="T2" s="122">
        <v>1.0000000000000001E-5</v>
      </c>
      <c r="U2" s="124">
        <v>40543</v>
      </c>
      <c r="V2" s="123">
        <v>0</v>
      </c>
      <c r="W2" s="123">
        <v>7.0000000000000001E-3</v>
      </c>
      <c r="X2" s="120" t="s">
        <v>411</v>
      </c>
      <c r="Y2" s="120"/>
      <c r="Z2" s="120" t="s">
        <v>887</v>
      </c>
      <c r="AA2" s="120" t="s">
        <v>890</v>
      </c>
      <c r="AB2" s="124">
        <v>45838</v>
      </c>
      <c r="AC2" s="124"/>
      <c r="AD2" s="122">
        <v>1438.29</v>
      </c>
      <c r="AE2" s="122">
        <v>1</v>
      </c>
      <c r="AF2" s="122">
        <v>5.0000000000000001E-4</v>
      </c>
      <c r="AG2" s="122">
        <v>1.0000000000000001E-5</v>
      </c>
      <c r="AH2" s="122"/>
      <c r="AI2" s="122"/>
      <c r="AJ2" s="120"/>
      <c r="AK2" s="123">
        <v>0</v>
      </c>
      <c r="AL2" s="123">
        <v>0</v>
      </c>
    </row>
    <row r="3" spans="1:38" ht="15" customHeight="1">
      <c r="A3" s="121">
        <v>526</v>
      </c>
      <c r="B3" s="121">
        <v>526</v>
      </c>
      <c r="C3" s="120" t="s">
        <v>1365</v>
      </c>
      <c r="D3" s="121">
        <v>513102384</v>
      </c>
      <c r="E3" s="120" t="s">
        <v>308</v>
      </c>
      <c r="F3" s="120" t="s">
        <v>1366</v>
      </c>
      <c r="G3" s="121">
        <v>1097997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477</v>
      </c>
      <c r="N3" s="120" t="s">
        <v>338</v>
      </c>
      <c r="O3" s="124">
        <v>38829</v>
      </c>
      <c r="P3" s="120" t="s">
        <v>1367</v>
      </c>
      <c r="Q3" s="120" t="s">
        <v>412</v>
      </c>
      <c r="R3" s="120" t="s">
        <v>406</v>
      </c>
      <c r="S3" s="120" t="s">
        <v>1215</v>
      </c>
      <c r="T3" s="122">
        <v>0.19</v>
      </c>
      <c r="U3" s="124">
        <v>45952</v>
      </c>
      <c r="V3" s="123">
        <v>2.9499999999999998E-2</v>
      </c>
      <c r="W3" s="123">
        <v>7.7499999999999999E-2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45838</v>
      </c>
      <c r="AC3" s="120"/>
      <c r="AD3" s="122">
        <v>60979.74</v>
      </c>
      <c r="AE3" s="122">
        <v>1</v>
      </c>
      <c r="AF3" s="122">
        <v>147.99</v>
      </c>
      <c r="AG3" s="122">
        <v>90.243920000000003</v>
      </c>
      <c r="AH3" s="120"/>
      <c r="AI3" s="120"/>
      <c r="AJ3" s="120"/>
      <c r="AK3" s="123">
        <v>0.18890299999999999</v>
      </c>
      <c r="AL3" s="123">
        <v>1.0399999999999999E-4</v>
      </c>
    </row>
    <row r="4" spans="1:38" ht="15" customHeight="1">
      <c r="A4" s="121">
        <v>526</v>
      </c>
      <c r="B4" s="121">
        <v>526</v>
      </c>
      <c r="C4" s="120" t="s">
        <v>1368</v>
      </c>
      <c r="D4" s="121">
        <v>520018078</v>
      </c>
      <c r="E4" s="120" t="s">
        <v>308</v>
      </c>
      <c r="F4" s="120" t="s">
        <v>1369</v>
      </c>
      <c r="G4" s="121">
        <v>6401772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447</v>
      </c>
      <c r="N4" s="120" t="s">
        <v>338</v>
      </c>
      <c r="O4" s="124">
        <v>37621</v>
      </c>
      <c r="P4" s="120" t="s">
        <v>1244</v>
      </c>
      <c r="Q4" s="120" t="s">
        <v>414</v>
      </c>
      <c r="R4" s="120" t="s">
        <v>406</v>
      </c>
      <c r="S4" s="120" t="s">
        <v>1215</v>
      </c>
      <c r="T4" s="122">
        <v>1.07</v>
      </c>
      <c r="U4" s="124">
        <v>46418</v>
      </c>
      <c r="V4" s="123">
        <v>2.58E-2</v>
      </c>
      <c r="W4" s="123">
        <v>6.6000000000000003E-2</v>
      </c>
      <c r="X4" s="120" t="s">
        <v>411</v>
      </c>
      <c r="Y4" s="120"/>
      <c r="Z4" s="120" t="s">
        <v>887</v>
      </c>
      <c r="AA4" s="120" t="s">
        <v>890</v>
      </c>
      <c r="AB4" s="124">
        <v>45838</v>
      </c>
      <c r="AC4" s="120"/>
      <c r="AD4" s="122">
        <v>100000</v>
      </c>
      <c r="AE4" s="122">
        <v>1</v>
      </c>
      <c r="AF4" s="122">
        <v>153.15</v>
      </c>
      <c r="AG4" s="122">
        <v>153.15</v>
      </c>
      <c r="AH4" s="120"/>
      <c r="AI4" s="120"/>
      <c r="AJ4" s="120"/>
      <c r="AK4" s="123">
        <v>0.32058199999999998</v>
      </c>
      <c r="AL4" s="123">
        <v>1.76E-4</v>
      </c>
    </row>
    <row r="5" spans="1:38" ht="15" customHeight="1">
      <c r="A5" s="121">
        <v>526</v>
      </c>
      <c r="B5" s="121">
        <v>526</v>
      </c>
      <c r="C5" s="120" t="s">
        <v>1241</v>
      </c>
      <c r="D5" s="121">
        <v>520000118</v>
      </c>
      <c r="E5" s="120" t="s">
        <v>308</v>
      </c>
      <c r="F5" s="120" t="s">
        <v>1370</v>
      </c>
      <c r="G5" s="121">
        <v>6626352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37620</v>
      </c>
      <c r="P5" s="120" t="s">
        <v>1367</v>
      </c>
      <c r="Q5" s="120" t="s">
        <v>412</v>
      </c>
      <c r="R5" s="120" t="s">
        <v>406</v>
      </c>
      <c r="S5" s="120" t="s">
        <v>1215</v>
      </c>
      <c r="T5" s="122">
        <v>1.45</v>
      </c>
      <c r="U5" s="124">
        <v>46751</v>
      </c>
      <c r="V5" s="123">
        <v>2.58E-2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45838</v>
      </c>
      <c r="AC5" s="120"/>
      <c r="AD5" s="122">
        <v>150000</v>
      </c>
      <c r="AE5" s="122">
        <v>1</v>
      </c>
      <c r="AF5" s="122">
        <v>156.22</v>
      </c>
      <c r="AG5" s="122">
        <v>234.33</v>
      </c>
      <c r="AH5" s="120"/>
      <c r="AI5" s="120"/>
      <c r="AJ5" s="120"/>
      <c r="AK5" s="123">
        <v>0.49051299999999998</v>
      </c>
      <c r="AL5" s="123">
        <v>2.7E-4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>
      <selection activeCell="A3" sqref="A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1371</v>
      </c>
      <c r="D2" s="121">
        <v>511015448</v>
      </c>
      <c r="E2" s="120" t="s">
        <v>308</v>
      </c>
      <c r="F2" s="120" t="s">
        <v>1372</v>
      </c>
      <c r="G2" s="121" t="s">
        <v>1373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31107</v>
      </c>
      <c r="P2" s="120" t="s">
        <v>1215</v>
      </c>
      <c r="Q2" s="120" t="s">
        <v>313</v>
      </c>
      <c r="R2" s="120" t="s">
        <v>890</v>
      </c>
      <c r="S2" s="124">
        <v>45657</v>
      </c>
      <c r="T2" s="124"/>
      <c r="U2" s="122">
        <v>20850</v>
      </c>
      <c r="V2" s="122">
        <v>1</v>
      </c>
      <c r="W2" s="122">
        <v>0.01</v>
      </c>
      <c r="X2" s="122">
        <v>2.0899999999999998E-3</v>
      </c>
      <c r="Y2" s="123">
        <v>1</v>
      </c>
      <c r="Z2" s="123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8"/>
  <sheetViews>
    <sheetView rightToLeft="1" zoomScale="90" zoomScaleNormal="90" workbookViewId="0">
      <selection activeCell="A18" sqref="A18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5.875" bestFit="1" customWidth="1"/>
    <col min="4" max="4" width="2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2.625" bestFit="1" customWidth="1"/>
    <col min="11" max="11" width="8.75" bestFit="1" customWidth="1"/>
    <col min="12" max="12" width="4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526</v>
      </c>
      <c r="B2" s="121">
        <v>526</v>
      </c>
      <c r="C2" s="120" t="s">
        <v>1374</v>
      </c>
      <c r="D2" s="121"/>
      <c r="E2" s="120"/>
      <c r="F2" s="120" t="s">
        <v>1375</v>
      </c>
      <c r="G2" s="121">
        <v>62008551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45223</v>
      </c>
      <c r="Q2" s="120" t="s">
        <v>1219</v>
      </c>
      <c r="R2" s="120" t="s">
        <v>886</v>
      </c>
      <c r="S2" s="120" t="s">
        <v>890</v>
      </c>
      <c r="T2" s="124">
        <v>45838</v>
      </c>
      <c r="U2" s="122">
        <v>3.3719999999999999</v>
      </c>
      <c r="V2" s="122">
        <v>163.76858999999999</v>
      </c>
      <c r="W2" s="122">
        <v>552.22767999999996</v>
      </c>
      <c r="X2" s="123">
        <v>9.0000000000000002E-6</v>
      </c>
      <c r="Y2" s="123">
        <v>2.3286999999999999E-2</v>
      </c>
      <c r="Z2" s="123">
        <v>6.38E-4</v>
      </c>
    </row>
    <row r="3" spans="1:27" ht="15" customHeight="1">
      <c r="A3" s="121">
        <v>526</v>
      </c>
      <c r="B3" s="121">
        <v>526</v>
      </c>
      <c r="C3" s="120" t="s">
        <v>1376</v>
      </c>
      <c r="D3" s="121"/>
      <c r="E3" s="120"/>
      <c r="F3" s="120" t="s">
        <v>1377</v>
      </c>
      <c r="G3" s="121">
        <v>62018045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223</v>
      </c>
      <c r="O3" s="120" t="s">
        <v>338</v>
      </c>
      <c r="P3" s="124">
        <v>45229</v>
      </c>
      <c r="Q3" s="120" t="s">
        <v>1219</v>
      </c>
      <c r="R3" s="120" t="s">
        <v>886</v>
      </c>
      <c r="S3" s="120" t="s">
        <v>890</v>
      </c>
      <c r="T3" s="124">
        <v>45838</v>
      </c>
      <c r="U3" s="122">
        <v>3.3719999999999999</v>
      </c>
      <c r="V3" s="122">
        <v>177.25400999999999</v>
      </c>
      <c r="W3" s="122">
        <v>597.70052999999996</v>
      </c>
      <c r="X3" s="123">
        <v>1.9999999999999999E-6</v>
      </c>
      <c r="Y3" s="123">
        <v>2.5205000000000002E-2</v>
      </c>
      <c r="Z3" s="123">
        <v>6.8999999999999997E-4</v>
      </c>
    </row>
    <row r="4" spans="1:27" ht="15" customHeight="1">
      <c r="A4" s="121">
        <v>526</v>
      </c>
      <c r="B4" s="121">
        <v>526</v>
      </c>
      <c r="C4" s="120" t="s">
        <v>1378</v>
      </c>
      <c r="D4" s="121"/>
      <c r="E4" s="120"/>
      <c r="F4" s="120" t="s">
        <v>1379</v>
      </c>
      <c r="G4" s="121">
        <v>38044</v>
      </c>
      <c r="H4" s="120" t="s">
        <v>311</v>
      </c>
      <c r="I4" s="120" t="s">
        <v>1002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45545</v>
      </c>
      <c r="Q4" s="120" t="s">
        <v>1215</v>
      </c>
      <c r="R4" s="120" t="s">
        <v>886</v>
      </c>
      <c r="S4" s="120" t="s">
        <v>890</v>
      </c>
      <c r="T4" s="124">
        <v>45838</v>
      </c>
      <c r="U4" s="122">
        <v>1</v>
      </c>
      <c r="V4" s="122">
        <v>89.362629999999996</v>
      </c>
      <c r="W4" s="122">
        <v>89.362629999999996</v>
      </c>
      <c r="X4" s="123">
        <v>3.4999999999999997E-5</v>
      </c>
      <c r="Y4" s="123">
        <v>3.7680000000000001E-3</v>
      </c>
      <c r="Z4" s="123">
        <v>1.03E-4</v>
      </c>
    </row>
    <row r="5" spans="1:27" ht="15" customHeight="1">
      <c r="A5" s="121">
        <v>526</v>
      </c>
      <c r="B5" s="121">
        <v>526</v>
      </c>
      <c r="C5" s="120" t="s">
        <v>1380</v>
      </c>
      <c r="D5" s="121"/>
      <c r="E5" s="120"/>
      <c r="F5" s="120" t="s">
        <v>1381</v>
      </c>
      <c r="G5" s="121">
        <v>62021701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45462</v>
      </c>
      <c r="Q5" s="120" t="s">
        <v>1215</v>
      </c>
      <c r="R5" s="120" t="s">
        <v>886</v>
      </c>
      <c r="S5" s="120" t="s">
        <v>890</v>
      </c>
      <c r="T5" s="124">
        <v>45838</v>
      </c>
      <c r="U5" s="122">
        <v>1</v>
      </c>
      <c r="V5" s="122">
        <v>258.60435999999999</v>
      </c>
      <c r="W5" s="122">
        <v>258.60435999999999</v>
      </c>
      <c r="X5" s="123">
        <v>2.6899999999999998E-4</v>
      </c>
      <c r="Y5" s="123">
        <v>1.0905E-2</v>
      </c>
      <c r="Z5" s="123">
        <v>2.9799999999999998E-4</v>
      </c>
    </row>
    <row r="6" spans="1:27" ht="15" customHeight="1">
      <c r="A6" s="121">
        <v>526</v>
      </c>
      <c r="B6" s="121">
        <v>526</v>
      </c>
      <c r="C6" s="120" t="s">
        <v>1382</v>
      </c>
      <c r="D6" s="121"/>
      <c r="E6" s="120"/>
      <c r="F6" s="120" t="s">
        <v>1383</v>
      </c>
      <c r="G6" s="121">
        <v>50007970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295</v>
      </c>
      <c r="O6" s="120" t="s">
        <v>338</v>
      </c>
      <c r="P6" s="124">
        <v>42692</v>
      </c>
      <c r="Q6" s="120" t="s">
        <v>1215</v>
      </c>
      <c r="R6" s="120" t="s">
        <v>886</v>
      </c>
      <c r="S6" s="120" t="s">
        <v>890</v>
      </c>
      <c r="T6" s="124">
        <v>45838</v>
      </c>
      <c r="U6" s="122">
        <v>1</v>
      </c>
      <c r="V6" s="122">
        <v>1232.3676</v>
      </c>
      <c r="W6" s="122">
        <v>1232.3676</v>
      </c>
      <c r="X6" s="123">
        <v>4.73E-4</v>
      </c>
      <c r="Y6" s="123">
        <v>5.1969000000000001E-2</v>
      </c>
      <c r="Z6" s="123">
        <v>1.423E-3</v>
      </c>
    </row>
    <row r="7" spans="1:27" ht="15" customHeight="1">
      <c r="A7" s="121">
        <v>526</v>
      </c>
      <c r="B7" s="121">
        <v>526</v>
      </c>
      <c r="C7" s="120" t="s">
        <v>1384</v>
      </c>
      <c r="D7" s="121"/>
      <c r="E7" s="120"/>
      <c r="F7" s="120" t="s">
        <v>1385</v>
      </c>
      <c r="G7" s="121">
        <v>62008450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45223</v>
      </c>
      <c r="Q7" s="120" t="s">
        <v>1215</v>
      </c>
      <c r="R7" s="120" t="s">
        <v>886</v>
      </c>
      <c r="S7" s="120" t="s">
        <v>890</v>
      </c>
      <c r="T7" s="124">
        <v>45838</v>
      </c>
      <c r="U7" s="122">
        <v>1</v>
      </c>
      <c r="V7" s="122">
        <v>351.70708999999999</v>
      </c>
      <c r="W7" s="122">
        <v>351.70708999999999</v>
      </c>
      <c r="X7" s="123">
        <v>6.3900000000000003E-4</v>
      </c>
      <c r="Y7" s="123">
        <v>1.4831E-2</v>
      </c>
      <c r="Z7" s="123">
        <v>4.06E-4</v>
      </c>
    </row>
    <row r="8" spans="1:27" ht="15" customHeight="1">
      <c r="A8" s="121">
        <v>526</v>
      </c>
      <c r="B8" s="121">
        <v>526</v>
      </c>
      <c r="C8" s="120" t="s">
        <v>1386</v>
      </c>
      <c r="D8" s="121"/>
      <c r="E8" s="120"/>
      <c r="F8" s="120" t="s">
        <v>1387</v>
      </c>
      <c r="G8" s="121">
        <v>62022249</v>
      </c>
      <c r="H8" s="120" t="s">
        <v>311</v>
      </c>
      <c r="I8" s="120" t="s">
        <v>1001</v>
      </c>
      <c r="J8" s="120"/>
      <c r="K8" s="120" t="s">
        <v>204</v>
      </c>
      <c r="L8" s="120"/>
      <c r="M8" s="120"/>
      <c r="N8" s="120" t="s">
        <v>295</v>
      </c>
      <c r="O8" s="120" t="s">
        <v>338</v>
      </c>
      <c r="P8" s="124">
        <v>45708</v>
      </c>
      <c r="Q8" s="120" t="s">
        <v>1219</v>
      </c>
      <c r="R8" s="120" t="s">
        <v>886</v>
      </c>
      <c r="S8" s="120" t="s">
        <v>890</v>
      </c>
      <c r="T8" s="124">
        <v>45838</v>
      </c>
      <c r="U8" s="122">
        <v>3.3719999999999999</v>
      </c>
      <c r="V8" s="122">
        <v>57.504060000000003</v>
      </c>
      <c r="W8" s="122">
        <v>193.90369000000001</v>
      </c>
      <c r="X8" s="123">
        <v>2.5000000000000001E-5</v>
      </c>
      <c r="Y8" s="123">
        <v>8.1770000000000002E-3</v>
      </c>
      <c r="Z8" s="123">
        <v>2.24E-4</v>
      </c>
    </row>
    <row r="9" spans="1:27" ht="15" customHeight="1">
      <c r="A9" s="121">
        <v>526</v>
      </c>
      <c r="B9" s="121">
        <v>526</v>
      </c>
      <c r="C9" s="120" t="s">
        <v>1388</v>
      </c>
      <c r="D9" s="121"/>
      <c r="E9" s="120"/>
      <c r="F9" s="120" t="s">
        <v>1389</v>
      </c>
      <c r="G9" s="121">
        <v>62021472</v>
      </c>
      <c r="H9" s="120" t="s">
        <v>311</v>
      </c>
      <c r="I9" s="120" t="s">
        <v>1002</v>
      </c>
      <c r="J9" s="120"/>
      <c r="K9" s="120" t="s">
        <v>204</v>
      </c>
      <c r="L9" s="120"/>
      <c r="M9" s="120"/>
      <c r="N9" s="120" t="s">
        <v>223</v>
      </c>
      <c r="O9" s="120" t="s">
        <v>338</v>
      </c>
      <c r="P9" s="124">
        <v>45331</v>
      </c>
      <c r="Q9" s="120" t="s">
        <v>1219</v>
      </c>
      <c r="R9" s="120" t="s">
        <v>886</v>
      </c>
      <c r="S9" s="120" t="s">
        <v>890</v>
      </c>
      <c r="T9" s="124">
        <v>45838</v>
      </c>
      <c r="U9" s="122">
        <v>3.3719999999999999</v>
      </c>
      <c r="V9" s="122">
        <v>615.83888000000002</v>
      </c>
      <c r="W9" s="122">
        <v>2076.60869</v>
      </c>
      <c r="X9" s="123">
        <v>8.2000000000000001E-5</v>
      </c>
      <c r="Y9" s="123">
        <v>8.7571999999999997E-2</v>
      </c>
      <c r="Z9" s="123">
        <v>2.3990000000000001E-3</v>
      </c>
    </row>
    <row r="10" spans="1:27" ht="15" customHeight="1">
      <c r="A10" s="121">
        <v>526</v>
      </c>
      <c r="B10" s="121">
        <v>526</v>
      </c>
      <c r="C10" s="120" t="s">
        <v>1390</v>
      </c>
      <c r="D10" s="121"/>
      <c r="E10" s="120"/>
      <c r="F10" s="120" t="s">
        <v>1391</v>
      </c>
      <c r="G10" s="121">
        <v>62022207</v>
      </c>
      <c r="H10" s="120" t="s">
        <v>311</v>
      </c>
      <c r="I10" s="120" t="s">
        <v>1001</v>
      </c>
      <c r="J10" s="120"/>
      <c r="K10" s="120" t="s">
        <v>204</v>
      </c>
      <c r="L10" s="120"/>
      <c r="M10" s="120"/>
      <c r="N10" s="120" t="s">
        <v>295</v>
      </c>
      <c r="O10" s="120" t="s">
        <v>338</v>
      </c>
      <c r="P10" s="124">
        <v>45699</v>
      </c>
      <c r="Q10" s="120" t="s">
        <v>1219</v>
      </c>
      <c r="R10" s="120" t="s">
        <v>886</v>
      </c>
      <c r="S10" s="120" t="s">
        <v>890</v>
      </c>
      <c r="T10" s="124">
        <v>45838</v>
      </c>
      <c r="U10" s="122">
        <v>3.3719999999999999</v>
      </c>
      <c r="V10" s="122">
        <v>142.74524</v>
      </c>
      <c r="W10" s="122">
        <v>481.33695999999998</v>
      </c>
      <c r="X10" s="123">
        <v>3.4999999999999997E-5</v>
      </c>
      <c r="Y10" s="123">
        <v>2.0298E-2</v>
      </c>
      <c r="Z10" s="123">
        <v>5.5599999999999996E-4</v>
      </c>
    </row>
    <row r="11" spans="1:27" ht="15" customHeight="1">
      <c r="A11" s="121">
        <v>526</v>
      </c>
      <c r="B11" s="121">
        <v>526</v>
      </c>
      <c r="C11" s="120" t="s">
        <v>1392</v>
      </c>
      <c r="D11" s="121"/>
      <c r="E11" s="120"/>
      <c r="F11" s="120" t="s">
        <v>1393</v>
      </c>
      <c r="G11" s="121">
        <v>62022371</v>
      </c>
      <c r="H11" s="120" t="s">
        <v>311</v>
      </c>
      <c r="I11" s="120" t="s">
        <v>1005</v>
      </c>
      <c r="J11" s="120"/>
      <c r="K11" s="120" t="s">
        <v>204</v>
      </c>
      <c r="L11" s="120"/>
      <c r="M11" s="120"/>
      <c r="N11" s="120" t="s">
        <v>223</v>
      </c>
      <c r="O11" s="120" t="s">
        <v>338</v>
      </c>
      <c r="P11" s="124">
        <v>45789</v>
      </c>
      <c r="Q11" s="120" t="s">
        <v>1219</v>
      </c>
      <c r="R11" s="120" t="s">
        <v>886</v>
      </c>
      <c r="S11" s="120" t="s">
        <v>890</v>
      </c>
      <c r="T11" s="124">
        <v>45838</v>
      </c>
      <c r="U11" s="122">
        <v>3.3719999999999999</v>
      </c>
      <c r="V11" s="122">
        <v>148.74100000000001</v>
      </c>
      <c r="W11" s="122">
        <v>501.55464999999998</v>
      </c>
      <c r="X11" s="123">
        <v>5.9400000000000002E-4</v>
      </c>
      <c r="Y11" s="123">
        <v>2.1149999999999999E-2</v>
      </c>
      <c r="Z11" s="123">
        <v>5.7899999999999998E-4</v>
      </c>
    </row>
    <row r="12" spans="1:27" ht="15" customHeight="1">
      <c r="A12" s="121">
        <v>526</v>
      </c>
      <c r="B12" s="121">
        <v>526</v>
      </c>
      <c r="C12" s="120" t="s">
        <v>1394</v>
      </c>
      <c r="D12" s="121"/>
      <c r="E12" s="120"/>
      <c r="F12" s="120" t="s">
        <v>1394</v>
      </c>
      <c r="G12" s="121">
        <v>62021209</v>
      </c>
      <c r="H12" s="120" t="s">
        <v>311</v>
      </c>
      <c r="I12" s="120" t="s">
        <v>1001</v>
      </c>
      <c r="J12" s="120"/>
      <c r="K12" s="120" t="s">
        <v>204</v>
      </c>
      <c r="L12" s="120"/>
      <c r="M12" s="120"/>
      <c r="N12" s="120" t="s">
        <v>223</v>
      </c>
      <c r="O12" s="120" t="s">
        <v>338</v>
      </c>
      <c r="P12" s="124">
        <v>45021</v>
      </c>
      <c r="Q12" s="120" t="s">
        <v>1219</v>
      </c>
      <c r="R12" s="120" t="s">
        <v>886</v>
      </c>
      <c r="S12" s="120" t="s">
        <v>890</v>
      </c>
      <c r="T12" s="124">
        <v>45838</v>
      </c>
      <c r="U12" s="122">
        <v>3.3719999999999999</v>
      </c>
      <c r="V12" s="122">
        <v>59.724379999999996</v>
      </c>
      <c r="W12" s="122">
        <v>201.39060000000001</v>
      </c>
      <c r="X12" s="123">
        <v>1.9999999999999999E-6</v>
      </c>
      <c r="Y12" s="123">
        <v>8.4919999999999995E-3</v>
      </c>
      <c r="Z12" s="123">
        <v>2.32E-4</v>
      </c>
    </row>
    <row r="13" spans="1:27" ht="15" customHeight="1">
      <c r="A13" s="121">
        <v>526</v>
      </c>
      <c r="B13" s="121">
        <v>526</v>
      </c>
      <c r="C13" s="120" t="s">
        <v>1395</v>
      </c>
      <c r="D13" s="121"/>
      <c r="E13" s="120"/>
      <c r="F13" s="120" t="s">
        <v>1396</v>
      </c>
      <c r="G13" s="121">
        <v>62021910</v>
      </c>
      <c r="H13" s="120" t="s">
        <v>311</v>
      </c>
      <c r="I13" s="120" t="s">
        <v>1001</v>
      </c>
      <c r="J13" s="120"/>
      <c r="K13" s="120" t="s">
        <v>204</v>
      </c>
      <c r="L13" s="120"/>
      <c r="M13" s="120"/>
      <c r="N13" s="120" t="s">
        <v>223</v>
      </c>
      <c r="O13" s="120" t="s">
        <v>338</v>
      </c>
      <c r="P13" s="124">
        <v>45526</v>
      </c>
      <c r="Q13" s="120" t="s">
        <v>1219</v>
      </c>
      <c r="R13" s="120" t="s">
        <v>886</v>
      </c>
      <c r="S13" s="120" t="s">
        <v>890</v>
      </c>
      <c r="T13" s="124">
        <v>45838</v>
      </c>
      <c r="U13" s="122">
        <v>3.3719999999999999</v>
      </c>
      <c r="V13" s="122">
        <v>25.467690000000001</v>
      </c>
      <c r="W13" s="122">
        <v>85.877049999999997</v>
      </c>
      <c r="X13" s="123">
        <v>9.9999999999999995E-7</v>
      </c>
      <c r="Y13" s="123">
        <v>3.6210000000000001E-3</v>
      </c>
      <c r="Z13" s="123">
        <v>9.8999999999999994E-5</v>
      </c>
    </row>
    <row r="14" spans="1:27" ht="15" customHeight="1">
      <c r="A14" s="121">
        <v>526</v>
      </c>
      <c r="B14" s="121">
        <v>526</v>
      </c>
      <c r="C14" s="120" t="s">
        <v>1397</v>
      </c>
      <c r="D14" s="121"/>
      <c r="E14" s="120"/>
      <c r="F14" s="120" t="s">
        <v>1398</v>
      </c>
      <c r="G14" s="121">
        <v>62021654</v>
      </c>
      <c r="H14" s="120" t="s">
        <v>311</v>
      </c>
      <c r="I14" s="120" t="s">
        <v>1004</v>
      </c>
      <c r="J14" s="120"/>
      <c r="K14" s="120" t="s">
        <v>204</v>
      </c>
      <c r="L14" s="120"/>
      <c r="M14" s="120"/>
      <c r="N14" s="120" t="s">
        <v>223</v>
      </c>
      <c r="O14" s="120" t="s">
        <v>338</v>
      </c>
      <c r="P14" s="124">
        <v>45385</v>
      </c>
      <c r="Q14" s="120" t="s">
        <v>1219</v>
      </c>
      <c r="R14" s="120" t="s">
        <v>886</v>
      </c>
      <c r="S14" s="120" t="s">
        <v>890</v>
      </c>
      <c r="T14" s="124">
        <v>45838</v>
      </c>
      <c r="U14" s="122">
        <v>3.3719999999999999</v>
      </c>
      <c r="V14" s="122">
        <v>237.28063</v>
      </c>
      <c r="W14" s="122">
        <v>800.11027999999999</v>
      </c>
      <c r="X14" s="123">
        <v>1.8900000000000001E-4</v>
      </c>
      <c r="Y14" s="123">
        <v>3.3741E-2</v>
      </c>
      <c r="Z14" s="123">
        <v>9.2400000000000002E-4</v>
      </c>
    </row>
    <row r="15" spans="1:27" ht="15" customHeight="1">
      <c r="A15" s="121">
        <v>526</v>
      </c>
      <c r="B15" s="121">
        <v>526</v>
      </c>
      <c r="C15" s="120" t="s">
        <v>1399</v>
      </c>
      <c r="D15" s="121"/>
      <c r="E15" s="120"/>
      <c r="F15" s="120" t="s">
        <v>1399</v>
      </c>
      <c r="G15" s="121">
        <v>62021214</v>
      </c>
      <c r="H15" s="120" t="s">
        <v>311</v>
      </c>
      <c r="I15" s="120" t="s">
        <v>1001</v>
      </c>
      <c r="J15" s="120"/>
      <c r="K15" s="120" t="s">
        <v>204</v>
      </c>
      <c r="L15" s="120"/>
      <c r="M15" s="120"/>
      <c r="N15" s="120" t="s">
        <v>223</v>
      </c>
      <c r="O15" s="120" t="s">
        <v>338</v>
      </c>
      <c r="P15" s="124">
        <v>45560</v>
      </c>
      <c r="Q15" s="120" t="s">
        <v>1219</v>
      </c>
      <c r="R15" s="120" t="s">
        <v>886</v>
      </c>
      <c r="S15" s="120" t="s">
        <v>890</v>
      </c>
      <c r="T15" s="124">
        <v>45838</v>
      </c>
      <c r="U15" s="122">
        <v>3.3719999999999999</v>
      </c>
      <c r="V15" s="122">
        <v>292.02418999999998</v>
      </c>
      <c r="W15" s="122">
        <v>984.70556999999997</v>
      </c>
      <c r="X15" s="123">
        <v>1.4E-5</v>
      </c>
      <c r="Y15" s="123">
        <v>4.1524999999999999E-2</v>
      </c>
      <c r="Z15" s="123">
        <v>1.137E-3</v>
      </c>
    </row>
    <row r="16" spans="1:27" ht="15" customHeight="1">
      <c r="A16" s="121">
        <v>526</v>
      </c>
      <c r="B16" s="121">
        <v>526</v>
      </c>
      <c r="C16" s="120" t="s">
        <v>1388</v>
      </c>
      <c r="D16" s="121"/>
      <c r="E16" s="120"/>
      <c r="F16" s="120" t="s">
        <v>1400</v>
      </c>
      <c r="G16" s="121">
        <v>62021597</v>
      </c>
      <c r="H16" s="120" t="s">
        <v>311</v>
      </c>
      <c r="I16" s="120" t="s">
        <v>1002</v>
      </c>
      <c r="J16" s="120"/>
      <c r="K16" s="120" t="s">
        <v>204</v>
      </c>
      <c r="L16" s="120"/>
      <c r="M16" s="120"/>
      <c r="N16" s="120" t="s">
        <v>292</v>
      </c>
      <c r="O16" s="120" t="s">
        <v>338</v>
      </c>
      <c r="P16" s="124">
        <v>45092</v>
      </c>
      <c r="Q16" s="120" t="s">
        <v>1212</v>
      </c>
      <c r="R16" s="120" t="s">
        <v>886</v>
      </c>
      <c r="S16" s="120" t="s">
        <v>890</v>
      </c>
      <c r="T16" s="124">
        <v>45838</v>
      </c>
      <c r="U16" s="122">
        <v>3.9552</v>
      </c>
      <c r="V16" s="122">
        <v>227.20111</v>
      </c>
      <c r="W16" s="122">
        <v>898.62581999999998</v>
      </c>
      <c r="X16" s="123">
        <v>2.2699999999999999E-4</v>
      </c>
      <c r="Y16" s="123">
        <v>3.7894999999999998E-2</v>
      </c>
      <c r="Z16" s="123">
        <v>1.0380000000000001E-3</v>
      </c>
    </row>
    <row r="17" spans="1:26" ht="15" customHeight="1">
      <c r="A17" s="121">
        <v>526</v>
      </c>
      <c r="B17" s="121">
        <v>526</v>
      </c>
      <c r="C17" s="120" t="s">
        <v>1401</v>
      </c>
      <c r="D17" s="121"/>
      <c r="E17" s="120"/>
      <c r="F17" s="120" t="s">
        <v>1402</v>
      </c>
      <c r="G17" s="121">
        <v>62021741</v>
      </c>
      <c r="H17" s="120" t="s">
        <v>311</v>
      </c>
      <c r="I17" s="120" t="s">
        <v>1002</v>
      </c>
      <c r="J17" s="120"/>
      <c r="K17" s="120" t="s">
        <v>204</v>
      </c>
      <c r="L17" s="120"/>
      <c r="M17" s="120"/>
      <c r="N17" s="120" t="s">
        <v>223</v>
      </c>
      <c r="O17" s="120" t="s">
        <v>338</v>
      </c>
      <c r="P17" s="124">
        <v>45615</v>
      </c>
      <c r="Q17" s="120" t="s">
        <v>1219</v>
      </c>
      <c r="R17" s="120" t="s">
        <v>886</v>
      </c>
      <c r="S17" s="120" t="s">
        <v>890</v>
      </c>
      <c r="T17" s="124">
        <v>45838</v>
      </c>
      <c r="U17" s="122">
        <v>3.3719999999999999</v>
      </c>
      <c r="V17" s="122">
        <v>403.87817000000001</v>
      </c>
      <c r="W17" s="122">
        <v>1361.87718</v>
      </c>
      <c r="X17" s="123">
        <v>5.0000000000000002E-5</v>
      </c>
      <c r="Y17" s="123">
        <v>5.7431000000000003E-2</v>
      </c>
      <c r="Z17" s="123">
        <v>1.573E-3</v>
      </c>
    </row>
    <row r="18" spans="1:26" ht="15" customHeight="1">
      <c r="A18" s="121">
        <v>526</v>
      </c>
      <c r="B18" s="121">
        <v>526</v>
      </c>
      <c r="C18" s="120" t="s">
        <v>1403</v>
      </c>
      <c r="D18" s="121"/>
      <c r="E18" s="120"/>
      <c r="F18" s="120" t="s">
        <v>1404</v>
      </c>
      <c r="G18" s="121">
        <v>62021613</v>
      </c>
      <c r="H18" s="120" t="s">
        <v>311</v>
      </c>
      <c r="I18" s="120" t="s">
        <v>1002</v>
      </c>
      <c r="J18" s="120"/>
      <c r="K18" s="120" t="s">
        <v>204</v>
      </c>
      <c r="L18" s="120"/>
      <c r="M18" s="120"/>
      <c r="N18" s="120" t="s">
        <v>295</v>
      </c>
      <c r="O18" s="120" t="s">
        <v>338</v>
      </c>
      <c r="P18" s="124">
        <v>45260</v>
      </c>
      <c r="Q18" s="120" t="s">
        <v>1212</v>
      </c>
      <c r="R18" s="120" t="s">
        <v>886</v>
      </c>
      <c r="S18" s="120" t="s">
        <v>890</v>
      </c>
      <c r="T18" s="124">
        <v>45838</v>
      </c>
      <c r="U18" s="122">
        <v>3.9552</v>
      </c>
      <c r="V18" s="122">
        <v>165.80662000000001</v>
      </c>
      <c r="W18" s="122">
        <v>655.79835000000003</v>
      </c>
      <c r="X18" s="123">
        <v>1.2999999999999999E-5</v>
      </c>
      <c r="Y18" s="123">
        <v>2.7654999999999999E-2</v>
      </c>
      <c r="Z18" s="123">
        <v>7.5699999999999997E-4</v>
      </c>
    </row>
    <row r="19" spans="1:26" ht="15" customHeight="1">
      <c r="A19" s="121">
        <v>526</v>
      </c>
      <c r="B19" s="121">
        <v>526</v>
      </c>
      <c r="C19" s="120" t="s">
        <v>1405</v>
      </c>
      <c r="D19" s="121"/>
      <c r="E19" s="120"/>
      <c r="F19" s="120" t="s">
        <v>1406</v>
      </c>
      <c r="G19" s="121">
        <v>62021811</v>
      </c>
      <c r="H19" s="120" t="s">
        <v>311</v>
      </c>
      <c r="I19" s="120" t="s">
        <v>1001</v>
      </c>
      <c r="J19" s="120"/>
      <c r="K19" s="120" t="s">
        <v>204</v>
      </c>
      <c r="L19" s="120"/>
      <c r="M19" s="120"/>
      <c r="N19" s="120" t="s">
        <v>223</v>
      </c>
      <c r="O19" s="120" t="s">
        <v>338</v>
      </c>
      <c r="P19" s="124">
        <v>45497</v>
      </c>
      <c r="Q19" s="120" t="s">
        <v>1219</v>
      </c>
      <c r="R19" s="120" t="s">
        <v>886</v>
      </c>
      <c r="S19" s="120" t="s">
        <v>890</v>
      </c>
      <c r="T19" s="124">
        <v>45838</v>
      </c>
      <c r="U19" s="122">
        <v>3.3719999999999999</v>
      </c>
      <c r="V19" s="122">
        <v>77.122990000000001</v>
      </c>
      <c r="W19" s="122">
        <v>260.05873000000003</v>
      </c>
      <c r="X19" s="123">
        <v>6.0000000000000002E-6</v>
      </c>
      <c r="Y19" s="123">
        <v>1.0966E-2</v>
      </c>
      <c r="Z19" s="123">
        <v>2.9999999999999997E-4</v>
      </c>
    </row>
    <row r="20" spans="1:26" ht="15" customHeight="1">
      <c r="A20" s="121">
        <v>526</v>
      </c>
      <c r="B20" s="121">
        <v>526</v>
      </c>
      <c r="C20" s="120" t="s">
        <v>1390</v>
      </c>
      <c r="D20" s="121"/>
      <c r="E20" s="120"/>
      <c r="F20" s="120" t="s">
        <v>1407</v>
      </c>
      <c r="G20" s="121">
        <v>62021042</v>
      </c>
      <c r="H20" s="120" t="s">
        <v>311</v>
      </c>
      <c r="I20" s="120" t="s">
        <v>1001</v>
      </c>
      <c r="J20" s="120"/>
      <c r="K20" s="120" t="s">
        <v>204</v>
      </c>
      <c r="L20" s="120"/>
      <c r="M20" s="120"/>
      <c r="N20" s="120" t="s">
        <v>295</v>
      </c>
      <c r="O20" s="120" t="s">
        <v>338</v>
      </c>
      <c r="P20" s="124">
        <v>45453</v>
      </c>
      <c r="Q20" s="120" t="s">
        <v>1219</v>
      </c>
      <c r="R20" s="120" t="s">
        <v>886</v>
      </c>
      <c r="S20" s="120" t="s">
        <v>890</v>
      </c>
      <c r="T20" s="124">
        <v>45838</v>
      </c>
      <c r="U20" s="122">
        <v>3.3719999999999999</v>
      </c>
      <c r="V20" s="122">
        <v>859.69799999999998</v>
      </c>
      <c r="W20" s="122">
        <v>2898.90166</v>
      </c>
      <c r="X20" s="123">
        <v>6.3E-5</v>
      </c>
      <c r="Y20" s="123">
        <v>0.122248</v>
      </c>
      <c r="Z20" s="123">
        <v>3.349E-3</v>
      </c>
    </row>
    <row r="21" spans="1:26" ht="15" customHeight="1">
      <c r="A21" s="121">
        <v>526</v>
      </c>
      <c r="B21" s="121">
        <v>526</v>
      </c>
      <c r="C21" s="120" t="s">
        <v>1408</v>
      </c>
      <c r="D21" s="121"/>
      <c r="E21" s="120"/>
      <c r="F21" s="120" t="s">
        <v>1409</v>
      </c>
      <c r="G21" s="121">
        <v>62021902</v>
      </c>
      <c r="H21" s="120" t="s">
        <v>311</v>
      </c>
      <c r="I21" s="120" t="s">
        <v>1001</v>
      </c>
      <c r="J21" s="120"/>
      <c r="K21" s="120" t="s">
        <v>204</v>
      </c>
      <c r="L21" s="120"/>
      <c r="M21" s="120"/>
      <c r="N21" s="120" t="s">
        <v>223</v>
      </c>
      <c r="O21" s="120" t="s">
        <v>338</v>
      </c>
      <c r="P21" s="124">
        <v>45545</v>
      </c>
      <c r="Q21" s="120" t="s">
        <v>1219</v>
      </c>
      <c r="R21" s="120" t="s">
        <v>886</v>
      </c>
      <c r="S21" s="120" t="s">
        <v>890</v>
      </c>
      <c r="T21" s="124">
        <v>45838</v>
      </c>
      <c r="U21" s="122">
        <v>3.3719999999999999</v>
      </c>
      <c r="V21" s="122">
        <v>152.48166000000001</v>
      </c>
      <c r="W21" s="122">
        <v>514.16814999999997</v>
      </c>
      <c r="X21" s="123">
        <v>5.5000000000000002E-5</v>
      </c>
      <c r="Y21" s="123">
        <v>2.1682E-2</v>
      </c>
      <c r="Z21" s="123">
        <v>5.9400000000000002E-4</v>
      </c>
    </row>
    <row r="22" spans="1:26" ht="15" customHeight="1">
      <c r="A22" s="121">
        <v>526</v>
      </c>
      <c r="B22" s="121">
        <v>526</v>
      </c>
      <c r="C22" s="120" t="s">
        <v>1410</v>
      </c>
      <c r="D22" s="121"/>
      <c r="E22" s="120"/>
      <c r="F22" s="120" t="s">
        <v>1411</v>
      </c>
      <c r="G22" s="121">
        <v>62021514</v>
      </c>
      <c r="H22" s="120" t="s">
        <v>311</v>
      </c>
      <c r="I22" s="120" t="s">
        <v>1004</v>
      </c>
      <c r="J22" s="120"/>
      <c r="K22" s="120" t="s">
        <v>204</v>
      </c>
      <c r="L22" s="120"/>
      <c r="M22" s="120"/>
      <c r="N22" s="120" t="s">
        <v>223</v>
      </c>
      <c r="O22" s="120" t="s">
        <v>338</v>
      </c>
      <c r="P22" s="124">
        <v>45261</v>
      </c>
      <c r="Q22" s="120" t="s">
        <v>1219</v>
      </c>
      <c r="R22" s="120" t="s">
        <v>886</v>
      </c>
      <c r="S22" s="120" t="s">
        <v>890</v>
      </c>
      <c r="T22" s="124">
        <v>45838</v>
      </c>
      <c r="U22" s="122">
        <v>3.3719999999999999</v>
      </c>
      <c r="V22" s="122">
        <v>685.04260999999997</v>
      </c>
      <c r="W22" s="122">
        <v>2309.9636599999999</v>
      </c>
      <c r="X22" s="123">
        <v>9.9999999999999995E-7</v>
      </c>
      <c r="Y22" s="123">
        <v>9.7411999999999999E-2</v>
      </c>
      <c r="Z22" s="123">
        <v>2.6689999999999999E-3</v>
      </c>
    </row>
    <row r="23" spans="1:26" ht="15" customHeight="1">
      <c r="A23" s="121">
        <v>526</v>
      </c>
      <c r="B23" s="121">
        <v>526</v>
      </c>
      <c r="C23" s="120" t="s">
        <v>1412</v>
      </c>
      <c r="D23" s="121"/>
      <c r="E23" s="120"/>
      <c r="F23" s="120" t="s">
        <v>1413</v>
      </c>
      <c r="G23" s="121">
        <v>62021738</v>
      </c>
      <c r="H23" s="120" t="s">
        <v>311</v>
      </c>
      <c r="I23" s="120" t="s">
        <v>1002</v>
      </c>
      <c r="J23" s="120"/>
      <c r="K23" s="120" t="s">
        <v>204</v>
      </c>
      <c r="L23" s="120"/>
      <c r="M23" s="120"/>
      <c r="N23" s="120" t="s">
        <v>223</v>
      </c>
      <c r="O23" s="120" t="s">
        <v>338</v>
      </c>
      <c r="P23" s="124">
        <v>45505</v>
      </c>
      <c r="Q23" s="120" t="s">
        <v>1219</v>
      </c>
      <c r="R23" s="120" t="s">
        <v>886</v>
      </c>
      <c r="S23" s="120" t="s">
        <v>890</v>
      </c>
      <c r="T23" s="124">
        <v>45838</v>
      </c>
      <c r="U23" s="122">
        <v>3.3719999999999999</v>
      </c>
      <c r="V23" s="122">
        <v>256.89539000000002</v>
      </c>
      <c r="W23" s="122">
        <v>866.25126</v>
      </c>
      <c r="X23" s="123">
        <v>2.1999999999999999E-5</v>
      </c>
      <c r="Y23" s="123">
        <v>3.653E-2</v>
      </c>
      <c r="Z23" s="123">
        <v>1E-3</v>
      </c>
    </row>
    <row r="24" spans="1:26" ht="15" customHeight="1">
      <c r="A24" s="121">
        <v>526</v>
      </c>
      <c r="B24" s="121">
        <v>526</v>
      </c>
      <c r="C24" s="120" t="s">
        <v>1414</v>
      </c>
      <c r="D24" s="121"/>
      <c r="E24" s="120"/>
      <c r="F24" s="120" t="s">
        <v>1415</v>
      </c>
      <c r="G24" s="121">
        <v>62021038</v>
      </c>
      <c r="H24" s="120" t="s">
        <v>311</v>
      </c>
      <c r="I24" s="120" t="s">
        <v>1001</v>
      </c>
      <c r="J24" s="120"/>
      <c r="K24" s="120" t="s">
        <v>204</v>
      </c>
      <c r="L24" s="120"/>
      <c r="M24" s="120"/>
      <c r="N24" s="120" t="s">
        <v>295</v>
      </c>
      <c r="O24" s="120" t="s">
        <v>338</v>
      </c>
      <c r="P24" s="124">
        <v>45484</v>
      </c>
      <c r="Q24" s="120" t="s">
        <v>1219</v>
      </c>
      <c r="R24" s="120" t="s">
        <v>886</v>
      </c>
      <c r="S24" s="120" t="s">
        <v>890</v>
      </c>
      <c r="T24" s="124">
        <v>45838</v>
      </c>
      <c r="U24" s="122">
        <v>3.3719999999999999</v>
      </c>
      <c r="V24" s="122">
        <v>803.75824</v>
      </c>
      <c r="W24" s="122">
        <v>2710.2728000000002</v>
      </c>
      <c r="X24" s="123">
        <v>2.6699999999999998E-4</v>
      </c>
      <c r="Y24" s="123">
        <v>0.11429400000000001</v>
      </c>
      <c r="Z24" s="123">
        <v>3.1310000000000001E-3</v>
      </c>
    </row>
    <row r="25" spans="1:26" ht="15" customHeight="1">
      <c r="A25" s="121">
        <v>526</v>
      </c>
      <c r="B25" s="121">
        <v>526</v>
      </c>
      <c r="C25" s="120" t="s">
        <v>1382</v>
      </c>
      <c r="D25" s="121"/>
      <c r="E25" s="120"/>
      <c r="F25" s="120" t="s">
        <v>1416</v>
      </c>
      <c r="G25" s="121">
        <v>62021274</v>
      </c>
      <c r="H25" s="120" t="s">
        <v>311</v>
      </c>
      <c r="I25" s="120" t="s">
        <v>1001</v>
      </c>
      <c r="J25" s="120"/>
      <c r="K25" s="120" t="s">
        <v>204</v>
      </c>
      <c r="L25" s="120"/>
      <c r="M25" s="120"/>
      <c r="N25" s="120" t="s">
        <v>292</v>
      </c>
      <c r="O25" s="120" t="s">
        <v>338</v>
      </c>
      <c r="P25" s="124">
        <v>45505</v>
      </c>
      <c r="Q25" s="120" t="s">
        <v>1212</v>
      </c>
      <c r="R25" s="120" t="s">
        <v>886</v>
      </c>
      <c r="S25" s="120" t="s">
        <v>890</v>
      </c>
      <c r="T25" s="124">
        <v>45838</v>
      </c>
      <c r="U25" s="122">
        <v>3.9552</v>
      </c>
      <c r="V25" s="122">
        <v>142.08676</v>
      </c>
      <c r="W25" s="122">
        <v>561.98155999999994</v>
      </c>
      <c r="X25" s="123">
        <v>9.9999999999999995E-7</v>
      </c>
      <c r="Y25" s="123">
        <v>2.3699000000000001E-2</v>
      </c>
      <c r="Z25" s="123">
        <v>6.4899999999999995E-4</v>
      </c>
    </row>
    <row r="26" spans="1:26" ht="15" customHeight="1">
      <c r="A26" s="121">
        <v>526</v>
      </c>
      <c r="B26" s="121">
        <v>526</v>
      </c>
      <c r="C26" s="120" t="s">
        <v>1417</v>
      </c>
      <c r="D26" s="121"/>
      <c r="E26" s="120"/>
      <c r="F26" s="120" t="s">
        <v>1418</v>
      </c>
      <c r="G26" s="121">
        <v>62021837</v>
      </c>
      <c r="H26" s="120" t="s">
        <v>311</v>
      </c>
      <c r="I26" s="120" t="s">
        <v>1001</v>
      </c>
      <c r="J26" s="120"/>
      <c r="K26" s="120" t="s">
        <v>204</v>
      </c>
      <c r="L26" s="120"/>
      <c r="M26" s="120"/>
      <c r="N26" s="120" t="s">
        <v>295</v>
      </c>
      <c r="O26" s="120" t="s">
        <v>338</v>
      </c>
      <c r="P26" s="124">
        <v>45485</v>
      </c>
      <c r="Q26" s="120" t="s">
        <v>1219</v>
      </c>
      <c r="R26" s="120" t="s">
        <v>886</v>
      </c>
      <c r="S26" s="120" t="s">
        <v>890</v>
      </c>
      <c r="T26" s="124">
        <v>45838</v>
      </c>
      <c r="U26" s="122">
        <v>3.3719999999999999</v>
      </c>
      <c r="V26" s="122">
        <v>3.0529999999999999</v>
      </c>
      <c r="W26" s="122">
        <v>10.29472</v>
      </c>
      <c r="X26" s="123">
        <v>0</v>
      </c>
      <c r="Y26" s="123">
        <v>4.3399999999999998E-4</v>
      </c>
      <c r="Z26" s="123">
        <v>1.1E-5</v>
      </c>
    </row>
    <row r="27" spans="1:26" ht="15" customHeight="1">
      <c r="A27" s="121">
        <v>526</v>
      </c>
      <c r="B27" s="121">
        <v>526</v>
      </c>
      <c r="C27" s="120" t="s">
        <v>1419</v>
      </c>
      <c r="D27" s="121"/>
      <c r="E27" s="120"/>
      <c r="F27" s="120" t="s">
        <v>1419</v>
      </c>
      <c r="G27" s="121">
        <v>62013932</v>
      </c>
      <c r="H27" s="120" t="s">
        <v>311</v>
      </c>
      <c r="I27" s="120" t="s">
        <v>1001</v>
      </c>
      <c r="J27" s="120"/>
      <c r="K27" s="120" t="s">
        <v>204</v>
      </c>
      <c r="L27" s="120"/>
      <c r="M27" s="120"/>
      <c r="N27" s="120" t="s">
        <v>295</v>
      </c>
      <c r="O27" s="120" t="s">
        <v>338</v>
      </c>
      <c r="P27" s="124">
        <v>45553</v>
      </c>
      <c r="Q27" s="120" t="s">
        <v>1219</v>
      </c>
      <c r="R27" s="120" t="s">
        <v>886</v>
      </c>
      <c r="S27" s="120" t="s">
        <v>890</v>
      </c>
      <c r="T27" s="124">
        <v>45838</v>
      </c>
      <c r="U27" s="122">
        <v>3.3719999999999999</v>
      </c>
      <c r="V27" s="122">
        <v>119.12811000000001</v>
      </c>
      <c r="W27" s="122">
        <v>401.69999000000001</v>
      </c>
      <c r="X27" s="123">
        <v>3.9999999999999998E-6</v>
      </c>
      <c r="Y27" s="123">
        <v>1.6938999999999999E-2</v>
      </c>
      <c r="Z27" s="123">
        <v>4.64E-4</v>
      </c>
    </row>
    <row r="28" spans="1:26" ht="15" customHeight="1">
      <c r="A28" s="121">
        <v>526</v>
      </c>
      <c r="B28" s="121">
        <v>526</v>
      </c>
      <c r="C28" s="120" t="s">
        <v>1420</v>
      </c>
      <c r="D28" s="121"/>
      <c r="E28" s="120"/>
      <c r="F28" s="120" t="s">
        <v>1421</v>
      </c>
      <c r="G28" s="121">
        <v>62021464</v>
      </c>
      <c r="H28" s="120" t="s">
        <v>311</v>
      </c>
      <c r="I28" s="120" t="s">
        <v>1001</v>
      </c>
      <c r="J28" s="120"/>
      <c r="K28" s="120" t="s">
        <v>204</v>
      </c>
      <c r="L28" s="120"/>
      <c r="M28" s="120"/>
      <c r="N28" s="120" t="s">
        <v>292</v>
      </c>
      <c r="O28" s="120" t="s">
        <v>338</v>
      </c>
      <c r="P28" s="124">
        <v>45238</v>
      </c>
      <c r="Q28" s="120" t="s">
        <v>1212</v>
      </c>
      <c r="R28" s="120" t="s">
        <v>886</v>
      </c>
      <c r="S28" s="120" t="s">
        <v>890</v>
      </c>
      <c r="T28" s="124">
        <v>45838</v>
      </c>
      <c r="U28" s="122">
        <v>3.9552</v>
      </c>
      <c r="V28" s="122">
        <v>469.20294999999999</v>
      </c>
      <c r="W28" s="122">
        <v>1855.7915</v>
      </c>
      <c r="X28" s="123">
        <v>1.9999999999999999E-6</v>
      </c>
      <c r="Y28" s="123">
        <v>7.8259999999999996E-2</v>
      </c>
      <c r="Z28" s="123">
        <v>2.1440000000000001E-3</v>
      </c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E1" workbookViewId="0">
      <selection activeCell="AB1" sqref="AB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7"/>
  <sheetViews>
    <sheetView rightToLeft="1" topLeftCell="P1" zoomScale="90" zoomScaleNormal="90" workbookViewId="0">
      <selection activeCell="AB12" sqref="AB1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.875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526</v>
      </c>
      <c r="B2" s="121">
        <v>526</v>
      </c>
      <c r="C2" s="120" t="s">
        <v>1018</v>
      </c>
      <c r="D2" s="121">
        <v>76020996</v>
      </c>
      <c r="E2" s="120" t="s">
        <v>1219</v>
      </c>
      <c r="F2" s="122">
        <v>3.3719999999999999</v>
      </c>
      <c r="G2" s="122">
        <v>-5000000</v>
      </c>
      <c r="H2" s="122">
        <v>-5000</v>
      </c>
      <c r="I2" s="123">
        <v>0.11671335200746964</v>
      </c>
      <c r="J2" s="123">
        <v>-1.9480999999999998E-2</v>
      </c>
      <c r="K2" s="121">
        <v>760209960</v>
      </c>
      <c r="L2" s="120" t="s">
        <v>1215</v>
      </c>
      <c r="M2" s="120" t="s">
        <v>1216</v>
      </c>
      <c r="N2" s="122">
        <v>5000000</v>
      </c>
      <c r="O2" s="122">
        <v>17812.219000000001</v>
      </c>
      <c r="P2" s="123">
        <v>2.0580999999999999E-2</v>
      </c>
      <c r="Q2" s="123">
        <v>0.11491741515562587</v>
      </c>
      <c r="R2" s="122">
        <v>952.21911999999998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1423</v>
      </c>
      <c r="Y2" s="120" t="s">
        <v>338</v>
      </c>
      <c r="Z2" s="124">
        <v>45701</v>
      </c>
      <c r="AA2" s="124">
        <v>45882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 t="s">
        <v>897</v>
      </c>
      <c r="AG2" s="120" t="s">
        <v>897</v>
      </c>
      <c r="AH2" s="123"/>
      <c r="AI2" s="122">
        <v>3.5760000000000001</v>
      </c>
      <c r="AJ2" s="122"/>
      <c r="AK2" s="120"/>
      <c r="AL2" s="123"/>
      <c r="AM2" s="120" t="s">
        <v>1422</v>
      </c>
      <c r="AN2" s="123">
        <v>9.0311000000000002E-2</v>
      </c>
      <c r="AO2" s="123">
        <v>1.1000000000000001E-3</v>
      </c>
    </row>
    <row r="3" spans="1:41" ht="15" customHeight="1">
      <c r="A3" s="121">
        <v>526</v>
      </c>
      <c r="B3" s="121">
        <v>526</v>
      </c>
      <c r="C3" s="120" t="s">
        <v>1018</v>
      </c>
      <c r="D3" s="121">
        <v>76021077</v>
      </c>
      <c r="E3" s="120" t="s">
        <v>1219</v>
      </c>
      <c r="F3" s="122">
        <v>3.3719999999999999</v>
      </c>
      <c r="G3" s="122">
        <v>-19500000</v>
      </c>
      <c r="H3" s="122">
        <v>-19500</v>
      </c>
      <c r="I3" s="123">
        <v>0.45518207282913165</v>
      </c>
      <c r="J3" s="123">
        <v>-7.5977000000000003E-2</v>
      </c>
      <c r="K3" s="121">
        <v>760210770</v>
      </c>
      <c r="L3" s="120" t="s">
        <v>1215</v>
      </c>
      <c r="M3" s="120" t="s">
        <v>1216</v>
      </c>
      <c r="N3" s="122">
        <v>19500000</v>
      </c>
      <c r="O3" s="122">
        <v>70570.77</v>
      </c>
      <c r="P3" s="123">
        <v>8.1542000000000003E-2</v>
      </c>
      <c r="Q3" s="123">
        <v>0.45529478802962098</v>
      </c>
      <c r="R3" s="122">
        <v>4816.76955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1423</v>
      </c>
      <c r="Y3" s="120" t="s">
        <v>338</v>
      </c>
      <c r="Z3" s="124">
        <v>45727</v>
      </c>
      <c r="AA3" s="124">
        <v>46002</v>
      </c>
      <c r="AB3" s="120" t="s">
        <v>897</v>
      </c>
      <c r="AC3" s="120" t="s">
        <v>898</v>
      </c>
      <c r="AD3" s="120" t="s">
        <v>912</v>
      </c>
      <c r="AE3" s="120" t="s">
        <v>913</v>
      </c>
      <c r="AF3" s="120" t="s">
        <v>897</v>
      </c>
      <c r="AG3" s="120" t="s">
        <v>897</v>
      </c>
      <c r="AH3" s="123"/>
      <c r="AI3" s="122">
        <v>3.6459999999999999</v>
      </c>
      <c r="AJ3" s="122"/>
      <c r="AK3" s="120"/>
      <c r="AL3" s="123"/>
      <c r="AM3" s="120" t="s">
        <v>1422</v>
      </c>
      <c r="AN3" s="123">
        <v>0.456839</v>
      </c>
      <c r="AO3" s="123">
        <v>5.5649999999999996E-3</v>
      </c>
    </row>
    <row r="4" spans="1:41" ht="15" customHeight="1">
      <c r="A4" s="121">
        <v>526</v>
      </c>
      <c r="B4" s="121">
        <v>526</v>
      </c>
      <c r="C4" s="120" t="s">
        <v>1018</v>
      </c>
      <c r="D4" s="121">
        <v>76021233</v>
      </c>
      <c r="E4" s="120" t="s">
        <v>1219</v>
      </c>
      <c r="F4" s="122">
        <v>3.3719999999999999</v>
      </c>
      <c r="G4" s="122">
        <v>-13240000</v>
      </c>
      <c r="H4" s="122">
        <v>-13240</v>
      </c>
      <c r="I4" s="123">
        <v>0.3090569561157796</v>
      </c>
      <c r="J4" s="123">
        <v>-5.1587000000000001E-2</v>
      </c>
      <c r="K4" s="121">
        <v>760212330</v>
      </c>
      <c r="L4" s="120" t="s">
        <v>1215</v>
      </c>
      <c r="M4" s="120" t="s">
        <v>1216</v>
      </c>
      <c r="N4" s="122">
        <v>13240000</v>
      </c>
      <c r="O4" s="122">
        <v>49486.902000000002</v>
      </c>
      <c r="P4" s="123">
        <v>5.7181000000000003E-2</v>
      </c>
      <c r="Q4" s="123">
        <v>0.31926998325698625</v>
      </c>
      <c r="R4" s="122">
        <v>4841.6216100000001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1423</v>
      </c>
      <c r="Y4" s="120" t="s">
        <v>338</v>
      </c>
      <c r="Z4" s="124">
        <v>45757</v>
      </c>
      <c r="AA4" s="124">
        <v>46121</v>
      </c>
      <c r="AB4" s="120" t="s">
        <v>897</v>
      </c>
      <c r="AC4" s="120" t="s">
        <v>898</v>
      </c>
      <c r="AD4" s="120" t="s">
        <v>912</v>
      </c>
      <c r="AE4" s="120" t="s">
        <v>913</v>
      </c>
      <c r="AF4" s="120" t="s">
        <v>897</v>
      </c>
      <c r="AG4" s="120" t="s">
        <v>897</v>
      </c>
      <c r="AH4" s="123"/>
      <c r="AI4" s="122">
        <v>3.7570000000000001</v>
      </c>
      <c r="AJ4" s="122"/>
      <c r="AK4" s="120"/>
      <c r="AL4" s="123"/>
      <c r="AM4" s="120" t="s">
        <v>1422</v>
      </c>
      <c r="AN4" s="123">
        <v>0.45919599999999999</v>
      </c>
      <c r="AO4" s="123">
        <v>5.594E-3</v>
      </c>
    </row>
    <row r="5" spans="1:41" ht="15" customHeight="1">
      <c r="A5" s="121">
        <v>526</v>
      </c>
      <c r="B5" s="121">
        <v>526</v>
      </c>
      <c r="C5" s="120" t="s">
        <v>1018</v>
      </c>
      <c r="D5" s="121">
        <v>76021438</v>
      </c>
      <c r="E5" s="120" t="s">
        <v>1219</v>
      </c>
      <c r="F5" s="122">
        <v>3.3719999999999999</v>
      </c>
      <c r="G5" s="122">
        <v>-5100000</v>
      </c>
      <c r="H5" s="122">
        <v>-5100</v>
      </c>
      <c r="I5" s="123">
        <v>0.11904761904761904</v>
      </c>
      <c r="J5" s="123">
        <v>-1.9869999999999999E-2</v>
      </c>
      <c r="K5" s="121">
        <v>760214380</v>
      </c>
      <c r="L5" s="120" t="s">
        <v>1215</v>
      </c>
      <c r="M5" s="120" t="s">
        <v>1216</v>
      </c>
      <c r="N5" s="122">
        <v>5100000</v>
      </c>
      <c r="O5" s="122">
        <v>17130.28</v>
      </c>
      <c r="P5" s="123">
        <v>1.9793000000000002E-2</v>
      </c>
      <c r="Q5" s="123">
        <v>0.11051781355776696</v>
      </c>
      <c r="R5" s="122">
        <v>-66.920400000000001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1423</v>
      </c>
      <c r="Y5" s="120" t="s">
        <v>338</v>
      </c>
      <c r="Z5" s="124">
        <v>45838</v>
      </c>
      <c r="AA5" s="124">
        <v>45882</v>
      </c>
      <c r="AB5" s="120" t="s">
        <v>897</v>
      </c>
      <c r="AC5" s="120" t="s">
        <v>898</v>
      </c>
      <c r="AD5" s="120" t="s">
        <v>912</v>
      </c>
      <c r="AE5" s="120" t="s">
        <v>913</v>
      </c>
      <c r="AF5" s="120" t="s">
        <v>897</v>
      </c>
      <c r="AG5" s="120" t="s">
        <v>897</v>
      </c>
      <c r="AH5" s="123"/>
      <c r="AI5" s="122">
        <v>3.3719999999999999</v>
      </c>
      <c r="AJ5" s="122"/>
      <c r="AK5" s="120"/>
      <c r="AL5" s="123"/>
      <c r="AM5" s="120" t="s">
        <v>1422</v>
      </c>
      <c r="AN5" s="123">
        <v>-6.3460000000000001E-3</v>
      </c>
      <c r="AO5" s="123">
        <v>-7.7000000000000001E-5</v>
      </c>
    </row>
    <row r="7" spans="1:41" ht="15" customHeight="1">
      <c r="O7" s="154"/>
      <c r="Q7" s="153"/>
    </row>
    <row r="8" spans="1:41" ht="15" customHeight="1">
      <c r="Q8" s="153"/>
    </row>
    <row r="9" spans="1:41" ht="15" customHeight="1">
      <c r="Q9" s="153"/>
    </row>
    <row r="10" spans="1:41" ht="15" customHeight="1">
      <c r="Q10" s="153"/>
    </row>
    <row r="14" spans="1:41" ht="15" customHeight="1">
      <c r="H14" s="153"/>
    </row>
    <row r="15" spans="1:41" ht="15" customHeight="1">
      <c r="H15" s="153"/>
    </row>
    <row r="16" spans="1:41" ht="15" customHeight="1">
      <c r="H16" s="153"/>
    </row>
    <row r="17" spans="8:8" ht="15" customHeight="1">
      <c r="H17" s="153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1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3.375" bestFit="1" customWidth="1"/>
    <col min="6" max="6" width="10" bestFit="1" customWidth="1"/>
    <col min="7" max="7" width="9.625" bestFit="1" customWidth="1"/>
    <col min="8" max="8" width="31.8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526</v>
      </c>
      <c r="B2" s="121">
        <v>526</v>
      </c>
      <c r="C2" s="121"/>
      <c r="D2" s="120"/>
      <c r="E2" s="120"/>
      <c r="F2" s="121">
        <v>57088001</v>
      </c>
      <c r="G2" s="120" t="s">
        <v>1013</v>
      </c>
      <c r="H2" s="120" t="s">
        <v>1424</v>
      </c>
      <c r="I2" s="120" t="s">
        <v>203</v>
      </c>
      <c r="J2" s="120"/>
      <c r="K2" s="120" t="s">
        <v>463</v>
      </c>
      <c r="L2" s="120" t="s">
        <v>338</v>
      </c>
      <c r="M2" s="120" t="s">
        <v>338</v>
      </c>
      <c r="N2" s="121"/>
      <c r="O2" s="124">
        <v>45565</v>
      </c>
      <c r="P2" s="120" t="s">
        <v>1425</v>
      </c>
      <c r="Q2" s="120" t="s">
        <v>412</v>
      </c>
      <c r="R2" s="120" t="s">
        <v>407</v>
      </c>
      <c r="S2" s="120" t="s">
        <v>1215</v>
      </c>
      <c r="T2" s="122">
        <v>4.49</v>
      </c>
      <c r="U2" s="120" t="s">
        <v>1426</v>
      </c>
      <c r="V2" s="123">
        <v>4.7524999999999998E-2</v>
      </c>
      <c r="W2" s="120"/>
      <c r="X2" s="120"/>
      <c r="Y2" s="123"/>
      <c r="Z2" s="123">
        <v>3.9899999999999998E-2</v>
      </c>
      <c r="AA2" s="124">
        <v>47664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338</v>
      </c>
      <c r="AK2" s="120" t="s">
        <v>887</v>
      </c>
      <c r="AL2" s="120"/>
      <c r="AM2" s="120" t="s">
        <v>890</v>
      </c>
      <c r="AN2" s="124">
        <v>45838</v>
      </c>
      <c r="AO2" s="124"/>
      <c r="AP2" s="123"/>
      <c r="AQ2" s="122">
        <v>1000000</v>
      </c>
      <c r="AR2" s="122">
        <v>105.29</v>
      </c>
      <c r="AS2" s="122">
        <v>1</v>
      </c>
      <c r="AT2" s="122">
        <v>1052.9000000000001</v>
      </c>
      <c r="AU2" s="122">
        <v>1052.9000000000001</v>
      </c>
      <c r="AV2" s="122"/>
      <c r="AW2" s="122"/>
      <c r="AX2" s="120"/>
      <c r="AY2" s="120"/>
      <c r="AZ2" s="123">
        <v>0.22251000000000001</v>
      </c>
      <c r="BA2" s="123">
        <v>1.2160000000000001E-3</v>
      </c>
    </row>
    <row r="3" spans="1:53" ht="15" customHeight="1">
      <c r="A3" s="121">
        <v>526</v>
      </c>
      <c r="B3" s="121">
        <v>526</v>
      </c>
      <c r="C3" s="121"/>
      <c r="D3" s="120"/>
      <c r="E3" s="120"/>
      <c r="F3" s="121">
        <v>70005211</v>
      </c>
      <c r="G3" s="120" t="s">
        <v>1013</v>
      </c>
      <c r="H3" s="120" t="s">
        <v>1424</v>
      </c>
      <c r="I3" s="120" t="s">
        <v>203</v>
      </c>
      <c r="J3" s="120"/>
      <c r="K3" s="120" t="s">
        <v>463</v>
      </c>
      <c r="L3" s="120" t="s">
        <v>338</v>
      </c>
      <c r="M3" s="120" t="s">
        <v>337</v>
      </c>
      <c r="N3" s="121"/>
      <c r="O3" s="124">
        <v>45711</v>
      </c>
      <c r="P3" s="120" t="s">
        <v>1427</v>
      </c>
      <c r="Q3" s="120" t="s">
        <v>414</v>
      </c>
      <c r="R3" s="120" t="s">
        <v>407</v>
      </c>
      <c r="S3" s="120" t="s">
        <v>1215</v>
      </c>
      <c r="T3" s="122">
        <v>0.3</v>
      </c>
      <c r="U3" s="120" t="s">
        <v>824</v>
      </c>
      <c r="V3" s="123">
        <v>6.9000000000000006E-2</v>
      </c>
      <c r="W3" s="120"/>
      <c r="X3" s="120"/>
      <c r="Y3" s="123"/>
      <c r="Z3" s="123">
        <v>6.0699999999999997E-2</v>
      </c>
      <c r="AA3" s="124">
        <v>45949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338</v>
      </c>
      <c r="AK3" s="120" t="s">
        <v>887</v>
      </c>
      <c r="AL3" s="120"/>
      <c r="AM3" s="120" t="s">
        <v>890</v>
      </c>
      <c r="AN3" s="124">
        <v>45838</v>
      </c>
      <c r="AO3" s="120"/>
      <c r="AP3" s="120"/>
      <c r="AQ3" s="122">
        <v>1000000</v>
      </c>
      <c r="AR3" s="122">
        <v>100.29</v>
      </c>
      <c r="AS3" s="122">
        <v>1</v>
      </c>
      <c r="AT3" s="122">
        <v>1002.9</v>
      </c>
      <c r="AU3" s="122">
        <v>1002.9</v>
      </c>
      <c r="AV3" s="120"/>
      <c r="AW3" s="120"/>
      <c r="AX3" s="120"/>
      <c r="AY3" s="120"/>
      <c r="AZ3" s="123">
        <v>0.21194299999999999</v>
      </c>
      <c r="BA3" s="123">
        <v>1.158E-3</v>
      </c>
    </row>
    <row r="4" spans="1:53" ht="15" customHeight="1">
      <c r="A4" s="121">
        <v>526</v>
      </c>
      <c r="B4" s="121">
        <v>526</v>
      </c>
      <c r="C4" s="121"/>
      <c r="D4" s="120"/>
      <c r="E4" s="120"/>
      <c r="F4" s="121">
        <v>75009600</v>
      </c>
      <c r="G4" s="120" t="s">
        <v>1013</v>
      </c>
      <c r="H4" s="120" t="s">
        <v>1428</v>
      </c>
      <c r="I4" s="120" t="s">
        <v>203</v>
      </c>
      <c r="J4" s="120"/>
      <c r="K4" s="120" t="s">
        <v>463</v>
      </c>
      <c r="L4" s="120" t="s">
        <v>338</v>
      </c>
      <c r="M4" s="120" t="s">
        <v>337</v>
      </c>
      <c r="N4" s="121"/>
      <c r="O4" s="124">
        <v>45328</v>
      </c>
      <c r="P4" s="120" t="s">
        <v>1429</v>
      </c>
      <c r="Q4" s="120" t="s">
        <v>414</v>
      </c>
      <c r="R4" s="120" t="s">
        <v>407</v>
      </c>
      <c r="S4" s="120" t="s">
        <v>1215</v>
      </c>
      <c r="T4" s="122">
        <v>3.98</v>
      </c>
      <c r="U4" s="120" t="s">
        <v>1426</v>
      </c>
      <c r="V4" s="123">
        <v>2.9049999999999999E-2</v>
      </c>
      <c r="W4" s="120"/>
      <c r="X4" s="120"/>
      <c r="Y4" s="123"/>
      <c r="Z4" s="123">
        <v>3.09E-2</v>
      </c>
      <c r="AA4" s="124">
        <v>47520</v>
      </c>
      <c r="AB4" s="120" t="s">
        <v>411</v>
      </c>
      <c r="AC4" s="120"/>
      <c r="AD4" s="122"/>
      <c r="AE4" s="123"/>
      <c r="AF4" s="124">
        <v>44986</v>
      </c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45838</v>
      </c>
      <c r="AO4" s="120"/>
      <c r="AP4" s="120"/>
      <c r="AQ4" s="122">
        <v>485000</v>
      </c>
      <c r="AR4" s="122">
        <v>105.69</v>
      </c>
      <c r="AS4" s="122">
        <v>1</v>
      </c>
      <c r="AT4" s="122">
        <v>512.59649999999999</v>
      </c>
      <c r="AU4" s="122">
        <v>512.59649999999999</v>
      </c>
      <c r="AV4" s="120"/>
      <c r="AW4" s="120"/>
      <c r="AX4" s="120"/>
      <c r="AY4" s="120"/>
      <c r="AZ4" s="123">
        <v>0.10832700000000001</v>
      </c>
      <c r="BA4" s="123">
        <v>5.9199999999999997E-4</v>
      </c>
    </row>
    <row r="5" spans="1:53" ht="15" customHeight="1">
      <c r="A5" s="121">
        <v>526</v>
      </c>
      <c r="B5" s="121">
        <v>526</v>
      </c>
      <c r="C5" s="121"/>
      <c r="D5" s="120"/>
      <c r="E5" s="120"/>
      <c r="F5" s="121">
        <v>75009601</v>
      </c>
      <c r="G5" s="120" t="s">
        <v>1013</v>
      </c>
      <c r="H5" s="120" t="s">
        <v>1428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1"/>
      <c r="O5" s="124">
        <v>45328</v>
      </c>
      <c r="P5" s="120" t="s">
        <v>1367</v>
      </c>
      <c r="Q5" s="120" t="s">
        <v>412</v>
      </c>
      <c r="R5" s="120" t="s">
        <v>407</v>
      </c>
      <c r="S5" s="120" t="s">
        <v>1215</v>
      </c>
      <c r="T5" s="122">
        <v>3.98</v>
      </c>
      <c r="U5" s="120" t="s">
        <v>1426</v>
      </c>
      <c r="V5" s="123">
        <v>2.9049999999999999E-2</v>
      </c>
      <c r="W5" s="120"/>
      <c r="X5" s="120"/>
      <c r="Y5" s="123"/>
      <c r="Z5" s="123">
        <v>3.1E-2</v>
      </c>
      <c r="AA5" s="124">
        <v>47520</v>
      </c>
      <c r="AB5" s="120" t="s">
        <v>411</v>
      </c>
      <c r="AC5" s="120"/>
      <c r="AD5" s="122"/>
      <c r="AE5" s="123"/>
      <c r="AF5" s="124">
        <v>44986</v>
      </c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45838</v>
      </c>
      <c r="AO5" s="120"/>
      <c r="AP5" s="120"/>
      <c r="AQ5" s="122">
        <v>485000</v>
      </c>
      <c r="AR5" s="122">
        <v>105.63</v>
      </c>
      <c r="AS5" s="122">
        <v>1</v>
      </c>
      <c r="AT5" s="122">
        <v>512.30550000000005</v>
      </c>
      <c r="AU5" s="122">
        <v>512.30550000000005</v>
      </c>
      <c r="AV5" s="120"/>
      <c r="AW5" s="120"/>
      <c r="AX5" s="120"/>
      <c r="AY5" s="120"/>
      <c r="AZ5" s="123">
        <v>0.108266</v>
      </c>
      <c r="BA5" s="123">
        <v>5.9100000000000005E-4</v>
      </c>
    </row>
    <row r="6" spans="1:53" ht="15" customHeight="1">
      <c r="A6" s="121">
        <v>526</v>
      </c>
      <c r="B6" s="121">
        <v>526</v>
      </c>
      <c r="C6" s="121"/>
      <c r="D6" s="120"/>
      <c r="E6" s="120"/>
      <c r="F6" s="121">
        <v>78910001</v>
      </c>
      <c r="G6" s="120" t="s">
        <v>1013</v>
      </c>
      <c r="H6" s="120" t="s">
        <v>1424</v>
      </c>
      <c r="I6" s="120" t="s">
        <v>203</v>
      </c>
      <c r="J6" s="120"/>
      <c r="K6" s="120" t="s">
        <v>463</v>
      </c>
      <c r="L6" s="120" t="s">
        <v>338</v>
      </c>
      <c r="M6" s="120" t="s">
        <v>338</v>
      </c>
      <c r="N6" s="120"/>
      <c r="O6" s="124">
        <v>45622</v>
      </c>
      <c r="P6" s="120" t="s">
        <v>1430</v>
      </c>
      <c r="Q6" s="120" t="s">
        <v>414</v>
      </c>
      <c r="R6" s="120" t="s">
        <v>407</v>
      </c>
      <c r="S6" s="120" t="s">
        <v>1215</v>
      </c>
      <c r="T6" s="122">
        <v>11.02</v>
      </c>
      <c r="U6" s="120" t="s">
        <v>1426</v>
      </c>
      <c r="V6" s="123">
        <v>5.2135000000000001E-2</v>
      </c>
      <c r="W6" s="120"/>
      <c r="X6" s="120"/>
      <c r="Y6" s="123"/>
      <c r="Z6" s="123">
        <v>0.05</v>
      </c>
      <c r="AA6" s="124">
        <v>55212</v>
      </c>
      <c r="AB6" s="120" t="s">
        <v>411</v>
      </c>
      <c r="AC6" s="120"/>
      <c r="AD6" s="122"/>
      <c r="AE6" s="120"/>
      <c r="AF6" s="120"/>
      <c r="AG6" s="120"/>
      <c r="AH6" s="120"/>
      <c r="AI6" s="120"/>
      <c r="AJ6" s="120" t="s">
        <v>338</v>
      </c>
      <c r="AK6" s="120" t="s">
        <v>887</v>
      </c>
      <c r="AL6" s="120"/>
      <c r="AM6" s="120" t="s">
        <v>890</v>
      </c>
      <c r="AN6" s="124">
        <v>45838</v>
      </c>
      <c r="AO6" s="120"/>
      <c r="AP6" s="120"/>
      <c r="AQ6" s="122">
        <v>97347</v>
      </c>
      <c r="AR6" s="122">
        <v>104.6</v>
      </c>
      <c r="AS6" s="122">
        <v>1</v>
      </c>
      <c r="AT6" s="122">
        <v>101.82496</v>
      </c>
      <c r="AU6" s="122">
        <v>101.82496</v>
      </c>
      <c r="AV6" s="120"/>
      <c r="AW6" s="120"/>
      <c r="AX6" s="120"/>
      <c r="AY6" s="120"/>
      <c r="AZ6" s="123">
        <v>2.1517999999999999E-2</v>
      </c>
      <c r="BA6" s="123">
        <v>1.17E-4</v>
      </c>
    </row>
    <row r="7" spans="1:53" ht="15" customHeight="1">
      <c r="A7" s="121">
        <v>526</v>
      </c>
      <c r="B7" s="121">
        <v>526</v>
      </c>
      <c r="C7" s="121"/>
      <c r="D7" s="120"/>
      <c r="E7" s="120"/>
      <c r="F7" s="121">
        <v>78910002</v>
      </c>
      <c r="G7" s="120" t="s">
        <v>1013</v>
      </c>
      <c r="H7" s="120" t="s">
        <v>1424</v>
      </c>
      <c r="I7" s="120" t="s">
        <v>203</v>
      </c>
      <c r="J7" s="120"/>
      <c r="K7" s="120" t="s">
        <v>463</v>
      </c>
      <c r="L7" s="120" t="s">
        <v>338</v>
      </c>
      <c r="M7" s="120" t="s">
        <v>338</v>
      </c>
      <c r="N7" s="120"/>
      <c r="O7" s="124">
        <v>45655</v>
      </c>
      <c r="P7" s="120" t="s">
        <v>1430</v>
      </c>
      <c r="Q7" s="120" t="s">
        <v>414</v>
      </c>
      <c r="R7" s="120" t="s">
        <v>407</v>
      </c>
      <c r="S7" s="120" t="s">
        <v>1215</v>
      </c>
      <c r="T7" s="122">
        <v>11.01</v>
      </c>
      <c r="U7" s="120" t="s">
        <v>1426</v>
      </c>
      <c r="V7" s="123">
        <v>5.2135000000000001E-2</v>
      </c>
      <c r="W7" s="120"/>
      <c r="X7" s="120"/>
      <c r="Y7" s="123"/>
      <c r="Z7" s="123">
        <v>5.0200000000000002E-2</v>
      </c>
      <c r="AA7" s="124">
        <v>55212</v>
      </c>
      <c r="AB7" s="120" t="s">
        <v>411</v>
      </c>
      <c r="AC7" s="120"/>
      <c r="AD7" s="122"/>
      <c r="AE7" s="120"/>
      <c r="AF7" s="120"/>
      <c r="AG7" s="120"/>
      <c r="AH7" s="120"/>
      <c r="AI7" s="120"/>
      <c r="AJ7" s="120" t="s">
        <v>338</v>
      </c>
      <c r="AK7" s="120" t="s">
        <v>887</v>
      </c>
      <c r="AL7" s="120"/>
      <c r="AM7" s="120" t="s">
        <v>890</v>
      </c>
      <c r="AN7" s="124">
        <v>45838</v>
      </c>
      <c r="AO7" s="120"/>
      <c r="AP7" s="120"/>
      <c r="AQ7" s="122">
        <v>149348.19</v>
      </c>
      <c r="AR7" s="122">
        <v>104.81</v>
      </c>
      <c r="AS7" s="122">
        <v>1</v>
      </c>
      <c r="AT7" s="122">
        <v>156.53183999999999</v>
      </c>
      <c r="AU7" s="122">
        <v>156.53183999999999</v>
      </c>
      <c r="AV7" s="120"/>
      <c r="AW7" s="120"/>
      <c r="AX7" s="120"/>
      <c r="AY7" s="120"/>
      <c r="AZ7" s="123">
        <v>3.3079999999999998E-2</v>
      </c>
      <c r="BA7" s="123">
        <v>1.8000000000000001E-4</v>
      </c>
    </row>
    <row r="8" spans="1:53" ht="15" customHeight="1">
      <c r="A8" s="121">
        <v>526</v>
      </c>
      <c r="B8" s="121">
        <v>526</v>
      </c>
      <c r="C8" s="121"/>
      <c r="D8" s="120"/>
      <c r="E8" s="120"/>
      <c r="F8" s="121">
        <v>78910003</v>
      </c>
      <c r="G8" s="120" t="s">
        <v>1013</v>
      </c>
      <c r="H8" s="120" t="s">
        <v>1424</v>
      </c>
      <c r="I8" s="120" t="s">
        <v>203</v>
      </c>
      <c r="J8" s="120"/>
      <c r="K8" s="120" t="s">
        <v>463</v>
      </c>
      <c r="L8" s="120" t="s">
        <v>338</v>
      </c>
      <c r="M8" s="120" t="s">
        <v>338</v>
      </c>
      <c r="N8" s="120"/>
      <c r="O8" s="124">
        <v>45705</v>
      </c>
      <c r="P8" s="120" t="s">
        <v>1430</v>
      </c>
      <c r="Q8" s="120" t="s">
        <v>414</v>
      </c>
      <c r="R8" s="120" t="s">
        <v>407</v>
      </c>
      <c r="S8" s="120" t="s">
        <v>1215</v>
      </c>
      <c r="T8" s="122">
        <v>10.82</v>
      </c>
      <c r="U8" s="120" t="s">
        <v>1426</v>
      </c>
      <c r="V8" s="123">
        <v>5.2549999999999999E-2</v>
      </c>
      <c r="W8" s="120"/>
      <c r="X8" s="120"/>
      <c r="Y8" s="123"/>
      <c r="Z8" s="123">
        <v>5.3699999999999998E-2</v>
      </c>
      <c r="AA8" s="124">
        <v>55212</v>
      </c>
      <c r="AB8" s="120" t="s">
        <v>411</v>
      </c>
      <c r="AC8" s="120"/>
      <c r="AD8" s="122"/>
      <c r="AE8" s="120"/>
      <c r="AF8" s="120"/>
      <c r="AG8" s="120"/>
      <c r="AH8" s="120"/>
      <c r="AI8" s="120"/>
      <c r="AJ8" s="120" t="s">
        <v>338</v>
      </c>
      <c r="AK8" s="120" t="s">
        <v>887</v>
      </c>
      <c r="AL8" s="120"/>
      <c r="AM8" s="120" t="s">
        <v>890</v>
      </c>
      <c r="AN8" s="124">
        <v>45838</v>
      </c>
      <c r="AO8" s="120"/>
      <c r="AP8" s="120"/>
      <c r="AQ8" s="122">
        <v>185361.31</v>
      </c>
      <c r="AR8" s="122">
        <v>101.2</v>
      </c>
      <c r="AS8" s="122">
        <v>1</v>
      </c>
      <c r="AT8" s="122">
        <v>187.58564999999999</v>
      </c>
      <c r="AU8" s="122">
        <v>187.58564999999999</v>
      </c>
      <c r="AV8" s="120"/>
      <c r="AW8" s="120"/>
      <c r="AX8" s="120"/>
      <c r="AY8" s="120"/>
      <c r="AZ8" s="123">
        <v>3.9641999999999997E-2</v>
      </c>
      <c r="BA8" s="123">
        <v>2.1599999999999999E-4</v>
      </c>
    </row>
    <row r="9" spans="1:53" ht="15" customHeight="1">
      <c r="A9" s="121">
        <v>526</v>
      </c>
      <c r="B9" s="121">
        <v>526</v>
      </c>
      <c r="C9" s="121"/>
      <c r="D9" s="120"/>
      <c r="E9" s="120"/>
      <c r="F9" s="121">
        <v>78910004</v>
      </c>
      <c r="G9" s="120" t="s">
        <v>1013</v>
      </c>
      <c r="H9" s="120" t="s">
        <v>1424</v>
      </c>
      <c r="I9" s="120" t="s">
        <v>203</v>
      </c>
      <c r="J9" s="120"/>
      <c r="K9" s="120" t="s">
        <v>463</v>
      </c>
      <c r="L9" s="120" t="s">
        <v>338</v>
      </c>
      <c r="M9" s="120" t="s">
        <v>338</v>
      </c>
      <c r="N9" s="120"/>
      <c r="O9" s="124">
        <v>45741</v>
      </c>
      <c r="P9" s="120" t="s">
        <v>1430</v>
      </c>
      <c r="Q9" s="120" t="s">
        <v>414</v>
      </c>
      <c r="R9" s="120" t="s">
        <v>407</v>
      </c>
      <c r="S9" s="120" t="s">
        <v>1215</v>
      </c>
      <c r="T9" s="122">
        <v>11.03</v>
      </c>
      <c r="U9" s="120" t="s">
        <v>1426</v>
      </c>
      <c r="V9" s="123">
        <v>5.2549999999999999E-2</v>
      </c>
      <c r="W9" s="120"/>
      <c r="X9" s="120"/>
      <c r="Y9" s="123"/>
      <c r="Z9" s="123">
        <v>4.9500000000000002E-2</v>
      </c>
      <c r="AA9" s="124">
        <v>55212</v>
      </c>
      <c r="AB9" s="120" t="s">
        <v>411</v>
      </c>
      <c r="AC9" s="120"/>
      <c r="AD9" s="122"/>
      <c r="AE9" s="120"/>
      <c r="AF9" s="120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45838</v>
      </c>
      <c r="AO9" s="120"/>
      <c r="AP9" s="120"/>
      <c r="AQ9" s="122">
        <v>144232</v>
      </c>
      <c r="AR9" s="122">
        <v>105.71</v>
      </c>
      <c r="AS9" s="122">
        <v>1</v>
      </c>
      <c r="AT9" s="122">
        <v>152.46764999999999</v>
      </c>
      <c r="AU9" s="122">
        <v>152.46764999999999</v>
      </c>
      <c r="AV9" s="120"/>
      <c r="AW9" s="120"/>
      <c r="AX9" s="120"/>
      <c r="AY9" s="120"/>
      <c r="AZ9" s="123">
        <v>3.2221E-2</v>
      </c>
      <c r="BA9" s="123">
        <v>1.76E-4</v>
      </c>
    </row>
    <row r="10" spans="1:53" ht="15" customHeight="1">
      <c r="A10" s="121">
        <v>526</v>
      </c>
      <c r="B10" s="121">
        <v>526</v>
      </c>
      <c r="C10" s="121"/>
      <c r="D10" s="120"/>
      <c r="E10" s="120"/>
      <c r="F10" s="121">
        <v>78910005</v>
      </c>
      <c r="G10" s="120" t="s">
        <v>1013</v>
      </c>
      <c r="H10" s="120" t="s">
        <v>1424</v>
      </c>
      <c r="I10" s="120" t="s">
        <v>203</v>
      </c>
      <c r="J10" s="120"/>
      <c r="K10" s="120" t="s">
        <v>463</v>
      </c>
      <c r="L10" s="120" t="s">
        <v>338</v>
      </c>
      <c r="M10" s="120" t="s">
        <v>338</v>
      </c>
      <c r="N10" s="120"/>
      <c r="O10" s="124">
        <v>45791</v>
      </c>
      <c r="P10" s="120" t="s">
        <v>1430</v>
      </c>
      <c r="Q10" s="120" t="s">
        <v>414</v>
      </c>
      <c r="R10" s="120" t="s">
        <v>407</v>
      </c>
      <c r="S10" s="120" t="s">
        <v>1215</v>
      </c>
      <c r="T10" s="122">
        <v>10.95</v>
      </c>
      <c r="U10" s="120" t="s">
        <v>1426</v>
      </c>
      <c r="V10" s="123">
        <v>5.296E-2</v>
      </c>
      <c r="W10" s="120"/>
      <c r="X10" s="120"/>
      <c r="Y10" s="123"/>
      <c r="Z10" s="123">
        <v>5.0900000000000001E-2</v>
      </c>
      <c r="AA10" s="124">
        <v>55212</v>
      </c>
      <c r="AB10" s="120" t="s">
        <v>411</v>
      </c>
      <c r="AC10" s="120"/>
      <c r="AD10" s="122"/>
      <c r="AE10" s="120"/>
      <c r="AF10" s="120"/>
      <c r="AG10" s="120"/>
      <c r="AH10" s="120"/>
      <c r="AI10" s="120"/>
      <c r="AJ10" s="120" t="s">
        <v>338</v>
      </c>
      <c r="AK10" s="120" t="s">
        <v>887</v>
      </c>
      <c r="AL10" s="120"/>
      <c r="AM10" s="120" t="s">
        <v>890</v>
      </c>
      <c r="AN10" s="124">
        <v>45838</v>
      </c>
      <c r="AO10" s="120"/>
      <c r="AP10" s="120"/>
      <c r="AQ10" s="122">
        <v>33376</v>
      </c>
      <c r="AR10" s="122">
        <v>104.14</v>
      </c>
      <c r="AS10" s="122">
        <v>1</v>
      </c>
      <c r="AT10" s="122">
        <v>34.757770000000001</v>
      </c>
      <c r="AU10" s="122">
        <v>34.757770000000001</v>
      </c>
      <c r="AV10" s="120"/>
      <c r="AW10" s="120"/>
      <c r="AX10" s="120"/>
      <c r="AY10" s="120"/>
      <c r="AZ10" s="123">
        <v>7.345E-3</v>
      </c>
      <c r="BA10" s="123">
        <v>4.0000000000000003E-5</v>
      </c>
    </row>
    <row r="11" spans="1:53" ht="15" customHeight="1">
      <c r="A11" s="121">
        <v>526</v>
      </c>
      <c r="B11" s="121">
        <v>526</v>
      </c>
      <c r="C11" s="121"/>
      <c r="D11" s="120"/>
      <c r="E11" s="120"/>
      <c r="F11" s="121">
        <v>78910006</v>
      </c>
      <c r="G11" s="120" t="s">
        <v>1013</v>
      </c>
      <c r="H11" s="120" t="s">
        <v>1424</v>
      </c>
      <c r="I11" s="120" t="s">
        <v>203</v>
      </c>
      <c r="J11" s="120"/>
      <c r="K11" s="120" t="s">
        <v>463</v>
      </c>
      <c r="L11" s="120" t="s">
        <v>338</v>
      </c>
      <c r="M11" s="120" t="s">
        <v>338</v>
      </c>
      <c r="N11" s="120"/>
      <c r="O11" s="124">
        <v>45833</v>
      </c>
      <c r="P11" s="120" t="s">
        <v>1430</v>
      </c>
      <c r="Q11" s="120" t="s">
        <v>414</v>
      </c>
      <c r="R11" s="120" t="s">
        <v>407</v>
      </c>
      <c r="S11" s="120" t="s">
        <v>1215</v>
      </c>
      <c r="T11" s="122">
        <v>10.88</v>
      </c>
      <c r="U11" s="120" t="s">
        <v>1426</v>
      </c>
      <c r="V11" s="123">
        <v>5.2958999999999999E-2</v>
      </c>
      <c r="W11" s="120"/>
      <c r="X11" s="120"/>
      <c r="Y11" s="123"/>
      <c r="Z11" s="123">
        <v>5.2200000000000003E-2</v>
      </c>
      <c r="AA11" s="124">
        <v>55212</v>
      </c>
      <c r="AB11" s="120" t="s">
        <v>411</v>
      </c>
      <c r="AC11" s="120"/>
      <c r="AD11" s="122"/>
      <c r="AE11" s="120"/>
      <c r="AF11" s="120"/>
      <c r="AG11" s="120"/>
      <c r="AH11" s="120"/>
      <c r="AI11" s="120"/>
      <c r="AJ11" s="120" t="s">
        <v>338</v>
      </c>
      <c r="AK11" s="120" t="s">
        <v>887</v>
      </c>
      <c r="AL11" s="120"/>
      <c r="AM11" s="120" t="s">
        <v>890</v>
      </c>
      <c r="AN11" s="124">
        <v>45838</v>
      </c>
      <c r="AO11" s="120"/>
      <c r="AP11" s="120"/>
      <c r="AQ11" s="122">
        <v>2399</v>
      </c>
      <c r="AR11" s="122">
        <v>101.91</v>
      </c>
      <c r="AS11" s="122">
        <v>1</v>
      </c>
      <c r="AT11" s="122">
        <v>2.44482</v>
      </c>
      <c r="AU11" s="122">
        <v>2.44482</v>
      </c>
      <c r="AV11" s="120"/>
      <c r="AW11" s="120"/>
      <c r="AX11" s="120"/>
      <c r="AY11" s="120"/>
      <c r="AZ11" s="123">
        <v>5.1599999999999997E-4</v>
      </c>
      <c r="BA11" s="123">
        <v>1.9999999999999999E-6</v>
      </c>
    </row>
    <row r="12" spans="1:53" ht="15" customHeight="1">
      <c r="A12" s="121">
        <v>526</v>
      </c>
      <c r="B12" s="121">
        <v>526</v>
      </c>
      <c r="C12" s="121"/>
      <c r="D12" s="120"/>
      <c r="E12" s="120"/>
      <c r="F12" s="121">
        <v>79100304</v>
      </c>
      <c r="G12" s="120" t="s">
        <v>1013</v>
      </c>
      <c r="H12" s="120" t="s">
        <v>818</v>
      </c>
      <c r="I12" s="120" t="s">
        <v>203</v>
      </c>
      <c r="J12" s="120"/>
      <c r="K12" s="120" t="s">
        <v>477</v>
      </c>
      <c r="L12" s="120" t="s">
        <v>338</v>
      </c>
      <c r="M12" s="120" t="s">
        <v>338</v>
      </c>
      <c r="N12" s="120"/>
      <c r="O12" s="124">
        <v>45657</v>
      </c>
      <c r="P12" s="120" t="s">
        <v>1237</v>
      </c>
      <c r="Q12" s="120" t="s">
        <v>414</v>
      </c>
      <c r="R12" s="120" t="s">
        <v>407</v>
      </c>
      <c r="S12" s="120" t="s">
        <v>1215</v>
      </c>
      <c r="T12" s="122">
        <v>2.35</v>
      </c>
      <c r="U12" s="120" t="s">
        <v>824</v>
      </c>
      <c r="V12" s="123">
        <v>0.06</v>
      </c>
      <c r="W12" s="120"/>
      <c r="X12" s="120"/>
      <c r="Y12" s="123"/>
      <c r="Z12" s="123">
        <v>5.4399999999999997E-2</v>
      </c>
      <c r="AA12" s="124">
        <v>46752</v>
      </c>
      <c r="AB12" s="120" t="s">
        <v>411</v>
      </c>
      <c r="AC12" s="120"/>
      <c r="AD12" s="122"/>
      <c r="AE12" s="120"/>
      <c r="AF12" s="120"/>
      <c r="AG12" s="120"/>
      <c r="AH12" s="120"/>
      <c r="AI12" s="120"/>
      <c r="AJ12" s="120" t="s">
        <v>338</v>
      </c>
      <c r="AK12" s="120" t="s">
        <v>887</v>
      </c>
      <c r="AL12" s="120"/>
      <c r="AM12" s="120" t="s">
        <v>890</v>
      </c>
      <c r="AN12" s="124">
        <v>45838</v>
      </c>
      <c r="AO12" s="120"/>
      <c r="AP12" s="120"/>
      <c r="AQ12" s="122">
        <v>1000000</v>
      </c>
      <c r="AR12" s="122">
        <v>101.56</v>
      </c>
      <c r="AS12" s="122">
        <v>1</v>
      </c>
      <c r="AT12" s="122">
        <v>1015.6</v>
      </c>
      <c r="AU12" s="122">
        <v>1015.6</v>
      </c>
      <c r="AV12" s="120"/>
      <c r="AW12" s="120"/>
      <c r="AX12" s="120"/>
      <c r="AY12" s="120"/>
      <c r="AZ12" s="123">
        <v>0.21462700000000001</v>
      </c>
      <c r="BA12" s="123">
        <v>1.173E-3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F1" workbookViewId="0">
      <selection activeCell="AA29" sqref="AA2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7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5" t="s">
        <v>72</v>
      </c>
      <c r="O1" s="128" t="s">
        <v>62</v>
      </c>
      <c r="P1" s="128" t="s">
        <v>74</v>
      </c>
      <c r="Q1" s="125" t="s">
        <v>60</v>
      </c>
      <c r="R1" s="125" t="s">
        <v>61</v>
      </c>
      <c r="S1" s="125" t="s">
        <v>174</v>
      </c>
      <c r="T1" s="125" t="s">
        <v>63</v>
      </c>
      <c r="U1" s="128" t="s">
        <v>64</v>
      </c>
      <c r="V1" s="128" t="s">
        <v>65</v>
      </c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2"/>
      <c r="O2" s="123"/>
      <c r="P2" s="123"/>
      <c r="Q2" s="122"/>
      <c r="R2" s="122"/>
      <c r="S2" s="122"/>
      <c r="T2" s="122"/>
      <c r="U2" s="123"/>
      <c r="V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6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7" t="s">
        <v>186</v>
      </c>
      <c r="J1" s="25" t="s">
        <v>59</v>
      </c>
      <c r="K1" s="127" t="s">
        <v>106</v>
      </c>
      <c r="L1" s="125" t="s">
        <v>60</v>
      </c>
      <c r="M1" s="125" t="s">
        <v>61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0"/>
      <c r="H2" s="120"/>
      <c r="I2" s="124"/>
      <c r="J2" s="120"/>
      <c r="K2" s="124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"/>
  <sheetViews>
    <sheetView rightToLeft="1" topLeftCell="B1" workbookViewId="0">
      <selection activeCell="I10" sqref="I1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2.25" customWidth="1"/>
    <col min="4" max="4" width="13.125" customWidth="1"/>
    <col min="5" max="5" width="42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2.3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526</v>
      </c>
      <c r="B2" s="120">
        <v>526</v>
      </c>
      <c r="C2" s="133"/>
      <c r="D2" s="120"/>
      <c r="E2" s="120"/>
      <c r="F2" s="120">
        <v>70000750</v>
      </c>
      <c r="G2" s="124">
        <v>45274</v>
      </c>
      <c r="H2" s="120" t="s">
        <v>203</v>
      </c>
      <c r="I2" s="120"/>
      <c r="J2" s="120" t="s">
        <v>338</v>
      </c>
      <c r="K2" s="132" t="s">
        <v>1430</v>
      </c>
      <c r="L2" s="120" t="s">
        <v>414</v>
      </c>
      <c r="M2" s="120" t="s">
        <v>408</v>
      </c>
      <c r="N2" s="120" t="s">
        <v>1215</v>
      </c>
      <c r="O2" s="122">
        <v>1</v>
      </c>
      <c r="P2" s="123">
        <v>5.0000000000000001E-3</v>
      </c>
      <c r="Q2" s="120" t="s">
        <v>1426</v>
      </c>
      <c r="R2" s="134">
        <v>1407.2310749999999</v>
      </c>
      <c r="S2" s="134">
        <v>1407.2310749999999</v>
      </c>
      <c r="T2" s="135">
        <v>0.60492000000000001</v>
      </c>
    </row>
    <row r="3" spans="1:26" ht="15" customHeight="1">
      <c r="A3" s="120">
        <v>526</v>
      </c>
      <c r="B3" s="120">
        <v>526</v>
      </c>
      <c r="C3" s="133"/>
      <c r="D3" s="120"/>
      <c r="E3" s="120"/>
      <c r="F3" s="120">
        <v>70000753</v>
      </c>
      <c r="G3" s="124">
        <v>45274</v>
      </c>
      <c r="H3" s="120" t="s">
        <v>203</v>
      </c>
      <c r="I3" s="120"/>
      <c r="J3" s="120" t="s">
        <v>338</v>
      </c>
      <c r="K3" s="132" t="s">
        <v>1430</v>
      </c>
      <c r="L3" s="120" t="s">
        <v>414</v>
      </c>
      <c r="M3" s="120" t="s">
        <v>408</v>
      </c>
      <c r="N3" s="120" t="s">
        <v>1215</v>
      </c>
      <c r="O3" s="122">
        <v>1</v>
      </c>
      <c r="P3" s="123">
        <v>5.0000000000000001E-3</v>
      </c>
      <c r="Q3" s="120" t="s">
        <v>1426</v>
      </c>
      <c r="R3" s="134">
        <v>192.76892500000002</v>
      </c>
      <c r="S3" s="134">
        <v>192.76892500000002</v>
      </c>
      <c r="T3" s="135">
        <v>1</v>
      </c>
    </row>
    <row r="4" spans="1:26" ht="15" customHeight="1">
      <c r="A4" s="120">
        <v>526</v>
      </c>
      <c r="B4" s="120">
        <v>526</v>
      </c>
      <c r="C4" s="133"/>
      <c r="D4" s="120"/>
      <c r="E4" s="120"/>
      <c r="F4" s="120">
        <v>70000751</v>
      </c>
      <c r="G4" s="124">
        <v>45274</v>
      </c>
      <c r="H4" s="120" t="s">
        <v>203</v>
      </c>
      <c r="I4" s="120"/>
      <c r="J4" s="120" t="s">
        <v>338</v>
      </c>
      <c r="K4" s="132" t="s">
        <v>1430</v>
      </c>
      <c r="L4" s="120" t="s">
        <v>414</v>
      </c>
      <c r="M4" s="120" t="s">
        <v>408</v>
      </c>
      <c r="N4" s="120" t="s">
        <v>1215</v>
      </c>
      <c r="O4" s="122">
        <v>1</v>
      </c>
      <c r="P4" s="123">
        <v>0.01</v>
      </c>
      <c r="Q4" s="120" t="s">
        <v>1426</v>
      </c>
      <c r="R4" s="134">
        <v>53.193575000000003</v>
      </c>
      <c r="S4" s="134">
        <v>53.193575000000003</v>
      </c>
      <c r="T4" s="135">
        <v>1</v>
      </c>
    </row>
    <row r="5" spans="1:26" ht="15" customHeight="1">
      <c r="A5" s="120">
        <v>526</v>
      </c>
      <c r="B5" s="120">
        <v>526</v>
      </c>
      <c r="C5" s="133"/>
      <c r="D5" s="120"/>
      <c r="E5" s="136"/>
      <c r="F5" s="137">
        <v>70005200</v>
      </c>
      <c r="G5" s="138">
        <v>45687</v>
      </c>
      <c r="H5" s="120" t="s">
        <v>203</v>
      </c>
      <c r="I5" s="120"/>
      <c r="J5" s="120" t="s">
        <v>338</v>
      </c>
      <c r="K5" s="120" t="s">
        <v>1432</v>
      </c>
      <c r="L5" s="120" t="s">
        <v>414</v>
      </c>
      <c r="M5" s="120" t="s">
        <v>408</v>
      </c>
      <c r="N5" s="120" t="s">
        <v>1215</v>
      </c>
      <c r="O5" s="122">
        <v>1</v>
      </c>
      <c r="P5" s="135">
        <v>0</v>
      </c>
      <c r="Q5" s="120" t="s">
        <v>1426</v>
      </c>
      <c r="R5" s="134">
        <v>1000</v>
      </c>
      <c r="S5" s="134">
        <v>1000</v>
      </c>
      <c r="T5" s="135">
        <v>1</v>
      </c>
    </row>
    <row r="6" spans="1:26" ht="15" customHeight="1">
      <c r="A6" s="120">
        <v>526</v>
      </c>
      <c r="B6" s="120">
        <v>526</v>
      </c>
      <c r="C6" s="139"/>
      <c r="D6" s="120"/>
      <c r="E6" s="120"/>
      <c r="F6" s="137">
        <v>70005100</v>
      </c>
      <c r="G6" s="138">
        <v>45664</v>
      </c>
      <c r="H6" s="120" t="s">
        <v>203</v>
      </c>
      <c r="I6" s="120"/>
      <c r="J6" s="120" t="s">
        <v>338</v>
      </c>
      <c r="K6" s="120" t="s">
        <v>1432</v>
      </c>
      <c r="L6" s="120" t="s">
        <v>414</v>
      </c>
      <c r="M6" s="120" t="s">
        <v>408</v>
      </c>
      <c r="N6" s="120" t="s">
        <v>1215</v>
      </c>
      <c r="O6" s="122">
        <v>1</v>
      </c>
      <c r="P6" s="135">
        <v>0</v>
      </c>
      <c r="Q6" s="120" t="s">
        <v>1426</v>
      </c>
      <c r="R6" s="140">
        <v>1000</v>
      </c>
      <c r="S6" s="140">
        <v>1000</v>
      </c>
      <c r="T6" s="135">
        <v>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1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" customWidth="1"/>
    <col min="4" max="4" width="31.125" customWidth="1"/>
    <col min="5" max="5" width="29.875" customWidth="1"/>
    <col min="6" max="6" width="27.875" customWidth="1"/>
    <col min="7" max="7" width="4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1">
        <v>526</v>
      </c>
      <c r="B2" s="141">
        <v>526</v>
      </c>
      <c r="C2" s="141" t="s">
        <v>1069</v>
      </c>
      <c r="D2" s="141" t="s">
        <v>1376</v>
      </c>
      <c r="E2" s="137"/>
      <c r="F2" s="141"/>
      <c r="G2" s="142" t="s">
        <v>1377</v>
      </c>
      <c r="H2" s="143">
        <v>62018045</v>
      </c>
      <c r="I2" s="141" t="s">
        <v>311</v>
      </c>
      <c r="J2" s="144" t="s">
        <v>1219</v>
      </c>
      <c r="K2" s="124">
        <v>45229</v>
      </c>
      <c r="L2" s="145">
        <v>500</v>
      </c>
      <c r="M2" s="145">
        <v>2027.4999999999998</v>
      </c>
      <c r="N2" s="146">
        <v>323.48399999999998</v>
      </c>
      <c r="O2" s="146">
        <v>1090.788</v>
      </c>
      <c r="P2" s="123">
        <v>0.64696799999999999</v>
      </c>
      <c r="Q2" s="124">
        <v>48882</v>
      </c>
    </row>
    <row r="3" spans="1:26" ht="15" customHeight="1">
      <c r="A3" s="141">
        <v>526</v>
      </c>
      <c r="B3" s="141">
        <v>526</v>
      </c>
      <c r="C3" s="141" t="s">
        <v>1069</v>
      </c>
      <c r="D3" s="141" t="s">
        <v>1384</v>
      </c>
      <c r="E3" s="137"/>
      <c r="F3" s="141"/>
      <c r="G3" s="142" t="s">
        <v>1385</v>
      </c>
      <c r="H3" s="143">
        <v>62008450</v>
      </c>
      <c r="I3" s="141" t="s">
        <v>311</v>
      </c>
      <c r="J3" s="147" t="s">
        <v>1215</v>
      </c>
      <c r="K3" s="124">
        <v>45223</v>
      </c>
      <c r="L3" s="145">
        <v>1000</v>
      </c>
      <c r="M3" s="145">
        <v>1000</v>
      </c>
      <c r="N3" s="146">
        <v>666.65899999999999</v>
      </c>
      <c r="O3" s="146">
        <v>666.65899999999999</v>
      </c>
      <c r="P3" s="123">
        <v>0.666659</v>
      </c>
      <c r="Q3" s="124">
        <v>48876</v>
      </c>
    </row>
    <row r="4" spans="1:26" ht="15" customHeight="1">
      <c r="A4" s="141">
        <v>526</v>
      </c>
      <c r="B4" s="141">
        <v>526</v>
      </c>
      <c r="C4" s="141" t="s">
        <v>1069</v>
      </c>
      <c r="D4" s="120" t="s">
        <v>1433</v>
      </c>
      <c r="E4" s="120"/>
      <c r="F4" s="141"/>
      <c r="G4" s="142" t="s">
        <v>1375</v>
      </c>
      <c r="H4" s="143">
        <v>62008551</v>
      </c>
      <c r="I4" s="141" t="s">
        <v>311</v>
      </c>
      <c r="J4" s="144" t="s">
        <v>1219</v>
      </c>
      <c r="K4" s="124">
        <v>45223</v>
      </c>
      <c r="L4" s="145">
        <v>805.58900000000006</v>
      </c>
      <c r="M4" s="145">
        <v>3273.1080000000002</v>
      </c>
      <c r="N4" s="146">
        <v>662.42200000000003</v>
      </c>
      <c r="O4" s="146">
        <v>2233.6869999999999</v>
      </c>
      <c r="P4" s="123">
        <v>0.82228282660264718</v>
      </c>
      <c r="Q4" s="124">
        <v>48876</v>
      </c>
    </row>
    <row r="5" spans="1:26" ht="15" customHeight="1">
      <c r="A5" s="141">
        <v>526</v>
      </c>
      <c r="B5" s="141">
        <v>526</v>
      </c>
      <c r="C5" s="141" t="s">
        <v>1069</v>
      </c>
      <c r="D5" s="120" t="s">
        <v>1434</v>
      </c>
      <c r="E5" s="120"/>
      <c r="F5" s="141"/>
      <c r="G5" s="142" t="s">
        <v>1383</v>
      </c>
      <c r="H5" s="143">
        <v>50007970</v>
      </c>
      <c r="I5" s="141" t="s">
        <v>311</v>
      </c>
      <c r="J5" s="147" t="s">
        <v>1215</v>
      </c>
      <c r="K5" s="124">
        <v>45061</v>
      </c>
      <c r="L5" s="145">
        <v>3000</v>
      </c>
      <c r="M5" s="145">
        <v>3000</v>
      </c>
      <c r="N5" s="146">
        <v>1800</v>
      </c>
      <c r="O5" s="146">
        <v>1800</v>
      </c>
      <c r="P5" s="123">
        <v>0.6</v>
      </c>
      <c r="Q5" s="124">
        <v>47983</v>
      </c>
    </row>
    <row r="6" spans="1:26" ht="15" customHeight="1">
      <c r="A6" s="141">
        <v>526</v>
      </c>
      <c r="B6" s="141">
        <v>526</v>
      </c>
      <c r="C6" s="141" t="s">
        <v>1069</v>
      </c>
      <c r="D6" s="120" t="s">
        <v>1380</v>
      </c>
      <c r="E6" s="120"/>
      <c r="F6" s="141"/>
      <c r="G6" s="142" t="s">
        <v>1381</v>
      </c>
      <c r="H6" s="143">
        <v>62021701</v>
      </c>
      <c r="I6" s="141" t="s">
        <v>311</v>
      </c>
      <c r="J6" s="147" t="s">
        <v>1215</v>
      </c>
      <c r="K6" s="124">
        <v>45449</v>
      </c>
      <c r="L6" s="145">
        <v>1000</v>
      </c>
      <c r="M6" s="145">
        <v>1000</v>
      </c>
      <c r="N6" s="146">
        <v>752.17100000000005</v>
      </c>
      <c r="O6" s="146">
        <v>752.17100000000005</v>
      </c>
      <c r="P6" s="123">
        <v>0.75217100000000003</v>
      </c>
      <c r="Q6" s="124">
        <v>48005</v>
      </c>
    </row>
    <row r="7" spans="1:26" ht="15" customHeight="1">
      <c r="A7" s="141">
        <v>526</v>
      </c>
      <c r="B7" s="141">
        <v>526</v>
      </c>
      <c r="C7" s="141" t="s">
        <v>1069</v>
      </c>
      <c r="D7" s="120" t="s">
        <v>1378</v>
      </c>
      <c r="E7" s="120"/>
      <c r="F7" s="141"/>
      <c r="G7" s="142" t="s">
        <v>1379</v>
      </c>
      <c r="H7" s="143">
        <v>38044</v>
      </c>
      <c r="I7" s="141" t="s">
        <v>311</v>
      </c>
      <c r="J7" s="147" t="s">
        <v>1215</v>
      </c>
      <c r="K7" s="124">
        <v>45545</v>
      </c>
      <c r="L7" s="145">
        <v>1000</v>
      </c>
      <c r="M7" s="145">
        <v>1000</v>
      </c>
      <c r="N7" s="146">
        <v>915.97</v>
      </c>
      <c r="O7" s="146">
        <v>915.97</v>
      </c>
      <c r="P7" s="123">
        <v>0.91597000000000006</v>
      </c>
      <c r="Q7" s="124">
        <v>49948</v>
      </c>
    </row>
    <row r="8" spans="1:26" ht="15" customHeight="1">
      <c r="A8" s="141">
        <v>526</v>
      </c>
      <c r="B8" s="141">
        <v>526</v>
      </c>
      <c r="C8" s="141" t="s">
        <v>1069</v>
      </c>
      <c r="D8" s="120" t="s">
        <v>1435</v>
      </c>
      <c r="E8" s="137"/>
      <c r="F8" s="141"/>
      <c r="G8" s="142" t="s">
        <v>1394</v>
      </c>
      <c r="H8" s="143">
        <v>62021209</v>
      </c>
      <c r="I8" s="141" t="s">
        <v>311</v>
      </c>
      <c r="J8" s="144" t="s">
        <v>1219</v>
      </c>
      <c r="K8" s="124">
        <v>45021</v>
      </c>
      <c r="L8" s="145">
        <v>173.26732999999999</v>
      </c>
      <c r="M8" s="145">
        <v>617.52476411999999</v>
      </c>
      <c r="N8" s="146">
        <v>117.69632999999999</v>
      </c>
      <c r="O8" s="146">
        <v>396.87202475999993</v>
      </c>
      <c r="P8" s="123">
        <v>0.67927594890508214</v>
      </c>
      <c r="Q8" s="124">
        <v>48674</v>
      </c>
    </row>
    <row r="9" spans="1:26" ht="15" customHeight="1">
      <c r="A9" s="141">
        <v>526</v>
      </c>
      <c r="B9" s="141">
        <v>526</v>
      </c>
      <c r="C9" s="141" t="s">
        <v>1069</v>
      </c>
      <c r="D9" s="120" t="s">
        <v>1435</v>
      </c>
      <c r="E9" s="137"/>
      <c r="F9" s="141"/>
      <c r="G9" s="142" t="s">
        <v>1399</v>
      </c>
      <c r="H9" s="143">
        <v>62021214</v>
      </c>
      <c r="I9" s="141" t="s">
        <v>311</v>
      </c>
      <c r="J9" s="144" t="s">
        <v>1219</v>
      </c>
      <c r="K9" s="124">
        <v>45021</v>
      </c>
      <c r="L9" s="145">
        <v>826.7326700000001</v>
      </c>
      <c r="M9" s="145">
        <v>2946.4752358800001</v>
      </c>
      <c r="N9" s="146">
        <v>551.30466999999999</v>
      </c>
      <c r="O9" s="146">
        <v>1858.9993472400001</v>
      </c>
      <c r="P9" s="123">
        <v>0.66684756754562502</v>
      </c>
      <c r="Q9" s="124">
        <v>48674</v>
      </c>
    </row>
    <row r="10" spans="1:26" ht="15" customHeight="1">
      <c r="A10" s="141">
        <v>526</v>
      </c>
      <c r="B10" s="141">
        <v>526</v>
      </c>
      <c r="C10" s="141" t="s">
        <v>1069</v>
      </c>
      <c r="D10" s="120" t="s">
        <v>1382</v>
      </c>
      <c r="E10" s="137"/>
      <c r="F10" s="141"/>
      <c r="G10" s="142" t="s">
        <v>1416</v>
      </c>
      <c r="H10" s="143">
        <v>62021274</v>
      </c>
      <c r="I10" s="141" t="s">
        <v>311</v>
      </c>
      <c r="J10" s="144" t="s">
        <v>1212</v>
      </c>
      <c r="K10" s="124">
        <v>45105</v>
      </c>
      <c r="L10" s="148">
        <v>1000</v>
      </c>
      <c r="M10" s="145">
        <v>4030.9</v>
      </c>
      <c r="N10" s="146">
        <v>849.43108999999993</v>
      </c>
      <c r="O10" s="146">
        <v>3359.6698471680002</v>
      </c>
      <c r="P10" s="123">
        <v>0.84943108999999994</v>
      </c>
      <c r="Q10" s="124">
        <v>48758</v>
      </c>
    </row>
    <row r="11" spans="1:26" ht="15" customHeight="1">
      <c r="A11" s="141">
        <v>526</v>
      </c>
      <c r="B11" s="141">
        <v>526</v>
      </c>
      <c r="C11" s="141" t="s">
        <v>1069</v>
      </c>
      <c r="D11" s="141" t="s">
        <v>1436</v>
      </c>
      <c r="E11" s="137"/>
      <c r="F11" s="141"/>
      <c r="G11" s="142" t="s">
        <v>1419</v>
      </c>
      <c r="H11" s="143">
        <v>62013932</v>
      </c>
      <c r="I11" s="141" t="s">
        <v>311</v>
      </c>
      <c r="J11" s="144" t="s">
        <v>1219</v>
      </c>
      <c r="K11" s="124">
        <v>45136</v>
      </c>
      <c r="L11" s="148">
        <v>1000</v>
      </c>
      <c r="M11" s="145">
        <v>3713</v>
      </c>
      <c r="N11" s="146">
        <v>877.89333999999997</v>
      </c>
      <c r="O11" s="146">
        <v>2960.2563424799996</v>
      </c>
      <c r="P11" s="123">
        <v>0.87789333999999997</v>
      </c>
      <c r="Q11" s="124">
        <v>49519</v>
      </c>
    </row>
    <row r="12" spans="1:26" ht="15" customHeight="1">
      <c r="A12" s="141">
        <v>526</v>
      </c>
      <c r="B12" s="141">
        <v>526</v>
      </c>
      <c r="C12" s="141" t="s">
        <v>1069</v>
      </c>
      <c r="D12" s="120" t="s">
        <v>1437</v>
      </c>
      <c r="E12" s="137"/>
      <c r="F12" s="141"/>
      <c r="G12" s="142" t="s">
        <v>1421</v>
      </c>
      <c r="H12" s="143">
        <v>62021464</v>
      </c>
      <c r="I12" s="141" t="s">
        <v>311</v>
      </c>
      <c r="J12" s="144" t="s">
        <v>1212</v>
      </c>
      <c r="K12" s="124">
        <v>45238</v>
      </c>
      <c r="L12" s="148">
        <v>900</v>
      </c>
      <c r="M12" s="145">
        <v>3696.75</v>
      </c>
      <c r="N12" s="146">
        <v>470.62815999999998</v>
      </c>
      <c r="O12" s="146">
        <v>1861.428498432</v>
      </c>
      <c r="P12" s="123">
        <v>0.52292017777777777</v>
      </c>
      <c r="Q12" s="124">
        <v>48760</v>
      </c>
    </row>
    <row r="13" spans="1:26" ht="15" customHeight="1">
      <c r="A13" s="141">
        <v>526</v>
      </c>
      <c r="B13" s="141">
        <v>526</v>
      </c>
      <c r="C13" s="141" t="s">
        <v>1069</v>
      </c>
      <c r="D13" s="141" t="s">
        <v>1438</v>
      </c>
      <c r="E13" s="137"/>
      <c r="F13" s="27"/>
      <c r="G13" s="142" t="s">
        <v>1389</v>
      </c>
      <c r="H13" s="143">
        <v>62021472</v>
      </c>
      <c r="I13" s="141" t="s">
        <v>311</v>
      </c>
      <c r="J13" s="144" t="s">
        <v>1219</v>
      </c>
      <c r="K13" s="124">
        <v>45246</v>
      </c>
      <c r="L13" s="148">
        <v>1000</v>
      </c>
      <c r="M13" s="145">
        <v>3779</v>
      </c>
      <c r="N13" s="146">
        <v>354.06981999999994</v>
      </c>
      <c r="O13" s="146">
        <v>1193.9234330399997</v>
      </c>
      <c r="P13" s="123">
        <v>0.35406981999999992</v>
      </c>
      <c r="Q13" s="124">
        <v>48899</v>
      </c>
    </row>
    <row r="14" spans="1:26" ht="15" customHeight="1">
      <c r="A14" s="141">
        <v>526</v>
      </c>
      <c r="B14" s="141">
        <v>526</v>
      </c>
      <c r="C14" s="141" t="s">
        <v>1069</v>
      </c>
      <c r="D14" s="120" t="s">
        <v>1439</v>
      </c>
      <c r="E14" s="120"/>
      <c r="F14" s="27"/>
      <c r="G14" s="142" t="s">
        <v>1411</v>
      </c>
      <c r="H14" s="143">
        <v>62021514</v>
      </c>
      <c r="I14" s="141" t="s">
        <v>311</v>
      </c>
      <c r="J14" s="144" t="s">
        <v>1219</v>
      </c>
      <c r="K14" s="124">
        <v>45261</v>
      </c>
      <c r="L14" s="148">
        <v>750</v>
      </c>
      <c r="M14" s="145">
        <v>2804.25</v>
      </c>
      <c r="N14" s="146">
        <v>165</v>
      </c>
      <c r="O14" s="146">
        <v>556.38</v>
      </c>
      <c r="P14" s="123">
        <v>0.22</v>
      </c>
      <c r="Q14" s="124">
        <v>47270</v>
      </c>
    </row>
    <row r="15" spans="1:26" ht="15" customHeight="1">
      <c r="A15" s="141">
        <v>526</v>
      </c>
      <c r="B15" s="141">
        <v>526</v>
      </c>
      <c r="C15" s="141" t="s">
        <v>1069</v>
      </c>
      <c r="D15" s="120" t="s">
        <v>1440</v>
      </c>
      <c r="E15" s="137"/>
      <c r="F15" s="27"/>
      <c r="G15" s="142" t="s">
        <v>1400</v>
      </c>
      <c r="H15" s="143">
        <v>62021597</v>
      </c>
      <c r="I15" s="141" t="s">
        <v>311</v>
      </c>
      <c r="J15" s="144" t="s">
        <v>1212</v>
      </c>
      <c r="K15" s="124">
        <v>45092</v>
      </c>
      <c r="L15" s="148">
        <v>1000</v>
      </c>
      <c r="M15" s="145">
        <v>3884.6</v>
      </c>
      <c r="N15" s="146">
        <v>743</v>
      </c>
      <c r="O15" s="146">
        <v>2938.7136</v>
      </c>
      <c r="P15" s="123">
        <v>0.74299999999999999</v>
      </c>
      <c r="Q15" s="124">
        <v>49846</v>
      </c>
    </row>
    <row r="16" spans="1:26" ht="15" customHeight="1">
      <c r="A16" s="141">
        <v>526</v>
      </c>
      <c r="B16" s="141">
        <v>526</v>
      </c>
      <c r="C16" s="141" t="s">
        <v>1069</v>
      </c>
      <c r="D16" s="120" t="s">
        <v>1403</v>
      </c>
      <c r="E16" s="120"/>
      <c r="F16" s="27"/>
      <c r="G16" s="142" t="s">
        <v>1404</v>
      </c>
      <c r="H16" s="143">
        <v>62021613</v>
      </c>
      <c r="I16" s="141" t="s">
        <v>311</v>
      </c>
      <c r="J16" s="144" t="s">
        <v>1212</v>
      </c>
      <c r="K16" s="124">
        <v>45260</v>
      </c>
      <c r="L16" s="148">
        <v>750</v>
      </c>
      <c r="M16" s="145">
        <v>3040.7249999999995</v>
      </c>
      <c r="N16" s="146">
        <v>560.64392000000009</v>
      </c>
      <c r="O16" s="146">
        <v>2217.4588323840003</v>
      </c>
      <c r="P16" s="123">
        <v>0.74752522666666676</v>
      </c>
      <c r="Q16" s="124">
        <v>51926</v>
      </c>
    </row>
    <row r="17" spans="1:17" ht="15" customHeight="1">
      <c r="A17" s="141">
        <v>526</v>
      </c>
      <c r="B17" s="141">
        <v>526</v>
      </c>
      <c r="C17" s="141" t="s">
        <v>1069</v>
      </c>
      <c r="D17" s="120" t="s">
        <v>1397</v>
      </c>
      <c r="E17" s="120"/>
      <c r="F17" s="27"/>
      <c r="G17" s="142" t="s">
        <v>1398</v>
      </c>
      <c r="H17" s="143">
        <v>62021654</v>
      </c>
      <c r="I17" s="141" t="s">
        <v>311</v>
      </c>
      <c r="J17" s="144" t="s">
        <v>1219</v>
      </c>
      <c r="K17" s="124">
        <v>45385</v>
      </c>
      <c r="L17" s="148">
        <v>1000</v>
      </c>
      <c r="M17" s="145">
        <v>3732</v>
      </c>
      <c r="N17" s="146">
        <v>781.45139000000006</v>
      </c>
      <c r="O17" s="146">
        <v>2635.05408708</v>
      </c>
      <c r="P17" s="123">
        <v>0.78145139000000008</v>
      </c>
      <c r="Q17" s="124">
        <v>47941</v>
      </c>
    </row>
    <row r="18" spans="1:17" ht="15" customHeight="1">
      <c r="A18" s="141">
        <v>526</v>
      </c>
      <c r="B18" s="141">
        <v>526</v>
      </c>
      <c r="C18" s="141" t="s">
        <v>1069</v>
      </c>
      <c r="D18" s="141" t="s">
        <v>1390</v>
      </c>
      <c r="E18" s="120"/>
      <c r="F18" s="27"/>
      <c r="G18" s="142" t="s">
        <v>1441</v>
      </c>
      <c r="H18" s="143">
        <v>62021042</v>
      </c>
      <c r="I18" s="141" t="s">
        <v>311</v>
      </c>
      <c r="J18" s="144" t="s">
        <v>1219</v>
      </c>
      <c r="K18" s="124">
        <v>45428</v>
      </c>
      <c r="L18" s="148">
        <v>2000</v>
      </c>
      <c r="M18" s="145">
        <v>7362</v>
      </c>
      <c r="N18" s="146">
        <v>1280</v>
      </c>
      <c r="O18" s="146">
        <v>4316.16</v>
      </c>
      <c r="P18" s="123">
        <v>0.64</v>
      </c>
      <c r="Q18" s="124">
        <v>48428</v>
      </c>
    </row>
    <row r="19" spans="1:17" ht="15" customHeight="1">
      <c r="A19" s="141">
        <v>526</v>
      </c>
      <c r="B19" s="141">
        <v>526</v>
      </c>
      <c r="C19" s="141" t="s">
        <v>1069</v>
      </c>
      <c r="D19" s="141" t="s">
        <v>1412</v>
      </c>
      <c r="E19" s="120"/>
      <c r="F19" s="27"/>
      <c r="G19" s="142" t="s">
        <v>1413</v>
      </c>
      <c r="H19" s="143">
        <v>62021738</v>
      </c>
      <c r="I19" s="141" t="s">
        <v>311</v>
      </c>
      <c r="J19" s="144" t="s">
        <v>1219</v>
      </c>
      <c r="K19" s="124">
        <v>45468</v>
      </c>
      <c r="L19" s="148">
        <v>500</v>
      </c>
      <c r="M19" s="145">
        <v>1862.5</v>
      </c>
      <c r="N19" s="146">
        <v>256.07600000000002</v>
      </c>
      <c r="O19" s="146">
        <v>863.48827200000005</v>
      </c>
      <c r="P19" s="123">
        <v>0.51215200000000005</v>
      </c>
      <c r="Q19" s="124">
        <v>49120</v>
      </c>
    </row>
    <row r="20" spans="1:17" ht="15" customHeight="1">
      <c r="A20" s="141">
        <v>526</v>
      </c>
      <c r="B20" s="141">
        <v>526</v>
      </c>
      <c r="C20" s="141" t="s">
        <v>1069</v>
      </c>
      <c r="D20" s="120" t="s">
        <v>1414</v>
      </c>
      <c r="E20" s="120"/>
      <c r="F20" s="141"/>
      <c r="G20" s="142" t="s">
        <v>1442</v>
      </c>
      <c r="H20" s="143">
        <v>62021038</v>
      </c>
      <c r="I20" s="141" t="s">
        <v>311</v>
      </c>
      <c r="J20" s="144" t="s">
        <v>1219</v>
      </c>
      <c r="K20" s="124">
        <v>45413</v>
      </c>
      <c r="L20" s="148">
        <v>2000</v>
      </c>
      <c r="M20" s="145">
        <v>7480</v>
      </c>
      <c r="N20" s="146">
        <v>1258.5940000000001</v>
      </c>
      <c r="O20" s="146">
        <v>4243.9789679999994</v>
      </c>
      <c r="P20" s="123">
        <v>0.629297</v>
      </c>
      <c r="Q20" s="124">
        <v>48407</v>
      </c>
    </row>
    <row r="21" spans="1:17" ht="15" customHeight="1">
      <c r="A21" s="141">
        <v>526</v>
      </c>
      <c r="B21" s="141">
        <v>526</v>
      </c>
      <c r="C21" s="141" t="s">
        <v>1069</v>
      </c>
      <c r="D21" s="120" t="s">
        <v>1443</v>
      </c>
      <c r="E21" s="120"/>
      <c r="F21" s="141"/>
      <c r="G21" s="142" t="s">
        <v>1406</v>
      </c>
      <c r="H21" s="143">
        <v>62021811</v>
      </c>
      <c r="I21" s="141" t="s">
        <v>311</v>
      </c>
      <c r="J21" s="144" t="s">
        <v>1219</v>
      </c>
      <c r="K21" s="124">
        <v>45475</v>
      </c>
      <c r="L21" s="148">
        <v>500</v>
      </c>
      <c r="M21" s="145">
        <v>1882.5</v>
      </c>
      <c r="N21" s="146">
        <v>384.97192000000001</v>
      </c>
      <c r="O21" s="146">
        <v>1298.1253142400001</v>
      </c>
      <c r="P21" s="123">
        <v>0.76994384000000005</v>
      </c>
      <c r="Q21" s="124">
        <v>49127</v>
      </c>
    </row>
    <row r="22" spans="1:17" ht="15" customHeight="1">
      <c r="A22" s="141">
        <v>526</v>
      </c>
      <c r="B22" s="141">
        <v>526</v>
      </c>
      <c r="C22" s="141" t="s">
        <v>1069</v>
      </c>
      <c r="D22" s="120" t="s">
        <v>1417</v>
      </c>
      <c r="E22" s="149"/>
      <c r="F22" s="141"/>
      <c r="G22" s="142" t="s">
        <v>1418</v>
      </c>
      <c r="H22" s="143">
        <v>62021837</v>
      </c>
      <c r="I22" s="141" t="s">
        <v>311</v>
      </c>
      <c r="J22" s="144" t="s">
        <v>1219</v>
      </c>
      <c r="K22" s="124">
        <v>45485</v>
      </c>
      <c r="L22" s="148">
        <v>500</v>
      </c>
      <c r="M22" s="145">
        <v>1821</v>
      </c>
      <c r="N22" s="146">
        <v>491.42500000000001</v>
      </c>
      <c r="O22" s="146">
        <v>1657.0850999999998</v>
      </c>
      <c r="P22" s="123">
        <v>0.98285</v>
      </c>
      <c r="Q22" s="124">
        <v>49137</v>
      </c>
    </row>
    <row r="23" spans="1:17" ht="15" customHeight="1">
      <c r="A23" s="141">
        <v>526</v>
      </c>
      <c r="B23" s="141">
        <v>526</v>
      </c>
      <c r="C23" s="141" t="s">
        <v>1069</v>
      </c>
      <c r="D23" s="120" t="s">
        <v>1444</v>
      </c>
      <c r="E23" s="120"/>
      <c r="F23" s="27"/>
      <c r="G23" s="142" t="s">
        <v>1409</v>
      </c>
      <c r="H23" s="143">
        <v>62021902</v>
      </c>
      <c r="I23" s="141" t="s">
        <v>311</v>
      </c>
      <c r="J23" s="144" t="s">
        <v>1219</v>
      </c>
      <c r="K23" s="124">
        <v>45545</v>
      </c>
      <c r="L23" s="148">
        <v>500</v>
      </c>
      <c r="M23" s="145">
        <v>1881.5</v>
      </c>
      <c r="N23" s="146">
        <v>346.73099999999999</v>
      </c>
      <c r="O23" s="146">
        <v>1169.1769320000001</v>
      </c>
      <c r="P23" s="123">
        <v>0.69346200000000002</v>
      </c>
      <c r="Q23" s="124">
        <v>49197</v>
      </c>
    </row>
    <row r="24" spans="1:17" ht="15" customHeight="1">
      <c r="A24" s="141">
        <v>526</v>
      </c>
      <c r="B24" s="141">
        <v>526</v>
      </c>
      <c r="C24" s="141" t="s">
        <v>1069</v>
      </c>
      <c r="D24" s="120" t="s">
        <v>1395</v>
      </c>
      <c r="E24" s="120"/>
      <c r="F24" s="27"/>
      <c r="G24" s="142" t="s">
        <v>1396</v>
      </c>
      <c r="H24" s="143">
        <v>62021910</v>
      </c>
      <c r="I24" s="141" t="s">
        <v>311</v>
      </c>
      <c r="J24" s="144" t="s">
        <v>1219</v>
      </c>
      <c r="K24" s="124">
        <v>45526</v>
      </c>
      <c r="L24" s="148">
        <v>500</v>
      </c>
      <c r="M24" s="145">
        <v>1862</v>
      </c>
      <c r="N24" s="146">
        <v>466.27542</v>
      </c>
      <c r="O24" s="146">
        <v>1572.2807162399999</v>
      </c>
      <c r="P24" s="123">
        <v>0.93255083999999999</v>
      </c>
      <c r="Q24" s="124">
        <v>49178</v>
      </c>
    </row>
    <row r="25" spans="1:17" ht="15" customHeight="1">
      <c r="A25" s="141">
        <v>526</v>
      </c>
      <c r="B25" s="141">
        <v>526</v>
      </c>
      <c r="C25" s="141" t="s">
        <v>1069</v>
      </c>
      <c r="D25" s="120" t="s">
        <v>1401</v>
      </c>
      <c r="E25" s="120"/>
      <c r="F25" s="27"/>
      <c r="G25" s="142" t="s">
        <v>1402</v>
      </c>
      <c r="H25" s="143">
        <v>62021741</v>
      </c>
      <c r="I25" s="141" t="s">
        <v>311</v>
      </c>
      <c r="J25" s="144" t="s">
        <v>1219</v>
      </c>
      <c r="K25" s="124">
        <v>45615</v>
      </c>
      <c r="L25" s="148">
        <v>1000</v>
      </c>
      <c r="M25" s="145">
        <v>3743</v>
      </c>
      <c r="N25" s="146">
        <v>546.11199999999997</v>
      </c>
      <c r="O25" s="146">
        <v>1841.4896639999999</v>
      </c>
      <c r="P25" s="123">
        <v>0.54611199999999993</v>
      </c>
      <c r="Q25" s="124">
        <v>49267</v>
      </c>
    </row>
    <row r="26" spans="1:17" ht="15" customHeight="1">
      <c r="A26" s="141">
        <v>526</v>
      </c>
      <c r="B26" s="141">
        <v>526</v>
      </c>
      <c r="C26" s="141" t="s">
        <v>1069</v>
      </c>
      <c r="D26" s="132" t="s">
        <v>1445</v>
      </c>
      <c r="E26" s="150"/>
      <c r="F26" s="141"/>
      <c r="G26" s="142" t="s">
        <v>1446</v>
      </c>
      <c r="H26" s="143">
        <v>62019711</v>
      </c>
      <c r="I26" s="141" t="s">
        <v>311</v>
      </c>
      <c r="J26" s="144" t="s">
        <v>1219</v>
      </c>
      <c r="K26" s="124">
        <v>45667</v>
      </c>
      <c r="L26" s="148">
        <v>500</v>
      </c>
      <c r="M26" s="145">
        <v>1832.5</v>
      </c>
      <c r="N26" s="146">
        <v>500</v>
      </c>
      <c r="O26" s="146">
        <v>1686</v>
      </c>
      <c r="P26" s="123">
        <v>1</v>
      </c>
      <c r="Q26" s="124">
        <v>49319</v>
      </c>
    </row>
    <row r="27" spans="1:17" ht="15" customHeight="1">
      <c r="A27" s="141">
        <v>526</v>
      </c>
      <c r="B27" s="141">
        <v>526</v>
      </c>
      <c r="C27" s="141" t="s">
        <v>1069</v>
      </c>
      <c r="D27" s="132" t="s">
        <v>1447</v>
      </c>
      <c r="E27" s="151"/>
      <c r="F27" s="141"/>
      <c r="G27" s="142" t="s">
        <v>1391</v>
      </c>
      <c r="H27" s="143">
        <v>62022207</v>
      </c>
      <c r="I27" s="141" t="s">
        <v>311</v>
      </c>
      <c r="J27" s="144" t="s">
        <v>1219</v>
      </c>
      <c r="K27" s="124">
        <v>45699</v>
      </c>
      <c r="L27" s="148">
        <v>500</v>
      </c>
      <c r="M27" s="145">
        <v>1794</v>
      </c>
      <c r="N27" s="146">
        <v>357.5</v>
      </c>
      <c r="O27" s="146">
        <v>1205.49</v>
      </c>
      <c r="P27" s="123">
        <v>0.71499999999999997</v>
      </c>
      <c r="Q27" s="124">
        <v>49036</v>
      </c>
    </row>
    <row r="28" spans="1:17" ht="15" customHeight="1">
      <c r="A28" s="141">
        <v>526</v>
      </c>
      <c r="B28" s="141">
        <v>526</v>
      </c>
      <c r="C28" s="141" t="s">
        <v>1069</v>
      </c>
      <c r="D28" s="132" t="s">
        <v>1386</v>
      </c>
      <c r="E28" s="120"/>
      <c r="F28" s="27"/>
      <c r="G28" s="142" t="s">
        <v>1387</v>
      </c>
      <c r="H28" s="143">
        <v>62022249</v>
      </c>
      <c r="I28" s="141" t="s">
        <v>311</v>
      </c>
      <c r="J28" s="144" t="s">
        <v>1219</v>
      </c>
      <c r="K28" s="124">
        <v>45708</v>
      </c>
      <c r="L28" s="148">
        <v>500</v>
      </c>
      <c r="M28" s="145">
        <v>1771</v>
      </c>
      <c r="N28" s="146">
        <v>429.48596000000003</v>
      </c>
      <c r="O28" s="146">
        <v>1448.22665712</v>
      </c>
      <c r="P28" s="123">
        <v>0.85897192000000011</v>
      </c>
      <c r="Q28" s="124">
        <v>49360</v>
      </c>
    </row>
    <row r="29" spans="1:17" ht="15" customHeight="1">
      <c r="A29" s="141">
        <v>526</v>
      </c>
      <c r="B29" s="141">
        <v>526</v>
      </c>
      <c r="C29" s="141" t="s">
        <v>1069</v>
      </c>
      <c r="D29" s="120" t="s">
        <v>1448</v>
      </c>
      <c r="E29" s="152"/>
      <c r="F29" s="141"/>
      <c r="G29" s="142" t="s">
        <v>1449</v>
      </c>
      <c r="H29" s="143">
        <v>62017790</v>
      </c>
      <c r="I29" s="141" t="s">
        <v>311</v>
      </c>
      <c r="J29" s="144" t="s">
        <v>1219</v>
      </c>
      <c r="K29" s="124">
        <v>45645</v>
      </c>
      <c r="L29" s="148">
        <v>500</v>
      </c>
      <c r="M29" s="145">
        <v>1809</v>
      </c>
      <c r="N29" s="146">
        <v>500</v>
      </c>
      <c r="O29" s="146">
        <v>1686</v>
      </c>
      <c r="P29" s="123">
        <v>1</v>
      </c>
      <c r="Q29" s="124">
        <v>50557</v>
      </c>
    </row>
    <row r="30" spans="1:17" ht="15" customHeight="1">
      <c r="A30" s="141">
        <v>526</v>
      </c>
      <c r="B30" s="141">
        <v>526</v>
      </c>
      <c r="C30" s="141" t="s">
        <v>1069</v>
      </c>
      <c r="D30" s="120" t="s">
        <v>1392</v>
      </c>
      <c r="E30" s="120"/>
      <c r="F30" s="27"/>
      <c r="G30" s="142" t="s">
        <v>1393</v>
      </c>
      <c r="H30" s="143">
        <v>62022371</v>
      </c>
      <c r="I30" s="141" t="s">
        <v>311</v>
      </c>
      <c r="J30" s="144" t="s">
        <v>1219</v>
      </c>
      <c r="K30" s="124">
        <v>45783</v>
      </c>
      <c r="L30" s="148">
        <v>500</v>
      </c>
      <c r="M30" s="145">
        <v>1809</v>
      </c>
      <c r="N30" s="146">
        <v>351.25900000000001</v>
      </c>
      <c r="O30" s="146">
        <v>1184.4449999999999</v>
      </c>
      <c r="P30" s="123">
        <v>0.70251799999999998</v>
      </c>
      <c r="Q30" s="124">
        <v>48340</v>
      </c>
    </row>
    <row r="31" spans="1:17" ht="15" customHeight="1">
      <c r="A31" s="141">
        <v>526</v>
      </c>
      <c r="B31" s="141">
        <v>526</v>
      </c>
      <c r="C31" s="141" t="s">
        <v>1069</v>
      </c>
      <c r="D31" s="120" t="s">
        <v>1450</v>
      </c>
      <c r="E31" s="120"/>
      <c r="F31" s="27"/>
      <c r="G31" s="142" t="s">
        <v>1451</v>
      </c>
      <c r="H31" s="143">
        <v>62022255</v>
      </c>
      <c r="I31" s="141" t="s">
        <v>311</v>
      </c>
      <c r="J31" s="144" t="s">
        <v>1219</v>
      </c>
      <c r="K31" s="124">
        <v>45789</v>
      </c>
      <c r="L31" s="148">
        <v>750</v>
      </c>
      <c r="M31" s="145">
        <v>2658.75</v>
      </c>
      <c r="N31" s="146">
        <v>750</v>
      </c>
      <c r="O31" s="146">
        <v>2529</v>
      </c>
      <c r="P31" s="123">
        <v>1</v>
      </c>
      <c r="Q31" s="124">
        <v>49441</v>
      </c>
    </row>
  </sheetData>
  <conditionalFormatting sqref="E4">
    <cfRule type="duplicateValues" dxfId="18" priority="19"/>
  </conditionalFormatting>
  <conditionalFormatting sqref="E14">
    <cfRule type="duplicateValues" dxfId="17" priority="18"/>
  </conditionalFormatting>
  <conditionalFormatting sqref="E13">
    <cfRule type="duplicateValues" dxfId="16" priority="17"/>
  </conditionalFormatting>
  <conditionalFormatting sqref="E15">
    <cfRule type="duplicateValues" dxfId="15" priority="16"/>
  </conditionalFormatting>
  <conditionalFormatting sqref="E16">
    <cfRule type="duplicateValues" dxfId="14" priority="15"/>
  </conditionalFormatting>
  <conditionalFormatting sqref="E12">
    <cfRule type="duplicateValues" dxfId="13" priority="14"/>
  </conditionalFormatting>
  <conditionalFormatting sqref="E5">
    <cfRule type="duplicateValues" dxfId="12" priority="13"/>
  </conditionalFormatting>
  <conditionalFormatting sqref="E6">
    <cfRule type="duplicateValues" dxfId="11" priority="12"/>
  </conditionalFormatting>
  <conditionalFormatting sqref="E17">
    <cfRule type="duplicateValues" dxfId="10" priority="11"/>
  </conditionalFormatting>
  <conditionalFormatting sqref="E18">
    <cfRule type="duplicateValues" dxfId="9" priority="10"/>
  </conditionalFormatting>
  <conditionalFormatting sqref="E19">
    <cfRule type="duplicateValues" dxfId="8" priority="9"/>
  </conditionalFormatting>
  <conditionalFormatting sqref="E7">
    <cfRule type="duplicateValues" dxfId="7" priority="8"/>
  </conditionalFormatting>
  <conditionalFormatting sqref="E23">
    <cfRule type="duplicateValues" dxfId="6" priority="7"/>
  </conditionalFormatting>
  <conditionalFormatting sqref="E24">
    <cfRule type="duplicateValues" dxfId="5" priority="6"/>
  </conditionalFormatting>
  <conditionalFormatting sqref="E25">
    <cfRule type="duplicateValues" dxfId="4" priority="5"/>
  </conditionalFormatting>
  <conditionalFormatting sqref="E28">
    <cfRule type="duplicateValues" dxfId="3" priority="4"/>
  </conditionalFormatting>
  <conditionalFormatting sqref="E27">
    <cfRule type="duplicateValues" dxfId="2" priority="3"/>
  </conditionalFormatting>
  <conditionalFormatting sqref="E30">
    <cfRule type="duplicateValues" dxfId="1" priority="2"/>
  </conditionalFormatting>
  <conditionalFormatting sqref="E31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דוח רואה חשבון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2025-08-26T09:48:33Z</dcterms:modified>
</cp:coreProperties>
</file>